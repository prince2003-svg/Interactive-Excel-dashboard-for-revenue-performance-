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nanya.Sharma\Downloads\Prince\"/>
    </mc:Choice>
  </mc:AlternateContent>
  <xr:revisionPtr revIDLastSave="0" documentId="13_ncr:1_{186A9CD4-2756-4B99-ABE0-723B76043FD5}" xr6:coauthVersionLast="47" xr6:coauthVersionMax="47" xr10:uidLastSave="{00000000-0000-0000-0000-000000000000}"/>
  <bookViews>
    <workbookView xWindow="-110" yWindow="-110" windowWidth="19420" windowHeight="10300" xr2:uid="{00000000-000D-0000-FFFF-FFFF00000000}"/>
  </bookViews>
  <sheets>
    <sheet name="Raw_Data" sheetId="1" r:id="rId1"/>
    <sheet name="Sheet1" sheetId="11" r:id="rId2"/>
    <sheet name="Clean_Data" sheetId="10" r:id="rId3"/>
    <sheet name="Analysis" sheetId="4" r:id="rId4"/>
    <sheet name="Dynamic_Dashboard" sheetId="5" r:id="rId5"/>
  </sheets>
  <definedNames>
    <definedName name="ExternalData_1" localSheetId="2" hidden="1">Clean_Data!$A$1:$H$2340</definedName>
    <definedName name="Slicer_Country">#N/A</definedName>
    <definedName name="Slicer_Month">#N/A</definedName>
    <definedName name="Slicer_Regi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1" l="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F2337" i="11"/>
  <c r="F2338" i="11"/>
  <c r="F2339" i="11"/>
  <c r="F2340" i="11"/>
  <c r="F1" i="11"/>
  <c r="B1" i="11"/>
  <c r="E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5"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E2337" i="11"/>
  <c r="E2338" i="11"/>
  <c r="E2339" i="11"/>
  <c r="E2340" i="11"/>
  <c r="E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D2337" i="11"/>
  <c r="D2338" i="11"/>
  <c r="D2339" i="11"/>
  <c r="D2340" i="11"/>
  <c r="D1"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1" i="1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B1155" i="11"/>
  <c r="B1156" i="11"/>
  <c r="B1157" i="11"/>
  <c r="B1158" i="11"/>
  <c r="B1159" i="11"/>
  <c r="B1160" i="11"/>
  <c r="B1161" i="11"/>
  <c r="B1162" i="11"/>
  <c r="B1163" i="11"/>
  <c r="B1164" i="11"/>
  <c r="B1165" i="11"/>
  <c r="B1166" i="11"/>
  <c r="B1167" i="11"/>
  <c r="B1168" i="11"/>
  <c r="B1169" i="11"/>
  <c r="B1170" i="11"/>
  <c r="B1171" i="11"/>
  <c r="B1172" i="11"/>
  <c r="B1173" i="11"/>
  <c r="B1174" i="11"/>
  <c r="B1175" i="11"/>
  <c r="B1176" i="11"/>
  <c r="B1177" i="11"/>
  <c r="B1178" i="11"/>
  <c r="B1179" i="11"/>
  <c r="B1180" i="11"/>
  <c r="B1181" i="11"/>
  <c r="B1182" i="11"/>
  <c r="B1183" i="11"/>
  <c r="B1184" i="11"/>
  <c r="B1185" i="11"/>
  <c r="B1186" i="11"/>
  <c r="B1187" i="11"/>
  <c r="B1188" i="11"/>
  <c r="B1189" i="11"/>
  <c r="B1190" i="11"/>
  <c r="B1191" i="11"/>
  <c r="B1192" i="11"/>
  <c r="B1193" i="11"/>
  <c r="B1194" i="11"/>
  <c r="B1195" i="11"/>
  <c r="B1196" i="11"/>
  <c r="B1197" i="11"/>
  <c r="B1198" i="11"/>
  <c r="B1199" i="11"/>
  <c r="B1200" i="11"/>
  <c r="B1201" i="11"/>
  <c r="B1202" i="11"/>
  <c r="B1203" i="11"/>
  <c r="B1204" i="11"/>
  <c r="B1205" i="11"/>
  <c r="B1206" i="11"/>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1250" i="11"/>
  <c r="B1251" i="11"/>
  <c r="B1252" i="11"/>
  <c r="B1253" i="11"/>
  <c r="B1254" i="11"/>
  <c r="B1255" i="11"/>
  <c r="B1256" i="11"/>
  <c r="B1257" i="11"/>
  <c r="B1258" i="11"/>
  <c r="B1259" i="11"/>
  <c r="B1260" i="11"/>
  <c r="B1261" i="11"/>
  <c r="B1262" i="11"/>
  <c r="B1263" i="11"/>
  <c r="B1264" i="11"/>
  <c r="B1265" i="11"/>
  <c r="B1266" i="11"/>
  <c r="B1267" i="11"/>
  <c r="B1268" i="11"/>
  <c r="B1269" i="11"/>
  <c r="B1270" i="11"/>
  <c r="B1271" i="11"/>
  <c r="B1272" i="11"/>
  <c r="B1273" i="11"/>
  <c r="B1274" i="11"/>
  <c r="B1275" i="11"/>
  <c r="B1276" i="11"/>
  <c r="B1277" i="11"/>
  <c r="B1278" i="11"/>
  <c r="B1279" i="11"/>
  <c r="B1280" i="11"/>
  <c r="B1281" i="11"/>
  <c r="B1282" i="11"/>
  <c r="B1283" i="11"/>
  <c r="B1284" i="11"/>
  <c r="B1285" i="11"/>
  <c r="B1286" i="11"/>
  <c r="B1287" i="11"/>
  <c r="B1288" i="11"/>
  <c r="B1289" i="11"/>
  <c r="B1290" i="11"/>
  <c r="B1291" i="11"/>
  <c r="B1292" i="11"/>
  <c r="B1293" i="11"/>
  <c r="B1294" i="11"/>
  <c r="B1295" i="11"/>
  <c r="B1296" i="11"/>
  <c r="B1297" i="11"/>
  <c r="B1298" i="11"/>
  <c r="B1299" i="11"/>
  <c r="B1300" i="11"/>
  <c r="B1301" i="11"/>
  <c r="B1302" i="11"/>
  <c r="B1303" i="11"/>
  <c r="B1304" i="11"/>
  <c r="B1305" i="11"/>
  <c r="B1306" i="11"/>
  <c r="B1307" i="11"/>
  <c r="B1308" i="11"/>
  <c r="B1309" i="11"/>
  <c r="B1310" i="11"/>
  <c r="B1311" i="11"/>
  <c r="B1312" i="11"/>
  <c r="B1313" i="11"/>
  <c r="B1314" i="11"/>
  <c r="B1315" i="11"/>
  <c r="B1316" i="11"/>
  <c r="B1317" i="11"/>
  <c r="B1318" i="11"/>
  <c r="B1319" i="11"/>
  <c r="B1320" i="11"/>
  <c r="B1321" i="11"/>
  <c r="B1322" i="11"/>
  <c r="B1323" i="11"/>
  <c r="B1324" i="11"/>
  <c r="B1325" i="11"/>
  <c r="B1326" i="11"/>
  <c r="B1327" i="11"/>
  <c r="B1328" i="11"/>
  <c r="B1329" i="11"/>
  <c r="B1330" i="11"/>
  <c r="B1331" i="11"/>
  <c r="B1332" i="11"/>
  <c r="B1333" i="11"/>
  <c r="B1334" i="11"/>
  <c r="B1335" i="11"/>
  <c r="B1336" i="11"/>
  <c r="B1337" i="11"/>
  <c r="B1338" i="11"/>
  <c r="B1339" i="11"/>
  <c r="B1340" i="11"/>
  <c r="B1341" i="11"/>
  <c r="B1342" i="11"/>
  <c r="B1343" i="11"/>
  <c r="B1344" i="11"/>
  <c r="B1345" i="11"/>
  <c r="B1346" i="11"/>
  <c r="B1347" i="11"/>
  <c r="B1348" i="11"/>
  <c r="B1349" i="11"/>
  <c r="B1350" i="11"/>
  <c r="B1351" i="11"/>
  <c r="B1352" i="11"/>
  <c r="B1353" i="11"/>
  <c r="B1354" i="11"/>
  <c r="B1355" i="11"/>
  <c r="B1356" i="11"/>
  <c r="B1357" i="11"/>
  <c r="B1358" i="11"/>
  <c r="B1359" i="11"/>
  <c r="B1360" i="11"/>
  <c r="B1361" i="11"/>
  <c r="B1362" i="11"/>
  <c r="B1363" i="11"/>
  <c r="B1364" i="11"/>
  <c r="B1365" i="11"/>
  <c r="B1366" i="11"/>
  <c r="B1367" i="11"/>
  <c r="B1368" i="11"/>
  <c r="B1369" i="11"/>
  <c r="B1370" i="11"/>
  <c r="B1371" i="11"/>
  <c r="B1372" i="11"/>
  <c r="B1373" i="11"/>
  <c r="B1374" i="11"/>
  <c r="B1375" i="11"/>
  <c r="B1376" i="11"/>
  <c r="B1377" i="11"/>
  <c r="B1378" i="11"/>
  <c r="B1379" i="11"/>
  <c r="B1380" i="11"/>
  <c r="B1381" i="11"/>
  <c r="B1382" i="11"/>
  <c r="B1383" i="11"/>
  <c r="B1384" i="11"/>
  <c r="B1385" i="11"/>
  <c r="B1386" i="11"/>
  <c r="B1387" i="11"/>
  <c r="B1388" i="11"/>
  <c r="B1389" i="11"/>
  <c r="B1390" i="11"/>
  <c r="B1391" i="11"/>
  <c r="B1392" i="11"/>
  <c r="B1393" i="11"/>
  <c r="B1394" i="11"/>
  <c r="B1395" i="11"/>
  <c r="B1396" i="11"/>
  <c r="B1397" i="11"/>
  <c r="B1398" i="11"/>
  <c r="B1399" i="11"/>
  <c r="B1400" i="11"/>
  <c r="B1401" i="11"/>
  <c r="B1402" i="11"/>
  <c r="B1403" i="11"/>
  <c r="B1404" i="11"/>
  <c r="B1405" i="11"/>
  <c r="B1406" i="11"/>
  <c r="B1407" i="11"/>
  <c r="B1408" i="11"/>
  <c r="B1409" i="11"/>
  <c r="B1410" i="11"/>
  <c r="B1411" i="11"/>
  <c r="B1412" i="11"/>
  <c r="B1413" i="11"/>
  <c r="B1414" i="11"/>
  <c r="B1415" i="11"/>
  <c r="B1416" i="11"/>
  <c r="B1417" i="11"/>
  <c r="B1418" i="11"/>
  <c r="B1419" i="11"/>
  <c r="B1420" i="11"/>
  <c r="B1421" i="11"/>
  <c r="B1422" i="11"/>
  <c r="B1423" i="11"/>
  <c r="B1424" i="11"/>
  <c r="B1425" i="11"/>
  <c r="B1426" i="11"/>
  <c r="B1427" i="11"/>
  <c r="B1428" i="11"/>
  <c r="B1429" i="11"/>
  <c r="B1430" i="11"/>
  <c r="B1431" i="11"/>
  <c r="B1432" i="11"/>
  <c r="B1433" i="11"/>
  <c r="B1434" i="11"/>
  <c r="B1435" i="11"/>
  <c r="B1436" i="11"/>
  <c r="B1437" i="11"/>
  <c r="B1438" i="11"/>
  <c r="B1439" i="11"/>
  <c r="B1440" i="11"/>
  <c r="B1441" i="11"/>
  <c r="B1442" i="11"/>
  <c r="B1443" i="11"/>
  <c r="B1444" i="11"/>
  <c r="B1445" i="11"/>
  <c r="B1446" i="11"/>
  <c r="B1447" i="11"/>
  <c r="B1448" i="11"/>
  <c r="B1449" i="11"/>
  <c r="B1450" i="11"/>
  <c r="B1451" i="11"/>
  <c r="B1452" i="11"/>
  <c r="B1453" i="11"/>
  <c r="B1454" i="11"/>
  <c r="B1455" i="11"/>
  <c r="B1456" i="11"/>
  <c r="B1457" i="11"/>
  <c r="B1458" i="11"/>
  <c r="B1459" i="11"/>
  <c r="B1460" i="11"/>
  <c r="B1461" i="11"/>
  <c r="B1462" i="11"/>
  <c r="B1463" i="11"/>
  <c r="B1464" i="11"/>
  <c r="B1465" i="11"/>
  <c r="B1466" i="11"/>
  <c r="B1467" i="11"/>
  <c r="B1468" i="11"/>
  <c r="B1469" i="11"/>
  <c r="B1470" i="11"/>
  <c r="B1471" i="11"/>
  <c r="B1472" i="11"/>
  <c r="B1473" i="11"/>
  <c r="B1474" i="11"/>
  <c r="B1475" i="11"/>
  <c r="B1476" i="11"/>
  <c r="B1477" i="11"/>
  <c r="B1478" i="11"/>
  <c r="B1479" i="11"/>
  <c r="B1480" i="11"/>
  <c r="B1481" i="11"/>
  <c r="B1482" i="11"/>
  <c r="B1483" i="11"/>
  <c r="B1484" i="11"/>
  <c r="B1485" i="11"/>
  <c r="B1486" i="11"/>
  <c r="B1487" i="11"/>
  <c r="B1488" i="11"/>
  <c r="B1489" i="11"/>
  <c r="B1490" i="11"/>
  <c r="B1491" i="11"/>
  <c r="B1492" i="11"/>
  <c r="B1493" i="11"/>
  <c r="B1494" i="11"/>
  <c r="B1495" i="11"/>
  <c r="B1496" i="11"/>
  <c r="B1497" i="11"/>
  <c r="B1498" i="11"/>
  <c r="B1499" i="11"/>
  <c r="B1500" i="11"/>
  <c r="B1501" i="11"/>
  <c r="B1502" i="11"/>
  <c r="B1503" i="11"/>
  <c r="B1504" i="11"/>
  <c r="B1505" i="11"/>
  <c r="B1506" i="11"/>
  <c r="B1507" i="11"/>
  <c r="B1508" i="11"/>
  <c r="B1509" i="11"/>
  <c r="B1510" i="11"/>
  <c r="B1511" i="11"/>
  <c r="B1512" i="11"/>
  <c r="B1513" i="11"/>
  <c r="B1514" i="11"/>
  <c r="B1515" i="11"/>
  <c r="B1516" i="11"/>
  <c r="B1517" i="11"/>
  <c r="B1518" i="11"/>
  <c r="B1519" i="11"/>
  <c r="B1520" i="11"/>
  <c r="B1521" i="11"/>
  <c r="B1522" i="11"/>
  <c r="B1523" i="11"/>
  <c r="B1524" i="11"/>
  <c r="B1525" i="11"/>
  <c r="B1526" i="11"/>
  <c r="B1527" i="11"/>
  <c r="B1528" i="11"/>
  <c r="B1529" i="11"/>
  <c r="B1530" i="11"/>
  <c r="B1531" i="11"/>
  <c r="B1532" i="11"/>
  <c r="B1533" i="11"/>
  <c r="B1534" i="11"/>
  <c r="B1535" i="11"/>
  <c r="B1536" i="11"/>
  <c r="B1537" i="11"/>
  <c r="B1538" i="11"/>
  <c r="B1539" i="11"/>
  <c r="B1540" i="11"/>
  <c r="B1541" i="11"/>
  <c r="B1542" i="11"/>
  <c r="B1543" i="11"/>
  <c r="B1544" i="11"/>
  <c r="B1545" i="11"/>
  <c r="B1546" i="11"/>
  <c r="B1547" i="11"/>
  <c r="B1548" i="11"/>
  <c r="B1549" i="11"/>
  <c r="B1550" i="11"/>
  <c r="B1551" i="11"/>
  <c r="B1552" i="11"/>
  <c r="B1553" i="11"/>
  <c r="B1554" i="11"/>
  <c r="B1555" i="11"/>
  <c r="B1556" i="11"/>
  <c r="B1557" i="11"/>
  <c r="B1558" i="11"/>
  <c r="B1559" i="11"/>
  <c r="B1560" i="11"/>
  <c r="B1561" i="11"/>
  <c r="B1562" i="11"/>
  <c r="B1563" i="11"/>
  <c r="B1564" i="11"/>
  <c r="B1565" i="11"/>
  <c r="B1566" i="11"/>
  <c r="B1567" i="11"/>
  <c r="B1568" i="11"/>
  <c r="B1569" i="11"/>
  <c r="B1570" i="11"/>
  <c r="B1571" i="11"/>
  <c r="B1572" i="11"/>
  <c r="B1573" i="11"/>
  <c r="B1574" i="11"/>
  <c r="B1575" i="11"/>
  <c r="B1576" i="11"/>
  <c r="B1577" i="11"/>
  <c r="B1578" i="11"/>
  <c r="B1579" i="11"/>
  <c r="B1580" i="11"/>
  <c r="B1581" i="11"/>
  <c r="B1582" i="11"/>
  <c r="B1583" i="11"/>
  <c r="B1584" i="11"/>
  <c r="B1585" i="11"/>
  <c r="B1586" i="11"/>
  <c r="B1587" i="11"/>
  <c r="B1588" i="11"/>
  <c r="B1589" i="11"/>
  <c r="B1590" i="11"/>
  <c r="B1591" i="11"/>
  <c r="B1592" i="11"/>
  <c r="B1593" i="11"/>
  <c r="B1594" i="11"/>
  <c r="B1595" i="11"/>
  <c r="B1596" i="11"/>
  <c r="B1597" i="11"/>
  <c r="B1598" i="11"/>
  <c r="B1599" i="11"/>
  <c r="B1600" i="11"/>
  <c r="B1601" i="11"/>
  <c r="B1602" i="11"/>
  <c r="B1603" i="11"/>
  <c r="B1604" i="11"/>
  <c r="B1605" i="11"/>
  <c r="B1606" i="11"/>
  <c r="B1607" i="11"/>
  <c r="B1608" i="11"/>
  <c r="B1609" i="11"/>
  <c r="B1610" i="11"/>
  <c r="B1611" i="11"/>
  <c r="B1612" i="11"/>
  <c r="B1613" i="11"/>
  <c r="B1614" i="11"/>
  <c r="B1615" i="11"/>
  <c r="B1616" i="11"/>
  <c r="B1617" i="11"/>
  <c r="B1618" i="11"/>
  <c r="B1619" i="11"/>
  <c r="B1620" i="11"/>
  <c r="B1621" i="11"/>
  <c r="B1622" i="11"/>
  <c r="B1623" i="11"/>
  <c r="B1624" i="11"/>
  <c r="B1625" i="11"/>
  <c r="B1626" i="11"/>
  <c r="B1627" i="11"/>
  <c r="B1628" i="11"/>
  <c r="B1629" i="11"/>
  <c r="B1630" i="11"/>
  <c r="B1631" i="11"/>
  <c r="B1632" i="11"/>
  <c r="B1633" i="11"/>
  <c r="B1634" i="11"/>
  <c r="B1635" i="11"/>
  <c r="B1636" i="11"/>
  <c r="B1637" i="11"/>
  <c r="B1638" i="11"/>
  <c r="B1639" i="11"/>
  <c r="B1640" i="11"/>
  <c r="B1641" i="11"/>
  <c r="B1642" i="11"/>
  <c r="B1643" i="11"/>
  <c r="B1644" i="11"/>
  <c r="B1645" i="11"/>
  <c r="B1646" i="11"/>
  <c r="B1647" i="11"/>
  <c r="B1648" i="11"/>
  <c r="B1649" i="11"/>
  <c r="B1650" i="11"/>
  <c r="B1651" i="11"/>
  <c r="B1652" i="11"/>
  <c r="B1653" i="11"/>
  <c r="B1654" i="11"/>
  <c r="B1655" i="11"/>
  <c r="B1656" i="11"/>
  <c r="B1657" i="11"/>
  <c r="B1658" i="11"/>
  <c r="B1659" i="11"/>
  <c r="B1660" i="11"/>
  <c r="B1661" i="11"/>
  <c r="B1662" i="11"/>
  <c r="B1663" i="11"/>
  <c r="B1664" i="11"/>
  <c r="B1665" i="11"/>
  <c r="B1666" i="11"/>
  <c r="B1667" i="11"/>
  <c r="B1668" i="11"/>
  <c r="B1669" i="11"/>
  <c r="B1670" i="11"/>
  <c r="B1671" i="11"/>
  <c r="B1672" i="11"/>
  <c r="B1673" i="11"/>
  <c r="B1674" i="11"/>
  <c r="B1675" i="11"/>
  <c r="B1676" i="11"/>
  <c r="B1677" i="11"/>
  <c r="B1678" i="11"/>
  <c r="B1679" i="11"/>
  <c r="B1680" i="11"/>
  <c r="B1681" i="11"/>
  <c r="B1682" i="11"/>
  <c r="B1683" i="11"/>
  <c r="B1684" i="11"/>
  <c r="B1685" i="11"/>
  <c r="B1686" i="11"/>
  <c r="B1687" i="11"/>
  <c r="B1688" i="11"/>
  <c r="B1689" i="11"/>
  <c r="B1690" i="11"/>
  <c r="B1691" i="11"/>
  <c r="B1692" i="11"/>
  <c r="B1693" i="11"/>
  <c r="B1694" i="11"/>
  <c r="B1695" i="11"/>
  <c r="B1696" i="11"/>
  <c r="B1697" i="11"/>
  <c r="B1698" i="11"/>
  <c r="B1699" i="11"/>
  <c r="B1700" i="11"/>
  <c r="B1701" i="11"/>
  <c r="B1702" i="11"/>
  <c r="B1703" i="11"/>
  <c r="B1704" i="11"/>
  <c r="B1705" i="11"/>
  <c r="B1706" i="11"/>
  <c r="B1707" i="11"/>
  <c r="B1708" i="11"/>
  <c r="B1709" i="11"/>
  <c r="B1710" i="11"/>
  <c r="B1711" i="11"/>
  <c r="B1712" i="11"/>
  <c r="B1713" i="11"/>
  <c r="B1714" i="11"/>
  <c r="B1715" i="11"/>
  <c r="B1716" i="11"/>
  <c r="B1717" i="11"/>
  <c r="B1718" i="11"/>
  <c r="B1719" i="11"/>
  <c r="B1720" i="11"/>
  <c r="B1721" i="11"/>
  <c r="B1722" i="11"/>
  <c r="B1723" i="11"/>
  <c r="B1724" i="11"/>
  <c r="B1725" i="11"/>
  <c r="B1726" i="11"/>
  <c r="B1727" i="11"/>
  <c r="B1728" i="11"/>
  <c r="B1729" i="11"/>
  <c r="B1730" i="11"/>
  <c r="B1731" i="11"/>
  <c r="B1732" i="11"/>
  <c r="B1733" i="11"/>
  <c r="B1734" i="11"/>
  <c r="B1735" i="11"/>
  <c r="B1736" i="11"/>
  <c r="B1737" i="11"/>
  <c r="B1738" i="11"/>
  <c r="B1739" i="11"/>
  <c r="B1740" i="11"/>
  <c r="B1741" i="11"/>
  <c r="B1742" i="11"/>
  <c r="B1743" i="11"/>
  <c r="B1744" i="11"/>
  <c r="B1745" i="11"/>
  <c r="B1746" i="11"/>
  <c r="B1747" i="11"/>
  <c r="B1748" i="11"/>
  <c r="B1749" i="11"/>
  <c r="B1750" i="11"/>
  <c r="B1751" i="11"/>
  <c r="B1752" i="11"/>
  <c r="B1753" i="11"/>
  <c r="B1754" i="11"/>
  <c r="B1755" i="11"/>
  <c r="B1756" i="11"/>
  <c r="B1757" i="11"/>
  <c r="B1758" i="11"/>
  <c r="B1759" i="11"/>
  <c r="B1760" i="11"/>
  <c r="B1761" i="11"/>
  <c r="B1762" i="11"/>
  <c r="B1763" i="11"/>
  <c r="B1764" i="11"/>
  <c r="B1765" i="11"/>
  <c r="B1766" i="11"/>
  <c r="B1767" i="11"/>
  <c r="B1768" i="11"/>
  <c r="B1769" i="11"/>
  <c r="B1770" i="11"/>
  <c r="B1771" i="11"/>
  <c r="B1772" i="11"/>
  <c r="B1773" i="11"/>
  <c r="B1774" i="11"/>
  <c r="B1775" i="11"/>
  <c r="B1776" i="11"/>
  <c r="B1777" i="11"/>
  <c r="B1778" i="11"/>
  <c r="B1779" i="11"/>
  <c r="B1780" i="11"/>
  <c r="B1781" i="11"/>
  <c r="B1782" i="11"/>
  <c r="B1783" i="11"/>
  <c r="B1784" i="11"/>
  <c r="B1785" i="11"/>
  <c r="B1786" i="11"/>
  <c r="B1787" i="11"/>
  <c r="B1788" i="11"/>
  <c r="B1789" i="11"/>
  <c r="B1790" i="11"/>
  <c r="B1791" i="11"/>
  <c r="B1792" i="11"/>
  <c r="B1793" i="11"/>
  <c r="B1794" i="11"/>
  <c r="B1795" i="11"/>
  <c r="B1796" i="11"/>
  <c r="B1797" i="11"/>
  <c r="B1798" i="11"/>
  <c r="B1799" i="11"/>
  <c r="B1800" i="11"/>
  <c r="B1801" i="11"/>
  <c r="B1802" i="11"/>
  <c r="B1803" i="11"/>
  <c r="B1804" i="11"/>
  <c r="B1805" i="11"/>
  <c r="B1806" i="11"/>
  <c r="B1807" i="11"/>
  <c r="B1808" i="11"/>
  <c r="B1809" i="11"/>
  <c r="B1810" i="11"/>
  <c r="B1811" i="11"/>
  <c r="B1812" i="11"/>
  <c r="B1813" i="11"/>
  <c r="B1814" i="11"/>
  <c r="B1815" i="11"/>
  <c r="B1816" i="11"/>
  <c r="B1817" i="11"/>
  <c r="B1818" i="11"/>
  <c r="B1819" i="11"/>
  <c r="B1820" i="11"/>
  <c r="B1821" i="11"/>
  <c r="B1822" i="11"/>
  <c r="B1823" i="11"/>
  <c r="B1824" i="11"/>
  <c r="B1825" i="11"/>
  <c r="B1826" i="11"/>
  <c r="B1827" i="11"/>
  <c r="B1828" i="11"/>
  <c r="B1829" i="11"/>
  <c r="B1830" i="11"/>
  <c r="B1831" i="11"/>
  <c r="B1832" i="11"/>
  <c r="B1833" i="11"/>
  <c r="B1834" i="11"/>
  <c r="B1835" i="11"/>
  <c r="B1836" i="11"/>
  <c r="B1837" i="11"/>
  <c r="B1838" i="11"/>
  <c r="B1839" i="11"/>
  <c r="B1840" i="11"/>
  <c r="B1841" i="11"/>
  <c r="B1842" i="11"/>
  <c r="B1843" i="11"/>
  <c r="B1844" i="11"/>
  <c r="B1845" i="11"/>
  <c r="B1846" i="11"/>
  <c r="B1847" i="11"/>
  <c r="B1848" i="11"/>
  <c r="B1849" i="11"/>
  <c r="B1850" i="11"/>
  <c r="B1851" i="11"/>
  <c r="B1852" i="11"/>
  <c r="B1853" i="11"/>
  <c r="B1854" i="11"/>
  <c r="B1855" i="11"/>
  <c r="B1856" i="11"/>
  <c r="B1857" i="11"/>
  <c r="B1858" i="11"/>
  <c r="B1859" i="11"/>
  <c r="B1860" i="11"/>
  <c r="B1861" i="11"/>
  <c r="B1862" i="11"/>
  <c r="B1863" i="11"/>
  <c r="B1864" i="11"/>
  <c r="B1865" i="11"/>
  <c r="B1866" i="11"/>
  <c r="B1867" i="11"/>
  <c r="B1868" i="11"/>
  <c r="B1869" i="11"/>
  <c r="B1870" i="11"/>
  <c r="B1871" i="11"/>
  <c r="B1872" i="11"/>
  <c r="B1873" i="11"/>
  <c r="B1874" i="11"/>
  <c r="B1875" i="11"/>
  <c r="B1876" i="11"/>
  <c r="B1877" i="11"/>
  <c r="B1878" i="11"/>
  <c r="B1879" i="11"/>
  <c r="B1880" i="11"/>
  <c r="B1881" i="11"/>
  <c r="B1882" i="11"/>
  <c r="B1883" i="11"/>
  <c r="B1884" i="11"/>
  <c r="B1885" i="11"/>
  <c r="B1886" i="11"/>
  <c r="B1887" i="11"/>
  <c r="B1888" i="11"/>
  <c r="B1889" i="11"/>
  <c r="B1890" i="11"/>
  <c r="B1891" i="11"/>
  <c r="B1892" i="11"/>
  <c r="B1893" i="11"/>
  <c r="B1894" i="11"/>
  <c r="B1895" i="11"/>
  <c r="B1896" i="11"/>
  <c r="B1897" i="11"/>
  <c r="B1898" i="11"/>
  <c r="B1899" i="11"/>
  <c r="B1900" i="11"/>
  <c r="B1901" i="11"/>
  <c r="B1902" i="11"/>
  <c r="B1903" i="11"/>
  <c r="B1904" i="11"/>
  <c r="B1905" i="11"/>
  <c r="B1906" i="11"/>
  <c r="B1907" i="11"/>
  <c r="B1908" i="11"/>
  <c r="B1909" i="11"/>
  <c r="B1910" i="11"/>
  <c r="B1911" i="11"/>
  <c r="B1912" i="11"/>
  <c r="B1913" i="11"/>
  <c r="B1914" i="11"/>
  <c r="B1915" i="11"/>
  <c r="B1916" i="11"/>
  <c r="B1917" i="11"/>
  <c r="B1918" i="11"/>
  <c r="B1919" i="11"/>
  <c r="B1920" i="11"/>
  <c r="B1921" i="11"/>
  <c r="B1922" i="11"/>
  <c r="B1923" i="11"/>
  <c r="B1924" i="11"/>
  <c r="B1925" i="11"/>
  <c r="B1926" i="11"/>
  <c r="B1927" i="11"/>
  <c r="B1928" i="11"/>
  <c r="B1929" i="11"/>
  <c r="B1930" i="11"/>
  <c r="B1931" i="11"/>
  <c r="B1932" i="11"/>
  <c r="B1933" i="11"/>
  <c r="B1934" i="11"/>
  <c r="B1935" i="11"/>
  <c r="B1936" i="11"/>
  <c r="B1937" i="11"/>
  <c r="B1938" i="11"/>
  <c r="B1939" i="11"/>
  <c r="B1940" i="11"/>
  <c r="B1941" i="11"/>
  <c r="B1942" i="11"/>
  <c r="B1943" i="11"/>
  <c r="B1944" i="11"/>
  <c r="B1945" i="11"/>
  <c r="B1946" i="11"/>
  <c r="B1947" i="11"/>
  <c r="B1948" i="11"/>
  <c r="B1949" i="11"/>
  <c r="B1950" i="11"/>
  <c r="B1951" i="11"/>
  <c r="B1952" i="11"/>
  <c r="B1953" i="11"/>
  <c r="B1954" i="11"/>
  <c r="B1955" i="11"/>
  <c r="B1956" i="11"/>
  <c r="B1957" i="11"/>
  <c r="B1958" i="11"/>
  <c r="B1959" i="11"/>
  <c r="B1960" i="11"/>
  <c r="B1961" i="11"/>
  <c r="B1962" i="11"/>
  <c r="B1963" i="11"/>
  <c r="B1964" i="11"/>
  <c r="B1965" i="11"/>
  <c r="B1966" i="11"/>
  <c r="B1967" i="11"/>
  <c r="B1968" i="11"/>
  <c r="B1969" i="11"/>
  <c r="B1970" i="11"/>
  <c r="B1971" i="11"/>
  <c r="B1972" i="11"/>
  <c r="B1973" i="11"/>
  <c r="B1974" i="11"/>
  <c r="B1975" i="11"/>
  <c r="B1976" i="11"/>
  <c r="B1977" i="11"/>
  <c r="B1978" i="11"/>
  <c r="B1979" i="11"/>
  <c r="B1980" i="11"/>
  <c r="B1981" i="11"/>
  <c r="B1982" i="11"/>
  <c r="B1983" i="11"/>
  <c r="B1984" i="11"/>
  <c r="B1985" i="11"/>
  <c r="B1986" i="11"/>
  <c r="B1987" i="11"/>
  <c r="B1988" i="11"/>
  <c r="B1989" i="11"/>
  <c r="B1990" i="11"/>
  <c r="B1991" i="11"/>
  <c r="B1992" i="11"/>
  <c r="B1993" i="11"/>
  <c r="B1994" i="11"/>
  <c r="B1995" i="11"/>
  <c r="B1996" i="11"/>
  <c r="B1997" i="11"/>
  <c r="B1998" i="11"/>
  <c r="B1999" i="11"/>
  <c r="B2000" i="11"/>
  <c r="B2001" i="11"/>
  <c r="B2002" i="11"/>
  <c r="B2003" i="11"/>
  <c r="B2004" i="11"/>
  <c r="B2005" i="11"/>
  <c r="B2006" i="11"/>
  <c r="B2007" i="11"/>
  <c r="B2008" i="11"/>
  <c r="B2009" i="11"/>
  <c r="B2010" i="11"/>
  <c r="B2011" i="11"/>
  <c r="B2012" i="11"/>
  <c r="B2013" i="11"/>
  <c r="B2014" i="11"/>
  <c r="B2015" i="11"/>
  <c r="B2016" i="11"/>
  <c r="B2017" i="11"/>
  <c r="B2018" i="11"/>
  <c r="B2019" i="11"/>
  <c r="B2020" i="11"/>
  <c r="B2021" i="11"/>
  <c r="B2022" i="11"/>
  <c r="B2023" i="11"/>
  <c r="B2024" i="11"/>
  <c r="B2025" i="11"/>
  <c r="B2026" i="11"/>
  <c r="B2027" i="11"/>
  <c r="B2028" i="11"/>
  <c r="B2029" i="11"/>
  <c r="B2030" i="11"/>
  <c r="B2031" i="11"/>
  <c r="B2032" i="11"/>
  <c r="B2033" i="11"/>
  <c r="B2034" i="11"/>
  <c r="B2035" i="11"/>
  <c r="B2036" i="11"/>
  <c r="B2037" i="11"/>
  <c r="B2038" i="11"/>
  <c r="B2039" i="11"/>
  <c r="B2040" i="11"/>
  <c r="B2041" i="11"/>
  <c r="B2042" i="11"/>
  <c r="B2043" i="11"/>
  <c r="B2044" i="11"/>
  <c r="B2045" i="11"/>
  <c r="B2046" i="11"/>
  <c r="B2047" i="11"/>
  <c r="B2048" i="11"/>
  <c r="B2049" i="11"/>
  <c r="B2050" i="11"/>
  <c r="B2051" i="11"/>
  <c r="B2052" i="11"/>
  <c r="B2053" i="11"/>
  <c r="B2054" i="11"/>
  <c r="B2055" i="11"/>
  <c r="B2056" i="11"/>
  <c r="B2057" i="11"/>
  <c r="B2058" i="11"/>
  <c r="B2059" i="11"/>
  <c r="B2060" i="11"/>
  <c r="B2061" i="11"/>
  <c r="B2062" i="11"/>
  <c r="B2063" i="11"/>
  <c r="B2064" i="11"/>
  <c r="B2065" i="11"/>
  <c r="B2066" i="11"/>
  <c r="B2067" i="11"/>
  <c r="B2068" i="11"/>
  <c r="B2069" i="11"/>
  <c r="B2070" i="11"/>
  <c r="B2071" i="11"/>
  <c r="B2072" i="11"/>
  <c r="B2073" i="11"/>
  <c r="B2074" i="11"/>
  <c r="B2075" i="11"/>
  <c r="B2076" i="11"/>
  <c r="B2077" i="11"/>
  <c r="B2078" i="11"/>
  <c r="B2079" i="11"/>
  <c r="B2080" i="11"/>
  <c r="B2081" i="11"/>
  <c r="B2082" i="11"/>
  <c r="B2083" i="11"/>
  <c r="B2084" i="11"/>
  <c r="B2085" i="11"/>
  <c r="B2086" i="11"/>
  <c r="B2087" i="11"/>
  <c r="B2088" i="11"/>
  <c r="B2089" i="11"/>
  <c r="B2090" i="11"/>
  <c r="B2091" i="11"/>
  <c r="B2092" i="11"/>
  <c r="B2093" i="11"/>
  <c r="B2094" i="11"/>
  <c r="B2095" i="11"/>
  <c r="B2096" i="11"/>
  <c r="B2097" i="11"/>
  <c r="B2098" i="11"/>
  <c r="B2099" i="11"/>
  <c r="B2100" i="11"/>
  <c r="B2101" i="11"/>
  <c r="B2102" i="11"/>
  <c r="B2103" i="11"/>
  <c r="B2104" i="11"/>
  <c r="B2105" i="11"/>
  <c r="B2106" i="11"/>
  <c r="B2107" i="11"/>
  <c r="B2108" i="11"/>
  <c r="B2109" i="11"/>
  <c r="B2110" i="11"/>
  <c r="B2111" i="11"/>
  <c r="B2112" i="11"/>
  <c r="B2113" i="11"/>
  <c r="B2114" i="11"/>
  <c r="B2115" i="11"/>
  <c r="B2116" i="11"/>
  <c r="B2117" i="11"/>
  <c r="B2118" i="11"/>
  <c r="B2119" i="11"/>
  <c r="B2120" i="11"/>
  <c r="B2121" i="11"/>
  <c r="B2122" i="11"/>
  <c r="B2123" i="11"/>
  <c r="B2124" i="11"/>
  <c r="B2125" i="11"/>
  <c r="B2126" i="11"/>
  <c r="B2127" i="11"/>
  <c r="B2128" i="11"/>
  <c r="B2129" i="11"/>
  <c r="B2130" i="11"/>
  <c r="B2131" i="11"/>
  <c r="B2132" i="11"/>
  <c r="B2133" i="11"/>
  <c r="B2134" i="11"/>
  <c r="B2135" i="11"/>
  <c r="B2136" i="11"/>
  <c r="B2137" i="11"/>
  <c r="B2138" i="11"/>
  <c r="B2139" i="11"/>
  <c r="B2140" i="11"/>
  <c r="B2141" i="11"/>
  <c r="B2142" i="11"/>
  <c r="B2143" i="11"/>
  <c r="B2144" i="11"/>
  <c r="B2145" i="11"/>
  <c r="B2146" i="11"/>
  <c r="B2147" i="11"/>
  <c r="B2148" i="11"/>
  <c r="B2149" i="11"/>
  <c r="B2150" i="11"/>
  <c r="B2151" i="11"/>
  <c r="B2152" i="11"/>
  <c r="B2153" i="11"/>
  <c r="B2154" i="11"/>
  <c r="B2155" i="11"/>
  <c r="B2156" i="11"/>
  <c r="B2157" i="11"/>
  <c r="B2158" i="11"/>
  <c r="B2159" i="11"/>
  <c r="B2160" i="11"/>
  <c r="B2161" i="11"/>
  <c r="B2162" i="11"/>
  <c r="B2163" i="11"/>
  <c r="B2164" i="11"/>
  <c r="B2165" i="11"/>
  <c r="B2166" i="11"/>
  <c r="B2167" i="11"/>
  <c r="B2168" i="11"/>
  <c r="B2169" i="11"/>
  <c r="B2170" i="11"/>
  <c r="B2171" i="11"/>
  <c r="B2172" i="11"/>
  <c r="B2173" i="11"/>
  <c r="B2174" i="11"/>
  <c r="B2175" i="11"/>
  <c r="B2176" i="11"/>
  <c r="B2177" i="11"/>
  <c r="B2178" i="11"/>
  <c r="B2179" i="11"/>
  <c r="B2180" i="11"/>
  <c r="B2181" i="11"/>
  <c r="B2182" i="11"/>
  <c r="B2183" i="11"/>
  <c r="B2184" i="11"/>
  <c r="B2185" i="11"/>
  <c r="B2186" i="11"/>
  <c r="B2187" i="11"/>
  <c r="B2188" i="11"/>
  <c r="B2189" i="11"/>
  <c r="B2190" i="11"/>
  <c r="B2191" i="11"/>
  <c r="B2192" i="11"/>
  <c r="B2193" i="11"/>
  <c r="B2194" i="11"/>
  <c r="B2195" i="11"/>
  <c r="B2196" i="11"/>
  <c r="B2197" i="11"/>
  <c r="B2198" i="11"/>
  <c r="B2199" i="11"/>
  <c r="B2200" i="11"/>
  <c r="B2201" i="11"/>
  <c r="B2202" i="11"/>
  <c r="B2203" i="11"/>
  <c r="B2204" i="11"/>
  <c r="B2205" i="11"/>
  <c r="B2206" i="11"/>
  <c r="B2207" i="11"/>
  <c r="B2208" i="11"/>
  <c r="B2209" i="11"/>
  <c r="B2210" i="11"/>
  <c r="B2211" i="11"/>
  <c r="B2212" i="11"/>
  <c r="B2213" i="11"/>
  <c r="B2214" i="11"/>
  <c r="B2215" i="11"/>
  <c r="B2216" i="11"/>
  <c r="B2217" i="11"/>
  <c r="B2218" i="11"/>
  <c r="B2219" i="11"/>
  <c r="B2220" i="11"/>
  <c r="B2221" i="11"/>
  <c r="B2222" i="11"/>
  <c r="B2223" i="11"/>
  <c r="B2224" i="11"/>
  <c r="B2225" i="11"/>
  <c r="B2226" i="11"/>
  <c r="B2227" i="11"/>
  <c r="B2228" i="11"/>
  <c r="B2229" i="11"/>
  <c r="B2230" i="11"/>
  <c r="B2231" i="11"/>
  <c r="B2232" i="11"/>
  <c r="B2233" i="11"/>
  <c r="B2234" i="11"/>
  <c r="B2235" i="11"/>
  <c r="B2236" i="11"/>
  <c r="B2237" i="11"/>
  <c r="B2238" i="11"/>
  <c r="B2239" i="11"/>
  <c r="B2240" i="11"/>
  <c r="B2241" i="11"/>
  <c r="B2242" i="11"/>
  <c r="B2243" i="11"/>
  <c r="B2244" i="11"/>
  <c r="B2245" i="11"/>
  <c r="B2246" i="11"/>
  <c r="B2247" i="11"/>
  <c r="B2248" i="11"/>
  <c r="B2249" i="11"/>
  <c r="B2250" i="11"/>
  <c r="B2251" i="11"/>
  <c r="B2252" i="11"/>
  <c r="B2253" i="11"/>
  <c r="B2254" i="11"/>
  <c r="B2255" i="11"/>
  <c r="B2256" i="11"/>
  <c r="B2257" i="11"/>
  <c r="B2258" i="11"/>
  <c r="B2259" i="11"/>
  <c r="B2260" i="11"/>
  <c r="B2261" i="11"/>
  <c r="B2262" i="11"/>
  <c r="B2263" i="11"/>
  <c r="B2264" i="11"/>
  <c r="B2265" i="11"/>
  <c r="B2266" i="11"/>
  <c r="B2267" i="11"/>
  <c r="B2268" i="11"/>
  <c r="B2269" i="11"/>
  <c r="B2270" i="11"/>
  <c r="B2271" i="11"/>
  <c r="B2272" i="11"/>
  <c r="B2273" i="11"/>
  <c r="B2274" i="11"/>
  <c r="B2275" i="11"/>
  <c r="B2276" i="11"/>
  <c r="B2277" i="11"/>
  <c r="B2278" i="11"/>
  <c r="B2279" i="11"/>
  <c r="B2280" i="11"/>
  <c r="B2281" i="11"/>
  <c r="B2282" i="11"/>
  <c r="B2283" i="11"/>
  <c r="B2284" i="11"/>
  <c r="B2285" i="11"/>
  <c r="B2286" i="11"/>
  <c r="B2287" i="11"/>
  <c r="B2288" i="11"/>
  <c r="B2289" i="11"/>
  <c r="B2290" i="11"/>
  <c r="B2291" i="11"/>
  <c r="B2292" i="11"/>
  <c r="B2293" i="11"/>
  <c r="B2294" i="11"/>
  <c r="B2295" i="11"/>
  <c r="B2296" i="11"/>
  <c r="B2297" i="11"/>
  <c r="B2298" i="11"/>
  <c r="B2299" i="11"/>
  <c r="B2300" i="11"/>
  <c r="B2301" i="11"/>
  <c r="B2302" i="11"/>
  <c r="B2303" i="11"/>
  <c r="B2304" i="11"/>
  <c r="B2305" i="11"/>
  <c r="B2306" i="11"/>
  <c r="B2307" i="11"/>
  <c r="B2308" i="11"/>
  <c r="B2309" i="11"/>
  <c r="B2310" i="11"/>
  <c r="B2311" i="11"/>
  <c r="B2312" i="11"/>
  <c r="B2313" i="11"/>
  <c r="B2314" i="11"/>
  <c r="B2315" i="11"/>
  <c r="B2316" i="11"/>
  <c r="B2317" i="11"/>
  <c r="B2318" i="11"/>
  <c r="B2319" i="11"/>
  <c r="B2320" i="11"/>
  <c r="B2321" i="11"/>
  <c r="B2322" i="11"/>
  <c r="B2323" i="11"/>
  <c r="B2324" i="11"/>
  <c r="B2325" i="11"/>
  <c r="B2326" i="11"/>
  <c r="B2327" i="11"/>
  <c r="B2328" i="11"/>
  <c r="B2329" i="11"/>
  <c r="B2330" i="11"/>
  <c r="B2331" i="11"/>
  <c r="B2332" i="11"/>
  <c r="B2333" i="11"/>
  <c r="B2334" i="11"/>
  <c r="B2335" i="11"/>
  <c r="B2336" i="11"/>
  <c r="B2337" i="11"/>
  <c r="B2338" i="11"/>
  <c r="B2339" i="11"/>
  <c r="B2340" i="11"/>
  <c r="L16" i="5"/>
  <c r="I16" i="5"/>
  <c r="F16" i="5"/>
  <c r="L2" i="1"/>
  <c r="L3" i="1"/>
  <c r="L4" i="1"/>
  <c r="L5" i="1"/>
  <c r="L6" i="1"/>
  <c r="L7"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401855-9CB3-4FCA-AD0D-9B14362D3B1D}" keepAlive="1" name="Query - tblSales7" description="Connection to the 'tblSales7' query in the workbook." type="5" refreshedVersion="8" background="1" saveData="1">
    <dbPr connection="Provider=Microsoft.Mashup.OleDb.1;Data Source=$Workbook$;Location=tblSales7;Extended Properties=&quot;&quot;" command="SELECT * FROM [tblSales7]"/>
  </connection>
</connections>
</file>

<file path=xl/sharedStrings.xml><?xml version="1.0" encoding="utf-8"?>
<sst xmlns="http://schemas.openxmlformats.org/spreadsheetml/2006/main" count="25842" uniqueCount="2986">
  <si>
    <t>JE Code</t>
  </si>
  <si>
    <t>Store</t>
  </si>
  <si>
    <t>Country</t>
  </si>
  <si>
    <t>Region</t>
  </si>
  <si>
    <t>Date</t>
  </si>
  <si>
    <t>Item</t>
  </si>
  <si>
    <t>Salesperson</t>
  </si>
  <si>
    <t>List Price</t>
  </si>
  <si>
    <t>Actual Price</t>
  </si>
  <si>
    <t>Discount %</t>
  </si>
  <si>
    <t>Quantity</t>
  </si>
  <si>
    <t>I-1001</t>
  </si>
  <si>
    <t>Moscow</t>
  </si>
  <si>
    <t>Russia</t>
  </si>
  <si>
    <t>EMEA</t>
  </si>
  <si>
    <t>Microwave</t>
  </si>
  <si>
    <t>May Wilmot</t>
  </si>
  <si>
    <t>I-1002</t>
  </si>
  <si>
    <t>Toronto</t>
  </si>
  <si>
    <t>Canada</t>
  </si>
  <si>
    <t>NA</t>
  </si>
  <si>
    <t>David Shiner</t>
  </si>
  <si>
    <t>I-1003</t>
  </si>
  <si>
    <t>Sao Paolo</t>
  </si>
  <si>
    <t>Brazil</t>
  </si>
  <si>
    <t>LATAM</t>
  </si>
  <si>
    <t>Air conditioner</t>
  </si>
  <si>
    <t>Gary Reynolds</t>
  </si>
  <si>
    <t>I-1004</t>
  </si>
  <si>
    <t>Istanbul</t>
  </si>
  <si>
    <t>Turkey</t>
  </si>
  <si>
    <t>Ceiling fan</t>
  </si>
  <si>
    <t>Mark Buntain</t>
  </si>
  <si>
    <t>I-1005</t>
  </si>
  <si>
    <t>Sydney</t>
  </si>
  <si>
    <t>Australia</t>
  </si>
  <si>
    <t>APAC</t>
  </si>
  <si>
    <t>Toaster</t>
  </si>
  <si>
    <t>Christine Davies</t>
  </si>
  <si>
    <t>I-1006</t>
  </si>
  <si>
    <t>Shenzhen</t>
  </si>
  <si>
    <t>China</t>
  </si>
  <si>
    <t>Iron</t>
  </si>
  <si>
    <t>Gary Shaw</t>
  </si>
  <si>
    <t>I-1007</t>
  </si>
  <si>
    <t>Lima</t>
  </si>
  <si>
    <t>Peru</t>
  </si>
  <si>
    <t>Dishwasher</t>
  </si>
  <si>
    <t>Christopher Cresswell</t>
  </si>
  <si>
    <t>I-1008</t>
  </si>
  <si>
    <t>Tijuana</t>
  </si>
  <si>
    <t>Mexico</t>
  </si>
  <si>
    <t>Gillian Allnutt</t>
  </si>
  <si>
    <t>I-1009</t>
  </si>
  <si>
    <t>London</t>
  </si>
  <si>
    <t>UK</t>
  </si>
  <si>
    <t>Washing Machine</t>
  </si>
  <si>
    <t>Francis Godden</t>
  </si>
  <si>
    <t>I-1010</t>
  </si>
  <si>
    <t>I-1011</t>
  </si>
  <si>
    <t>Riyadh</t>
  </si>
  <si>
    <t>Saudi Arabia</t>
  </si>
  <si>
    <t>Refrigerator</t>
  </si>
  <si>
    <t>Danny Brooks</t>
  </si>
  <si>
    <t>I-1012</t>
  </si>
  <si>
    <t>Bangkok</t>
  </si>
  <si>
    <t>Thailand</t>
  </si>
  <si>
    <t>John Jenkins</t>
  </si>
  <si>
    <t>I-1013</t>
  </si>
  <si>
    <t>Richard Allnutt</t>
  </si>
  <si>
    <t>I-1014</t>
  </si>
  <si>
    <t>Delhi</t>
  </si>
  <si>
    <t>India</t>
  </si>
  <si>
    <t>Oven</t>
  </si>
  <si>
    <t>Tessa Morrow</t>
  </si>
  <si>
    <t>I-1015</t>
  </si>
  <si>
    <t>James Ricketts</t>
  </si>
  <si>
    <t>I-1016</t>
  </si>
  <si>
    <t>Ho Chi Minh City</t>
  </si>
  <si>
    <t>Vietnam</t>
  </si>
  <si>
    <t>Susan Dixon</t>
  </si>
  <si>
    <t>I-1017</t>
  </si>
  <si>
    <t>Tel Aviv</t>
  </si>
  <si>
    <t>Israel</t>
  </si>
  <si>
    <t>Thomas Gordon</t>
  </si>
  <si>
    <t>I-1018</t>
  </si>
  <si>
    <t>Athens</t>
  </si>
  <si>
    <t>Greece</t>
  </si>
  <si>
    <t>David Walker</t>
  </si>
  <si>
    <t>I-1019</t>
  </si>
  <si>
    <t>Robin Hall</t>
  </si>
  <si>
    <t>I-1020</t>
  </si>
  <si>
    <t>Osaka</t>
  </si>
  <si>
    <t>Japan</t>
  </si>
  <si>
    <t>Kenneth Walter</t>
  </si>
  <si>
    <t>I-1021</t>
  </si>
  <si>
    <t>Prague</t>
  </si>
  <si>
    <t>Czech Republic</t>
  </si>
  <si>
    <t>Edward Khan</t>
  </si>
  <si>
    <t>I-1022</t>
  </si>
  <si>
    <t>Capetown</t>
  </si>
  <si>
    <t>South Africa</t>
  </si>
  <si>
    <t>Nicholas Holloway</t>
  </si>
  <si>
    <t>I-1023</t>
  </si>
  <si>
    <t>Bangalore</t>
  </si>
  <si>
    <t>Coffee grinder</t>
  </si>
  <si>
    <t>Delia Muhammad</t>
  </si>
  <si>
    <t>I-1024</t>
  </si>
  <si>
    <t>Seattle</t>
  </si>
  <si>
    <t>USA</t>
  </si>
  <si>
    <t>Lesleyann Pope</t>
  </si>
  <si>
    <t>I-1025</t>
  </si>
  <si>
    <t>Jerusalem</t>
  </si>
  <si>
    <t>Susan Carley</t>
  </si>
  <si>
    <t>I-1026</t>
  </si>
  <si>
    <t>Birmingham</t>
  </si>
  <si>
    <t>Vacuum Cleaner</t>
  </si>
  <si>
    <t>Damien Smith</t>
  </si>
  <si>
    <t>I-1027</t>
  </si>
  <si>
    <t>Seoul</t>
  </si>
  <si>
    <t>South Korea</t>
  </si>
  <si>
    <t>Steven Wood</t>
  </si>
  <si>
    <t>I-1028</t>
  </si>
  <si>
    <t>Blender</t>
  </si>
  <si>
    <t>I-1029</t>
  </si>
  <si>
    <t>Guangzhou</t>
  </si>
  <si>
    <t>Glenys Wright</t>
  </si>
  <si>
    <t>I-1030</t>
  </si>
  <si>
    <t>Berlin</t>
  </si>
  <si>
    <t>Germany</t>
  </si>
  <si>
    <t>Kate Pearce</t>
  </si>
  <si>
    <t>I-1031</t>
  </si>
  <si>
    <t>Kansas City</t>
  </si>
  <si>
    <t>Robert Arnold</t>
  </si>
  <si>
    <t>I-1032</t>
  </si>
  <si>
    <t>Tokyo</t>
  </si>
  <si>
    <t>David Gow</t>
  </si>
  <si>
    <t>I-1033</t>
  </si>
  <si>
    <t>Darren Brooks</t>
  </si>
  <si>
    <t>I-1034</t>
  </si>
  <si>
    <t>I-1035</t>
  </si>
  <si>
    <t>Mayank Ali</t>
  </si>
  <si>
    <t>I-1036</t>
  </si>
  <si>
    <t>Glen Campbell</t>
  </si>
  <si>
    <t>I-1037</t>
  </si>
  <si>
    <t>Stephen Smith</t>
  </si>
  <si>
    <t>I-1038</t>
  </si>
  <si>
    <t>Paris</t>
  </si>
  <si>
    <t>France</t>
  </si>
  <si>
    <t>Caroline Eccles</t>
  </si>
  <si>
    <t>I-1039</t>
  </si>
  <si>
    <t>Rome</t>
  </si>
  <si>
    <t>Italy</t>
  </si>
  <si>
    <t>Steven Bell</t>
  </si>
  <si>
    <t>I-1040</t>
  </si>
  <si>
    <t>Los Angeles</t>
  </si>
  <si>
    <t>Colin Matthews</t>
  </si>
  <si>
    <t>I-1041</t>
  </si>
  <si>
    <t>New York</t>
  </si>
  <si>
    <t>Stephen Cohen</t>
  </si>
  <si>
    <t>I-1042</t>
  </si>
  <si>
    <t>William Martin</t>
  </si>
  <si>
    <t>I-1043</t>
  </si>
  <si>
    <t>Michael Bell</t>
  </si>
  <si>
    <t>I-1044</t>
  </si>
  <si>
    <t>Roger Rust</t>
  </si>
  <si>
    <t>I-1045</t>
  </si>
  <si>
    <t>Richard Perrott</t>
  </si>
  <si>
    <t>I-1046</t>
  </si>
  <si>
    <t>Robert Reed</t>
  </si>
  <si>
    <t>I-1047</t>
  </si>
  <si>
    <t>Warsaw</t>
  </si>
  <si>
    <t>Poland</t>
  </si>
  <si>
    <t>Hin Bragg</t>
  </si>
  <si>
    <t>I-1048</t>
  </si>
  <si>
    <t>Amsterdam</t>
  </si>
  <si>
    <t>Netherlands</t>
  </si>
  <si>
    <t>Allyson Rush</t>
  </si>
  <si>
    <t>I-1049</t>
  </si>
  <si>
    <t>Stephen James</t>
  </si>
  <si>
    <t>I-1050</t>
  </si>
  <si>
    <t>Christopher Martin</t>
  </si>
  <si>
    <t>I-1051</t>
  </si>
  <si>
    <t>San Fransisco</t>
  </si>
  <si>
    <t>James Scott</t>
  </si>
  <si>
    <t>I-1052</t>
  </si>
  <si>
    <t>Elaine Whitfield</t>
  </si>
  <si>
    <t>I-1053</t>
  </si>
  <si>
    <t>Dublin</t>
  </si>
  <si>
    <t>Ireland</t>
  </si>
  <si>
    <t>James Carley</t>
  </si>
  <si>
    <t>I-1054</t>
  </si>
  <si>
    <t>Francis Walsh</t>
  </si>
  <si>
    <t>I-1055</t>
  </si>
  <si>
    <t>Rita Hill</t>
  </si>
  <si>
    <t>I-1056</t>
  </si>
  <si>
    <t>Deanna Wang</t>
  </si>
  <si>
    <t>I-1057</t>
  </si>
  <si>
    <t>James White</t>
  </si>
  <si>
    <t>I-1058</t>
  </si>
  <si>
    <t>Jill Thompson</t>
  </si>
  <si>
    <t>I-1059</t>
  </si>
  <si>
    <t>Cheryl Glover</t>
  </si>
  <si>
    <t>I-1060</t>
  </si>
  <si>
    <t>Gillan Clark</t>
  </si>
  <si>
    <t>I-1061</t>
  </si>
  <si>
    <t>Bogota</t>
  </si>
  <si>
    <t>Colombia</t>
  </si>
  <si>
    <t>Antony Westlake</t>
  </si>
  <si>
    <t>I-1062</t>
  </si>
  <si>
    <t>I-1063</t>
  </si>
  <si>
    <t>James Whitehead</t>
  </si>
  <si>
    <t>I-1064</t>
  </si>
  <si>
    <t>Christina Pedley</t>
  </si>
  <si>
    <t>I-1065</t>
  </si>
  <si>
    <t>Ronald Butler</t>
  </si>
  <si>
    <t>I-1066</t>
  </si>
  <si>
    <t>David Stewart</t>
  </si>
  <si>
    <t>I-1067</t>
  </si>
  <si>
    <t>I-1068</t>
  </si>
  <si>
    <t>Donald Barratt</t>
  </si>
  <si>
    <t>I-1069</t>
  </si>
  <si>
    <t>Shanghai</t>
  </si>
  <si>
    <t>Wolf Christian</t>
  </si>
  <si>
    <t>I-1070</t>
  </si>
  <si>
    <t>Mexico City</t>
  </si>
  <si>
    <t>Brendon Dyer</t>
  </si>
  <si>
    <t>I-1071</t>
  </si>
  <si>
    <t>Buenos Aires</t>
  </si>
  <si>
    <t>Argentina</t>
  </si>
  <si>
    <t>Stuart Brown</t>
  </si>
  <si>
    <t>I-1072</t>
  </si>
  <si>
    <t>Alen Dinan</t>
  </si>
  <si>
    <t>I-1073</t>
  </si>
  <si>
    <t>Jacqueline Clamp</t>
  </si>
  <si>
    <t>I-1074</t>
  </si>
  <si>
    <t>Susan Reay</t>
  </si>
  <si>
    <t>I-1075</t>
  </si>
  <si>
    <t>Andrew Phillips</t>
  </si>
  <si>
    <t>I-1076</t>
  </si>
  <si>
    <t>Alan Davie</t>
  </si>
  <si>
    <t>I-1077</t>
  </si>
  <si>
    <t>Madria</t>
  </si>
  <si>
    <t>Spain</t>
  </si>
  <si>
    <t>Penelope Freeland</t>
  </si>
  <si>
    <t>I-1078</t>
  </si>
  <si>
    <t>Michelle Murray</t>
  </si>
  <si>
    <t>I-1079</t>
  </si>
  <si>
    <t>Paul Rule</t>
  </si>
  <si>
    <t>I-1080</t>
  </si>
  <si>
    <t>Ian McCartan</t>
  </si>
  <si>
    <t>I-1081</t>
  </si>
  <si>
    <t>Shelley Mannix</t>
  </si>
  <si>
    <t>I-1082</t>
  </si>
  <si>
    <t>Janet Ford</t>
  </si>
  <si>
    <t>I-1083</t>
  </si>
  <si>
    <t>Vienna</t>
  </si>
  <si>
    <t>Austria</t>
  </si>
  <si>
    <t>Janet Ward</t>
  </si>
  <si>
    <t>I-1084</t>
  </si>
  <si>
    <t>I-1085</t>
  </si>
  <si>
    <t>Craig Johnson</t>
  </si>
  <si>
    <t>I-1086</t>
  </si>
  <si>
    <t>Christopher Snape</t>
  </si>
  <si>
    <t>I-1087</t>
  </si>
  <si>
    <t>Cairo</t>
  </si>
  <si>
    <t>Egypt</t>
  </si>
  <si>
    <t>John Barnett</t>
  </si>
  <si>
    <t>I-1088</t>
  </si>
  <si>
    <t>Robert Jenkins</t>
  </si>
  <si>
    <t>I-1089</t>
  </si>
  <si>
    <t>Kuala Lumpur</t>
  </si>
  <si>
    <t>Malaysia</t>
  </si>
  <si>
    <t>Trudi Griffin</t>
  </si>
  <si>
    <t>I-1090</t>
  </si>
  <si>
    <t>Valerie Brown</t>
  </si>
  <si>
    <t>I-1091</t>
  </si>
  <si>
    <t>Dermot Bailey</t>
  </si>
  <si>
    <t>I-1092</t>
  </si>
  <si>
    <t>Abdul Heywood</t>
  </si>
  <si>
    <t>I-1093</t>
  </si>
  <si>
    <t>Mary Mitchell</t>
  </si>
  <si>
    <t>I-1094</t>
  </si>
  <si>
    <t>Richard McGrath</t>
  </si>
  <si>
    <t>I-1095</t>
  </si>
  <si>
    <t>I-1096</t>
  </si>
  <si>
    <t>Neil McAvoy</t>
  </si>
  <si>
    <t>I-1097</t>
  </si>
  <si>
    <t>Howard Jones</t>
  </si>
  <si>
    <t>I-1098</t>
  </si>
  <si>
    <t>Chicago</t>
  </si>
  <si>
    <t>Heather McGill</t>
  </si>
  <si>
    <t>I-1099</t>
  </si>
  <si>
    <t>I-1100</t>
  </si>
  <si>
    <t>Alexander Hillier</t>
  </si>
  <si>
    <t>I-1101</t>
  </si>
  <si>
    <t>Fiona Johnson</t>
  </si>
  <si>
    <t>I-1102</t>
  </si>
  <si>
    <t>I-1103</t>
  </si>
  <si>
    <t>I-1104</t>
  </si>
  <si>
    <t>Stephen Burch</t>
  </si>
  <si>
    <t>I-1105</t>
  </si>
  <si>
    <t>Claire Storey</t>
  </si>
  <si>
    <t>I-1106</t>
  </si>
  <si>
    <t>I-1107</t>
  </si>
  <si>
    <t>Barbara Turner</t>
  </si>
  <si>
    <t>I-1108</t>
  </si>
  <si>
    <t>Audrey Kane</t>
  </si>
  <si>
    <t>I-1109</t>
  </si>
  <si>
    <t>Robert Payne</t>
  </si>
  <si>
    <t>I-1110</t>
  </si>
  <si>
    <t>Cheryl Tubbs</t>
  </si>
  <si>
    <t>I-1111</t>
  </si>
  <si>
    <t>Victoria Sherwin</t>
  </si>
  <si>
    <t>I-1112</t>
  </si>
  <si>
    <t>Marek Kwiatkowski</t>
  </si>
  <si>
    <t>I-1113</t>
  </si>
  <si>
    <t>I-1114</t>
  </si>
  <si>
    <t>Ken Rogerson</t>
  </si>
  <si>
    <t>I-1115</t>
  </si>
  <si>
    <t>Danny Grant</t>
  </si>
  <si>
    <t>I-1116</t>
  </si>
  <si>
    <t>Jacqueline Swaine</t>
  </si>
  <si>
    <t>I-1117</t>
  </si>
  <si>
    <t>I-1118</t>
  </si>
  <si>
    <t>Bucharest</t>
  </si>
  <si>
    <t>Romania</t>
  </si>
  <si>
    <t>Constance Tidey</t>
  </si>
  <si>
    <t>I-1119</t>
  </si>
  <si>
    <t>Roy Johnson</t>
  </si>
  <si>
    <t>I-1120</t>
  </si>
  <si>
    <t>I-1121</t>
  </si>
  <si>
    <t>Barrie Murray</t>
  </si>
  <si>
    <t>I-1122</t>
  </si>
  <si>
    <t>Andrew Waddell</t>
  </si>
  <si>
    <t>I-1123</t>
  </si>
  <si>
    <t>Richard Barr</t>
  </si>
  <si>
    <t>I-1124</t>
  </si>
  <si>
    <t>Ian Baker</t>
  </si>
  <si>
    <t>I-1125</t>
  </si>
  <si>
    <t>I-1126</t>
  </si>
  <si>
    <t>Sarah Chadwick</t>
  </si>
  <si>
    <t>I-1127</t>
  </si>
  <si>
    <t>I-1128</t>
  </si>
  <si>
    <t>I-1129</t>
  </si>
  <si>
    <t>Denise Clark</t>
  </si>
  <si>
    <t>I-1130</t>
  </si>
  <si>
    <t>Paul Collier</t>
  </si>
  <si>
    <t>I-1131</t>
  </si>
  <si>
    <t>Zulfiqar Mirza</t>
  </si>
  <si>
    <t>I-1132</t>
  </si>
  <si>
    <t>Philip Sutherland</t>
  </si>
  <si>
    <t>I-1133</t>
  </si>
  <si>
    <t>Chandrakant Atkins</t>
  </si>
  <si>
    <t>I-1134</t>
  </si>
  <si>
    <t>Derek Harris</t>
  </si>
  <si>
    <t>I-1135</t>
  </si>
  <si>
    <t>I-1136</t>
  </si>
  <si>
    <t>I-1137</t>
  </si>
  <si>
    <t>Joanne Sayer</t>
  </si>
  <si>
    <t>I-1138</t>
  </si>
  <si>
    <t>I-1139</t>
  </si>
  <si>
    <t>Lisa Manning</t>
  </si>
  <si>
    <t>I-1140</t>
  </si>
  <si>
    <t>Mark Lawton</t>
  </si>
  <si>
    <t>I-1141</t>
  </si>
  <si>
    <t>Jacqueline Todd</t>
  </si>
  <si>
    <t>I-1142</t>
  </si>
  <si>
    <t>Philip Collins</t>
  </si>
  <si>
    <t>I-1143</t>
  </si>
  <si>
    <t>Basil Bain</t>
  </si>
  <si>
    <t>I-1144</t>
  </si>
  <si>
    <t>I-1145</t>
  </si>
  <si>
    <t>John Bond</t>
  </si>
  <si>
    <t>I-1146</t>
  </si>
  <si>
    <t>Tony Milner</t>
  </si>
  <si>
    <t>I-1147</t>
  </si>
  <si>
    <t>Peter Thompson</t>
  </si>
  <si>
    <t>I-1148</t>
  </si>
  <si>
    <t>Stephen Carlin</t>
  </si>
  <si>
    <t>I-1149</t>
  </si>
  <si>
    <t>Roy Lloyd</t>
  </si>
  <si>
    <t>I-1150</t>
  </si>
  <si>
    <t>Nick Gee</t>
  </si>
  <si>
    <t>I-1151</t>
  </si>
  <si>
    <t>I-1152</t>
  </si>
  <si>
    <t>Paul Mannion</t>
  </si>
  <si>
    <t>I-1153</t>
  </si>
  <si>
    <t>Jacob Percival</t>
  </si>
  <si>
    <t>I-1154</t>
  </si>
  <si>
    <t>I-1155</t>
  </si>
  <si>
    <t>I-1156</t>
  </si>
  <si>
    <t>Geoffrey Patel</t>
  </si>
  <si>
    <t>I-1157</t>
  </si>
  <si>
    <t>I-1158</t>
  </si>
  <si>
    <t>Rosemary Aziz</t>
  </si>
  <si>
    <t>I-1159</t>
  </si>
  <si>
    <t>Cordia Alston</t>
  </si>
  <si>
    <t>I-1160</t>
  </si>
  <si>
    <t>Kevin McLauchlin</t>
  </si>
  <si>
    <t>I-1161</t>
  </si>
  <si>
    <t>Dubai</t>
  </si>
  <si>
    <t>UAE</t>
  </si>
  <si>
    <t>Marie Whitfield</t>
  </si>
  <si>
    <t>I-1162</t>
  </si>
  <si>
    <t>Philip Dewar</t>
  </si>
  <si>
    <t>I-1163</t>
  </si>
  <si>
    <t>I-1164</t>
  </si>
  <si>
    <t>I-1165</t>
  </si>
  <si>
    <t>I-1166</t>
  </si>
  <si>
    <t>Andrew Hirst</t>
  </si>
  <si>
    <t>I-1167</t>
  </si>
  <si>
    <t>Robert Brook</t>
  </si>
  <si>
    <t>I-1168</t>
  </si>
  <si>
    <t>Malcolm Griffith</t>
  </si>
  <si>
    <t>I-1169</t>
  </si>
  <si>
    <t>Alison Younger</t>
  </si>
  <si>
    <t>I-1170</t>
  </si>
  <si>
    <t>Steven Batty</t>
  </si>
  <si>
    <t>I-1171</t>
  </si>
  <si>
    <t>I-1172</t>
  </si>
  <si>
    <t>I-1173</t>
  </si>
  <si>
    <t>Nicholas Knight</t>
  </si>
  <si>
    <t>I-1174</t>
  </si>
  <si>
    <t>I-1175</t>
  </si>
  <si>
    <t>David Philp</t>
  </si>
  <si>
    <t>I-1176</t>
  </si>
  <si>
    <t>Roy Nunes</t>
  </si>
  <si>
    <t>I-1177</t>
  </si>
  <si>
    <t>I-1178</t>
  </si>
  <si>
    <t>I-1179</t>
  </si>
  <si>
    <t>I-1180</t>
  </si>
  <si>
    <t>William Lant</t>
  </si>
  <si>
    <t>I-1181</t>
  </si>
  <si>
    <t>I-1182</t>
  </si>
  <si>
    <t>Santiago</t>
  </si>
  <si>
    <t>Chile</t>
  </si>
  <si>
    <t>Ram Mathews</t>
  </si>
  <si>
    <t>I-1183</t>
  </si>
  <si>
    <t>Naeem Perry</t>
  </si>
  <si>
    <t>I-1184</t>
  </si>
  <si>
    <t>Anthony Connolly</t>
  </si>
  <si>
    <t>I-1185</t>
  </si>
  <si>
    <t>I-1186</t>
  </si>
  <si>
    <t>Brenda Lightfoot</t>
  </si>
  <si>
    <t>I-1187</t>
  </si>
  <si>
    <t>Chloe Lyons</t>
  </si>
  <si>
    <t>I-1188</t>
  </si>
  <si>
    <t>I-1189</t>
  </si>
  <si>
    <t>I-1190</t>
  </si>
  <si>
    <t>Tony Green</t>
  </si>
  <si>
    <t>I-1191</t>
  </si>
  <si>
    <t>Armand Ahmed</t>
  </si>
  <si>
    <t>I-1192</t>
  </si>
  <si>
    <t>Geoffrey Shiner</t>
  </si>
  <si>
    <t>I-1193</t>
  </si>
  <si>
    <t>I-1194</t>
  </si>
  <si>
    <t>Isla Parsons</t>
  </si>
  <si>
    <t>I-1195</t>
  </si>
  <si>
    <t>I-1196</t>
  </si>
  <si>
    <t>I-1197</t>
  </si>
  <si>
    <t>Stephen Nolan</t>
  </si>
  <si>
    <t>I-1198</t>
  </si>
  <si>
    <t>Julia Hurren</t>
  </si>
  <si>
    <t>I-1199</t>
  </si>
  <si>
    <t>Simon Hirst</t>
  </si>
  <si>
    <t>I-1200</t>
  </si>
  <si>
    <t>I-1201</t>
  </si>
  <si>
    <t>I-1202</t>
  </si>
  <si>
    <t>I-1203</t>
  </si>
  <si>
    <t>Francis Hall</t>
  </si>
  <si>
    <t>I-1204</t>
  </si>
  <si>
    <t>I-1205</t>
  </si>
  <si>
    <t>Alan Evora</t>
  </si>
  <si>
    <t>I-1206</t>
  </si>
  <si>
    <t>Xun Simms</t>
  </si>
  <si>
    <t>I-1207</t>
  </si>
  <si>
    <t>Gustavo Taiwo</t>
  </si>
  <si>
    <t>I-1208</t>
  </si>
  <si>
    <t>James Hammond</t>
  </si>
  <si>
    <t>I-1209</t>
  </si>
  <si>
    <t>I-1210</t>
  </si>
  <si>
    <t>Barry Baldwin</t>
  </si>
  <si>
    <t>I-1211</t>
  </si>
  <si>
    <t>Elizabeth Holloway</t>
  </si>
  <si>
    <t>I-1212</t>
  </si>
  <si>
    <t>I-1213</t>
  </si>
  <si>
    <t>Peter Kelly</t>
  </si>
  <si>
    <t>I-1214</t>
  </si>
  <si>
    <t>I-1215</t>
  </si>
  <si>
    <t>I-1216</t>
  </si>
  <si>
    <t>Christopher Kitching</t>
  </si>
  <si>
    <t>I-1217</t>
  </si>
  <si>
    <t>I-1218</t>
  </si>
  <si>
    <t>Michael Patel</t>
  </si>
  <si>
    <t>I-1219</t>
  </si>
  <si>
    <t>Tracy Stanley</t>
  </si>
  <si>
    <t>I-1220</t>
  </si>
  <si>
    <t>Stuart Sykes</t>
  </si>
  <si>
    <t>I-1221</t>
  </si>
  <si>
    <t>I-1222</t>
  </si>
  <si>
    <t>Marie Foster</t>
  </si>
  <si>
    <t>I-1223</t>
  </si>
  <si>
    <t>Gary Acheampong</t>
  </si>
  <si>
    <t>I-1224</t>
  </si>
  <si>
    <t>I-1225</t>
  </si>
  <si>
    <t>John Osborne</t>
  </si>
  <si>
    <t>I-1226</t>
  </si>
  <si>
    <t>Paul Atkins</t>
  </si>
  <si>
    <t>I-1227</t>
  </si>
  <si>
    <t>Denise Rodgers</t>
  </si>
  <si>
    <t>I-1228</t>
  </si>
  <si>
    <t>I-1229</t>
  </si>
  <si>
    <t>Arthur Moncrieff</t>
  </si>
  <si>
    <t>I-1230</t>
  </si>
  <si>
    <t>I-1231</t>
  </si>
  <si>
    <t>I-1232</t>
  </si>
  <si>
    <t>Aidan Perrott</t>
  </si>
  <si>
    <t>I-1233</t>
  </si>
  <si>
    <t>Alexandra Wright</t>
  </si>
  <si>
    <t>I-1234</t>
  </si>
  <si>
    <t>Zhan Whitfield</t>
  </si>
  <si>
    <t>I-1235</t>
  </si>
  <si>
    <t>Daniel Henderson</t>
  </si>
  <si>
    <t>I-1236</t>
  </si>
  <si>
    <t>Barbara Love</t>
  </si>
  <si>
    <t>I-1237</t>
  </si>
  <si>
    <t>Paul Sherwin</t>
  </si>
  <si>
    <t>I-1238</t>
  </si>
  <si>
    <t>I-1239</t>
  </si>
  <si>
    <t>Nicole Marshall</t>
  </si>
  <si>
    <t>I-1240</t>
  </si>
  <si>
    <t>Susan Toye</t>
  </si>
  <si>
    <t>I-1241</t>
  </si>
  <si>
    <t>I-1242</t>
  </si>
  <si>
    <t>Natasha Carvalho</t>
  </si>
  <si>
    <t>I-1243</t>
  </si>
  <si>
    <t>Ronnette Stocks</t>
  </si>
  <si>
    <t>I-1244</t>
  </si>
  <si>
    <t>Pauline Pope</t>
  </si>
  <si>
    <t>I-1245</t>
  </si>
  <si>
    <t>Roger Scott</t>
  </si>
  <si>
    <t>I-1246</t>
  </si>
  <si>
    <t>I-1247</t>
  </si>
  <si>
    <t>Alison Storey</t>
  </si>
  <si>
    <t>I-1248</t>
  </si>
  <si>
    <t>I-1249</t>
  </si>
  <si>
    <t>Douglas Davies</t>
  </si>
  <si>
    <t>I-1250</t>
  </si>
  <si>
    <t>Susan Passey</t>
  </si>
  <si>
    <t>I-1251</t>
  </si>
  <si>
    <t>Bruce McPhee</t>
  </si>
  <si>
    <t>I-1252</t>
  </si>
  <si>
    <t>I-1253</t>
  </si>
  <si>
    <t>I-1254</t>
  </si>
  <si>
    <t>Bryan Mason</t>
  </si>
  <si>
    <t>I-1255</t>
  </si>
  <si>
    <t>Rebecca Delo</t>
  </si>
  <si>
    <t>I-1256</t>
  </si>
  <si>
    <t>I-1257</t>
  </si>
  <si>
    <t>I-1258</t>
  </si>
  <si>
    <t>Abu Moore</t>
  </si>
  <si>
    <t>I-1259</t>
  </si>
  <si>
    <t>I-1260</t>
  </si>
  <si>
    <t>I-1261</t>
  </si>
  <si>
    <t>Carole Owen</t>
  </si>
  <si>
    <t>I-1262</t>
  </si>
  <si>
    <t>Rachel Oliver</t>
  </si>
  <si>
    <t>I-1263</t>
  </si>
  <si>
    <t>I-1264</t>
  </si>
  <si>
    <t>Carl Snape</t>
  </si>
  <si>
    <t>I-1265</t>
  </si>
  <si>
    <t>John Bull</t>
  </si>
  <si>
    <t>I-1266</t>
  </si>
  <si>
    <t>Charles Ali</t>
  </si>
  <si>
    <t>I-1267</t>
  </si>
  <si>
    <t>Wolfgang Carvalho</t>
  </si>
  <si>
    <t>I-1268</t>
  </si>
  <si>
    <t>I-1269</t>
  </si>
  <si>
    <t>I-1270</t>
  </si>
  <si>
    <t>Gary Percival</t>
  </si>
  <si>
    <t>I-1271</t>
  </si>
  <si>
    <t>Gary Roberts</t>
  </si>
  <si>
    <t>I-1272</t>
  </si>
  <si>
    <t>Leonard Green</t>
  </si>
  <si>
    <t>I-1273</t>
  </si>
  <si>
    <t>Richard James</t>
  </si>
  <si>
    <t>I-1274</t>
  </si>
  <si>
    <t>I-1275</t>
  </si>
  <si>
    <t>Richard Rowe</t>
  </si>
  <si>
    <t>I-1276</t>
  </si>
  <si>
    <t>Bryan Clement</t>
  </si>
  <si>
    <t>I-1277</t>
  </si>
  <si>
    <t>Paresh Mathews</t>
  </si>
  <si>
    <t>I-1278</t>
  </si>
  <si>
    <t>Thomas Davies</t>
  </si>
  <si>
    <t>I-1279</t>
  </si>
  <si>
    <t>Ronald Curtis</t>
  </si>
  <si>
    <t>I-1280</t>
  </si>
  <si>
    <t>I-1281</t>
  </si>
  <si>
    <t>David Amos</t>
  </si>
  <si>
    <t>I-1282</t>
  </si>
  <si>
    <t>I-1283</t>
  </si>
  <si>
    <t>I-1284</t>
  </si>
  <si>
    <t>Colin Lima</t>
  </si>
  <si>
    <t>I-1285</t>
  </si>
  <si>
    <t>I-1286</t>
  </si>
  <si>
    <t>I-1287</t>
  </si>
  <si>
    <t>Christopher Hurren</t>
  </si>
  <si>
    <t>I-1288</t>
  </si>
  <si>
    <t>I-1289</t>
  </si>
  <si>
    <t>Neil Tubbs</t>
  </si>
  <si>
    <t>I-1290</t>
  </si>
  <si>
    <t>I-1291</t>
  </si>
  <si>
    <t>I-1292</t>
  </si>
  <si>
    <t>John Craig</t>
  </si>
  <si>
    <t>I-1293</t>
  </si>
  <si>
    <t>Richard Oliver</t>
  </si>
  <si>
    <t>I-1294</t>
  </si>
  <si>
    <t>Nicholas Timbrell</t>
  </si>
  <si>
    <t>I-1295</t>
  </si>
  <si>
    <t>I-1296</t>
  </si>
  <si>
    <t>Nicola Nathan</t>
  </si>
  <si>
    <t>I-1297</t>
  </si>
  <si>
    <t>I-1298</t>
  </si>
  <si>
    <t>Zoe Munday</t>
  </si>
  <si>
    <t>I-1299</t>
  </si>
  <si>
    <t>Paul Long</t>
  </si>
  <si>
    <t>I-1300</t>
  </si>
  <si>
    <t>Olivia Reynolds</t>
  </si>
  <si>
    <t>I-1301</t>
  </si>
  <si>
    <t>I-1302</t>
  </si>
  <si>
    <t>Eric Walker</t>
  </si>
  <si>
    <t>I-1303</t>
  </si>
  <si>
    <t>Andrew Jones</t>
  </si>
  <si>
    <t>I-1304</t>
  </si>
  <si>
    <t>Basil Nolan</t>
  </si>
  <si>
    <t>I-1305</t>
  </si>
  <si>
    <t>I-1306</t>
  </si>
  <si>
    <t>I-1307</t>
  </si>
  <si>
    <t>I-1308</t>
  </si>
  <si>
    <t>I-1309</t>
  </si>
  <si>
    <t>I-1310</t>
  </si>
  <si>
    <t>I-1311</t>
  </si>
  <si>
    <t>Damilola Raymond</t>
  </si>
  <si>
    <t>I-1312</t>
  </si>
  <si>
    <t>Christopher Lloyd</t>
  </si>
  <si>
    <t>I-1313</t>
  </si>
  <si>
    <t>James Neville</t>
  </si>
  <si>
    <t>I-1314</t>
  </si>
  <si>
    <t>I-1315</t>
  </si>
  <si>
    <t>I-1316</t>
  </si>
  <si>
    <t>I-1317</t>
  </si>
  <si>
    <t>I-1318</t>
  </si>
  <si>
    <t>I-1319</t>
  </si>
  <si>
    <t>I-1320</t>
  </si>
  <si>
    <t>I-1321</t>
  </si>
  <si>
    <t>I-1322</t>
  </si>
  <si>
    <t>I-1323</t>
  </si>
  <si>
    <t>Timothy Younger</t>
  </si>
  <si>
    <t>I-1324</t>
  </si>
  <si>
    <t>Philip Mishra</t>
  </si>
  <si>
    <t>I-1325</t>
  </si>
  <si>
    <t>I-1326</t>
  </si>
  <si>
    <t>I-1327</t>
  </si>
  <si>
    <t>I-1328</t>
  </si>
  <si>
    <t>I-1329</t>
  </si>
  <si>
    <t>I-1330</t>
  </si>
  <si>
    <t>I-1331</t>
  </si>
  <si>
    <t>Irene Skiba</t>
  </si>
  <si>
    <t>I-1332</t>
  </si>
  <si>
    <t>Francis Hughes</t>
  </si>
  <si>
    <t>I-1333</t>
  </si>
  <si>
    <t>I-1334</t>
  </si>
  <si>
    <t>Patricia Sewell</t>
  </si>
  <si>
    <t>I-1335</t>
  </si>
  <si>
    <t>I-1336</t>
  </si>
  <si>
    <t>I-1337</t>
  </si>
  <si>
    <t>I-1338</t>
  </si>
  <si>
    <t>Michelle Hunter</t>
  </si>
  <si>
    <t>I-1339</t>
  </si>
  <si>
    <t>I-1340</t>
  </si>
  <si>
    <t>Margaret Buck</t>
  </si>
  <si>
    <t>I-1341</t>
  </si>
  <si>
    <t>Gwyn Taylor</t>
  </si>
  <si>
    <t>I-1342</t>
  </si>
  <si>
    <t>Ronald Rowlands</t>
  </si>
  <si>
    <t>I-1343</t>
  </si>
  <si>
    <t>I-1344</t>
  </si>
  <si>
    <t>Kirsty Amos</t>
  </si>
  <si>
    <t>I-1345</t>
  </si>
  <si>
    <t>I-1346</t>
  </si>
  <si>
    <t>I-1347</t>
  </si>
  <si>
    <t>I-1348</t>
  </si>
  <si>
    <t>Rachel Clayton</t>
  </si>
  <si>
    <t>I-1349</t>
  </si>
  <si>
    <t>Rosalind Chandler</t>
  </si>
  <si>
    <t>I-1350</t>
  </si>
  <si>
    <t>Kelly Owen</t>
  </si>
  <si>
    <t>I-1351</t>
  </si>
  <si>
    <t>Emily Brierley</t>
  </si>
  <si>
    <t>I-1352</t>
  </si>
  <si>
    <t>I-1353</t>
  </si>
  <si>
    <t>Kenneth Bullion</t>
  </si>
  <si>
    <t>I-1354</t>
  </si>
  <si>
    <t>I-1355</t>
  </si>
  <si>
    <t>I-1356</t>
  </si>
  <si>
    <t>I-1357</t>
  </si>
  <si>
    <t>I-1358</t>
  </si>
  <si>
    <t>I-1359</t>
  </si>
  <si>
    <t>Mark Towey</t>
  </si>
  <si>
    <t>I-1360</t>
  </si>
  <si>
    <t>Ernie Dyer</t>
  </si>
  <si>
    <t>I-1361</t>
  </si>
  <si>
    <t>Stephen MacGregor</t>
  </si>
  <si>
    <t>I-1362</t>
  </si>
  <si>
    <t>Harold Lunn</t>
  </si>
  <si>
    <t>I-1363</t>
  </si>
  <si>
    <t>I-1364</t>
  </si>
  <si>
    <t>I-1365</t>
  </si>
  <si>
    <t>I-1366</t>
  </si>
  <si>
    <t>Richard Nash</t>
  </si>
  <si>
    <t>I-1367</t>
  </si>
  <si>
    <t>Paul Puri</t>
  </si>
  <si>
    <t>I-1368</t>
  </si>
  <si>
    <t>I-1369</t>
  </si>
  <si>
    <t>Ryan Goad</t>
  </si>
  <si>
    <t>I-1370</t>
  </si>
  <si>
    <t>Stuart Hunter</t>
  </si>
  <si>
    <t>I-1371</t>
  </si>
  <si>
    <t>Paul Salmon</t>
  </si>
  <si>
    <t>I-1372</t>
  </si>
  <si>
    <t>Terence Mirza</t>
  </si>
  <si>
    <t>I-1373</t>
  </si>
  <si>
    <t>I-1374</t>
  </si>
  <si>
    <t>Catherine Rahman</t>
  </si>
  <si>
    <t>I-1375</t>
  </si>
  <si>
    <t>I-1376</t>
  </si>
  <si>
    <t>Ellen Lillie</t>
  </si>
  <si>
    <t>I-1377</t>
  </si>
  <si>
    <t>I-1378</t>
  </si>
  <si>
    <t>I-1379</t>
  </si>
  <si>
    <t>Emma Gibbons</t>
  </si>
  <si>
    <t>I-1380</t>
  </si>
  <si>
    <t>I-1381</t>
  </si>
  <si>
    <t>I-1382</t>
  </si>
  <si>
    <t>I-1383</t>
  </si>
  <si>
    <t>I-1384</t>
  </si>
  <si>
    <t>Steven Douglas</t>
  </si>
  <si>
    <t>I-1385</t>
  </si>
  <si>
    <t>I-1386</t>
  </si>
  <si>
    <t>I-1387</t>
  </si>
  <si>
    <t>I-1388</t>
  </si>
  <si>
    <t>Marcus Jacob</t>
  </si>
  <si>
    <t>I-1389</t>
  </si>
  <si>
    <t>I-1390</t>
  </si>
  <si>
    <t>I-1391</t>
  </si>
  <si>
    <t>I-1392</t>
  </si>
  <si>
    <t>I-1393</t>
  </si>
  <si>
    <t>I-1394</t>
  </si>
  <si>
    <t>David Finnie</t>
  </si>
  <si>
    <t>I-1395</t>
  </si>
  <si>
    <t>I-1396</t>
  </si>
  <si>
    <t>Michael Rodgers</t>
  </si>
  <si>
    <t>I-1397</t>
  </si>
  <si>
    <t>Karen Hopewell</t>
  </si>
  <si>
    <t>I-1398</t>
  </si>
  <si>
    <t>I-1399</t>
  </si>
  <si>
    <t>I-1400</t>
  </si>
  <si>
    <t>I-1401</t>
  </si>
  <si>
    <t>Rachel Blane</t>
  </si>
  <si>
    <t>I-1402</t>
  </si>
  <si>
    <t>Golam Reid</t>
  </si>
  <si>
    <t>I-1403</t>
  </si>
  <si>
    <t>I-1404</t>
  </si>
  <si>
    <t>James Anthony</t>
  </si>
  <si>
    <t>I-1405</t>
  </si>
  <si>
    <t>Nick Blacklock</t>
  </si>
  <si>
    <t>I-1406</t>
  </si>
  <si>
    <t>I-1407</t>
  </si>
  <si>
    <t>Martin Mishra</t>
  </si>
  <si>
    <t>I-1408</t>
  </si>
  <si>
    <t>Heather Murray</t>
  </si>
  <si>
    <t>I-1409</t>
  </si>
  <si>
    <t>Alan Procter</t>
  </si>
  <si>
    <t>I-1410</t>
  </si>
  <si>
    <t>I-1411</t>
  </si>
  <si>
    <t>I-1412</t>
  </si>
  <si>
    <t>I-1413</t>
  </si>
  <si>
    <t>Julia Ferguson</t>
  </si>
  <si>
    <t>I-1414</t>
  </si>
  <si>
    <t>I-1415</t>
  </si>
  <si>
    <t>Robert Harris</t>
  </si>
  <si>
    <t>I-1416</t>
  </si>
  <si>
    <t>David Rodrigues</t>
  </si>
  <si>
    <t>I-1417</t>
  </si>
  <si>
    <t>Claire Brooks</t>
  </si>
  <si>
    <t>I-1418</t>
  </si>
  <si>
    <t>Penelope Norton</t>
  </si>
  <si>
    <t>I-1419</t>
  </si>
  <si>
    <t>I-1420</t>
  </si>
  <si>
    <t>Raymond Denning</t>
  </si>
  <si>
    <t>I-1421</t>
  </si>
  <si>
    <t>Valerie Pereira</t>
  </si>
  <si>
    <t>I-1422</t>
  </si>
  <si>
    <t>I-1423</t>
  </si>
  <si>
    <t>Paul Drage</t>
  </si>
  <si>
    <t>I-1424</t>
  </si>
  <si>
    <t>Pauline Taylor</t>
  </si>
  <si>
    <t>I-1425</t>
  </si>
  <si>
    <t>Valerie Hook</t>
  </si>
  <si>
    <t>I-1426</t>
  </si>
  <si>
    <t>I-1427</t>
  </si>
  <si>
    <t>I-1428</t>
  </si>
  <si>
    <t>I-1429</t>
  </si>
  <si>
    <t>Ian Borowski</t>
  </si>
  <si>
    <t>I-1430</t>
  </si>
  <si>
    <t>I-1431</t>
  </si>
  <si>
    <t>Harold Green</t>
  </si>
  <si>
    <t>I-1432</t>
  </si>
  <si>
    <t>I-1433</t>
  </si>
  <si>
    <t>David Hubble</t>
  </si>
  <si>
    <t>I-1434</t>
  </si>
  <si>
    <t>William Cruse</t>
  </si>
  <si>
    <t>I-1435</t>
  </si>
  <si>
    <t>Michael Toy</t>
  </si>
  <si>
    <t>I-1436</t>
  </si>
  <si>
    <t>Harold Charters</t>
  </si>
  <si>
    <t>I-1437</t>
  </si>
  <si>
    <t>Jason Edmund</t>
  </si>
  <si>
    <t>I-1438</t>
  </si>
  <si>
    <t>Melanie Fletcher</t>
  </si>
  <si>
    <t>I-1439</t>
  </si>
  <si>
    <t>I-1440</t>
  </si>
  <si>
    <t>I-1441</t>
  </si>
  <si>
    <t>I-1442</t>
  </si>
  <si>
    <t>I-1443</t>
  </si>
  <si>
    <t>Ian Grant</t>
  </si>
  <si>
    <t>I-1444</t>
  </si>
  <si>
    <t>I-1445</t>
  </si>
  <si>
    <t>I-1446</t>
  </si>
  <si>
    <t>I-1447</t>
  </si>
  <si>
    <t>Jodie Fairhurst</t>
  </si>
  <si>
    <t>I-1448</t>
  </si>
  <si>
    <t>I-1449</t>
  </si>
  <si>
    <t>Joanne Ripley</t>
  </si>
  <si>
    <t>I-1450</t>
  </si>
  <si>
    <t>I-1451</t>
  </si>
  <si>
    <t>Martin Birch</t>
  </si>
  <si>
    <t>I-1452</t>
  </si>
  <si>
    <t>Basil Bell</t>
  </si>
  <si>
    <t>I-1453</t>
  </si>
  <si>
    <t>I-1454</t>
  </si>
  <si>
    <t>I-1455</t>
  </si>
  <si>
    <t>Kyle Anderson</t>
  </si>
  <si>
    <t>I-1456</t>
  </si>
  <si>
    <t>I-1457</t>
  </si>
  <si>
    <t>Roy Connelly</t>
  </si>
  <si>
    <t>I-1458</t>
  </si>
  <si>
    <t>Julia Hammond</t>
  </si>
  <si>
    <t>I-1459</t>
  </si>
  <si>
    <t>I-1460</t>
  </si>
  <si>
    <t>Maureen Reynolds</t>
  </si>
  <si>
    <t>I-1461</t>
  </si>
  <si>
    <t>Donald Higgs</t>
  </si>
  <si>
    <t>I-1462</t>
  </si>
  <si>
    <t>I-1463</t>
  </si>
  <si>
    <t>I-1464</t>
  </si>
  <si>
    <t>David Power</t>
  </si>
  <si>
    <t>I-1465</t>
  </si>
  <si>
    <t>I-1466</t>
  </si>
  <si>
    <t>Simon Snape</t>
  </si>
  <si>
    <t>I-1467</t>
  </si>
  <si>
    <t>Martin Gee</t>
  </si>
  <si>
    <t>I-1468</t>
  </si>
  <si>
    <t>I-1469</t>
  </si>
  <si>
    <t>I-1470</t>
  </si>
  <si>
    <t>I-1471</t>
  </si>
  <si>
    <t>Robert Polhill</t>
  </si>
  <si>
    <t>I-1472</t>
  </si>
  <si>
    <t>I-1473</t>
  </si>
  <si>
    <t>I-1474</t>
  </si>
  <si>
    <t>I-1475</t>
  </si>
  <si>
    <t>I-1476</t>
  </si>
  <si>
    <t>Thomas Taylor</t>
  </si>
  <si>
    <t>I-1477</t>
  </si>
  <si>
    <t>Stephen Muhammad</t>
  </si>
  <si>
    <t>I-1478</t>
  </si>
  <si>
    <t>Robert James</t>
  </si>
  <si>
    <t>I-1479</t>
  </si>
  <si>
    <t>I-1480</t>
  </si>
  <si>
    <t>I-1481</t>
  </si>
  <si>
    <t>I-1482</t>
  </si>
  <si>
    <t>I-1483</t>
  </si>
  <si>
    <t>I-1484</t>
  </si>
  <si>
    <t>Richard Anderson</t>
  </si>
  <si>
    <t>I-1485</t>
  </si>
  <si>
    <t>James Gahagan</t>
  </si>
  <si>
    <t>I-1486</t>
  </si>
  <si>
    <t>I-1487</t>
  </si>
  <si>
    <t>I-1488</t>
  </si>
  <si>
    <t>Alice Canning</t>
  </si>
  <si>
    <t>I-1489</t>
  </si>
  <si>
    <t>I-1490</t>
  </si>
  <si>
    <t>Ronald Bettley</t>
  </si>
  <si>
    <t>I-1491</t>
  </si>
  <si>
    <t>I-1492</t>
  </si>
  <si>
    <t>Jeremy Morrow</t>
  </si>
  <si>
    <t>I-1493</t>
  </si>
  <si>
    <t>I-1494</t>
  </si>
  <si>
    <t>Mark Brook</t>
  </si>
  <si>
    <t>I-1495</t>
  </si>
  <si>
    <t>Stuart Anderson</t>
  </si>
  <si>
    <t>I-1496</t>
  </si>
  <si>
    <t>Jordan Andrews</t>
  </si>
  <si>
    <t>I-1497</t>
  </si>
  <si>
    <t>I-1498</t>
  </si>
  <si>
    <t>Helen Watt</t>
  </si>
  <si>
    <t>I-1499</t>
  </si>
  <si>
    <t>Paul Skiba</t>
  </si>
  <si>
    <t>I-1500</t>
  </si>
  <si>
    <t>John Gunter</t>
  </si>
  <si>
    <t>I-1501</t>
  </si>
  <si>
    <t>Kevin Ross</t>
  </si>
  <si>
    <t>I-1502</t>
  </si>
  <si>
    <t>I-1503</t>
  </si>
  <si>
    <t>Ian Coates</t>
  </si>
  <si>
    <t>I-1504</t>
  </si>
  <si>
    <t>I-1505</t>
  </si>
  <si>
    <t>I-1506</t>
  </si>
  <si>
    <t>I-1507</t>
  </si>
  <si>
    <t>I-1508</t>
  </si>
  <si>
    <t>I-1509</t>
  </si>
  <si>
    <t>I-1510</t>
  </si>
  <si>
    <t>I-1511</t>
  </si>
  <si>
    <t>I-1512</t>
  </si>
  <si>
    <t>I-1513</t>
  </si>
  <si>
    <t>I-1514</t>
  </si>
  <si>
    <t>Lisa Wood</t>
  </si>
  <si>
    <t>I-1515</t>
  </si>
  <si>
    <t>Peter Walker</t>
  </si>
  <si>
    <t>I-1516</t>
  </si>
  <si>
    <t>Barbara McDevitt</t>
  </si>
  <si>
    <t>I-1517</t>
  </si>
  <si>
    <t>I-1518</t>
  </si>
  <si>
    <t>I-1519</t>
  </si>
  <si>
    <t>I-1520</t>
  </si>
  <si>
    <t>Kevin Styles</t>
  </si>
  <si>
    <t>I-1521</t>
  </si>
  <si>
    <t>Margaret Philp</t>
  </si>
  <si>
    <t>I-1522</t>
  </si>
  <si>
    <t>I-1523</t>
  </si>
  <si>
    <t>I-1524</t>
  </si>
  <si>
    <t>I-1525</t>
  </si>
  <si>
    <t>Steven Green</t>
  </si>
  <si>
    <t>I-1526</t>
  </si>
  <si>
    <t>I-1527</t>
  </si>
  <si>
    <t>I-1528</t>
  </si>
  <si>
    <t>I-1529</t>
  </si>
  <si>
    <t>Shelley Lock</t>
  </si>
  <si>
    <t>I-1530</t>
  </si>
  <si>
    <t>I-1531</t>
  </si>
  <si>
    <t>I-1532</t>
  </si>
  <si>
    <t>David Johnson</t>
  </si>
  <si>
    <t>I-1533</t>
  </si>
  <si>
    <t>I-1534</t>
  </si>
  <si>
    <t>I-1535</t>
  </si>
  <si>
    <t>I-1536</t>
  </si>
  <si>
    <t>I-1537</t>
  </si>
  <si>
    <t>I-1538</t>
  </si>
  <si>
    <t>I-1539</t>
  </si>
  <si>
    <t>Mark Searle</t>
  </si>
  <si>
    <t>I-1540</t>
  </si>
  <si>
    <t>Richard Hughes</t>
  </si>
  <si>
    <t>I-1541</t>
  </si>
  <si>
    <t>I-1542</t>
  </si>
  <si>
    <t>I-1543</t>
  </si>
  <si>
    <t>I-1544</t>
  </si>
  <si>
    <t>I-1545</t>
  </si>
  <si>
    <t>I-1546</t>
  </si>
  <si>
    <t>I-1547</t>
  </si>
  <si>
    <t>I-1548</t>
  </si>
  <si>
    <t>Matthew Crowe</t>
  </si>
  <si>
    <t>I-1549</t>
  </si>
  <si>
    <t>I-1550</t>
  </si>
  <si>
    <t>Roy Cooper</t>
  </si>
  <si>
    <t>I-1551</t>
  </si>
  <si>
    <t>I-1552</t>
  </si>
  <si>
    <t>I-1553</t>
  </si>
  <si>
    <t>I-1554</t>
  </si>
  <si>
    <t>I-1555</t>
  </si>
  <si>
    <t>I-1556</t>
  </si>
  <si>
    <t>I-1557</t>
  </si>
  <si>
    <t>I-1558</t>
  </si>
  <si>
    <t>Anthony Procter</t>
  </si>
  <si>
    <t>I-1559</t>
  </si>
  <si>
    <t>I-1560</t>
  </si>
  <si>
    <t>I-1561</t>
  </si>
  <si>
    <t>I-1562</t>
  </si>
  <si>
    <t>I-1563</t>
  </si>
  <si>
    <t>I-1564</t>
  </si>
  <si>
    <t>Richard Foy</t>
  </si>
  <si>
    <t>I-1565</t>
  </si>
  <si>
    <t>I-1566</t>
  </si>
  <si>
    <t>I-1567</t>
  </si>
  <si>
    <t>Paul Hirst</t>
  </si>
  <si>
    <t>I-1568</t>
  </si>
  <si>
    <t>Philip Tubbs</t>
  </si>
  <si>
    <t>I-1569</t>
  </si>
  <si>
    <t>I-1570</t>
  </si>
  <si>
    <t>Alan Grant</t>
  </si>
  <si>
    <t>I-1571</t>
  </si>
  <si>
    <t>I-1572</t>
  </si>
  <si>
    <t>I-1573</t>
  </si>
  <si>
    <t>I-1574</t>
  </si>
  <si>
    <t>Daniel Battersby</t>
  </si>
  <si>
    <t>I-1575</t>
  </si>
  <si>
    <t>I-1576</t>
  </si>
  <si>
    <t>Abdul Amos</t>
  </si>
  <si>
    <t>I-1577</t>
  </si>
  <si>
    <t>Rose Rowntree</t>
  </si>
  <si>
    <t>I-1578</t>
  </si>
  <si>
    <t>I-1579</t>
  </si>
  <si>
    <t>George Stevenson</t>
  </si>
  <si>
    <t>I-1580</t>
  </si>
  <si>
    <t>Kevin Curtis</t>
  </si>
  <si>
    <t>I-1581</t>
  </si>
  <si>
    <t>I-1582</t>
  </si>
  <si>
    <t>I-1583</t>
  </si>
  <si>
    <t>I-1584</t>
  </si>
  <si>
    <t>Kate Nash</t>
  </si>
  <si>
    <t>I-1585</t>
  </si>
  <si>
    <t>I-1586</t>
  </si>
  <si>
    <t>I-1587</t>
  </si>
  <si>
    <t>Christopher Griffith</t>
  </si>
  <si>
    <t>I-1588</t>
  </si>
  <si>
    <t>Peter Jago</t>
  </si>
  <si>
    <t>I-1589</t>
  </si>
  <si>
    <t>I-1590</t>
  </si>
  <si>
    <t>Jacqueline Green</t>
  </si>
  <si>
    <t>I-1591</t>
  </si>
  <si>
    <t>I-1592</t>
  </si>
  <si>
    <t>Jeremy Bannister</t>
  </si>
  <si>
    <t>I-1593</t>
  </si>
  <si>
    <t>Richard Dewar</t>
  </si>
  <si>
    <t>I-1594</t>
  </si>
  <si>
    <t>I-1595</t>
  </si>
  <si>
    <t>I-1596</t>
  </si>
  <si>
    <t>John Verma</t>
  </si>
  <si>
    <t>I-1597</t>
  </si>
  <si>
    <t>I-1598</t>
  </si>
  <si>
    <t>I-1599</t>
  </si>
  <si>
    <t>I-1600</t>
  </si>
  <si>
    <t>I-1601</t>
  </si>
  <si>
    <t>I-1602</t>
  </si>
  <si>
    <t>I-1603</t>
  </si>
  <si>
    <t>I-1604</t>
  </si>
  <si>
    <t>I-1605</t>
  </si>
  <si>
    <t>Olive Foster</t>
  </si>
  <si>
    <t>I-1606</t>
  </si>
  <si>
    <t>Jonathan Will</t>
  </si>
  <si>
    <t>I-1607</t>
  </si>
  <si>
    <t>I-1608</t>
  </si>
  <si>
    <t>Nicholas Goude</t>
  </si>
  <si>
    <t>I-1609</t>
  </si>
  <si>
    <t>I-1610</t>
  </si>
  <si>
    <t>I-1611</t>
  </si>
  <si>
    <t>I-1612</t>
  </si>
  <si>
    <t>I-1613</t>
  </si>
  <si>
    <t>Robert Stocks</t>
  </si>
  <si>
    <t>I-1614</t>
  </si>
  <si>
    <t>Kevin Goad</t>
  </si>
  <si>
    <t>I-1615</t>
  </si>
  <si>
    <t>Terence Jones</t>
  </si>
  <si>
    <t>I-1616</t>
  </si>
  <si>
    <t>I-1617</t>
  </si>
  <si>
    <t>I-1618</t>
  </si>
  <si>
    <t>I-1619</t>
  </si>
  <si>
    <t>I-1620</t>
  </si>
  <si>
    <t>I-1621</t>
  </si>
  <si>
    <t>Suzanna Davies</t>
  </si>
  <si>
    <t>I-1622</t>
  </si>
  <si>
    <t>I-1623</t>
  </si>
  <si>
    <t>I-1624</t>
  </si>
  <si>
    <t>I-1625</t>
  </si>
  <si>
    <t>I-1626</t>
  </si>
  <si>
    <t>I-1627</t>
  </si>
  <si>
    <t>I-1628</t>
  </si>
  <si>
    <t>I-1629</t>
  </si>
  <si>
    <t>I-1630</t>
  </si>
  <si>
    <t>I-1631</t>
  </si>
  <si>
    <t>Lucy Downs</t>
  </si>
  <si>
    <t>I-1632</t>
  </si>
  <si>
    <t>I-1633</t>
  </si>
  <si>
    <t>Austin Parsons</t>
  </si>
  <si>
    <t>I-1634</t>
  </si>
  <si>
    <t>I-1635</t>
  </si>
  <si>
    <t>I-1636</t>
  </si>
  <si>
    <t>Jesus Timmins</t>
  </si>
  <si>
    <t>I-1637</t>
  </si>
  <si>
    <t>I-1638</t>
  </si>
  <si>
    <t>Gary Mistry</t>
  </si>
  <si>
    <t>I-1639</t>
  </si>
  <si>
    <t>Michael Wood</t>
  </si>
  <si>
    <t>I-1640</t>
  </si>
  <si>
    <t>I-1641</t>
  </si>
  <si>
    <t>I-1642</t>
  </si>
  <si>
    <t>I-1643</t>
  </si>
  <si>
    <t>I-1644</t>
  </si>
  <si>
    <t>Anthony Rothery</t>
  </si>
  <si>
    <t>I-1645</t>
  </si>
  <si>
    <t>Iftikhar Haywood</t>
  </si>
  <si>
    <t>I-1646</t>
  </si>
  <si>
    <t>I-1647</t>
  </si>
  <si>
    <t>I-1648</t>
  </si>
  <si>
    <t>I-1649</t>
  </si>
  <si>
    <t>I-1650</t>
  </si>
  <si>
    <t>I-1651</t>
  </si>
  <si>
    <t>I-1652</t>
  </si>
  <si>
    <t>I-1653</t>
  </si>
  <si>
    <t>I-1654</t>
  </si>
  <si>
    <t>I-1655</t>
  </si>
  <si>
    <t>I-1656</t>
  </si>
  <si>
    <t>I-1657</t>
  </si>
  <si>
    <t>I-1658</t>
  </si>
  <si>
    <t>George Sherwin</t>
  </si>
  <si>
    <t>I-1659</t>
  </si>
  <si>
    <t>I-1660</t>
  </si>
  <si>
    <t>Ken Mishra</t>
  </si>
  <si>
    <t>I-1661</t>
  </si>
  <si>
    <t>Amelia Scott</t>
  </si>
  <si>
    <t>I-1662</t>
  </si>
  <si>
    <t>Stephen Neville</t>
  </si>
  <si>
    <t>I-1663</t>
  </si>
  <si>
    <t>I-1664</t>
  </si>
  <si>
    <t>I-1665</t>
  </si>
  <si>
    <t>Alexander Uddin</t>
  </si>
  <si>
    <t>I-1666</t>
  </si>
  <si>
    <t>I-1667</t>
  </si>
  <si>
    <t>I-1668</t>
  </si>
  <si>
    <t>I-1669</t>
  </si>
  <si>
    <t>I-1670</t>
  </si>
  <si>
    <t>I-1671</t>
  </si>
  <si>
    <t>I-1672</t>
  </si>
  <si>
    <t>Robert Faulkner</t>
  </si>
  <si>
    <t>I-1673</t>
  </si>
  <si>
    <t>I-1674</t>
  </si>
  <si>
    <t>Rachel Howard</t>
  </si>
  <si>
    <t>I-1675</t>
  </si>
  <si>
    <t>I-1676</t>
  </si>
  <si>
    <t>I-1677</t>
  </si>
  <si>
    <t>John Curtis</t>
  </si>
  <si>
    <t>I-1678</t>
  </si>
  <si>
    <t>Catherine Gagg</t>
  </si>
  <si>
    <t>I-1679</t>
  </si>
  <si>
    <t>I-1680</t>
  </si>
  <si>
    <t>Colin Patel</t>
  </si>
  <si>
    <t>I-1681</t>
  </si>
  <si>
    <t>Robert Tattersall</t>
  </si>
  <si>
    <t>I-1682</t>
  </si>
  <si>
    <t>Diane Batty</t>
  </si>
  <si>
    <t>I-1683</t>
  </si>
  <si>
    <t>I-1684</t>
  </si>
  <si>
    <t>I-1685</t>
  </si>
  <si>
    <t>I-1686</t>
  </si>
  <si>
    <t>I-1687</t>
  </si>
  <si>
    <t>I-1688</t>
  </si>
  <si>
    <t>I-1689</t>
  </si>
  <si>
    <t>Frank Murray</t>
  </si>
  <si>
    <t>I-1690</t>
  </si>
  <si>
    <t>I-1691</t>
  </si>
  <si>
    <t>I-1692</t>
  </si>
  <si>
    <t>Noel Bull</t>
  </si>
  <si>
    <t>I-1693</t>
  </si>
  <si>
    <t>I-1694</t>
  </si>
  <si>
    <t>I-1695</t>
  </si>
  <si>
    <t>I-1696</t>
  </si>
  <si>
    <t>I-1697</t>
  </si>
  <si>
    <t>Lloyd Norton</t>
  </si>
  <si>
    <t>I-1698</t>
  </si>
  <si>
    <t>Glenys Raymond</t>
  </si>
  <si>
    <t>I-1699</t>
  </si>
  <si>
    <t>I-1700</t>
  </si>
  <si>
    <t>I-1701</t>
  </si>
  <si>
    <t>I-1702</t>
  </si>
  <si>
    <t>I-1703</t>
  </si>
  <si>
    <t>Heather Beck</t>
  </si>
  <si>
    <t>I-1704</t>
  </si>
  <si>
    <t>I-1705</t>
  </si>
  <si>
    <t>I-1706</t>
  </si>
  <si>
    <t>I-1707</t>
  </si>
  <si>
    <t>I-1708</t>
  </si>
  <si>
    <t>I-1709</t>
  </si>
  <si>
    <t>Nicola Hewitt</t>
  </si>
  <si>
    <t>I-1710</t>
  </si>
  <si>
    <t>I-1711</t>
  </si>
  <si>
    <t>I-1712</t>
  </si>
  <si>
    <t>I-1713</t>
  </si>
  <si>
    <t>I-1714</t>
  </si>
  <si>
    <t>I-1715</t>
  </si>
  <si>
    <t>I-1716</t>
  </si>
  <si>
    <t>I-1717</t>
  </si>
  <si>
    <t>I-1718</t>
  </si>
  <si>
    <t>I-1719</t>
  </si>
  <si>
    <t>I-1720</t>
  </si>
  <si>
    <t>I-1721</t>
  </si>
  <si>
    <t>I-1722</t>
  </si>
  <si>
    <t>Nicola Williams</t>
  </si>
  <si>
    <t>I-1723</t>
  </si>
  <si>
    <t>Marie Hewitt</t>
  </si>
  <si>
    <t>I-1724</t>
  </si>
  <si>
    <t>I-1725</t>
  </si>
  <si>
    <t>I-1726</t>
  </si>
  <si>
    <t>I-1727</t>
  </si>
  <si>
    <t>I-1728</t>
  </si>
  <si>
    <t>I-1729</t>
  </si>
  <si>
    <t>I-1730</t>
  </si>
  <si>
    <t>I-1731</t>
  </si>
  <si>
    <t>I-1732</t>
  </si>
  <si>
    <t>Emma Westbrook</t>
  </si>
  <si>
    <t>I-1733</t>
  </si>
  <si>
    <t>I-1734</t>
  </si>
  <si>
    <t>Susan Goude</t>
  </si>
  <si>
    <t>I-1735</t>
  </si>
  <si>
    <t>I-1736</t>
  </si>
  <si>
    <t>I-1737</t>
  </si>
  <si>
    <t>I-1738</t>
  </si>
  <si>
    <t>I-1739</t>
  </si>
  <si>
    <t>I-1740</t>
  </si>
  <si>
    <t>I-1741</t>
  </si>
  <si>
    <t>I-1742</t>
  </si>
  <si>
    <t>I-1743</t>
  </si>
  <si>
    <t>I-1744</t>
  </si>
  <si>
    <t>Frances Weller</t>
  </si>
  <si>
    <t>I-1745</t>
  </si>
  <si>
    <t>I-1746</t>
  </si>
  <si>
    <t>Barry Smith</t>
  </si>
  <si>
    <t>I-1747</t>
  </si>
  <si>
    <t>I-1748</t>
  </si>
  <si>
    <t>I-1749</t>
  </si>
  <si>
    <t>Phillip Clarke</t>
  </si>
  <si>
    <t>I-1750</t>
  </si>
  <si>
    <t>I-1751</t>
  </si>
  <si>
    <t>I-1752</t>
  </si>
  <si>
    <t>Susan Luker</t>
  </si>
  <si>
    <t>I-1753</t>
  </si>
  <si>
    <t>I-1754</t>
  </si>
  <si>
    <t>I-1755</t>
  </si>
  <si>
    <t>Bruce Neville</t>
  </si>
  <si>
    <t>I-1756</t>
  </si>
  <si>
    <t>Martin Timmins</t>
  </si>
  <si>
    <t>I-1757</t>
  </si>
  <si>
    <t>I-1758</t>
  </si>
  <si>
    <t>I-1759</t>
  </si>
  <si>
    <t>I-1760</t>
  </si>
  <si>
    <t>I-1761</t>
  </si>
  <si>
    <t>I-1762</t>
  </si>
  <si>
    <t>I-1763</t>
  </si>
  <si>
    <t>I-1764</t>
  </si>
  <si>
    <t>James Stephen</t>
  </si>
  <si>
    <t>I-1765</t>
  </si>
  <si>
    <t>I-1766</t>
  </si>
  <si>
    <t>David Townsend</t>
  </si>
  <si>
    <t>I-1767</t>
  </si>
  <si>
    <t>I-1768</t>
  </si>
  <si>
    <t>I-1769</t>
  </si>
  <si>
    <t>I-1770</t>
  </si>
  <si>
    <t>Paul Munday</t>
  </si>
  <si>
    <t>I-1771</t>
  </si>
  <si>
    <t>I-1772</t>
  </si>
  <si>
    <t>I-1773</t>
  </si>
  <si>
    <t>I-1774</t>
  </si>
  <si>
    <t>I-1775</t>
  </si>
  <si>
    <t>I-1776</t>
  </si>
  <si>
    <t>I-1777</t>
  </si>
  <si>
    <t>I-1778</t>
  </si>
  <si>
    <t>Nick Denny</t>
  </si>
  <si>
    <t>I-1779</t>
  </si>
  <si>
    <t>David Dorey</t>
  </si>
  <si>
    <t>I-1780</t>
  </si>
  <si>
    <t>I-1781</t>
  </si>
  <si>
    <t>I-1782</t>
  </si>
  <si>
    <t>David Romero</t>
  </si>
  <si>
    <t>I-1783</t>
  </si>
  <si>
    <t>I-1784</t>
  </si>
  <si>
    <t>Phillip Humphreys</t>
  </si>
  <si>
    <t>I-1785</t>
  </si>
  <si>
    <t>Robert Salisbury</t>
  </si>
  <si>
    <t>I-1786</t>
  </si>
  <si>
    <t>I-1787</t>
  </si>
  <si>
    <t>I-1788</t>
  </si>
  <si>
    <t>Edward Jenkins</t>
  </si>
  <si>
    <t>I-1789</t>
  </si>
  <si>
    <t>Ron Goodman</t>
  </si>
  <si>
    <t>I-1790</t>
  </si>
  <si>
    <t>I-1791</t>
  </si>
  <si>
    <t>Saffron Cruse</t>
  </si>
  <si>
    <t>I-1792</t>
  </si>
  <si>
    <t>I-1793</t>
  </si>
  <si>
    <t>I-1794</t>
  </si>
  <si>
    <t>I-1795</t>
  </si>
  <si>
    <t>I-1796</t>
  </si>
  <si>
    <t>I-1797</t>
  </si>
  <si>
    <t>I-1798</t>
  </si>
  <si>
    <t>I-1799</t>
  </si>
  <si>
    <t>Fatima James</t>
  </si>
  <si>
    <t>I-1800</t>
  </si>
  <si>
    <t>I-1801</t>
  </si>
  <si>
    <t>I-1802</t>
  </si>
  <si>
    <t>I-1803</t>
  </si>
  <si>
    <t>I-1804</t>
  </si>
  <si>
    <t>I-1805</t>
  </si>
  <si>
    <t>I-1806</t>
  </si>
  <si>
    <t>I-1807</t>
  </si>
  <si>
    <t>I-1808</t>
  </si>
  <si>
    <t>I-1809</t>
  </si>
  <si>
    <t>I-1810</t>
  </si>
  <si>
    <t>I-1811</t>
  </si>
  <si>
    <t>I-1812</t>
  </si>
  <si>
    <t>Rory Bullion</t>
  </si>
  <si>
    <t>I-1813</t>
  </si>
  <si>
    <t>I-1814</t>
  </si>
  <si>
    <t>I-1815</t>
  </si>
  <si>
    <t>Paul Power</t>
  </si>
  <si>
    <t>I-1816</t>
  </si>
  <si>
    <t>I-1817</t>
  </si>
  <si>
    <t>I-1818</t>
  </si>
  <si>
    <t>I-1819</t>
  </si>
  <si>
    <t>I-1820</t>
  </si>
  <si>
    <t>I-1821</t>
  </si>
  <si>
    <t>I-1822</t>
  </si>
  <si>
    <t>I-1823</t>
  </si>
  <si>
    <t>I-1824</t>
  </si>
  <si>
    <t>I-1825</t>
  </si>
  <si>
    <t>I-1826</t>
  </si>
  <si>
    <t>Ketan Bryan</t>
  </si>
  <si>
    <t>I-1827</t>
  </si>
  <si>
    <t>I-1828</t>
  </si>
  <si>
    <t>I-1829</t>
  </si>
  <si>
    <t>I-1830</t>
  </si>
  <si>
    <t>I-1831</t>
  </si>
  <si>
    <t>I-1832</t>
  </si>
  <si>
    <t>Noel Hardy</t>
  </si>
  <si>
    <t>I-1833</t>
  </si>
  <si>
    <t>Kyle Walter</t>
  </si>
  <si>
    <t>I-1834</t>
  </si>
  <si>
    <t>Gillian Rodrigues</t>
  </si>
  <si>
    <t>I-1835</t>
  </si>
  <si>
    <t>I-1836</t>
  </si>
  <si>
    <t>Nicola Rea</t>
  </si>
  <si>
    <t>I-1837</t>
  </si>
  <si>
    <t>I-1838</t>
  </si>
  <si>
    <t>Peter Allan</t>
  </si>
  <si>
    <t>I-1839</t>
  </si>
  <si>
    <t>I-1840</t>
  </si>
  <si>
    <t>I-1841</t>
  </si>
  <si>
    <t>I-1842</t>
  </si>
  <si>
    <t>I-1843</t>
  </si>
  <si>
    <t>I-1844</t>
  </si>
  <si>
    <t>I-1845</t>
  </si>
  <si>
    <t>I-1846</t>
  </si>
  <si>
    <t>I-1847</t>
  </si>
  <si>
    <t>I-1848</t>
  </si>
  <si>
    <t>I-1849</t>
  </si>
  <si>
    <t>I-1850</t>
  </si>
  <si>
    <t>I-1851</t>
  </si>
  <si>
    <t>I-1852</t>
  </si>
  <si>
    <t>I-1853</t>
  </si>
  <si>
    <t>I-1854</t>
  </si>
  <si>
    <t>I-1855</t>
  </si>
  <si>
    <t>I-1856</t>
  </si>
  <si>
    <t>I-1857</t>
  </si>
  <si>
    <t>I-1858</t>
  </si>
  <si>
    <t>I-1859</t>
  </si>
  <si>
    <t>Baljinder Anderson</t>
  </si>
  <si>
    <t>I-1860</t>
  </si>
  <si>
    <t>I-1861</t>
  </si>
  <si>
    <t>I-1862</t>
  </si>
  <si>
    <t>I-1863</t>
  </si>
  <si>
    <t>I-1864</t>
  </si>
  <si>
    <t>I-1865</t>
  </si>
  <si>
    <t>I-1866</t>
  </si>
  <si>
    <t>I-1867</t>
  </si>
  <si>
    <t>I-1868</t>
  </si>
  <si>
    <t>I-1869</t>
  </si>
  <si>
    <t>I-1870</t>
  </si>
  <si>
    <t>I-1871</t>
  </si>
  <si>
    <t>I-1872</t>
  </si>
  <si>
    <t>I-1873</t>
  </si>
  <si>
    <t>I-1874</t>
  </si>
  <si>
    <t>I-1875</t>
  </si>
  <si>
    <t>I-1876</t>
  </si>
  <si>
    <t>I-1877</t>
  </si>
  <si>
    <t>I-1878</t>
  </si>
  <si>
    <t>I-1879</t>
  </si>
  <si>
    <t>I-1880</t>
  </si>
  <si>
    <t>I-1881</t>
  </si>
  <si>
    <t>I-1882</t>
  </si>
  <si>
    <t>I-1883</t>
  </si>
  <si>
    <t>I-1884</t>
  </si>
  <si>
    <t>I-1885</t>
  </si>
  <si>
    <t>Brendon Sykes</t>
  </si>
  <si>
    <t>I-1886</t>
  </si>
  <si>
    <t>I-1887</t>
  </si>
  <si>
    <t>April Childs</t>
  </si>
  <si>
    <t>I-1888</t>
  </si>
  <si>
    <t>Andrew Harris</t>
  </si>
  <si>
    <t>I-1889</t>
  </si>
  <si>
    <t>I-1890</t>
  </si>
  <si>
    <t>Maureen Haymes</t>
  </si>
  <si>
    <t>I-1891</t>
  </si>
  <si>
    <t>I-1892</t>
  </si>
  <si>
    <t>Rita Jenkins</t>
  </si>
  <si>
    <t>I-1893</t>
  </si>
  <si>
    <t>I-1894</t>
  </si>
  <si>
    <t>Gillian Harris</t>
  </si>
  <si>
    <t>I-1895</t>
  </si>
  <si>
    <t>I-1896</t>
  </si>
  <si>
    <t>I-1897</t>
  </si>
  <si>
    <t>I-1898</t>
  </si>
  <si>
    <t>I-1899</t>
  </si>
  <si>
    <t>I-1900</t>
  </si>
  <si>
    <t>David Grey</t>
  </si>
  <si>
    <t>I-1901</t>
  </si>
  <si>
    <t>I-1902</t>
  </si>
  <si>
    <t>William Collins</t>
  </si>
  <si>
    <t>I-1903</t>
  </si>
  <si>
    <t>I-1904</t>
  </si>
  <si>
    <t>I-1905</t>
  </si>
  <si>
    <t>I-1906</t>
  </si>
  <si>
    <t>I-1907</t>
  </si>
  <si>
    <t>I-1908</t>
  </si>
  <si>
    <t>I-1909</t>
  </si>
  <si>
    <t>Arthur Carley</t>
  </si>
  <si>
    <t>I-1910</t>
  </si>
  <si>
    <t>I-1911</t>
  </si>
  <si>
    <t>I-1912</t>
  </si>
  <si>
    <t>I-1913</t>
  </si>
  <si>
    <t>Heather Donald</t>
  </si>
  <si>
    <t>I-1914</t>
  </si>
  <si>
    <t>I-1915</t>
  </si>
  <si>
    <t>I-1916</t>
  </si>
  <si>
    <t>I-1917</t>
  </si>
  <si>
    <t>I-1918</t>
  </si>
  <si>
    <t>I-1919</t>
  </si>
  <si>
    <t>I-1920</t>
  </si>
  <si>
    <t>I-1921</t>
  </si>
  <si>
    <t>I-1922</t>
  </si>
  <si>
    <t>I-1923</t>
  </si>
  <si>
    <t>I-1924</t>
  </si>
  <si>
    <t>I-1925</t>
  </si>
  <si>
    <t>I-1926</t>
  </si>
  <si>
    <t>I-1927</t>
  </si>
  <si>
    <t>I-1928</t>
  </si>
  <si>
    <t>I-1929</t>
  </si>
  <si>
    <t>I-1930</t>
  </si>
  <si>
    <t>I-1931</t>
  </si>
  <si>
    <t>Allyson Parker</t>
  </si>
  <si>
    <t>I-1932</t>
  </si>
  <si>
    <t>Alexander Rowntree</t>
  </si>
  <si>
    <t>I-1933</t>
  </si>
  <si>
    <t>I-1934</t>
  </si>
  <si>
    <t>I-1935</t>
  </si>
  <si>
    <t>I-1936</t>
  </si>
  <si>
    <t>I-1937</t>
  </si>
  <si>
    <t>I-1938</t>
  </si>
  <si>
    <t>I-1939</t>
  </si>
  <si>
    <t>I-1940</t>
  </si>
  <si>
    <t>I-1941</t>
  </si>
  <si>
    <t>Dell Lockwood</t>
  </si>
  <si>
    <t>I-1942</t>
  </si>
  <si>
    <t>I-1943</t>
  </si>
  <si>
    <t>I-1944</t>
  </si>
  <si>
    <t>I-1945</t>
  </si>
  <si>
    <t>I-1946</t>
  </si>
  <si>
    <t>I-1947</t>
  </si>
  <si>
    <t>Rachel Deignan</t>
  </si>
  <si>
    <t>I-1948</t>
  </si>
  <si>
    <t>I-1949</t>
  </si>
  <si>
    <t>Russell Thorley</t>
  </si>
  <si>
    <t>I-1950</t>
  </si>
  <si>
    <t>I-1951</t>
  </si>
  <si>
    <t>I-1952</t>
  </si>
  <si>
    <t>I-1953</t>
  </si>
  <si>
    <t>I-1954</t>
  </si>
  <si>
    <t>I-1955</t>
  </si>
  <si>
    <t>I-1956</t>
  </si>
  <si>
    <t>I-1957</t>
  </si>
  <si>
    <t>I-1958</t>
  </si>
  <si>
    <t>I-1959</t>
  </si>
  <si>
    <t>I-1960</t>
  </si>
  <si>
    <t>I-1961</t>
  </si>
  <si>
    <t>I-1962</t>
  </si>
  <si>
    <t>I-1963</t>
  </si>
  <si>
    <t>David Isaacs</t>
  </si>
  <si>
    <t>I-1964</t>
  </si>
  <si>
    <t>I-1965</t>
  </si>
  <si>
    <t>Johanna Collins</t>
  </si>
  <si>
    <t>I-1966</t>
  </si>
  <si>
    <t>I-1967</t>
  </si>
  <si>
    <t>I-1968</t>
  </si>
  <si>
    <t>I-1969</t>
  </si>
  <si>
    <t>I-1970</t>
  </si>
  <si>
    <t>Ryan Pearce</t>
  </si>
  <si>
    <t>I-1971</t>
  </si>
  <si>
    <t>I-1972</t>
  </si>
  <si>
    <t>I-1973</t>
  </si>
  <si>
    <t>I-1974</t>
  </si>
  <si>
    <t>I-1975</t>
  </si>
  <si>
    <t>I-1976</t>
  </si>
  <si>
    <t>I-1977</t>
  </si>
  <si>
    <t>I-1978</t>
  </si>
  <si>
    <t>I-1979</t>
  </si>
  <si>
    <t>I-1980</t>
  </si>
  <si>
    <t>Selwyn Kitching</t>
  </si>
  <si>
    <t>I-1981</t>
  </si>
  <si>
    <t>I-1982</t>
  </si>
  <si>
    <t>I-1983</t>
  </si>
  <si>
    <t>I-1984</t>
  </si>
  <si>
    <t>I-1985</t>
  </si>
  <si>
    <t>I-1986</t>
  </si>
  <si>
    <t>I-1987</t>
  </si>
  <si>
    <t>I-1988</t>
  </si>
  <si>
    <t>I-1989</t>
  </si>
  <si>
    <t>I-1990</t>
  </si>
  <si>
    <t>I-1991</t>
  </si>
  <si>
    <t>I-1992</t>
  </si>
  <si>
    <t>Caroline Gee</t>
  </si>
  <si>
    <t>I-1993</t>
  </si>
  <si>
    <t>I-1994</t>
  </si>
  <si>
    <t>I-1995</t>
  </si>
  <si>
    <t>I-1996</t>
  </si>
  <si>
    <t>Paul Benton</t>
  </si>
  <si>
    <t>I-1997</t>
  </si>
  <si>
    <t>Mark Holmes</t>
  </si>
  <si>
    <t>I-1998</t>
  </si>
  <si>
    <t>I-1999</t>
  </si>
  <si>
    <t>Carol Cormack</t>
  </si>
  <si>
    <t>I-2000</t>
  </si>
  <si>
    <t>I-2001</t>
  </si>
  <si>
    <t>I-2002</t>
  </si>
  <si>
    <t>I-2003</t>
  </si>
  <si>
    <t>I-2004</t>
  </si>
  <si>
    <t>I-2005</t>
  </si>
  <si>
    <t>I-2006</t>
  </si>
  <si>
    <t>I-2007</t>
  </si>
  <si>
    <t>Derek Anderson</t>
  </si>
  <si>
    <t>I-2008</t>
  </si>
  <si>
    <t>I-2009</t>
  </si>
  <si>
    <t>I-2010</t>
  </si>
  <si>
    <t>I-2011</t>
  </si>
  <si>
    <t>Nicola Wright</t>
  </si>
  <si>
    <t>I-2012</t>
  </si>
  <si>
    <t>I-2013</t>
  </si>
  <si>
    <t>I-2014</t>
  </si>
  <si>
    <t>I-2015</t>
  </si>
  <si>
    <t>I-2016</t>
  </si>
  <si>
    <t>John Hetherington</t>
  </si>
  <si>
    <t>I-2017</t>
  </si>
  <si>
    <t>Ian Christian</t>
  </si>
  <si>
    <t>I-2018</t>
  </si>
  <si>
    <t>I-2019</t>
  </si>
  <si>
    <t>I-2020</t>
  </si>
  <si>
    <t>I-2021</t>
  </si>
  <si>
    <t>I-2022</t>
  </si>
  <si>
    <t>I-2023</t>
  </si>
  <si>
    <t>I-2024</t>
  </si>
  <si>
    <t>I-2025</t>
  </si>
  <si>
    <t>I-2026</t>
  </si>
  <si>
    <t>I-2027</t>
  </si>
  <si>
    <t>I-2028</t>
  </si>
  <si>
    <t>I-2029</t>
  </si>
  <si>
    <t>I-2030</t>
  </si>
  <si>
    <t>I-2031</t>
  </si>
  <si>
    <t>I-2032</t>
  </si>
  <si>
    <t>I-2033</t>
  </si>
  <si>
    <t>I-2034</t>
  </si>
  <si>
    <t>I-2035</t>
  </si>
  <si>
    <t>I-2036</t>
  </si>
  <si>
    <t>I-2037</t>
  </si>
  <si>
    <t>I-2038</t>
  </si>
  <si>
    <t>I-2039</t>
  </si>
  <si>
    <t>I-2040</t>
  </si>
  <si>
    <t>I-2041</t>
  </si>
  <si>
    <t>I-2042</t>
  </si>
  <si>
    <t>Richard Kay</t>
  </si>
  <si>
    <t>I-2043</t>
  </si>
  <si>
    <t>I-2044</t>
  </si>
  <si>
    <t>I-2045</t>
  </si>
  <si>
    <t>I-2046</t>
  </si>
  <si>
    <t>I-2047</t>
  </si>
  <si>
    <t>I-2048</t>
  </si>
  <si>
    <t>I-2049</t>
  </si>
  <si>
    <t>I-2050</t>
  </si>
  <si>
    <t>I-2051</t>
  </si>
  <si>
    <t>I-2052</t>
  </si>
  <si>
    <t>I-2053</t>
  </si>
  <si>
    <t>I-2054</t>
  </si>
  <si>
    <t>I-2055</t>
  </si>
  <si>
    <t>I-2056</t>
  </si>
  <si>
    <t>I-2057</t>
  </si>
  <si>
    <t>I-2058</t>
  </si>
  <si>
    <t>I-2059</t>
  </si>
  <si>
    <t>I-2060</t>
  </si>
  <si>
    <t>I-2061</t>
  </si>
  <si>
    <t>I-2062</t>
  </si>
  <si>
    <t>I-2063</t>
  </si>
  <si>
    <t>I-2064</t>
  </si>
  <si>
    <t>I-2065</t>
  </si>
  <si>
    <t>I-2066</t>
  </si>
  <si>
    <t>I-2067</t>
  </si>
  <si>
    <t>I-2068</t>
  </si>
  <si>
    <t>I-2069</t>
  </si>
  <si>
    <t>I-2070</t>
  </si>
  <si>
    <t>I-2071</t>
  </si>
  <si>
    <t>I-2072</t>
  </si>
  <si>
    <t>I-2073</t>
  </si>
  <si>
    <t>I-2074</t>
  </si>
  <si>
    <t>I-2075</t>
  </si>
  <si>
    <t>I-2076</t>
  </si>
  <si>
    <t>I-2077</t>
  </si>
  <si>
    <t>I-2078</t>
  </si>
  <si>
    <t>I-2079</t>
  </si>
  <si>
    <t>I-2080</t>
  </si>
  <si>
    <t>I-2081</t>
  </si>
  <si>
    <t>Nicole Ford</t>
  </si>
  <si>
    <t>I-2082</t>
  </si>
  <si>
    <t>I-2083</t>
  </si>
  <si>
    <t>I-2084</t>
  </si>
  <si>
    <t>I-2085</t>
  </si>
  <si>
    <t>I-2086</t>
  </si>
  <si>
    <t>I-2087</t>
  </si>
  <si>
    <t>Alastair Mills</t>
  </si>
  <si>
    <t>I-2088</t>
  </si>
  <si>
    <t>I-2089</t>
  </si>
  <si>
    <t>I-2090</t>
  </si>
  <si>
    <t>I-2091</t>
  </si>
  <si>
    <t>I-2092</t>
  </si>
  <si>
    <t>I-2093</t>
  </si>
  <si>
    <t>I-2094</t>
  </si>
  <si>
    <t>I-2095</t>
  </si>
  <si>
    <t>I-2096</t>
  </si>
  <si>
    <t>I-2097</t>
  </si>
  <si>
    <t>I-2098</t>
  </si>
  <si>
    <t>I-2099</t>
  </si>
  <si>
    <t>I-2100</t>
  </si>
  <si>
    <t>I-2101</t>
  </si>
  <si>
    <t>I-2102</t>
  </si>
  <si>
    <t>Darren Webb</t>
  </si>
  <si>
    <t>I-2103</t>
  </si>
  <si>
    <t>I-2104</t>
  </si>
  <si>
    <t>I-2105</t>
  </si>
  <si>
    <t>I-2106</t>
  </si>
  <si>
    <t>I-2107</t>
  </si>
  <si>
    <t>I-2108</t>
  </si>
  <si>
    <t>I-2109</t>
  </si>
  <si>
    <t>I-2110</t>
  </si>
  <si>
    <t>I-2111</t>
  </si>
  <si>
    <t>I-2112</t>
  </si>
  <si>
    <t>I-2113</t>
  </si>
  <si>
    <t>I-2114</t>
  </si>
  <si>
    <t>I-2115</t>
  </si>
  <si>
    <t>I-2116</t>
  </si>
  <si>
    <t>I-2117</t>
  </si>
  <si>
    <t>I-2118</t>
  </si>
  <si>
    <t>I-2119</t>
  </si>
  <si>
    <t>I-2120</t>
  </si>
  <si>
    <t>I-2121</t>
  </si>
  <si>
    <t>I-2122</t>
  </si>
  <si>
    <t>I-2123</t>
  </si>
  <si>
    <t>I-2124</t>
  </si>
  <si>
    <t>I-2125</t>
  </si>
  <si>
    <t>I-2126</t>
  </si>
  <si>
    <t>I-2127</t>
  </si>
  <si>
    <t>I-2128</t>
  </si>
  <si>
    <t>I-2129</t>
  </si>
  <si>
    <t>I-2130</t>
  </si>
  <si>
    <t>I-2131</t>
  </si>
  <si>
    <t>I-2132</t>
  </si>
  <si>
    <t>I-2133</t>
  </si>
  <si>
    <t>I-2134</t>
  </si>
  <si>
    <t>I-2135</t>
  </si>
  <si>
    <t>Kevin Long</t>
  </si>
  <si>
    <t>I-2136</t>
  </si>
  <si>
    <t>I-2137</t>
  </si>
  <si>
    <t>I-2138</t>
  </si>
  <si>
    <t>I-2139</t>
  </si>
  <si>
    <t>I-2140</t>
  </si>
  <si>
    <t>I-2141</t>
  </si>
  <si>
    <t>Barbara Scott</t>
  </si>
  <si>
    <t>I-2142</t>
  </si>
  <si>
    <t>I-2143</t>
  </si>
  <si>
    <t>I-2144</t>
  </si>
  <si>
    <t>I-2145</t>
  </si>
  <si>
    <t>I-2146</t>
  </si>
  <si>
    <t>I-2147</t>
  </si>
  <si>
    <t>I-2148</t>
  </si>
  <si>
    <t>I-2149</t>
  </si>
  <si>
    <t>I-2150</t>
  </si>
  <si>
    <t>I-2151</t>
  </si>
  <si>
    <t>I-2152</t>
  </si>
  <si>
    <t>I-2153</t>
  </si>
  <si>
    <t>I-2154</t>
  </si>
  <si>
    <t>I-2155</t>
  </si>
  <si>
    <t>I-2156</t>
  </si>
  <si>
    <t>I-2157</t>
  </si>
  <si>
    <t>I-2158</t>
  </si>
  <si>
    <t>I-2159</t>
  </si>
  <si>
    <t>Keith Drage</t>
  </si>
  <si>
    <t>I-2160</t>
  </si>
  <si>
    <t>I-2161</t>
  </si>
  <si>
    <t>I-2162</t>
  </si>
  <si>
    <t>I-2163</t>
  </si>
  <si>
    <t>I-2164</t>
  </si>
  <si>
    <t>I-2165</t>
  </si>
  <si>
    <t>I-2166</t>
  </si>
  <si>
    <t>I-2167</t>
  </si>
  <si>
    <t>I-2168</t>
  </si>
  <si>
    <t>Jonathan Pereira</t>
  </si>
  <si>
    <t>I-2169</t>
  </si>
  <si>
    <t>I-2170</t>
  </si>
  <si>
    <t>I-2171</t>
  </si>
  <si>
    <t>I-2172</t>
  </si>
  <si>
    <t>I-2173</t>
  </si>
  <si>
    <t>Roger Silvester</t>
  </si>
  <si>
    <t>I-2174</t>
  </si>
  <si>
    <t>I-2175</t>
  </si>
  <si>
    <t>I-2176</t>
  </si>
  <si>
    <t>I-2177</t>
  </si>
  <si>
    <t>I-2178</t>
  </si>
  <si>
    <t>I-2179</t>
  </si>
  <si>
    <t>I-2180</t>
  </si>
  <si>
    <t>I-2181</t>
  </si>
  <si>
    <t>I-2182</t>
  </si>
  <si>
    <t>I-2183</t>
  </si>
  <si>
    <t>I-2184</t>
  </si>
  <si>
    <t>I-2185</t>
  </si>
  <si>
    <t>I-2186</t>
  </si>
  <si>
    <t>I-2187</t>
  </si>
  <si>
    <t>I-2188</t>
  </si>
  <si>
    <t>George Smith</t>
  </si>
  <si>
    <t>I-2189</t>
  </si>
  <si>
    <t>I-2190</t>
  </si>
  <si>
    <t>I-2191</t>
  </si>
  <si>
    <t>Mark Sayer</t>
  </si>
  <si>
    <t>I-2192</t>
  </si>
  <si>
    <t>I-2193</t>
  </si>
  <si>
    <t>I-2194</t>
  </si>
  <si>
    <t>I-2195</t>
  </si>
  <si>
    <t>I-2196</t>
  </si>
  <si>
    <t>I-2197</t>
  </si>
  <si>
    <t>David Adams</t>
  </si>
  <si>
    <t>I-2198</t>
  </si>
  <si>
    <t>I-2199</t>
  </si>
  <si>
    <t>I-2200</t>
  </si>
  <si>
    <t>I-2201</t>
  </si>
  <si>
    <t>I-2202</t>
  </si>
  <si>
    <t>I-2203</t>
  </si>
  <si>
    <t>I-2204</t>
  </si>
  <si>
    <t>I-2205</t>
  </si>
  <si>
    <t>I-2206</t>
  </si>
  <si>
    <t>I-2207</t>
  </si>
  <si>
    <t>I-2208</t>
  </si>
  <si>
    <t>I-2209</t>
  </si>
  <si>
    <t>I-2210</t>
  </si>
  <si>
    <t>I-2211</t>
  </si>
  <si>
    <t>I-2212</t>
  </si>
  <si>
    <t>I-2213</t>
  </si>
  <si>
    <t>I-2214</t>
  </si>
  <si>
    <t>I-2215</t>
  </si>
  <si>
    <t>I-2216</t>
  </si>
  <si>
    <t>I-2217</t>
  </si>
  <si>
    <t>I-2218</t>
  </si>
  <si>
    <t>Sandra Rew</t>
  </si>
  <si>
    <t>I-2219</t>
  </si>
  <si>
    <t>I-2220</t>
  </si>
  <si>
    <t>I-2221</t>
  </si>
  <si>
    <t>I-2222</t>
  </si>
  <si>
    <t>I-2223</t>
  </si>
  <si>
    <t>Lloyd Barr</t>
  </si>
  <si>
    <t>I-2224</t>
  </si>
  <si>
    <t>I-2225</t>
  </si>
  <si>
    <t>I-2226</t>
  </si>
  <si>
    <t>I-2227</t>
  </si>
  <si>
    <t>I-2228</t>
  </si>
  <si>
    <t>I-2229</t>
  </si>
  <si>
    <t>I-2230</t>
  </si>
  <si>
    <t>I-2231</t>
  </si>
  <si>
    <t>I-2232</t>
  </si>
  <si>
    <t>I-2233</t>
  </si>
  <si>
    <t>Frank Sewell</t>
  </si>
  <si>
    <t>I-2234</t>
  </si>
  <si>
    <t>I-2235</t>
  </si>
  <si>
    <t>I-2236</t>
  </si>
  <si>
    <t>I-2237</t>
  </si>
  <si>
    <t>I-2238</t>
  </si>
  <si>
    <t>I-2239</t>
  </si>
  <si>
    <t>I-2240</t>
  </si>
  <si>
    <t>I-2241</t>
  </si>
  <si>
    <t>I-2242</t>
  </si>
  <si>
    <t>I-2243</t>
  </si>
  <si>
    <t>I-2244</t>
  </si>
  <si>
    <t>I-2245</t>
  </si>
  <si>
    <t>I-2246</t>
  </si>
  <si>
    <t>I-2247</t>
  </si>
  <si>
    <t>I-2248</t>
  </si>
  <si>
    <t>I-2249</t>
  </si>
  <si>
    <t>I-2250</t>
  </si>
  <si>
    <t>I-2251</t>
  </si>
  <si>
    <t>I-2252</t>
  </si>
  <si>
    <t>I-2253</t>
  </si>
  <si>
    <t>Noel Burn</t>
  </si>
  <si>
    <t>I-2254</t>
  </si>
  <si>
    <t>I-2255</t>
  </si>
  <si>
    <t>I-2256</t>
  </si>
  <si>
    <t>I-2257</t>
  </si>
  <si>
    <t>Johanna Mirza</t>
  </si>
  <si>
    <t>I-2258</t>
  </si>
  <si>
    <t>I-2259</t>
  </si>
  <si>
    <t>I-2260</t>
  </si>
  <si>
    <t>I-2261</t>
  </si>
  <si>
    <t>I-2262</t>
  </si>
  <si>
    <t>I-2263</t>
  </si>
  <si>
    <t>Denise Harris</t>
  </si>
  <si>
    <t>I-2264</t>
  </si>
  <si>
    <t>I-2265</t>
  </si>
  <si>
    <t>Helen Cooke</t>
  </si>
  <si>
    <t>I-2266</t>
  </si>
  <si>
    <t>Anthony Green</t>
  </si>
  <si>
    <t>I-2267</t>
  </si>
  <si>
    <t>Lisa Pepper</t>
  </si>
  <si>
    <t>I-2268</t>
  </si>
  <si>
    <t>I-2269</t>
  </si>
  <si>
    <t>I-2270</t>
  </si>
  <si>
    <t>I-2271</t>
  </si>
  <si>
    <t>I-2272</t>
  </si>
  <si>
    <t>I-2273</t>
  </si>
  <si>
    <t>I-2274</t>
  </si>
  <si>
    <t>I-2275</t>
  </si>
  <si>
    <t>I-2276</t>
  </si>
  <si>
    <t>I-2277</t>
  </si>
  <si>
    <t>I-2278</t>
  </si>
  <si>
    <t>I-2279</t>
  </si>
  <si>
    <t>Gillian Crawley</t>
  </si>
  <si>
    <t>I-2280</t>
  </si>
  <si>
    <t>I-2281</t>
  </si>
  <si>
    <t>I-2282</t>
  </si>
  <si>
    <t>I-2283</t>
  </si>
  <si>
    <t>I-2284</t>
  </si>
  <si>
    <t>I-2285</t>
  </si>
  <si>
    <t>I-2286</t>
  </si>
  <si>
    <t>I-2287</t>
  </si>
  <si>
    <t>I-2288</t>
  </si>
  <si>
    <t>I-2289</t>
  </si>
  <si>
    <t>I-2290</t>
  </si>
  <si>
    <t>I-2291</t>
  </si>
  <si>
    <t>I-2292</t>
  </si>
  <si>
    <t>I-2293</t>
  </si>
  <si>
    <t>I-2294</t>
  </si>
  <si>
    <t>I-2295</t>
  </si>
  <si>
    <t>I-2296</t>
  </si>
  <si>
    <t>I-2297</t>
  </si>
  <si>
    <t>I-2298</t>
  </si>
  <si>
    <t>I-2299</t>
  </si>
  <si>
    <t>I-2300</t>
  </si>
  <si>
    <t>James Lam</t>
  </si>
  <si>
    <t>I-2301</t>
  </si>
  <si>
    <t>I-2302</t>
  </si>
  <si>
    <t>I-2303</t>
  </si>
  <si>
    <t>I-2304</t>
  </si>
  <si>
    <t>I-2305</t>
  </si>
  <si>
    <t>Sarah Houghton</t>
  </si>
  <si>
    <t>I-2306</t>
  </si>
  <si>
    <t>Alison Lazar</t>
  </si>
  <si>
    <t>I-2307</t>
  </si>
  <si>
    <t>I-2308</t>
  </si>
  <si>
    <t>I-2309</t>
  </si>
  <si>
    <t>I-2310</t>
  </si>
  <si>
    <t>I-2311</t>
  </si>
  <si>
    <t>I-2312</t>
  </si>
  <si>
    <t>I-2313</t>
  </si>
  <si>
    <t>I-2314</t>
  </si>
  <si>
    <t>Russell Reynolds</t>
  </si>
  <si>
    <t>I-2315</t>
  </si>
  <si>
    <t>I-2316</t>
  </si>
  <si>
    <t>I-2317</t>
  </si>
  <si>
    <t>I-2318</t>
  </si>
  <si>
    <t>I-2319</t>
  </si>
  <si>
    <t>I-2320</t>
  </si>
  <si>
    <t>I-2321</t>
  </si>
  <si>
    <t>I-2322</t>
  </si>
  <si>
    <t>I-2323</t>
  </si>
  <si>
    <t>I-2324</t>
  </si>
  <si>
    <t>I-2325</t>
  </si>
  <si>
    <t>I-2326</t>
  </si>
  <si>
    <t>I-2327</t>
  </si>
  <si>
    <t>I-2328</t>
  </si>
  <si>
    <t>I-2329</t>
  </si>
  <si>
    <t>I-2330</t>
  </si>
  <si>
    <t>I-2331</t>
  </si>
  <si>
    <t>I-2332</t>
  </si>
  <si>
    <t>I-2333</t>
  </si>
  <si>
    <t>I-2334</t>
  </si>
  <si>
    <t>I-2335</t>
  </si>
  <si>
    <t>I-2336</t>
  </si>
  <si>
    <t>I-2337</t>
  </si>
  <si>
    <t>I-2338</t>
  </si>
  <si>
    <t>I-2339</t>
  </si>
  <si>
    <t>I-2340</t>
  </si>
  <si>
    <t>I-2341</t>
  </si>
  <si>
    <t>I-2342</t>
  </si>
  <si>
    <t>I-2343</t>
  </si>
  <si>
    <t>I-2344</t>
  </si>
  <si>
    <t>I-2345</t>
  </si>
  <si>
    <t>I-2346</t>
  </si>
  <si>
    <t>I-2347</t>
  </si>
  <si>
    <t>Charles Jago</t>
  </si>
  <si>
    <t>I-2348</t>
  </si>
  <si>
    <t>I-2349</t>
  </si>
  <si>
    <t>I-2350</t>
  </si>
  <si>
    <t>I-2351</t>
  </si>
  <si>
    <t>Denise Docherty</t>
  </si>
  <si>
    <t>I-2352</t>
  </si>
  <si>
    <t>I-2353</t>
  </si>
  <si>
    <t>I-2354</t>
  </si>
  <si>
    <t>I-2355</t>
  </si>
  <si>
    <t>I-2356</t>
  </si>
  <si>
    <t>I-2357</t>
  </si>
  <si>
    <t>I-2358</t>
  </si>
  <si>
    <t>I-2359</t>
  </si>
  <si>
    <t>I-2360</t>
  </si>
  <si>
    <t>I-2361</t>
  </si>
  <si>
    <t>I-2362</t>
  </si>
  <si>
    <t>I-2363</t>
  </si>
  <si>
    <t>I-2364</t>
  </si>
  <si>
    <t>I-2365</t>
  </si>
  <si>
    <t>I-2366</t>
  </si>
  <si>
    <t>I-2367</t>
  </si>
  <si>
    <t>I-2368</t>
  </si>
  <si>
    <t>I-2369</t>
  </si>
  <si>
    <t>I-2370</t>
  </si>
  <si>
    <t>I-2371</t>
  </si>
  <si>
    <t>I-2372</t>
  </si>
  <si>
    <t>Paul Smith</t>
  </si>
  <si>
    <t>I-2373</t>
  </si>
  <si>
    <t>I-2374</t>
  </si>
  <si>
    <t>I-2375</t>
  </si>
  <si>
    <t>I-2376</t>
  </si>
  <si>
    <t>I-2377</t>
  </si>
  <si>
    <t>I-2378</t>
  </si>
  <si>
    <t>I-2379</t>
  </si>
  <si>
    <t>I-2380</t>
  </si>
  <si>
    <t>I-2381</t>
  </si>
  <si>
    <t>I-2382</t>
  </si>
  <si>
    <t>I-2383</t>
  </si>
  <si>
    <t>I-2384</t>
  </si>
  <si>
    <t>I-2385</t>
  </si>
  <si>
    <t>I-2386</t>
  </si>
  <si>
    <t>I-2387</t>
  </si>
  <si>
    <t>I-2388</t>
  </si>
  <si>
    <t>I-2389</t>
  </si>
  <si>
    <t>I-2390</t>
  </si>
  <si>
    <t>John Whitehead</t>
  </si>
  <si>
    <t>I-2391</t>
  </si>
  <si>
    <t>I-2392</t>
  </si>
  <si>
    <t>I-2393</t>
  </si>
  <si>
    <t>I-2394</t>
  </si>
  <si>
    <t>I-2395</t>
  </si>
  <si>
    <t>I-2396</t>
  </si>
  <si>
    <t>I-2397</t>
  </si>
  <si>
    <t>I-2398</t>
  </si>
  <si>
    <t>I-2399</t>
  </si>
  <si>
    <t>I-2400</t>
  </si>
  <si>
    <t>I-2401</t>
  </si>
  <si>
    <t>I-2402</t>
  </si>
  <si>
    <t>I-2403</t>
  </si>
  <si>
    <t>I-2404</t>
  </si>
  <si>
    <t>I-2405</t>
  </si>
  <si>
    <t>I-2406</t>
  </si>
  <si>
    <t>I-2407</t>
  </si>
  <si>
    <t>I-2408</t>
  </si>
  <si>
    <t>I-2409</t>
  </si>
  <si>
    <t>I-2410</t>
  </si>
  <si>
    <t>I-2411</t>
  </si>
  <si>
    <t>I-2412</t>
  </si>
  <si>
    <t>I-2413</t>
  </si>
  <si>
    <t>I-2414</t>
  </si>
  <si>
    <t>I-2415</t>
  </si>
  <si>
    <t>I-2416</t>
  </si>
  <si>
    <t>I-2417</t>
  </si>
  <si>
    <t>I-2418</t>
  </si>
  <si>
    <t>I-2419</t>
  </si>
  <si>
    <t>I-2420</t>
  </si>
  <si>
    <t>I-2421</t>
  </si>
  <si>
    <t>I-2422</t>
  </si>
  <si>
    <t>I-2423</t>
  </si>
  <si>
    <t>I-2424</t>
  </si>
  <si>
    <t>I-2425</t>
  </si>
  <si>
    <t>I-2426</t>
  </si>
  <si>
    <t>I-2427</t>
  </si>
  <si>
    <t>I-2428</t>
  </si>
  <si>
    <t>I-2429</t>
  </si>
  <si>
    <t>I-2430</t>
  </si>
  <si>
    <t>I-2431</t>
  </si>
  <si>
    <t>I-2432</t>
  </si>
  <si>
    <t>I-2433</t>
  </si>
  <si>
    <t>I-2434</t>
  </si>
  <si>
    <t>I-2435</t>
  </si>
  <si>
    <t>I-2436</t>
  </si>
  <si>
    <t>I-2437</t>
  </si>
  <si>
    <t>I-2438</t>
  </si>
  <si>
    <t>I-2439</t>
  </si>
  <si>
    <t>I-2440</t>
  </si>
  <si>
    <t>I-2441</t>
  </si>
  <si>
    <t>I-2442</t>
  </si>
  <si>
    <t>I-2443</t>
  </si>
  <si>
    <t>I-2444</t>
  </si>
  <si>
    <t>Kevin Ahmed</t>
  </si>
  <si>
    <t>I-2445</t>
  </si>
  <si>
    <t>I-2446</t>
  </si>
  <si>
    <t>I-2447</t>
  </si>
  <si>
    <t>I-2448</t>
  </si>
  <si>
    <t>I-2449</t>
  </si>
  <si>
    <t>I-2450</t>
  </si>
  <si>
    <t>I-2451</t>
  </si>
  <si>
    <t>I-2452</t>
  </si>
  <si>
    <t>I-2453</t>
  </si>
  <si>
    <t>I-2454</t>
  </si>
  <si>
    <t>I-2455</t>
  </si>
  <si>
    <t>I-2456</t>
  </si>
  <si>
    <t>I-2457</t>
  </si>
  <si>
    <t>I-2458</t>
  </si>
  <si>
    <t>I-2459</t>
  </si>
  <si>
    <t>I-2460</t>
  </si>
  <si>
    <t>I-2461</t>
  </si>
  <si>
    <t>I-2462</t>
  </si>
  <si>
    <t>I-2463</t>
  </si>
  <si>
    <t>I-2464</t>
  </si>
  <si>
    <t>I-2465</t>
  </si>
  <si>
    <t>I-2466</t>
  </si>
  <si>
    <t>I-2467</t>
  </si>
  <si>
    <t>I-2468</t>
  </si>
  <si>
    <t>I-2469</t>
  </si>
  <si>
    <t>I-2470</t>
  </si>
  <si>
    <t>I-2471</t>
  </si>
  <si>
    <t>I-2472</t>
  </si>
  <si>
    <t>I-2473</t>
  </si>
  <si>
    <t>I-2474</t>
  </si>
  <si>
    <t>I-2475</t>
  </si>
  <si>
    <t>I-2476</t>
  </si>
  <si>
    <t>I-2477</t>
  </si>
  <si>
    <t>I-2478</t>
  </si>
  <si>
    <t>I-2479</t>
  </si>
  <si>
    <t>I-2480</t>
  </si>
  <si>
    <t>I-2481</t>
  </si>
  <si>
    <t>I-2482</t>
  </si>
  <si>
    <t>I-2483</t>
  </si>
  <si>
    <t>I-2484</t>
  </si>
  <si>
    <t>I-2485</t>
  </si>
  <si>
    <t>I-2486</t>
  </si>
  <si>
    <t>I-2487</t>
  </si>
  <si>
    <t>I-2488</t>
  </si>
  <si>
    <t>I-2489</t>
  </si>
  <si>
    <t>I-2490</t>
  </si>
  <si>
    <t>I-2491</t>
  </si>
  <si>
    <t>I-2492</t>
  </si>
  <si>
    <t>I-2493</t>
  </si>
  <si>
    <t>I-2494</t>
  </si>
  <si>
    <t>I-2495</t>
  </si>
  <si>
    <t>I-2496</t>
  </si>
  <si>
    <t>I-2497</t>
  </si>
  <si>
    <t>I-2498</t>
  </si>
  <si>
    <t>I-2499</t>
  </si>
  <si>
    <t>I-2500</t>
  </si>
  <si>
    <t>I-2501</t>
  </si>
  <si>
    <t>I-2502</t>
  </si>
  <si>
    <t>I-2503</t>
  </si>
  <si>
    <t>I-2504</t>
  </si>
  <si>
    <t>I-2505</t>
  </si>
  <si>
    <t>I-2506</t>
  </si>
  <si>
    <t>I-2507</t>
  </si>
  <si>
    <t>I-2508</t>
  </si>
  <si>
    <t>I-2509</t>
  </si>
  <si>
    <t>I-2510</t>
  </si>
  <si>
    <t>I-2511</t>
  </si>
  <si>
    <t>I-2512</t>
  </si>
  <si>
    <t>I-2513</t>
  </si>
  <si>
    <t>I-2514</t>
  </si>
  <si>
    <t>I-2515</t>
  </si>
  <si>
    <t>I-2516</t>
  </si>
  <si>
    <t>I-2517</t>
  </si>
  <si>
    <t>I-2518</t>
  </si>
  <si>
    <t>I-2519</t>
  </si>
  <si>
    <t>I-2520</t>
  </si>
  <si>
    <t>I-2521</t>
  </si>
  <si>
    <t>I-2522</t>
  </si>
  <si>
    <t>I-2523</t>
  </si>
  <si>
    <t>I-2524</t>
  </si>
  <si>
    <t>I-2525</t>
  </si>
  <si>
    <t>I-2526</t>
  </si>
  <si>
    <t>I-2527</t>
  </si>
  <si>
    <t>I-2528</t>
  </si>
  <si>
    <t>I-2529</t>
  </si>
  <si>
    <t>I-2530</t>
  </si>
  <si>
    <t>I-2531</t>
  </si>
  <si>
    <t>I-2532</t>
  </si>
  <si>
    <t>I-2533</t>
  </si>
  <si>
    <t>I-2534</t>
  </si>
  <si>
    <t>I-2535</t>
  </si>
  <si>
    <t>Richard Batty</t>
  </si>
  <si>
    <t>I-2536</t>
  </si>
  <si>
    <t>I-2537</t>
  </si>
  <si>
    <t>I-2538</t>
  </si>
  <si>
    <t>I-2539</t>
  </si>
  <si>
    <t>I-2540</t>
  </si>
  <si>
    <t>I-2541</t>
  </si>
  <si>
    <t>I-2542</t>
  </si>
  <si>
    <t>I-2543</t>
  </si>
  <si>
    <t>I-2544</t>
  </si>
  <si>
    <t>I-2545</t>
  </si>
  <si>
    <t>I-2546</t>
  </si>
  <si>
    <t>I-2547</t>
  </si>
  <si>
    <t>I-2548</t>
  </si>
  <si>
    <t>I-2549</t>
  </si>
  <si>
    <t>I-2550</t>
  </si>
  <si>
    <t>I-2551</t>
  </si>
  <si>
    <t>I-2552</t>
  </si>
  <si>
    <t>I-2553</t>
  </si>
  <si>
    <t>I-2554</t>
  </si>
  <si>
    <t>I-2555</t>
  </si>
  <si>
    <t>I-2556</t>
  </si>
  <si>
    <t>I-2557</t>
  </si>
  <si>
    <t>I-2558</t>
  </si>
  <si>
    <t>I-2559</t>
  </si>
  <si>
    <t>I-2560</t>
  </si>
  <si>
    <t>I-2561</t>
  </si>
  <si>
    <t>I-2562</t>
  </si>
  <si>
    <t>I-2563</t>
  </si>
  <si>
    <t>I-2564</t>
  </si>
  <si>
    <t>Pauline Pluck</t>
  </si>
  <si>
    <t>I-2565</t>
  </si>
  <si>
    <t>I-2566</t>
  </si>
  <si>
    <t>I-2567</t>
  </si>
  <si>
    <t>I-2568</t>
  </si>
  <si>
    <t>I-2569</t>
  </si>
  <si>
    <t>I-2570</t>
  </si>
  <si>
    <t>I-2571</t>
  </si>
  <si>
    <t>I-2572</t>
  </si>
  <si>
    <t>I-2573</t>
  </si>
  <si>
    <t>I-2574</t>
  </si>
  <si>
    <t>I-2575</t>
  </si>
  <si>
    <t>I-2576</t>
  </si>
  <si>
    <t>I-2577</t>
  </si>
  <si>
    <t>I-2578</t>
  </si>
  <si>
    <t>I-2579</t>
  </si>
  <si>
    <t>I-2580</t>
  </si>
  <si>
    <t>I-2581</t>
  </si>
  <si>
    <t>I-2582</t>
  </si>
  <si>
    <t>I-2583</t>
  </si>
  <si>
    <t>I-2584</t>
  </si>
  <si>
    <t>I-2585</t>
  </si>
  <si>
    <t>I-2586</t>
  </si>
  <si>
    <t>I-2587</t>
  </si>
  <si>
    <t>I-2588</t>
  </si>
  <si>
    <t>I-2589</t>
  </si>
  <si>
    <t>I-2590</t>
  </si>
  <si>
    <t>I-2591</t>
  </si>
  <si>
    <t>I-2592</t>
  </si>
  <si>
    <t>I-2593</t>
  </si>
  <si>
    <t>I-2594</t>
  </si>
  <si>
    <t>I-2595</t>
  </si>
  <si>
    <t>Vancouver</t>
  </si>
  <si>
    <t>Ram Thomas</t>
  </si>
  <si>
    <t>I-2596</t>
  </si>
  <si>
    <t>I-2597</t>
  </si>
  <si>
    <t>I-2598</t>
  </si>
  <si>
    <t>I-2599</t>
  </si>
  <si>
    <t>I-2600</t>
  </si>
  <si>
    <t>I-2601</t>
  </si>
  <si>
    <t>I-2602</t>
  </si>
  <si>
    <t>I-2603</t>
  </si>
  <si>
    <t>I-2604</t>
  </si>
  <si>
    <t>I-2605</t>
  </si>
  <si>
    <t>I-2606</t>
  </si>
  <si>
    <t>Helen Kenny</t>
  </si>
  <si>
    <t>I-2607</t>
  </si>
  <si>
    <t>I-2608</t>
  </si>
  <si>
    <t>I-2609</t>
  </si>
  <si>
    <t>I-2610</t>
  </si>
  <si>
    <t>Tom Clark</t>
  </si>
  <si>
    <t>I-2611</t>
  </si>
  <si>
    <t>I-2612</t>
  </si>
  <si>
    <t>Rochester</t>
  </si>
  <si>
    <t>Michael Lauder</t>
  </si>
  <si>
    <t>I-2613</t>
  </si>
  <si>
    <t>I-2614</t>
  </si>
  <si>
    <t>I-2615</t>
  </si>
  <si>
    <t>I-2616</t>
  </si>
  <si>
    <t>I-2617</t>
  </si>
  <si>
    <t>I-2618</t>
  </si>
  <si>
    <t>I-2619</t>
  </si>
  <si>
    <t>I-2620</t>
  </si>
  <si>
    <t>Christopher Grey</t>
  </si>
  <si>
    <t>I-2621</t>
  </si>
  <si>
    <t>I-2622</t>
  </si>
  <si>
    <t>I-2623</t>
  </si>
  <si>
    <t>I-2624</t>
  </si>
  <si>
    <t>I-2625</t>
  </si>
  <si>
    <t>I-2626</t>
  </si>
  <si>
    <t>I-2627</t>
  </si>
  <si>
    <t>I-2628</t>
  </si>
  <si>
    <t>I-2629</t>
  </si>
  <si>
    <t>I-2630</t>
  </si>
  <si>
    <t>I-2631</t>
  </si>
  <si>
    <t>I-2632</t>
  </si>
  <si>
    <t>I-2633</t>
  </si>
  <si>
    <t>I-2634</t>
  </si>
  <si>
    <t>I-2635</t>
  </si>
  <si>
    <t>I-2636</t>
  </si>
  <si>
    <t>I-2637</t>
  </si>
  <si>
    <t>I-2638</t>
  </si>
  <si>
    <t>I-2639</t>
  </si>
  <si>
    <t>Margaret McGregor</t>
  </si>
  <si>
    <t>I-2640</t>
  </si>
  <si>
    <t>I-2641</t>
  </si>
  <si>
    <t>I-2642</t>
  </si>
  <si>
    <t>I-2643</t>
  </si>
  <si>
    <t>I-2644</t>
  </si>
  <si>
    <t>I-2645</t>
  </si>
  <si>
    <t>I-2646</t>
  </si>
  <si>
    <t>I-2647</t>
  </si>
  <si>
    <t>I-2648</t>
  </si>
  <si>
    <t>I-2649</t>
  </si>
  <si>
    <t>Pauline Gagg</t>
  </si>
  <si>
    <t>I-2650</t>
  </si>
  <si>
    <t>I-2651</t>
  </si>
  <si>
    <t>James Bard</t>
  </si>
  <si>
    <t>I-2652</t>
  </si>
  <si>
    <t>I-2653</t>
  </si>
  <si>
    <t>Christopher Kille</t>
  </si>
  <si>
    <t>I-2654</t>
  </si>
  <si>
    <t>I-2655</t>
  </si>
  <si>
    <t>I-2656</t>
  </si>
  <si>
    <t>I-2657</t>
  </si>
  <si>
    <t>Houston</t>
  </si>
  <si>
    <t>David Salmon</t>
  </si>
  <si>
    <t>I-2658</t>
  </si>
  <si>
    <t>I-2659</t>
  </si>
  <si>
    <t>I-2660</t>
  </si>
  <si>
    <t>I-2661</t>
  </si>
  <si>
    <t>I-2662</t>
  </si>
  <si>
    <t>I-2663</t>
  </si>
  <si>
    <t>I-2664</t>
  </si>
  <si>
    <t>I-2665</t>
  </si>
  <si>
    <t>I-2666</t>
  </si>
  <si>
    <t>I-2667</t>
  </si>
  <si>
    <t>I-2668</t>
  </si>
  <si>
    <t>I-2669</t>
  </si>
  <si>
    <t>I-2670</t>
  </si>
  <si>
    <t>I-2671</t>
  </si>
  <si>
    <t>I-2672</t>
  </si>
  <si>
    <t>I-2673</t>
  </si>
  <si>
    <t>I-2674</t>
  </si>
  <si>
    <t>I-2675</t>
  </si>
  <si>
    <t>I-2676</t>
  </si>
  <si>
    <t>I-2677</t>
  </si>
  <si>
    <t>I-2678</t>
  </si>
  <si>
    <t>I-2679</t>
  </si>
  <si>
    <t>I-2680</t>
  </si>
  <si>
    <t>I-2681</t>
  </si>
  <si>
    <t>I-2682</t>
  </si>
  <si>
    <t>I-2683</t>
  </si>
  <si>
    <t>I-2684</t>
  </si>
  <si>
    <t>I-2685</t>
  </si>
  <si>
    <t>I-2686</t>
  </si>
  <si>
    <t>I-2687</t>
  </si>
  <si>
    <t>I-2688</t>
  </si>
  <si>
    <t>I-2689</t>
  </si>
  <si>
    <t>I-2690</t>
  </si>
  <si>
    <t>I-2691</t>
  </si>
  <si>
    <t>I-2692</t>
  </si>
  <si>
    <t>I-2693</t>
  </si>
  <si>
    <t>Helen Deignan</t>
  </si>
  <si>
    <t>I-2694</t>
  </si>
  <si>
    <t>I-2695</t>
  </si>
  <si>
    <t>I-2696</t>
  </si>
  <si>
    <t>I-2697</t>
  </si>
  <si>
    <t>I-2698</t>
  </si>
  <si>
    <t>Rosemary Hatcher</t>
  </si>
  <si>
    <t>I-2699</t>
  </si>
  <si>
    <t>I-2700</t>
  </si>
  <si>
    <t>I-2701</t>
  </si>
  <si>
    <t>I-2702</t>
  </si>
  <si>
    <t>I-2703</t>
  </si>
  <si>
    <t>I-2704</t>
  </si>
  <si>
    <t>I-2705</t>
  </si>
  <si>
    <t>Russell Wood</t>
  </si>
  <si>
    <t>I-2706</t>
  </si>
  <si>
    <t>I-2707</t>
  </si>
  <si>
    <t>I-2708</t>
  </si>
  <si>
    <t>I-2709</t>
  </si>
  <si>
    <t>I-2710</t>
  </si>
  <si>
    <t>I-2711</t>
  </si>
  <si>
    <t>I-2712</t>
  </si>
  <si>
    <t>I-2713</t>
  </si>
  <si>
    <t>I-2714</t>
  </si>
  <si>
    <t>I-2715</t>
  </si>
  <si>
    <t>I-2716</t>
  </si>
  <si>
    <t>I-2717</t>
  </si>
  <si>
    <t>I-2718</t>
  </si>
  <si>
    <t>I-2719</t>
  </si>
  <si>
    <t>Rachel Snape</t>
  </si>
  <si>
    <t>I-2720</t>
  </si>
  <si>
    <t>I-2721</t>
  </si>
  <si>
    <t>I-2722</t>
  </si>
  <si>
    <t>I-2723</t>
  </si>
  <si>
    <t>I-2724</t>
  </si>
  <si>
    <t>I-2725</t>
  </si>
  <si>
    <t>I-2726</t>
  </si>
  <si>
    <t>I-2727</t>
  </si>
  <si>
    <t>I-2728</t>
  </si>
  <si>
    <t>I-2729</t>
  </si>
  <si>
    <t>I-2730</t>
  </si>
  <si>
    <t>I-2731</t>
  </si>
  <si>
    <t>I-2732</t>
  </si>
  <si>
    <t>I-2733</t>
  </si>
  <si>
    <t>I-2734</t>
  </si>
  <si>
    <t>I-2735</t>
  </si>
  <si>
    <t>I-2736</t>
  </si>
  <si>
    <t>I-2737</t>
  </si>
  <si>
    <t>Iftikhar Styles</t>
  </si>
  <si>
    <t>I-2738</t>
  </si>
  <si>
    <t>I-2739</t>
  </si>
  <si>
    <t>I-2740</t>
  </si>
  <si>
    <t>I-2741</t>
  </si>
  <si>
    <t>Douglas Bond</t>
  </si>
  <si>
    <t>I-2742</t>
  </si>
  <si>
    <t>Richard Clayton</t>
  </si>
  <si>
    <t>I-2743</t>
  </si>
  <si>
    <t>I-2744</t>
  </si>
  <si>
    <t>I-2745</t>
  </si>
  <si>
    <t>I-2746</t>
  </si>
  <si>
    <t>I-2747</t>
  </si>
  <si>
    <t>I-2748</t>
  </si>
  <si>
    <t>I-2749</t>
  </si>
  <si>
    <t>I-2750</t>
  </si>
  <si>
    <t>I-2751</t>
  </si>
  <si>
    <t>I-2752</t>
  </si>
  <si>
    <t>I-2753</t>
  </si>
  <si>
    <t>I-2754</t>
  </si>
  <si>
    <t>I-2755</t>
  </si>
  <si>
    <t>I-2756</t>
  </si>
  <si>
    <t>Stephen Brown</t>
  </si>
  <si>
    <t>I-2757</t>
  </si>
  <si>
    <t>I-2758</t>
  </si>
  <si>
    <t>I-2759</t>
  </si>
  <si>
    <t>I-2760</t>
  </si>
  <si>
    <t>I-2761</t>
  </si>
  <si>
    <t>I-2762</t>
  </si>
  <si>
    <t>I-2763</t>
  </si>
  <si>
    <t>I-2764</t>
  </si>
  <si>
    <t>I-2765</t>
  </si>
  <si>
    <t>I-2766</t>
  </si>
  <si>
    <t>I-2767</t>
  </si>
  <si>
    <t>Brian Clarke</t>
  </si>
  <si>
    <t>I-2768</t>
  </si>
  <si>
    <t>I-2769</t>
  </si>
  <si>
    <t>I-2770</t>
  </si>
  <si>
    <t>I-2771</t>
  </si>
  <si>
    <t>I-2772</t>
  </si>
  <si>
    <t>I-2773</t>
  </si>
  <si>
    <t>I-2774</t>
  </si>
  <si>
    <t>Savita Simpson</t>
  </si>
  <si>
    <t>I-2775</t>
  </si>
  <si>
    <t>I-2776</t>
  </si>
  <si>
    <t>I-2777</t>
  </si>
  <si>
    <t>I-2778</t>
  </si>
  <si>
    <t>I-2779</t>
  </si>
  <si>
    <t>I-2780</t>
  </si>
  <si>
    <t>Paul Martin</t>
  </si>
  <si>
    <t>I-2781</t>
  </si>
  <si>
    <t>I-2782</t>
  </si>
  <si>
    <t>I-2783</t>
  </si>
  <si>
    <t>I-2784</t>
  </si>
  <si>
    <t>I-2785</t>
  </si>
  <si>
    <t>I-2786</t>
  </si>
  <si>
    <t>I-2787</t>
  </si>
  <si>
    <t>Paul Faulkner</t>
  </si>
  <si>
    <t>I-2788</t>
  </si>
  <si>
    <t>I-2789</t>
  </si>
  <si>
    <t>I-2790</t>
  </si>
  <si>
    <t>I-2791</t>
  </si>
  <si>
    <t>I-2792</t>
  </si>
  <si>
    <t>I-2793</t>
  </si>
  <si>
    <t>I-2794</t>
  </si>
  <si>
    <t>I-2795</t>
  </si>
  <si>
    <t>I-2796</t>
  </si>
  <si>
    <t>I-2797</t>
  </si>
  <si>
    <t>I-2798</t>
  </si>
  <si>
    <t>I-2799</t>
  </si>
  <si>
    <t>I-2800</t>
  </si>
  <si>
    <t>I-2801</t>
  </si>
  <si>
    <t>I-2802</t>
  </si>
  <si>
    <t>I-2803</t>
  </si>
  <si>
    <t>I-2804</t>
  </si>
  <si>
    <t>I-2805</t>
  </si>
  <si>
    <t>I-2806</t>
  </si>
  <si>
    <t>I-2807</t>
  </si>
  <si>
    <t>I-2808</t>
  </si>
  <si>
    <t>I-2809</t>
  </si>
  <si>
    <t>I-2810</t>
  </si>
  <si>
    <t>I-2811</t>
  </si>
  <si>
    <t>I-2812</t>
  </si>
  <si>
    <t>I-2813</t>
  </si>
  <si>
    <t>I-2814</t>
  </si>
  <si>
    <t>I-2815</t>
  </si>
  <si>
    <t>I-2816</t>
  </si>
  <si>
    <t>I-2817</t>
  </si>
  <si>
    <t>I-2818</t>
  </si>
  <si>
    <t>I-2819</t>
  </si>
  <si>
    <t>I-2820</t>
  </si>
  <si>
    <t>I-2821</t>
  </si>
  <si>
    <t>I-2822</t>
  </si>
  <si>
    <t>Jeremy Percival</t>
  </si>
  <si>
    <t>I-2823</t>
  </si>
  <si>
    <t>I-2824</t>
  </si>
  <si>
    <t>Timothy Fraser</t>
  </si>
  <si>
    <t>I-2825</t>
  </si>
  <si>
    <t>I-2826</t>
  </si>
  <si>
    <t>I-2827</t>
  </si>
  <si>
    <t>I-2828</t>
  </si>
  <si>
    <t>I-2829</t>
  </si>
  <si>
    <t>I-2830</t>
  </si>
  <si>
    <t>I-2831</t>
  </si>
  <si>
    <t>I-2832</t>
  </si>
  <si>
    <t>I-2833</t>
  </si>
  <si>
    <t>I-2834</t>
  </si>
  <si>
    <t>I-2835</t>
  </si>
  <si>
    <t>I-2836</t>
  </si>
  <si>
    <t>I-2837</t>
  </si>
  <si>
    <t>Sophie Petersen</t>
  </si>
  <si>
    <t>I-2838</t>
  </si>
  <si>
    <t>I-2839</t>
  </si>
  <si>
    <t>Peter Carley</t>
  </si>
  <si>
    <t>I-2840</t>
  </si>
  <si>
    <t>I-2841</t>
  </si>
  <si>
    <t>I-2842</t>
  </si>
  <si>
    <t>I-2843</t>
  </si>
  <si>
    <t>I-2844</t>
  </si>
  <si>
    <t>I-2845</t>
  </si>
  <si>
    <t>I-2846</t>
  </si>
  <si>
    <t>I-2847</t>
  </si>
  <si>
    <t>I-2848</t>
  </si>
  <si>
    <t>I-2849</t>
  </si>
  <si>
    <t>I-2850</t>
  </si>
  <si>
    <t>I-2851</t>
  </si>
  <si>
    <t>I-2852</t>
  </si>
  <si>
    <t>I-2853</t>
  </si>
  <si>
    <t>Elaine Ricketts</t>
  </si>
  <si>
    <t>I-2854</t>
  </si>
  <si>
    <t>I-2855</t>
  </si>
  <si>
    <t>I-2856</t>
  </si>
  <si>
    <t>I-2857</t>
  </si>
  <si>
    <t>I-2858</t>
  </si>
  <si>
    <t>I-2859</t>
  </si>
  <si>
    <t>I-2860</t>
  </si>
  <si>
    <t>I-2861</t>
  </si>
  <si>
    <t>I-2862</t>
  </si>
  <si>
    <t>I-2863</t>
  </si>
  <si>
    <t>I-2864</t>
  </si>
  <si>
    <t>Andi Liu</t>
  </si>
  <si>
    <t>I-2865</t>
  </si>
  <si>
    <t>I-2866</t>
  </si>
  <si>
    <t>I-2867</t>
  </si>
  <si>
    <t>I-2868</t>
  </si>
  <si>
    <t>I-2869</t>
  </si>
  <si>
    <t>I-2870</t>
  </si>
  <si>
    <t>I-2871</t>
  </si>
  <si>
    <t>I-2872</t>
  </si>
  <si>
    <t>I-2873</t>
  </si>
  <si>
    <t>I-2874</t>
  </si>
  <si>
    <t>I-2875</t>
  </si>
  <si>
    <t>I-2876</t>
  </si>
  <si>
    <t>I-2877</t>
  </si>
  <si>
    <t>I-2878</t>
  </si>
  <si>
    <t>I-2879</t>
  </si>
  <si>
    <t>I-2880</t>
  </si>
  <si>
    <t>Alison Hallows</t>
  </si>
  <si>
    <t>I-2881</t>
  </si>
  <si>
    <t>I-2882</t>
  </si>
  <si>
    <t>I-2883</t>
  </si>
  <si>
    <t>I-2884</t>
  </si>
  <si>
    <t>I-2885</t>
  </si>
  <si>
    <t>I-2886</t>
  </si>
  <si>
    <t>I-2887</t>
  </si>
  <si>
    <t>I-2888</t>
  </si>
  <si>
    <t>I-2889</t>
  </si>
  <si>
    <t>Barbara Langdon</t>
  </si>
  <si>
    <t>I-2890</t>
  </si>
  <si>
    <t>I-2891</t>
  </si>
  <si>
    <t>I-2892</t>
  </si>
  <si>
    <t>I-2893</t>
  </si>
  <si>
    <t>I-2894</t>
  </si>
  <si>
    <t>I-2895</t>
  </si>
  <si>
    <t>I-2896</t>
  </si>
  <si>
    <t>I-2897</t>
  </si>
  <si>
    <t>I-2898</t>
  </si>
  <si>
    <t>I-2899</t>
  </si>
  <si>
    <t>I-2900</t>
  </si>
  <si>
    <t>I-2901</t>
  </si>
  <si>
    <t>I-2902</t>
  </si>
  <si>
    <t>I-2903</t>
  </si>
  <si>
    <t>I-2904</t>
  </si>
  <si>
    <t>I-2905</t>
  </si>
  <si>
    <t>I-2906</t>
  </si>
  <si>
    <t>I-2907</t>
  </si>
  <si>
    <t>I-2908</t>
  </si>
  <si>
    <t>I-2909</t>
  </si>
  <si>
    <t>I-2910</t>
  </si>
  <si>
    <t>I-2911</t>
  </si>
  <si>
    <t>I-2912</t>
  </si>
  <si>
    <t>I-2913</t>
  </si>
  <si>
    <t>I-2914</t>
  </si>
  <si>
    <t>I-2915</t>
  </si>
  <si>
    <t>I-2916</t>
  </si>
  <si>
    <t>I-2917</t>
  </si>
  <si>
    <t>I-2918</t>
  </si>
  <si>
    <t>I-2919</t>
  </si>
  <si>
    <t>I-2920</t>
  </si>
  <si>
    <t>I-2921</t>
  </si>
  <si>
    <t>I-2922</t>
  </si>
  <si>
    <t>I-2923</t>
  </si>
  <si>
    <t>I-2924</t>
  </si>
  <si>
    <t>I-2925</t>
  </si>
  <si>
    <t>I-2926</t>
  </si>
  <si>
    <t>I-2927</t>
  </si>
  <si>
    <t>I-2928</t>
  </si>
  <si>
    <t>I-2929</t>
  </si>
  <si>
    <t>I-2930</t>
  </si>
  <si>
    <t>I-2931</t>
  </si>
  <si>
    <t>I-2932</t>
  </si>
  <si>
    <t>I-2933</t>
  </si>
  <si>
    <t>I-2934</t>
  </si>
  <si>
    <t>I-2935</t>
  </si>
  <si>
    <t>I-2936</t>
  </si>
  <si>
    <t>I-2937</t>
  </si>
  <si>
    <t>I-2938</t>
  </si>
  <si>
    <t>I-2939</t>
  </si>
  <si>
    <t>I-2940</t>
  </si>
  <si>
    <t>I-2941</t>
  </si>
  <si>
    <t>I-2942</t>
  </si>
  <si>
    <t>I-2943</t>
  </si>
  <si>
    <t>I-2944</t>
  </si>
  <si>
    <t>I-2945</t>
  </si>
  <si>
    <t>I-2946</t>
  </si>
  <si>
    <t>I-2947</t>
  </si>
  <si>
    <t>I-2948</t>
  </si>
  <si>
    <t>I-2949</t>
  </si>
  <si>
    <t>I-2950</t>
  </si>
  <si>
    <t>I-2951</t>
  </si>
  <si>
    <t>I-2952</t>
  </si>
  <si>
    <t>I-2953</t>
  </si>
  <si>
    <t>I-2954</t>
  </si>
  <si>
    <t>I-2955</t>
  </si>
  <si>
    <t>I-2956</t>
  </si>
  <si>
    <t>I-2957</t>
  </si>
  <si>
    <t>I-2958</t>
  </si>
  <si>
    <t>I-2959</t>
  </si>
  <si>
    <t>Sharon Hubble</t>
  </si>
  <si>
    <t>I-2960</t>
  </si>
  <si>
    <t>I-2961</t>
  </si>
  <si>
    <t>I-2962</t>
  </si>
  <si>
    <t>I-2963</t>
  </si>
  <si>
    <t>Rita Schaffer</t>
  </si>
  <si>
    <t>I-2964</t>
  </si>
  <si>
    <t>I-2965</t>
  </si>
  <si>
    <t>I-2966</t>
  </si>
  <si>
    <t>I-2967</t>
  </si>
  <si>
    <t>I-2968</t>
  </si>
  <si>
    <t>I-2969</t>
  </si>
  <si>
    <t>I-2970</t>
  </si>
  <si>
    <t>I-2971</t>
  </si>
  <si>
    <t>I-2972</t>
  </si>
  <si>
    <t>I-2973</t>
  </si>
  <si>
    <t>I-2974</t>
  </si>
  <si>
    <t>I-2975</t>
  </si>
  <si>
    <t>I-2976</t>
  </si>
  <si>
    <t>I-2977</t>
  </si>
  <si>
    <t>I-2978</t>
  </si>
  <si>
    <t>I-2979</t>
  </si>
  <si>
    <t>I-2980</t>
  </si>
  <si>
    <t>I-2981</t>
  </si>
  <si>
    <t>I-2982</t>
  </si>
  <si>
    <t>I-2983</t>
  </si>
  <si>
    <t>I-2984</t>
  </si>
  <si>
    <t>I-2985</t>
  </si>
  <si>
    <t>I-2986</t>
  </si>
  <si>
    <t>I-2987</t>
  </si>
  <si>
    <t>I-2988</t>
  </si>
  <si>
    <t>I-2989</t>
  </si>
  <si>
    <t>I-2990</t>
  </si>
  <si>
    <t>I-2991</t>
  </si>
  <si>
    <t>I-2992</t>
  </si>
  <si>
    <t>I-2993</t>
  </si>
  <si>
    <t>I-2994</t>
  </si>
  <si>
    <t>I-2995</t>
  </si>
  <si>
    <t>I-2996</t>
  </si>
  <si>
    <t>I-2997</t>
  </si>
  <si>
    <t>I-2998</t>
  </si>
  <si>
    <t>I-2999</t>
  </si>
  <si>
    <t>I-3000</t>
  </si>
  <si>
    <t>I-3001</t>
  </si>
  <si>
    <t>I-3002</t>
  </si>
  <si>
    <t>I-3003</t>
  </si>
  <si>
    <t>I-3004</t>
  </si>
  <si>
    <t>I-3005</t>
  </si>
  <si>
    <t>I-3006</t>
  </si>
  <si>
    <t>I-3007</t>
  </si>
  <si>
    <t>I-3008</t>
  </si>
  <si>
    <t>I-3009</t>
  </si>
  <si>
    <t>I-3010</t>
  </si>
  <si>
    <t>I-3011</t>
  </si>
  <si>
    <t>I-3012</t>
  </si>
  <si>
    <t>I-3013</t>
  </si>
  <si>
    <t>I-3014</t>
  </si>
  <si>
    <t>I-3015</t>
  </si>
  <si>
    <t>I-3016</t>
  </si>
  <si>
    <t>I-3017</t>
  </si>
  <si>
    <t>I-3018</t>
  </si>
  <si>
    <t>I-3019</t>
  </si>
  <si>
    <t>I-3020</t>
  </si>
  <si>
    <t>I-3021</t>
  </si>
  <si>
    <t>I-3022</t>
  </si>
  <si>
    <t>I-3023</t>
  </si>
  <si>
    <t>I-3024</t>
  </si>
  <si>
    <t>I-3025</t>
  </si>
  <si>
    <t>I-3026</t>
  </si>
  <si>
    <t>I-3027</t>
  </si>
  <si>
    <t>I-3028</t>
  </si>
  <si>
    <t>Richard Bard</t>
  </si>
  <si>
    <t>I-3029</t>
  </si>
  <si>
    <t>I-3030</t>
  </si>
  <si>
    <t>I-3031</t>
  </si>
  <si>
    <t>I-3032</t>
  </si>
  <si>
    <t>I-3033</t>
  </si>
  <si>
    <t>I-3034</t>
  </si>
  <si>
    <t>I-3035</t>
  </si>
  <si>
    <t>I-3036</t>
  </si>
  <si>
    <t>I-3037</t>
  </si>
  <si>
    <t>I-3038</t>
  </si>
  <si>
    <t>I-3039</t>
  </si>
  <si>
    <t>I-3040</t>
  </si>
  <si>
    <t>I-3041</t>
  </si>
  <si>
    <t>I-3042</t>
  </si>
  <si>
    <t>I-3043</t>
  </si>
  <si>
    <t>I-3044</t>
  </si>
  <si>
    <t>I-3045</t>
  </si>
  <si>
    <t>I-3046</t>
  </si>
  <si>
    <t>I-3047</t>
  </si>
  <si>
    <t>I-3048</t>
  </si>
  <si>
    <t>I-3049</t>
  </si>
  <si>
    <t>I-3050</t>
  </si>
  <si>
    <t>John Ali</t>
  </si>
  <si>
    <t>I-3051</t>
  </si>
  <si>
    <t>I-3052</t>
  </si>
  <si>
    <t>I-3053</t>
  </si>
  <si>
    <t>I-3054</t>
  </si>
  <si>
    <t>I-3055</t>
  </si>
  <si>
    <t>Maxine Stockdale</t>
  </si>
  <si>
    <t>I-3056</t>
  </si>
  <si>
    <t>I-3057</t>
  </si>
  <si>
    <t>I-3058</t>
  </si>
  <si>
    <t>I-3059</t>
  </si>
  <si>
    <t>I-3060</t>
  </si>
  <si>
    <t>I-3061</t>
  </si>
  <si>
    <t>I-3062</t>
  </si>
  <si>
    <t>I-3063</t>
  </si>
  <si>
    <t>I-3064</t>
  </si>
  <si>
    <t>I-3065</t>
  </si>
  <si>
    <t>I-3066</t>
  </si>
  <si>
    <t>I-3067</t>
  </si>
  <si>
    <t>I-3068</t>
  </si>
  <si>
    <t>I-3069</t>
  </si>
  <si>
    <t>I-3070</t>
  </si>
  <si>
    <t>I-3071</t>
  </si>
  <si>
    <t>I-3072</t>
  </si>
  <si>
    <t>I-3073</t>
  </si>
  <si>
    <t>I-3074</t>
  </si>
  <si>
    <t>I-3075</t>
  </si>
  <si>
    <t>I-3076</t>
  </si>
  <si>
    <t>I-3077</t>
  </si>
  <si>
    <t>I-3078</t>
  </si>
  <si>
    <t>I-3079</t>
  </si>
  <si>
    <t>I-3080</t>
  </si>
  <si>
    <t>I-3081</t>
  </si>
  <si>
    <t>I-3082</t>
  </si>
  <si>
    <t>I-3083</t>
  </si>
  <si>
    <t>I-3084</t>
  </si>
  <si>
    <t>I-3085</t>
  </si>
  <si>
    <t>I-3086</t>
  </si>
  <si>
    <t>I-3087</t>
  </si>
  <si>
    <t>I-3088</t>
  </si>
  <si>
    <t>I-3089</t>
  </si>
  <si>
    <t>I-3090</t>
  </si>
  <si>
    <t>I-3091</t>
  </si>
  <si>
    <t>I-3092</t>
  </si>
  <si>
    <t>I-3093</t>
  </si>
  <si>
    <t>I-3094</t>
  </si>
  <si>
    <t>I-3095</t>
  </si>
  <si>
    <t>I-3096</t>
  </si>
  <si>
    <t>I-3097</t>
  </si>
  <si>
    <t>I-3098</t>
  </si>
  <si>
    <t>I-3099</t>
  </si>
  <si>
    <t>I-3100</t>
  </si>
  <si>
    <t>I-3101</t>
  </si>
  <si>
    <t>I-3102</t>
  </si>
  <si>
    <t>I-3103</t>
  </si>
  <si>
    <t>I-3104</t>
  </si>
  <si>
    <t>I-3105</t>
  </si>
  <si>
    <t>I-3106</t>
  </si>
  <si>
    <t>I-3107</t>
  </si>
  <si>
    <t>I-3108</t>
  </si>
  <si>
    <t>I-3109</t>
  </si>
  <si>
    <t>I-3110</t>
  </si>
  <si>
    <t>I-3111</t>
  </si>
  <si>
    <t>I-3112</t>
  </si>
  <si>
    <t>I-3113</t>
  </si>
  <si>
    <t>I-3114</t>
  </si>
  <si>
    <t>I-3115</t>
  </si>
  <si>
    <t>I-3116</t>
  </si>
  <si>
    <t>I-3117</t>
  </si>
  <si>
    <t>I-3118</t>
  </si>
  <si>
    <t>I-3119</t>
  </si>
  <si>
    <t>I-3120</t>
  </si>
  <si>
    <t>I-3121</t>
  </si>
  <si>
    <t>I-3122</t>
  </si>
  <si>
    <t>I-3123</t>
  </si>
  <si>
    <t>I-3124</t>
  </si>
  <si>
    <t>I-3125</t>
  </si>
  <si>
    <t>I-3126</t>
  </si>
  <si>
    <t>I-3127</t>
  </si>
  <si>
    <t>I-3128</t>
  </si>
  <si>
    <t>I-3129</t>
  </si>
  <si>
    <t>I-3130</t>
  </si>
  <si>
    <t>I-3131</t>
  </si>
  <si>
    <t>I-3132</t>
  </si>
  <si>
    <t>I-3133</t>
  </si>
  <si>
    <t>I-3134</t>
  </si>
  <si>
    <t>I-3135</t>
  </si>
  <si>
    <t>I-3136</t>
  </si>
  <si>
    <t>I-3137</t>
  </si>
  <si>
    <t>I-3138</t>
  </si>
  <si>
    <t>I-3139</t>
  </si>
  <si>
    <t>I-3140</t>
  </si>
  <si>
    <t>I-3141</t>
  </si>
  <si>
    <t>I-3142</t>
  </si>
  <si>
    <t>I-3143</t>
  </si>
  <si>
    <t>I-3144</t>
  </si>
  <si>
    <t>I-3145</t>
  </si>
  <si>
    <t>I-3146</t>
  </si>
  <si>
    <t>I-3147</t>
  </si>
  <si>
    <t>I-3148</t>
  </si>
  <si>
    <t>I-3149</t>
  </si>
  <si>
    <t>I-3150</t>
  </si>
  <si>
    <t>I-3151</t>
  </si>
  <si>
    <t>I-3152</t>
  </si>
  <si>
    <t>I-3153</t>
  </si>
  <si>
    <t>I-3154</t>
  </si>
  <si>
    <t>I-3155</t>
  </si>
  <si>
    <t>I-3156</t>
  </si>
  <si>
    <t>I-3157</t>
  </si>
  <si>
    <t>I-3158</t>
  </si>
  <si>
    <t>I-3159</t>
  </si>
  <si>
    <t>I-3160</t>
  </si>
  <si>
    <t>I-3161</t>
  </si>
  <si>
    <t>I-3162</t>
  </si>
  <si>
    <t>I-3163</t>
  </si>
  <si>
    <t>Glenys Muhammad</t>
  </si>
  <si>
    <t>I-3164</t>
  </si>
  <si>
    <t>I-3165</t>
  </si>
  <si>
    <t>I-3166</t>
  </si>
  <si>
    <t>I-3167</t>
  </si>
  <si>
    <t>I-3168</t>
  </si>
  <si>
    <t>I-3169</t>
  </si>
  <si>
    <t>I-3170</t>
  </si>
  <si>
    <t>I-3171</t>
  </si>
  <si>
    <t>I-3172</t>
  </si>
  <si>
    <t>I-3173</t>
  </si>
  <si>
    <t>I-3174</t>
  </si>
  <si>
    <t>Christine Rowe</t>
  </si>
  <si>
    <t>I-3175</t>
  </si>
  <si>
    <t>I-3176</t>
  </si>
  <si>
    <t>I-3177</t>
  </si>
  <si>
    <t>I-3178</t>
  </si>
  <si>
    <t>I-3179</t>
  </si>
  <si>
    <t>I-3180</t>
  </si>
  <si>
    <t>I-3181</t>
  </si>
  <si>
    <t>I-3182</t>
  </si>
  <si>
    <t>I-3183</t>
  </si>
  <si>
    <t>I-3184</t>
  </si>
  <si>
    <t>I-3185</t>
  </si>
  <si>
    <t>I-3186</t>
  </si>
  <si>
    <t>I-3187</t>
  </si>
  <si>
    <t>I-3188</t>
  </si>
  <si>
    <t>I-3189</t>
  </si>
  <si>
    <t>I-3190</t>
  </si>
  <si>
    <t>I-3191</t>
  </si>
  <si>
    <t>I-3192</t>
  </si>
  <si>
    <t>I-3193</t>
  </si>
  <si>
    <t>I-3194</t>
  </si>
  <si>
    <t>I-3195</t>
  </si>
  <si>
    <t>I-3196</t>
  </si>
  <si>
    <t>I-3197</t>
  </si>
  <si>
    <t>I-3198</t>
  </si>
  <si>
    <t>I-3199</t>
  </si>
  <si>
    <t>I-3200</t>
  </si>
  <si>
    <t>I-3201</t>
  </si>
  <si>
    <t>I-3202</t>
  </si>
  <si>
    <t>I-3203</t>
  </si>
  <si>
    <t>I-3204</t>
  </si>
  <si>
    <t>I-3205</t>
  </si>
  <si>
    <t>I-3206</t>
  </si>
  <si>
    <t>I-3207</t>
  </si>
  <si>
    <t>I-3208</t>
  </si>
  <si>
    <t>I-3209</t>
  </si>
  <si>
    <t>I-3210</t>
  </si>
  <si>
    <t>I-3211</t>
  </si>
  <si>
    <t>I-3212</t>
  </si>
  <si>
    <t>I-3213</t>
  </si>
  <si>
    <t>I-3214</t>
  </si>
  <si>
    <t>I-3215</t>
  </si>
  <si>
    <t>I-3216</t>
  </si>
  <si>
    <t>I-3217</t>
  </si>
  <si>
    <t>I-3218</t>
  </si>
  <si>
    <t>I-3219</t>
  </si>
  <si>
    <t>I-3220</t>
  </si>
  <si>
    <t>I-3221</t>
  </si>
  <si>
    <t>I-3222</t>
  </si>
  <si>
    <t>I-3223</t>
  </si>
  <si>
    <t>I-3224</t>
  </si>
  <si>
    <t>I-3225</t>
  </si>
  <si>
    <t>I-3226</t>
  </si>
  <si>
    <t>I-3227</t>
  </si>
  <si>
    <t>Julie Pope</t>
  </si>
  <si>
    <t>I-3228</t>
  </si>
  <si>
    <t>I-3229</t>
  </si>
  <si>
    <t>I-3230</t>
  </si>
  <si>
    <t>I-3231</t>
  </si>
  <si>
    <t>I-3232</t>
  </si>
  <si>
    <t>I-3233</t>
  </si>
  <si>
    <t>I-3234</t>
  </si>
  <si>
    <t>I-3235</t>
  </si>
  <si>
    <t>I-3236</t>
  </si>
  <si>
    <t>I-3237</t>
  </si>
  <si>
    <t>I-3238</t>
  </si>
  <si>
    <t>Mark Evans</t>
  </si>
  <si>
    <t>I-3239</t>
  </si>
  <si>
    <t>I-3240</t>
  </si>
  <si>
    <t>I-3241</t>
  </si>
  <si>
    <t>I-3242</t>
  </si>
  <si>
    <t>I-3243</t>
  </si>
  <si>
    <t>I-3244</t>
  </si>
  <si>
    <t>I-3245</t>
  </si>
  <si>
    <t>I-3246</t>
  </si>
  <si>
    <t>I-3247</t>
  </si>
  <si>
    <t>I-3248</t>
  </si>
  <si>
    <t>I-3249</t>
  </si>
  <si>
    <t>I-3250</t>
  </si>
  <si>
    <t>I-3251</t>
  </si>
  <si>
    <t>I-3252</t>
  </si>
  <si>
    <t>I-3253</t>
  </si>
  <si>
    <t>I-3254</t>
  </si>
  <si>
    <t>I-3255</t>
  </si>
  <si>
    <t>I-3256</t>
  </si>
  <si>
    <t>I-3257</t>
  </si>
  <si>
    <t>I-3258</t>
  </si>
  <si>
    <t>I-3259</t>
  </si>
  <si>
    <t>I-3260</t>
  </si>
  <si>
    <t>I-3261</t>
  </si>
  <si>
    <t>I-3262</t>
  </si>
  <si>
    <t>I-3263</t>
  </si>
  <si>
    <t>I-3264</t>
  </si>
  <si>
    <t>I-3265</t>
  </si>
  <si>
    <t>I-3266</t>
  </si>
  <si>
    <t>Steven Roberts</t>
  </si>
  <si>
    <t>I-3267</t>
  </si>
  <si>
    <t>I-3268</t>
  </si>
  <si>
    <t>I-3269</t>
  </si>
  <si>
    <t>I-3270</t>
  </si>
  <si>
    <t>I-3271</t>
  </si>
  <si>
    <t>I-3272</t>
  </si>
  <si>
    <t>I-3273</t>
  </si>
  <si>
    <t>I-3274</t>
  </si>
  <si>
    <t>I-3275</t>
  </si>
  <si>
    <t>I-3276</t>
  </si>
  <si>
    <t>I-3277</t>
  </si>
  <si>
    <t>I-3278</t>
  </si>
  <si>
    <t>I-3279</t>
  </si>
  <si>
    <t>I-3280</t>
  </si>
  <si>
    <t>I-3281</t>
  </si>
  <si>
    <t>I-3282</t>
  </si>
  <si>
    <t>I-3283</t>
  </si>
  <si>
    <t>I-3284</t>
  </si>
  <si>
    <t>I-3285</t>
  </si>
  <si>
    <t>I-3286</t>
  </si>
  <si>
    <t>I-3287</t>
  </si>
  <si>
    <t>I-3288</t>
  </si>
  <si>
    <t>I-3289</t>
  </si>
  <si>
    <t>I-3290</t>
  </si>
  <si>
    <t>I-3291</t>
  </si>
  <si>
    <t>I-3292</t>
  </si>
  <si>
    <t>I-3293</t>
  </si>
  <si>
    <t>I-3294</t>
  </si>
  <si>
    <t>I-3295</t>
  </si>
  <si>
    <t>I-3296</t>
  </si>
  <si>
    <t>I-3297</t>
  </si>
  <si>
    <t>I-3298</t>
  </si>
  <si>
    <t>I-3299</t>
  </si>
  <si>
    <t>I-3300</t>
  </si>
  <si>
    <t>I-3301</t>
  </si>
  <si>
    <t>I-3302</t>
  </si>
  <si>
    <t>I-3303</t>
  </si>
  <si>
    <t>I-3304</t>
  </si>
  <si>
    <t>I-3305</t>
  </si>
  <si>
    <t>I-3306</t>
  </si>
  <si>
    <t>Frank Cowden</t>
  </si>
  <si>
    <t>I-3307</t>
  </si>
  <si>
    <t>I-3308</t>
  </si>
  <si>
    <t>John Gibb</t>
  </si>
  <si>
    <t>I-3309</t>
  </si>
  <si>
    <t>I-3310</t>
  </si>
  <si>
    <t>I-3311</t>
  </si>
  <si>
    <t>I-3312</t>
  </si>
  <si>
    <t>I-3313</t>
  </si>
  <si>
    <t>I-3314</t>
  </si>
  <si>
    <t>I-3315</t>
  </si>
  <si>
    <t>I-3316</t>
  </si>
  <si>
    <t>Alexandra Mukherjee</t>
  </si>
  <si>
    <t>I-3317</t>
  </si>
  <si>
    <t>I-3318</t>
  </si>
  <si>
    <t>I-3319</t>
  </si>
  <si>
    <t>I-3320</t>
  </si>
  <si>
    <t>I-3321</t>
  </si>
  <si>
    <t>I-3322</t>
  </si>
  <si>
    <t>I-3323</t>
  </si>
  <si>
    <t>I-3324</t>
  </si>
  <si>
    <t>I-3325</t>
  </si>
  <si>
    <t>I-3326</t>
  </si>
  <si>
    <t>I-3327</t>
  </si>
  <si>
    <t>I-3328</t>
  </si>
  <si>
    <t>I-3329</t>
  </si>
  <si>
    <t>I-3330</t>
  </si>
  <si>
    <t>I-3331</t>
  </si>
  <si>
    <t>I-3332</t>
  </si>
  <si>
    <t>I-3333</t>
  </si>
  <si>
    <t>I-3334</t>
  </si>
  <si>
    <t>I-3335</t>
  </si>
  <si>
    <t>I-3336</t>
  </si>
  <si>
    <t>I-3337</t>
  </si>
  <si>
    <t>I-3338</t>
  </si>
  <si>
    <t>I-3339</t>
  </si>
  <si>
    <t>Revenue</t>
  </si>
  <si>
    <t>Row Labels</t>
  </si>
  <si>
    <t>Grand Total</t>
  </si>
  <si>
    <t>Sum of Revenue</t>
  </si>
  <si>
    <t>May</t>
  </si>
  <si>
    <t>Jan</t>
  </si>
  <si>
    <t>Feb</t>
  </si>
  <si>
    <t>Mar</t>
  </si>
  <si>
    <t>Apr</t>
  </si>
  <si>
    <t>Jun</t>
  </si>
  <si>
    <t>Jul</t>
  </si>
  <si>
    <t>Aug</t>
  </si>
  <si>
    <t>Sep</t>
  </si>
  <si>
    <t>Oct</t>
  </si>
  <si>
    <t>Nov</t>
  </si>
  <si>
    <t>Dec</t>
  </si>
  <si>
    <t>Sales by Product</t>
  </si>
  <si>
    <t>Sales by Country</t>
  </si>
  <si>
    <t>Sales by Month</t>
  </si>
  <si>
    <t>Search Product:</t>
  </si>
  <si>
    <t>Official List Price:</t>
  </si>
  <si>
    <t xml:space="preserve">   Total Gross Revenue:</t>
  </si>
  <si>
    <t>Sum of Quantity</t>
  </si>
  <si>
    <t>Month Name</t>
  </si>
  <si>
    <t xml:space="preserve">     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</si>
</sst>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x14ac:knownFonts="1">
    <font>
      <sz val="11"/>
      <color theme="1"/>
      <name val="Trebuchet MS"/>
      <family val="2"/>
      <scheme val="minor"/>
    </font>
    <font>
      <sz val="11"/>
      <color rgb="FF000000"/>
      <name val="Calibri"/>
      <family val="2"/>
    </font>
    <font>
      <b/>
      <sz val="11"/>
      <color theme="1"/>
      <name val="Trebuchet MS"/>
      <family val="2"/>
      <scheme val="minor"/>
    </font>
    <font>
      <b/>
      <sz val="11"/>
      <color rgb="FF000000"/>
      <name val="Calibri"/>
      <family val="2"/>
    </font>
    <font>
      <sz val="8"/>
      <name val="Trebuchet MS"/>
      <family val="2"/>
      <scheme val="minor"/>
    </font>
    <font>
      <u/>
      <sz val="11"/>
      <color theme="1"/>
      <name val="Trebuchet MS"/>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9">
    <xf numFmtId="0" fontId="0" fillId="0" borderId="0" xfId="0"/>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10" fontId="1" fillId="0" borderId="0" xfId="0" applyNumberFormat="1" applyFont="1" applyAlignment="1">
      <alignment horizontal="center"/>
    </xf>
    <xf numFmtId="164" fontId="3" fillId="0" borderId="0" xfId="0" applyNumberFormat="1" applyFont="1" applyAlignment="1">
      <alignment horizontal="center"/>
    </xf>
    <xf numFmtId="164" fontId="1" fillId="0" borderId="0" xfId="0" applyNumberFormat="1" applyFont="1" applyAlignment="1">
      <alignment horizontal="center"/>
    </xf>
    <xf numFmtId="164" fontId="0" fillId="0" borderId="0" xfId="0" applyNumberFormat="1" applyAlignment="1">
      <alignment horizontal="center"/>
    </xf>
    <xf numFmtId="0" fontId="2" fillId="0" borderId="0" xfId="0" applyFont="1"/>
    <xf numFmtId="0" fontId="0" fillId="2" borderId="1" xfId="0"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22" fontId="0" fillId="0" borderId="0" xfId="0" applyNumberFormat="1"/>
    <xf numFmtId="0" fontId="5" fillId="2" borderId="2" xfId="0" applyFont="1" applyFill="1" applyBorder="1"/>
    <xf numFmtId="0" fontId="0" fillId="4" borderId="0" xfId="0" applyFill="1"/>
    <xf numFmtId="0" fontId="0" fillId="4" borderId="0" xfId="0" applyFill="1" applyAlignment="1">
      <alignment horizontal="left"/>
    </xf>
    <xf numFmtId="0" fontId="0" fillId="5" borderId="0" xfId="0" applyFill="1"/>
    <xf numFmtId="0" fontId="0" fillId="3" borderId="0" xfId="0" applyFill="1"/>
    <xf numFmtId="0" fontId="0" fillId="0" borderId="0" xfId="0" applyAlignment="1">
      <alignment horizontal="left"/>
    </xf>
    <xf numFmtId="0" fontId="2" fillId="4" borderId="0" xfId="0" applyNumberFormat="1" applyFont="1" applyFill="1"/>
    <xf numFmtId="0" fontId="0" fillId="4" borderId="0" xfId="0" applyNumberFormat="1" applyFill="1"/>
  </cellXfs>
  <cellStyles count="1">
    <cellStyle name="Normal" xfId="0" builtinId="0"/>
  </cellStyles>
  <dxfs count="211">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9" tint="-0.249977111117893"/>
        </patternFill>
      </fill>
    </dxf>
    <dxf>
      <fill>
        <patternFill>
          <bgColor theme="9" tint="-0.249977111117893"/>
        </patternFill>
      </fill>
    </dxf>
    <dxf>
      <font>
        <b/>
      </font>
    </dxf>
    <dxf>
      <font>
        <i val="0"/>
      </font>
    </dxf>
    <dxf>
      <font>
        <u val="none"/>
      </font>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ont>
        <u val="none"/>
      </font>
    </dxf>
    <dxf>
      <font>
        <i val="0"/>
      </font>
    </dxf>
    <dxf>
      <font>
        <b/>
      </font>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249977111117893"/>
        </patternFill>
      </fill>
    </dxf>
    <dxf>
      <fill>
        <patternFill patternType="solid">
          <bgColor theme="9" tint="-0.249977111117893"/>
        </patternFill>
      </fill>
    </dxf>
    <dxf>
      <fill>
        <patternFill>
          <bgColor theme="9" tint="-0.249977111117893"/>
        </patternFill>
      </fill>
    </dxf>
    <dxf>
      <fill>
        <patternFill>
          <bgColor theme="9" tint="-0.249977111117893"/>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27" formatCode="dd/mm/yyyy\ hh:mm"/>
    </dxf>
    <dxf>
      <numFmt numFmtId="0" formatCode="General"/>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1"/>
        <color rgb="FF000000"/>
        <name val="Calibri"/>
        <family val="2"/>
        <scheme val="none"/>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F800]dddd\,\ mmmm\ dd\,\ 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[Project_1_Global_Electronic_Sales.xlsx.xlsx]Analysis!PivotTable11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solidFill>
              <a:schemeClr val="accent1"/>
            </a:solidFill>
            <a:ln>
              <a:noFill/>
            </a:ln>
            <a:effectLst/>
          </c:spPr>
          <c:invertIfNegative val="0"/>
          <c:cat>
            <c:strRef>
              <c:f>Analysis!$A$3:$A$15</c:f>
              <c:strCache>
                <c:ptCount val="12"/>
                <c:pt idx="0">
                  <c:v>Refrigerator</c:v>
                </c:pt>
                <c:pt idx="1">
                  <c:v>Washing Machine</c:v>
                </c:pt>
                <c:pt idx="2">
                  <c:v>Air conditioner</c:v>
                </c:pt>
                <c:pt idx="3">
                  <c:v>Oven</c:v>
                </c:pt>
                <c:pt idx="4">
                  <c:v>Dishwasher</c:v>
                </c:pt>
                <c:pt idx="5">
                  <c:v>Vacuum Cleaner</c:v>
                </c:pt>
                <c:pt idx="6">
                  <c:v>Ceiling fan</c:v>
                </c:pt>
                <c:pt idx="7">
                  <c:v>Microwave</c:v>
                </c:pt>
                <c:pt idx="8">
                  <c:v>Coffee grinder</c:v>
                </c:pt>
                <c:pt idx="9">
                  <c:v>Toaster</c:v>
                </c:pt>
                <c:pt idx="10">
                  <c:v>Blender</c:v>
                </c:pt>
                <c:pt idx="11">
                  <c:v>Iron</c:v>
                </c:pt>
              </c:strCache>
            </c:strRef>
          </c:cat>
          <c:val>
            <c:numRef>
              <c:f>Analysis!$B$3:$B$15</c:f>
              <c:numCache>
                <c:formatCode>General</c:formatCode>
                <c:ptCount val="12"/>
                <c:pt idx="0">
                  <c:v>7017020</c:v>
                </c:pt>
                <c:pt idx="1">
                  <c:v>6394336</c:v>
                </c:pt>
                <c:pt idx="2">
                  <c:v>5979071</c:v>
                </c:pt>
                <c:pt idx="3">
                  <c:v>5030390</c:v>
                </c:pt>
                <c:pt idx="4">
                  <c:v>3781925</c:v>
                </c:pt>
                <c:pt idx="5">
                  <c:v>2147734</c:v>
                </c:pt>
                <c:pt idx="6">
                  <c:v>1226203</c:v>
                </c:pt>
                <c:pt idx="7">
                  <c:v>709173</c:v>
                </c:pt>
                <c:pt idx="8">
                  <c:v>592789</c:v>
                </c:pt>
                <c:pt idx="9">
                  <c:v>430608</c:v>
                </c:pt>
                <c:pt idx="10">
                  <c:v>420201</c:v>
                </c:pt>
                <c:pt idx="11">
                  <c:v>323927</c:v>
                </c:pt>
              </c:numCache>
            </c:numRef>
          </c:val>
          <c:extLst>
            <c:ext xmlns:c16="http://schemas.microsoft.com/office/drawing/2014/chart" uri="{C3380CC4-5D6E-409C-BE32-E72D297353CC}">
              <c16:uniqueId val="{00000000-E580-4EEE-B67C-0D9FF0A50915}"/>
            </c:ext>
          </c:extLst>
        </c:ser>
        <c:dLbls>
          <c:showLegendKey val="0"/>
          <c:showVal val="0"/>
          <c:showCatName val="0"/>
          <c:showSerName val="0"/>
          <c:showPercent val="0"/>
          <c:showBubbleSize val="0"/>
        </c:dLbls>
        <c:gapWidth val="219"/>
        <c:overlap val="-27"/>
        <c:axId val="1434300959"/>
        <c:axId val="956573999"/>
      </c:barChart>
      <c:catAx>
        <c:axId val="14343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573999"/>
        <c:crosses val="autoZero"/>
        <c:auto val="1"/>
        <c:lblAlgn val="ctr"/>
        <c:lblOffset val="100"/>
        <c:noMultiLvlLbl val="0"/>
      </c:catAx>
      <c:valAx>
        <c:axId val="9565739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3430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233682</xdr:colOff>
      <xdr:row>0</xdr:row>
      <xdr:rowOff>5620</xdr:rowOff>
    </xdr:from>
    <xdr:to>
      <xdr:col>12</xdr:col>
      <xdr:colOff>595663</xdr:colOff>
      <xdr:row>13</xdr:row>
      <xdr:rowOff>179824</xdr:rowOff>
    </xdr:to>
    <xdr:graphicFrame macro="">
      <xdr:nvGraphicFramePr>
        <xdr:cNvPr id="14" name="Chart 13">
          <a:extLst>
            <a:ext uri="{FF2B5EF4-FFF2-40B4-BE49-F238E27FC236}">
              <a16:creationId xmlns:a16="http://schemas.microsoft.com/office/drawing/2014/main" id="{C4D5BF9C-1A82-4AC8-8811-7D14CCB82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xdr:rowOff>
    </xdr:from>
    <xdr:to>
      <xdr:col>2</xdr:col>
      <xdr:colOff>724908</xdr:colOff>
      <xdr:row>7</xdr:row>
      <xdr:rowOff>134868</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DC9124FE-DB6E-FDEB-C0EE-B336056FB5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826324" cy="2583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758252</xdr:colOff>
      <xdr:row>0</xdr:row>
      <xdr:rowOff>0</xdr:rowOff>
    </xdr:from>
    <xdr:to>
      <xdr:col>5</xdr:col>
      <xdr:colOff>188884</xdr:colOff>
      <xdr:row>7</xdr:row>
      <xdr:rowOff>134868</xdr:rowOff>
    </xdr:to>
    <mc:AlternateContent xmlns:mc="http://schemas.openxmlformats.org/markup-compatibility/2006" xmlns:a14="http://schemas.microsoft.com/office/drawing/2010/main">
      <mc:Choice Requires="a14">
        <xdr:graphicFrame macro="">
          <xdr:nvGraphicFramePr>
            <xdr:cNvPr id="17" name="Country">
              <a:extLst>
                <a:ext uri="{FF2B5EF4-FFF2-40B4-BE49-F238E27FC236}">
                  <a16:creationId xmlns:a16="http://schemas.microsoft.com/office/drawing/2014/main" id="{AB399106-2565-B645-CC00-27AC3A27632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859668" y="0"/>
              <a:ext cx="1824526" cy="1432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594348</xdr:colOff>
      <xdr:row>0</xdr:row>
      <xdr:rowOff>82977</xdr:rowOff>
    </xdr:from>
    <xdr:to>
      <xdr:col>8</xdr:col>
      <xdr:colOff>56195</xdr:colOff>
      <xdr:row>1</xdr:row>
      <xdr:rowOff>61815</xdr:rowOff>
    </xdr:to>
    <xdr:sp macro="" textlink="Analysis!J3">
      <xdr:nvSpPr>
        <xdr:cNvPr id="2" name="Rectangle 1">
          <a:extLst>
            <a:ext uri="{FF2B5EF4-FFF2-40B4-BE49-F238E27FC236}">
              <a16:creationId xmlns:a16="http://schemas.microsoft.com/office/drawing/2014/main" id="{23971FFE-FD03-1F68-186C-3CB13E89B35B}"/>
            </a:ext>
          </a:extLst>
        </xdr:cNvPr>
        <xdr:cNvSpPr/>
      </xdr:nvSpPr>
      <xdr:spPr>
        <a:xfrm>
          <a:off x="4752755" y="82977"/>
          <a:ext cx="1243219" cy="164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D989E0-D5B2-44CE-B2B2-4A50E7340E0B}" type="TxLink">
            <a:rPr lang="en-US" sz="1100" b="0" i="0" u="none" strike="noStrike">
              <a:solidFill>
                <a:srgbClr val="000000"/>
              </a:solidFill>
              <a:latin typeface="Calibri"/>
              <a:ea typeface="Calibri"/>
              <a:cs typeface="Calibri"/>
            </a:rPr>
            <a:pPr algn="ctr"/>
            <a:t>34053377</a:t>
          </a:fld>
          <a:endParaRPr lang="en-US" sz="1100"/>
        </a:p>
      </xdr:txBody>
    </xdr:sp>
    <xdr:clientData/>
  </xdr:twoCellAnchor>
  <xdr:twoCellAnchor editAs="oneCell">
    <xdr:from>
      <xdr:col>0</xdr:col>
      <xdr:colOff>0</xdr:colOff>
      <xdr:row>7</xdr:row>
      <xdr:rowOff>149873</xdr:rowOff>
    </xdr:from>
    <xdr:to>
      <xdr:col>5</xdr:col>
      <xdr:colOff>179822</xdr:colOff>
      <xdr:row>14</xdr:row>
      <xdr:rowOff>1</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FA8F22AB-3231-1F3F-1B0A-B542AE5061D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447970"/>
              <a:ext cx="3675132" cy="1148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harma" refreshedDate="46250.428988541666" createdVersion="8" refreshedVersion="8" minRefreshableVersion="3" recordCount="2339" xr:uid="{DCA0F33F-22FD-4968-B82C-C031D709F7B1}">
  <cacheSource type="worksheet">
    <worksheetSource name="tblSales"/>
  </cacheSource>
  <cacheFields count="12">
    <cacheField name="JE Code" numFmtId="0">
      <sharedItems/>
    </cacheField>
    <cacheField name="Store" numFmtId="0">
      <sharedItems/>
    </cacheField>
    <cacheField name="Country" numFmtId="0">
      <sharedItems/>
    </cacheField>
    <cacheField name="Region" numFmtId="0">
      <sharedItems/>
    </cacheField>
    <cacheField name="Date" numFmtId="16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Quantity" numFmtId="0">
      <sharedItems containsSemiMixedTypes="0" containsString="0" containsNumber="1" containsInteger="1" minValue="1" maxValue="100"/>
    </cacheField>
    <cacheField name="Revenue" numFmtId="0">
      <sharedItems containsString="0" containsBlank="1" containsNumber="1" containsInteger="1" minValue="26" maxValue="96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Sharma" refreshedDate="46250.529973611112" createdVersion="8" refreshedVersion="8" minRefreshableVersion="3" recordCount="2339" xr:uid="{D1098B84-10A1-48D7-9577-B98F661CD2A6}">
  <cacheSource type="worksheet">
    <worksheetSource name="tblSales7"/>
  </cacheSource>
  <cacheFields count="7">
    <cacheField name="Store" numFmtId="0">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ombia"/>
        <s v="Argentina"/>
        <s v="Spain"/>
        <s v="Austria"/>
        <s v="Egypt"/>
        <s v="Malaysia"/>
        <s v="Romania"/>
        <s v="UAE"/>
        <s v="Chile"/>
      </sharedItems>
    </cacheField>
    <cacheField name="Region" numFmtId="0">
      <sharedItems count="4">
        <s v="EMEA"/>
        <s v="NA"/>
        <s v="LATAM"/>
        <s v="APAC"/>
      </sharedItems>
    </cacheField>
    <cacheField name="Item" numFmtId="0">
      <sharedItems count="12">
        <s v="Microwave"/>
        <s v="Air conditioner"/>
        <s v="Ceiling fan"/>
        <s v="Toaster"/>
        <s v="Iron"/>
        <s v="Dishwasher"/>
        <s v="Washing Machine"/>
        <s v="Refrigerator"/>
        <s v="Oven"/>
        <s v="Coffee grinder"/>
        <s v="Vacuum Cleaner"/>
        <s v="Blender"/>
      </sharedItems>
    </cacheField>
    <cacheField name="Quantity" numFmtId="0">
      <sharedItems containsSemiMixedTypes="0" containsString="0" containsNumber="1" containsInteger="1" minValue="1" maxValue="100"/>
    </cacheField>
    <cacheField name="Revenue" numFmtId="0">
      <sharedItems containsString="0" containsBlank="1" containsNumber="1" containsInteger="1" minValue="26" maxValue="96000"/>
    </cacheField>
    <cacheField name="Month" numFmtId="0">
      <sharedItems count="12">
        <s v="Jun"/>
        <s v="Apr"/>
        <s v="Mar"/>
        <s v="Aug"/>
        <s v="Jul"/>
        <s v="Nov"/>
        <s v="Sep"/>
        <s v="May"/>
        <s v="Dec"/>
        <s v="Feb"/>
        <s v="Jan"/>
        <s v="Oct"/>
      </sharedItems>
    </cacheField>
  </cacheFields>
  <extLst>
    <ext xmlns:x14="http://schemas.microsoft.com/office/spreadsheetml/2009/9/main" uri="{725AE2AE-9491-48be-B2B4-4EB974FC3084}">
      <x14:pivotCacheDefinition pivotCacheId="692596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1001"/>
    <s v="Moscow"/>
    <s v="Russia"/>
    <s v="EMEA"/>
    <d v="2018-06-10T00:00:00"/>
    <x v="0"/>
    <s v="May Wilmot"/>
    <n v="80"/>
    <n v="79"/>
    <n v="1.2500000000000001E-2"/>
    <n v="83"/>
    <n v="6557"/>
  </r>
  <r>
    <s v="I-1002"/>
    <s v="Toronto"/>
    <s v="Canada"/>
    <s v="NA"/>
    <d v="2015-04-23T00:00:00"/>
    <x v="0"/>
    <s v="David Shiner"/>
    <n v="80"/>
    <n v="54"/>
    <n v="0.32500000000000001"/>
    <n v="8"/>
    <n v="432"/>
  </r>
  <r>
    <s v="I-1003"/>
    <s v="Sao Paolo"/>
    <s v="Brazil"/>
    <s v="LATAM"/>
    <d v="2017-03-04T00:00:00"/>
    <x v="1"/>
    <s v="Gary Reynolds"/>
    <n v="700"/>
    <n v="686"/>
    <n v="0.02"/>
    <n v="91"/>
    <n v="62426"/>
  </r>
  <r>
    <s v="I-1004"/>
    <s v="Istanbul"/>
    <s v="Turkey"/>
    <s v="EMEA"/>
    <d v="2018-08-14T00:00:00"/>
    <x v="2"/>
    <s v="Mark Buntain"/>
    <n v="150"/>
    <n v="137"/>
    <n v="8.6699999999999999E-2"/>
    <n v="2"/>
    <n v="274"/>
  </r>
  <r>
    <s v="I-1005"/>
    <s v="Sydney"/>
    <s v="Australia"/>
    <s v="APAC"/>
    <d v="2015-03-03T00:00:00"/>
    <x v="3"/>
    <s v="Christine Davies"/>
    <n v="50"/>
    <n v="37"/>
    <n v="0.26"/>
    <n v="40"/>
    <n v="1480"/>
  </r>
  <r>
    <s v="I-1006"/>
    <s v="Shenzhen"/>
    <s v="China"/>
    <s v="APAC"/>
    <d v="2016-04-25T00:00:00"/>
    <x v="4"/>
    <s v="Gary Shaw"/>
    <n v="30"/>
    <n v="29"/>
    <n v="3.3300000000000003E-2"/>
    <n v="27"/>
    <n v="783"/>
  </r>
  <r>
    <s v="I-1007"/>
    <s v="Lima"/>
    <s v="Peru"/>
    <s v="LATAM"/>
    <d v="2016-06-06T00:00:00"/>
    <x v="5"/>
    <s v="Christopher Cresswell"/>
    <n v="500"/>
    <n v="465"/>
    <n v="7.0000000000000007E-2"/>
    <n v="70"/>
    <m/>
  </r>
  <r>
    <s v="I-1008"/>
    <s v="Tijuana"/>
    <s v="Mexico"/>
    <s v="LATAM"/>
    <d v="2016-07-06T00:00:00"/>
    <x v="4"/>
    <s v="Gillian Allnutt"/>
    <n v="30"/>
    <n v="28"/>
    <n v="6.6699999999999995E-2"/>
    <n v="42"/>
    <n v="1176"/>
  </r>
  <r>
    <s v="I-1009"/>
    <s v="London"/>
    <s v="UK"/>
    <s v="EMEA"/>
    <d v="2015-11-12T00:00:00"/>
    <x v="6"/>
    <s v="Francis Godden"/>
    <n v="800"/>
    <n v="760"/>
    <n v="0.05"/>
    <n v="76"/>
    <n v="57760"/>
  </r>
  <r>
    <s v="I-1010"/>
    <s v="Lima"/>
    <s v="Peru"/>
    <s v="LATAM"/>
    <d v="2014-07-09T00:00:00"/>
    <x v="4"/>
    <s v="Christopher Cresswell"/>
    <n v="30"/>
    <n v="28"/>
    <n v="6.6699999999999995E-2"/>
    <n v="68"/>
    <n v="1904"/>
  </r>
  <r>
    <s v="I-1011"/>
    <s v="Riyadh"/>
    <s v="Saudi Arabia"/>
    <s v="EMEA"/>
    <d v="2017-07-10T00:00:00"/>
    <x v="7"/>
    <s v="Danny Brooks"/>
    <n v="1000"/>
    <n v="500"/>
    <n v="0.5"/>
    <n v="52"/>
    <n v="26000"/>
  </r>
  <r>
    <s v="I-1012"/>
    <s v="Bangkok"/>
    <s v="Thailand"/>
    <s v="APAC"/>
    <d v="2014-08-21T00:00:00"/>
    <x v="1"/>
    <s v="John Jenkins"/>
    <n v="700"/>
    <n v="679"/>
    <n v="0.03"/>
    <n v="71"/>
    <n v="48209"/>
  </r>
  <r>
    <s v="I-1013"/>
    <s v="Tijuana"/>
    <s v="Mexico"/>
    <s v="LATAM"/>
    <d v="2015-09-03T00:00:00"/>
    <x v="4"/>
    <s v="Richard Allnutt"/>
    <n v="30"/>
    <n v="28"/>
    <n v="6.6699999999999995E-2"/>
    <n v="5"/>
    <n v="140"/>
  </r>
  <r>
    <s v="I-1014"/>
    <s v="Delhi"/>
    <s v="India"/>
    <s v="APAC"/>
    <d v="2014-05-30T00:00:00"/>
    <x v="8"/>
    <s v="Tessa Morrow"/>
    <n v="500"/>
    <n v="490"/>
    <n v="0.02"/>
    <n v="57"/>
    <n v="27930"/>
  </r>
  <r>
    <s v="I-1015"/>
    <s v="Sydney"/>
    <s v="Australia"/>
    <s v="APAC"/>
    <d v="2018-12-11T00:00:00"/>
    <x v="6"/>
    <s v="James Ricketts"/>
    <n v="800"/>
    <n v="672"/>
    <n v="0.16"/>
    <n v="1"/>
    <n v="672"/>
  </r>
  <r>
    <s v="I-1016"/>
    <s v="Ho Chi Minh City"/>
    <s v="Vietnam"/>
    <s v="APAC"/>
    <d v="2015-05-24T00:00:00"/>
    <x v="0"/>
    <s v="Susan Dixon"/>
    <n v="80"/>
    <n v="78"/>
    <n v="2.5000000000000001E-2"/>
    <n v="11"/>
    <n v="858"/>
  </r>
  <r>
    <s v="I-1017"/>
    <s v="Tel Aviv"/>
    <s v="Israel"/>
    <s v="EMEA"/>
    <d v="2014-06-12T00:00:00"/>
    <x v="7"/>
    <s v="Thomas Gordon"/>
    <n v="1000"/>
    <n v="620"/>
    <n v="0.38"/>
    <n v="45"/>
    <n v="27900"/>
  </r>
  <r>
    <s v="I-1018"/>
    <s v="Athens"/>
    <s v="Greece"/>
    <s v="EMEA"/>
    <d v="2017-11-07T00:00:00"/>
    <x v="8"/>
    <s v="David Walker"/>
    <n v="500"/>
    <n v="500"/>
    <n v="0"/>
    <n v="59"/>
    <n v="29500"/>
  </r>
  <r>
    <s v="I-1019"/>
    <s v="Toronto"/>
    <s v="Canada"/>
    <s v="NA"/>
    <d v="2014-11-03T00:00:00"/>
    <x v="2"/>
    <s v="Robin Hall"/>
    <n v="150"/>
    <n v="150"/>
    <n v="0"/>
    <n v="5"/>
    <n v="750"/>
  </r>
  <r>
    <s v="I-1020"/>
    <s v="Osaka"/>
    <s v="Japan"/>
    <s v="APAC"/>
    <d v="2016-07-23T00:00:00"/>
    <x v="7"/>
    <s v="Kenneth Walter"/>
    <n v="1000"/>
    <n v="950"/>
    <n v="0.05"/>
    <n v="89"/>
    <n v="84550"/>
  </r>
  <r>
    <s v="I-1021"/>
    <s v="Prague"/>
    <s v="Czech Republic"/>
    <s v="EMEA"/>
    <d v="2017-09-28T00:00:00"/>
    <x v="6"/>
    <s v="Edward Khan"/>
    <n v="800"/>
    <n v="736"/>
    <n v="0.08"/>
    <n v="34"/>
    <n v="25024"/>
  </r>
  <r>
    <s v="I-1022"/>
    <s v="Capetown"/>
    <s v="South Africa"/>
    <s v="EMEA"/>
    <d v="2015-04-17T00:00:00"/>
    <x v="4"/>
    <s v="Nicholas Holloway"/>
    <n v="30"/>
    <n v="22"/>
    <n v="0.26669999999999999"/>
    <n v="50"/>
    <n v="1100"/>
  </r>
  <r>
    <s v="I-1023"/>
    <s v="Bangalore"/>
    <s v="India"/>
    <s v="APAC"/>
    <d v="2018-11-13T00:00:00"/>
    <x v="9"/>
    <s v="Delia Muhammad"/>
    <n v="70"/>
    <n v="67"/>
    <n v="4.2900000000000001E-2"/>
    <n v="31"/>
    <n v="2077"/>
  </r>
  <r>
    <s v="I-1024"/>
    <s v="Seattle"/>
    <s v="USA"/>
    <s v="NA"/>
    <d v="2018-02-13T00:00:00"/>
    <x v="4"/>
    <s v="Lesleyann Pope"/>
    <n v="30"/>
    <n v="27"/>
    <n v="0.1"/>
    <n v="12"/>
    <n v="324"/>
  </r>
  <r>
    <s v="I-1025"/>
    <s v="Jerusalem"/>
    <s v="Israel"/>
    <s v="EMEA"/>
    <d v="2018-02-20T00:00:00"/>
    <x v="8"/>
    <s v="Susan Carley"/>
    <n v="500"/>
    <n v="495"/>
    <n v="0.01"/>
    <n v="26"/>
    <n v="12870"/>
  </r>
  <r>
    <s v="I-1026"/>
    <s v="Birmingham"/>
    <s v="UK"/>
    <s v="EMEA"/>
    <d v="2016-03-22T00:00:00"/>
    <x v="10"/>
    <s v="Damien Smith"/>
    <n v="250"/>
    <n v="238"/>
    <n v="4.8000000000000001E-2"/>
    <n v="83"/>
    <n v="19754"/>
  </r>
  <r>
    <s v="I-1027"/>
    <s v="Seoul"/>
    <s v="South Korea"/>
    <s v="APAC"/>
    <d v="2017-02-07T00:00:00"/>
    <x v="10"/>
    <s v="Steven Wood"/>
    <n v="250"/>
    <n v="240"/>
    <n v="0.04"/>
    <n v="68"/>
    <n v="16320"/>
  </r>
  <r>
    <s v="I-1028"/>
    <s v="Toronto"/>
    <s v="Canada"/>
    <s v="NA"/>
    <d v="2016-01-23T00:00:00"/>
    <x v="11"/>
    <s v="David Shiner"/>
    <n v="50"/>
    <n v="43"/>
    <n v="0.14000000000000001"/>
    <n v="87"/>
    <n v="3741"/>
  </r>
  <r>
    <s v="I-1029"/>
    <s v="Guangzhou"/>
    <s v="China"/>
    <s v="APAC"/>
    <d v="2015-10-28T00:00:00"/>
    <x v="8"/>
    <s v="Glenys Wright"/>
    <n v="500"/>
    <n v="495"/>
    <n v="0.01"/>
    <n v="58"/>
    <n v="28710"/>
  </r>
  <r>
    <s v="I-1030"/>
    <s v="Berlin"/>
    <s v="Germany"/>
    <s v="EMEA"/>
    <d v="2017-12-14T00:00:00"/>
    <x v="9"/>
    <s v="Kate Pearce"/>
    <n v="70"/>
    <n v="64"/>
    <n v="8.5699999999999998E-2"/>
    <n v="92"/>
    <n v="5888"/>
  </r>
  <r>
    <s v="I-1031"/>
    <s v="Kansas City"/>
    <s v="USA"/>
    <s v="NA"/>
    <d v="2014-07-10T00:00:00"/>
    <x v="2"/>
    <s v="Robert Arnold"/>
    <n v="150"/>
    <n v="138"/>
    <n v="0.08"/>
    <n v="81"/>
    <n v="11178"/>
  </r>
  <r>
    <s v="I-1032"/>
    <s v="Tokyo"/>
    <s v="Japan"/>
    <s v="APAC"/>
    <d v="2014-10-19T00:00:00"/>
    <x v="2"/>
    <s v="David Gow"/>
    <n v="150"/>
    <n v="117"/>
    <n v="0.22"/>
    <n v="18"/>
    <n v="2106"/>
  </r>
  <r>
    <s v="I-1033"/>
    <s v="Moscow"/>
    <s v="Russia"/>
    <s v="EMEA"/>
    <d v="2014-10-19T00:00:00"/>
    <x v="7"/>
    <s v="Darren Brooks"/>
    <n v="1000"/>
    <n v="910"/>
    <n v="0.09"/>
    <n v="68"/>
    <n v="61880"/>
  </r>
  <r>
    <s v="I-1034"/>
    <s v="Capetown"/>
    <s v="South Africa"/>
    <s v="EMEA"/>
    <d v="2018-12-13T00:00:00"/>
    <x v="6"/>
    <s v="Nicholas Holloway"/>
    <n v="800"/>
    <n v="584"/>
    <n v="0.27"/>
    <n v="21"/>
    <n v="12264"/>
  </r>
  <r>
    <s v="I-1035"/>
    <s v="Bangkok"/>
    <s v="Thailand"/>
    <s v="APAC"/>
    <d v="2015-10-13T00:00:00"/>
    <x v="0"/>
    <s v="Mayank Ali"/>
    <n v="80"/>
    <n v="77"/>
    <n v="3.7499999999999999E-2"/>
    <n v="72"/>
    <n v="5544"/>
  </r>
  <r>
    <s v="I-1036"/>
    <s v="Delhi"/>
    <s v="India"/>
    <s v="APAC"/>
    <d v="2018-11-23T00:00:00"/>
    <x v="8"/>
    <s v="Glen Campbell"/>
    <n v="500"/>
    <n v="500"/>
    <n v="0"/>
    <n v="90"/>
    <n v="45000"/>
  </r>
  <r>
    <s v="I-1037"/>
    <s v="Sao Paolo"/>
    <s v="Brazil"/>
    <s v="LATAM"/>
    <d v="2016-07-31T00:00:00"/>
    <x v="2"/>
    <s v="Stephen Smith"/>
    <n v="150"/>
    <n v="146"/>
    <n v="2.6700000000000002E-2"/>
    <n v="26"/>
    <n v="3796"/>
  </r>
  <r>
    <s v="I-1038"/>
    <s v="Paris"/>
    <s v="France"/>
    <s v="EMEA"/>
    <d v="2015-11-30T00:00:00"/>
    <x v="5"/>
    <s v="Caroline Eccles"/>
    <n v="500"/>
    <n v="460"/>
    <n v="0.08"/>
    <n v="54"/>
    <n v="24840"/>
  </r>
  <r>
    <s v="I-1039"/>
    <s v="Rome"/>
    <s v="Italy"/>
    <s v="EMEA"/>
    <d v="2018-08-15T00:00:00"/>
    <x v="11"/>
    <s v="Steven Bell"/>
    <n v="50"/>
    <n v="43"/>
    <n v="0.14000000000000001"/>
    <n v="74"/>
    <n v="3182"/>
  </r>
  <r>
    <s v="I-1040"/>
    <s v="Los Angeles"/>
    <s v="USA"/>
    <s v="NA"/>
    <d v="2017-09-15T00:00:00"/>
    <x v="0"/>
    <s v="Colin Matthews"/>
    <n v="80"/>
    <n v="72"/>
    <n v="0.1"/>
    <n v="63"/>
    <n v="4536"/>
  </r>
  <r>
    <s v="I-1041"/>
    <s v="New York"/>
    <s v="USA"/>
    <s v="NA"/>
    <d v="2017-07-20T00:00:00"/>
    <x v="0"/>
    <s v="Stephen Cohen"/>
    <n v="80"/>
    <n v="75"/>
    <n v="6.25E-2"/>
    <n v="85"/>
    <n v="6375"/>
  </r>
  <r>
    <s v="I-1042"/>
    <s v="Sydney"/>
    <s v="Australia"/>
    <s v="APAC"/>
    <d v="2016-10-30T00:00:00"/>
    <x v="4"/>
    <s v="William Martin"/>
    <n v="30"/>
    <n v="26"/>
    <n v="0.1333"/>
    <n v="54"/>
    <n v="1404"/>
  </r>
  <r>
    <s v="I-1043"/>
    <s v="Ho Chi Minh City"/>
    <s v="Vietnam"/>
    <s v="APAC"/>
    <d v="2018-03-25T00:00:00"/>
    <x v="4"/>
    <s v="Michael Bell"/>
    <n v="30"/>
    <n v="26"/>
    <n v="0.1333"/>
    <n v="75"/>
    <n v="1950"/>
  </r>
  <r>
    <s v="I-1044"/>
    <s v="Shenzhen"/>
    <s v="China"/>
    <s v="APAC"/>
    <d v="2017-07-27T00:00:00"/>
    <x v="6"/>
    <s v="Roger Rust"/>
    <n v="800"/>
    <n v="640"/>
    <n v="0.2"/>
    <n v="85"/>
    <n v="54400"/>
  </r>
  <r>
    <s v="I-1045"/>
    <s v="Athens"/>
    <s v="Greece"/>
    <s v="EMEA"/>
    <d v="2016-11-16T00:00:00"/>
    <x v="6"/>
    <s v="Richard Perrott"/>
    <n v="800"/>
    <n v="520"/>
    <n v="0.35"/>
    <n v="83"/>
    <n v="43160"/>
  </r>
  <r>
    <s v="I-1046"/>
    <s v="Birmingham"/>
    <s v="UK"/>
    <s v="EMEA"/>
    <d v="2018-01-20T00:00:00"/>
    <x v="10"/>
    <s v="Robert Reed"/>
    <n v="250"/>
    <n v="220"/>
    <n v="0.12"/>
    <n v="86"/>
    <n v="18920"/>
  </r>
  <r>
    <s v="I-1047"/>
    <s v="Warsaw"/>
    <s v="Poland"/>
    <s v="EMEA"/>
    <d v="2015-03-02T00:00:00"/>
    <x v="1"/>
    <s v="Hin Bragg"/>
    <n v="700"/>
    <n v="434"/>
    <n v="0.38"/>
    <n v="73"/>
    <n v="31682"/>
  </r>
  <r>
    <s v="I-1048"/>
    <s v="Amsterdam"/>
    <s v="Netherlands"/>
    <s v="EMEA"/>
    <d v="2015-02-11T00:00:00"/>
    <x v="0"/>
    <s v="Allyson Rush"/>
    <n v="80"/>
    <n v="50"/>
    <n v="0.375"/>
    <n v="26"/>
    <n v="1300"/>
  </r>
  <r>
    <s v="I-1049"/>
    <s v="Toronto"/>
    <s v="Canada"/>
    <s v="NA"/>
    <d v="2017-09-06T00:00:00"/>
    <x v="10"/>
    <s v="Stephen James"/>
    <n v="250"/>
    <n v="238"/>
    <n v="4.8000000000000001E-2"/>
    <n v="23"/>
    <n v="5474"/>
  </r>
  <r>
    <s v="I-1050"/>
    <s v="Prague"/>
    <s v="Czech Republic"/>
    <s v="EMEA"/>
    <d v="2017-10-24T00:00:00"/>
    <x v="2"/>
    <s v="Christopher Martin"/>
    <n v="150"/>
    <n v="140"/>
    <n v="6.6699999999999995E-2"/>
    <n v="14"/>
    <n v="1960"/>
  </r>
  <r>
    <s v="I-1051"/>
    <s v="San Fransisco"/>
    <s v="USA"/>
    <s v="NA"/>
    <d v="2015-11-21T00:00:00"/>
    <x v="7"/>
    <s v="James Scott"/>
    <n v="1000"/>
    <n v="740"/>
    <n v="0.26"/>
    <n v="66"/>
    <n v="48840"/>
  </r>
  <r>
    <s v="I-1052"/>
    <s v="Rome"/>
    <s v="Italy"/>
    <s v="EMEA"/>
    <d v="2014-06-09T00:00:00"/>
    <x v="4"/>
    <s v="Elaine Whitfield"/>
    <n v="30"/>
    <n v="25"/>
    <n v="0.16669999999999999"/>
    <n v="60"/>
    <n v="1500"/>
  </r>
  <r>
    <s v="I-1053"/>
    <s v="Dublin"/>
    <s v="Ireland"/>
    <s v="EMEA"/>
    <d v="2017-10-23T00:00:00"/>
    <x v="1"/>
    <s v="James Carley"/>
    <n v="700"/>
    <n v="665"/>
    <n v="0.05"/>
    <n v="89"/>
    <n v="59185"/>
  </r>
  <r>
    <s v="I-1054"/>
    <s v="Bangalore"/>
    <s v="India"/>
    <s v="APAC"/>
    <d v="2014-07-15T00:00:00"/>
    <x v="5"/>
    <s v="Francis Walsh"/>
    <n v="500"/>
    <n v="425"/>
    <n v="0.15"/>
    <n v="11"/>
    <n v="4675"/>
  </r>
  <r>
    <s v="I-1055"/>
    <s v="Moscow"/>
    <s v="Russia"/>
    <s v="EMEA"/>
    <d v="2014-09-16T00:00:00"/>
    <x v="0"/>
    <s v="Rita Hill"/>
    <n v="80"/>
    <n v="78"/>
    <n v="2.5000000000000001E-2"/>
    <n v="6"/>
    <n v="468"/>
  </r>
  <r>
    <s v="I-1056"/>
    <s v="Tel Aviv"/>
    <s v="Israel"/>
    <s v="EMEA"/>
    <d v="2015-05-10T00:00:00"/>
    <x v="11"/>
    <s v="Deanna Wang"/>
    <n v="50"/>
    <n v="39"/>
    <n v="0.22"/>
    <n v="75"/>
    <n v="2925"/>
  </r>
  <r>
    <s v="I-1057"/>
    <s v="Sydney"/>
    <s v="Australia"/>
    <s v="APAC"/>
    <d v="2016-07-20T00:00:00"/>
    <x v="4"/>
    <s v="James White"/>
    <n v="30"/>
    <n v="27"/>
    <n v="0.1"/>
    <n v="50"/>
    <n v="1350"/>
  </r>
  <r>
    <s v="I-1058"/>
    <s v="Osaka"/>
    <s v="Japan"/>
    <s v="APAC"/>
    <d v="2018-03-26T00:00:00"/>
    <x v="9"/>
    <s v="Jill Thompson"/>
    <n v="70"/>
    <n v="64"/>
    <n v="8.5699999999999998E-2"/>
    <n v="39"/>
    <n v="2496"/>
  </r>
  <r>
    <s v="I-1059"/>
    <s v="Lima"/>
    <s v="Peru"/>
    <s v="LATAM"/>
    <d v="2014-06-23T00:00:00"/>
    <x v="3"/>
    <s v="Cheryl Glover"/>
    <n v="50"/>
    <n v="36"/>
    <n v="0.28000000000000003"/>
    <n v="26"/>
    <n v="936"/>
  </r>
  <r>
    <s v="I-1060"/>
    <s v="San Fransisco"/>
    <s v="USA"/>
    <s v="NA"/>
    <d v="2018-08-30T00:00:00"/>
    <x v="11"/>
    <s v="Gillan Clark"/>
    <n v="50"/>
    <n v="43"/>
    <n v="0.14000000000000001"/>
    <n v="27"/>
    <n v="1161"/>
  </r>
  <r>
    <s v="I-1061"/>
    <s v="Bogota"/>
    <s v="Colombia"/>
    <s v="LATAM"/>
    <d v="2018-04-01T00:00:00"/>
    <x v="1"/>
    <s v="Antony Westlake"/>
    <n v="700"/>
    <n v="693"/>
    <n v="0.01"/>
    <n v="75"/>
    <n v="51975"/>
  </r>
  <r>
    <s v="I-1062"/>
    <s v="Warsaw"/>
    <s v="Poland"/>
    <s v="EMEA"/>
    <d v="2014-05-24T00:00:00"/>
    <x v="7"/>
    <s v="Hin Bragg"/>
    <n v="1000"/>
    <n v="810"/>
    <n v="0.19"/>
    <n v="12"/>
    <n v="9720"/>
  </r>
  <r>
    <s v="I-1063"/>
    <s v="Berlin"/>
    <s v="Germany"/>
    <s v="EMEA"/>
    <d v="2015-07-03T00:00:00"/>
    <x v="4"/>
    <s v="James Whitehead"/>
    <n v="30"/>
    <n v="24"/>
    <n v="0.2"/>
    <n v="28"/>
    <n v="672"/>
  </r>
  <r>
    <s v="I-1064"/>
    <s v="Kansas City"/>
    <s v="USA"/>
    <s v="NA"/>
    <d v="2017-02-17T00:00:00"/>
    <x v="6"/>
    <s v="Christina Pedley"/>
    <n v="800"/>
    <n v="648"/>
    <n v="0.19"/>
    <n v="100"/>
    <n v="64800"/>
  </r>
  <r>
    <s v="I-1065"/>
    <s v="Shenzhen"/>
    <s v="China"/>
    <s v="APAC"/>
    <d v="2014-03-16T00:00:00"/>
    <x v="7"/>
    <s v="Ronald Butler"/>
    <n v="1000"/>
    <n v="990"/>
    <n v="0.01"/>
    <n v="29"/>
    <n v="28710"/>
  </r>
  <r>
    <s v="I-1066"/>
    <s v="Prague"/>
    <s v="Czech Republic"/>
    <s v="EMEA"/>
    <d v="2017-04-23T00:00:00"/>
    <x v="6"/>
    <s v="David Stewart"/>
    <n v="800"/>
    <n v="720"/>
    <n v="0.1"/>
    <n v="23"/>
    <n v="16560"/>
  </r>
  <r>
    <s v="I-1067"/>
    <s v="Shenzhen"/>
    <s v="China"/>
    <s v="APAC"/>
    <d v="2014-12-04T00:00:00"/>
    <x v="3"/>
    <s v="Gary Shaw"/>
    <n v="50"/>
    <n v="39"/>
    <n v="0.22"/>
    <n v="53"/>
    <n v="2067"/>
  </r>
  <r>
    <s v="I-1068"/>
    <s v="Amsterdam"/>
    <s v="Netherlands"/>
    <s v="EMEA"/>
    <d v="2016-12-10T00:00:00"/>
    <x v="2"/>
    <s v="Donald Barratt"/>
    <n v="150"/>
    <n v="144"/>
    <n v="0.04"/>
    <n v="97"/>
    <n v="13968"/>
  </r>
  <r>
    <s v="I-1069"/>
    <s v="Shanghai"/>
    <s v="China"/>
    <s v="APAC"/>
    <d v="2016-09-15T00:00:00"/>
    <x v="1"/>
    <s v="Wolf Christian"/>
    <n v="700"/>
    <n v="693"/>
    <n v="0.01"/>
    <n v="66"/>
    <n v="45738"/>
  </r>
  <r>
    <s v="I-1070"/>
    <s v="Mexico City"/>
    <s v="Mexico"/>
    <s v="LATAM"/>
    <d v="2018-07-26T00:00:00"/>
    <x v="3"/>
    <s v="Brendon Dyer"/>
    <n v="50"/>
    <n v="45"/>
    <n v="0.1"/>
    <n v="77"/>
    <n v="3465"/>
  </r>
  <r>
    <s v="I-1071"/>
    <s v="Buenos Aires"/>
    <s v="Argentina"/>
    <s v="LATAM"/>
    <d v="2018-10-01T00:00:00"/>
    <x v="7"/>
    <s v="Stuart Brown"/>
    <n v="1000"/>
    <n v="570"/>
    <n v="0.43"/>
    <n v="89"/>
    <n v="50730"/>
  </r>
  <r>
    <s v="I-1072"/>
    <s v="Shanghai"/>
    <s v="China"/>
    <s v="APAC"/>
    <d v="2014-02-19T00:00:00"/>
    <x v="11"/>
    <s v="Alen Dinan"/>
    <n v="50"/>
    <n v="40"/>
    <n v="0.2"/>
    <n v="57"/>
    <n v="2280"/>
  </r>
  <r>
    <s v="I-1073"/>
    <s v="Berlin"/>
    <s v="Germany"/>
    <s v="EMEA"/>
    <d v="2017-11-17T00:00:00"/>
    <x v="6"/>
    <s v="Jacqueline Clamp"/>
    <n v="800"/>
    <n v="608"/>
    <n v="0.24"/>
    <n v="64"/>
    <n v="38912"/>
  </r>
  <r>
    <s v="I-1074"/>
    <s v="Birmingham"/>
    <s v="UK"/>
    <s v="EMEA"/>
    <d v="2016-07-17T00:00:00"/>
    <x v="0"/>
    <s v="Susan Reay"/>
    <n v="80"/>
    <n v="76"/>
    <n v="0.05"/>
    <n v="35"/>
    <n v="2660"/>
  </r>
  <r>
    <s v="I-1075"/>
    <s v="Dublin"/>
    <s v="Ireland"/>
    <s v="EMEA"/>
    <d v="2017-04-29T00:00:00"/>
    <x v="1"/>
    <s v="Andrew Phillips"/>
    <n v="700"/>
    <n v="679"/>
    <n v="0.03"/>
    <n v="43"/>
    <n v="29197"/>
  </r>
  <r>
    <s v="I-1076"/>
    <s v="Seattle"/>
    <s v="USA"/>
    <s v="NA"/>
    <d v="2014-08-15T00:00:00"/>
    <x v="0"/>
    <s v="Alan Davie"/>
    <n v="80"/>
    <n v="58"/>
    <n v="0.27500000000000002"/>
    <n v="51"/>
    <n v="2958"/>
  </r>
  <r>
    <s v="I-1077"/>
    <s v="Madria"/>
    <s v="Spain"/>
    <s v="EMEA"/>
    <d v="2018-03-14T00:00:00"/>
    <x v="4"/>
    <s v="Penelope Freeland"/>
    <n v="30"/>
    <n v="26"/>
    <n v="0.1333"/>
    <n v="27"/>
    <n v="702"/>
  </r>
  <r>
    <s v="I-1078"/>
    <s v="Shanghai"/>
    <s v="China"/>
    <s v="APAC"/>
    <d v="2017-10-06T00:00:00"/>
    <x v="2"/>
    <s v="Michelle Murray"/>
    <n v="150"/>
    <n v="140"/>
    <n v="6.6699999999999995E-2"/>
    <n v="43"/>
    <n v="6020"/>
  </r>
  <r>
    <s v="I-1079"/>
    <s v="Bangalore"/>
    <s v="India"/>
    <s v="APAC"/>
    <d v="2016-08-31T00:00:00"/>
    <x v="8"/>
    <s v="Paul Rule"/>
    <n v="500"/>
    <n v="490"/>
    <n v="0.02"/>
    <n v="42"/>
    <n v="20580"/>
  </r>
  <r>
    <s v="I-1080"/>
    <s v="Istanbul"/>
    <s v="Turkey"/>
    <s v="EMEA"/>
    <d v="2015-08-23T00:00:00"/>
    <x v="10"/>
    <s v="Ian McCartan"/>
    <n v="250"/>
    <n v="155"/>
    <n v="0.38"/>
    <n v="35"/>
    <n v="5425"/>
  </r>
  <r>
    <s v="I-1081"/>
    <s v="Bogota"/>
    <s v="Colombia"/>
    <s v="LATAM"/>
    <d v="2015-08-24T00:00:00"/>
    <x v="9"/>
    <s v="Shelley Mannix"/>
    <n v="70"/>
    <n v="48"/>
    <n v="0.31430000000000002"/>
    <n v="55"/>
    <n v="2640"/>
  </r>
  <r>
    <s v="I-1082"/>
    <s v="Lima"/>
    <s v="Peru"/>
    <s v="LATAM"/>
    <d v="2018-04-11T00:00:00"/>
    <x v="9"/>
    <s v="Janet Ford"/>
    <n v="70"/>
    <n v="69"/>
    <n v="1.43E-2"/>
    <n v="84"/>
    <n v="5796"/>
  </r>
  <r>
    <s v="I-1083"/>
    <s v="Vienna"/>
    <s v="Austria"/>
    <s v="EMEA"/>
    <d v="2017-12-16T00:00:00"/>
    <x v="3"/>
    <s v="Janet Ward"/>
    <n v="50"/>
    <n v="47"/>
    <n v="0.06"/>
    <n v="98"/>
    <n v="4606"/>
  </r>
  <r>
    <s v="I-1084"/>
    <s v="Sao Paolo"/>
    <s v="Brazil"/>
    <s v="LATAM"/>
    <d v="2014-11-25T00:00:00"/>
    <x v="10"/>
    <s v="Gary Reynolds"/>
    <n v="250"/>
    <n v="195"/>
    <n v="0.22"/>
    <n v="30"/>
    <n v="5850"/>
  </r>
  <r>
    <s v="I-1085"/>
    <s v="Shanghai"/>
    <s v="China"/>
    <s v="APAC"/>
    <d v="2018-12-07T00:00:00"/>
    <x v="6"/>
    <s v="Craig Johnson"/>
    <n v="800"/>
    <n v="512"/>
    <n v="0.36"/>
    <n v="20"/>
    <n v="10240"/>
  </r>
  <r>
    <s v="I-1086"/>
    <s v="Shanghai"/>
    <s v="China"/>
    <s v="APAC"/>
    <d v="2018-03-16T00:00:00"/>
    <x v="0"/>
    <s v="Christopher Snape"/>
    <n v="80"/>
    <n v="79"/>
    <n v="1.2500000000000001E-2"/>
    <n v="52"/>
    <n v="4108"/>
  </r>
  <r>
    <s v="I-1087"/>
    <s v="Cairo"/>
    <s v="Egypt"/>
    <s v="EMEA"/>
    <d v="2015-06-14T00:00:00"/>
    <x v="9"/>
    <s v="John Barnett"/>
    <n v="70"/>
    <n v="50"/>
    <n v="0.28570000000000001"/>
    <n v="62"/>
    <n v="3100"/>
  </r>
  <r>
    <s v="I-1088"/>
    <s v="Kansas City"/>
    <s v="USA"/>
    <s v="NA"/>
    <d v="2014-07-15T00:00:00"/>
    <x v="2"/>
    <s v="Robert Jenkins"/>
    <n v="150"/>
    <n v="150"/>
    <n v="0"/>
    <n v="97"/>
    <n v="14550"/>
  </r>
  <r>
    <s v="I-1089"/>
    <s v="Kuala Lumpur"/>
    <s v="Malaysia"/>
    <s v="APAC"/>
    <d v="2016-04-22T00:00:00"/>
    <x v="9"/>
    <s v="Trudi Griffin"/>
    <n v="70"/>
    <n v="64"/>
    <n v="8.5699999999999998E-2"/>
    <n v="85"/>
    <n v="5440"/>
  </r>
  <r>
    <s v="I-1090"/>
    <s v="Warsaw"/>
    <s v="Poland"/>
    <s v="EMEA"/>
    <d v="2015-03-03T00:00:00"/>
    <x v="3"/>
    <s v="Valerie Brown"/>
    <n v="50"/>
    <n v="46"/>
    <n v="0.08"/>
    <n v="79"/>
    <n v="3634"/>
  </r>
  <r>
    <s v="I-1091"/>
    <s v="Moscow"/>
    <s v="Russia"/>
    <s v="EMEA"/>
    <d v="2014-11-20T00:00:00"/>
    <x v="7"/>
    <s v="Dermot Bailey"/>
    <n v="1000"/>
    <n v="880"/>
    <n v="0.12"/>
    <n v="95"/>
    <n v="83600"/>
  </r>
  <r>
    <s v="I-1092"/>
    <s v="Buenos Aires"/>
    <s v="Argentina"/>
    <s v="LATAM"/>
    <d v="2014-03-01T00:00:00"/>
    <x v="6"/>
    <s v="Abdul Heywood"/>
    <n v="800"/>
    <n v="712"/>
    <n v="0.11"/>
    <n v="79"/>
    <n v="56248"/>
  </r>
  <r>
    <s v="I-1093"/>
    <s v="Bangkok"/>
    <s v="Thailand"/>
    <s v="APAC"/>
    <d v="2017-07-15T00:00:00"/>
    <x v="7"/>
    <s v="Mary Mitchell"/>
    <n v="1000"/>
    <n v="740"/>
    <n v="0.26"/>
    <n v="83"/>
    <n v="61420"/>
  </r>
  <r>
    <s v="I-1094"/>
    <s v="Tel Aviv"/>
    <s v="Israel"/>
    <s v="EMEA"/>
    <d v="2015-02-15T00:00:00"/>
    <x v="11"/>
    <s v="Richard McGrath"/>
    <n v="50"/>
    <n v="35"/>
    <n v="0.3"/>
    <n v="73"/>
    <n v="2555"/>
  </r>
  <r>
    <s v="I-1095"/>
    <s v="Prague"/>
    <s v="Czech Republic"/>
    <s v="EMEA"/>
    <d v="2017-11-27T00:00:00"/>
    <x v="6"/>
    <s v="Edward Khan"/>
    <n v="800"/>
    <n v="704"/>
    <n v="0.12"/>
    <n v="40"/>
    <n v="28160"/>
  </r>
  <r>
    <s v="I-1096"/>
    <s v="Osaka"/>
    <s v="Japan"/>
    <s v="APAC"/>
    <d v="2018-04-08T00:00:00"/>
    <x v="7"/>
    <s v="Neil McAvoy"/>
    <n v="1000"/>
    <n v="930"/>
    <n v="7.0000000000000007E-2"/>
    <n v="94"/>
    <n v="87420"/>
  </r>
  <r>
    <s v="I-1097"/>
    <s v="Madria"/>
    <s v="Spain"/>
    <s v="EMEA"/>
    <d v="2017-06-30T00:00:00"/>
    <x v="5"/>
    <s v="Howard Jones"/>
    <n v="500"/>
    <n v="455"/>
    <n v="0.09"/>
    <n v="1"/>
    <n v="455"/>
  </r>
  <r>
    <s v="I-1098"/>
    <s v="Chicago"/>
    <s v="USA"/>
    <s v="NA"/>
    <d v="2014-10-29T00:00:00"/>
    <x v="1"/>
    <s v="Heather McGill"/>
    <n v="700"/>
    <n v="700"/>
    <n v="0"/>
    <n v="97"/>
    <n v="67900"/>
  </r>
  <r>
    <s v="I-1099"/>
    <s v="Kuala Lumpur"/>
    <s v="Malaysia"/>
    <s v="APAC"/>
    <d v="2016-12-11T00:00:00"/>
    <x v="0"/>
    <s v="Trudi Griffin"/>
    <n v="80"/>
    <n v="77"/>
    <n v="3.7499999999999999E-2"/>
    <n v="94"/>
    <n v="7238"/>
  </r>
  <r>
    <s v="I-1100"/>
    <s v="Moscow"/>
    <s v="Russia"/>
    <s v="EMEA"/>
    <d v="2018-04-27T00:00:00"/>
    <x v="4"/>
    <s v="Alexander Hillier"/>
    <n v="30"/>
    <n v="29"/>
    <n v="3.3300000000000003E-2"/>
    <n v="66"/>
    <n v="1914"/>
  </r>
  <r>
    <s v="I-1101"/>
    <s v="Jerusalem"/>
    <s v="Israel"/>
    <s v="EMEA"/>
    <d v="2017-04-05T00:00:00"/>
    <x v="11"/>
    <s v="Fiona Johnson"/>
    <n v="50"/>
    <n v="50"/>
    <n v="0"/>
    <n v="90"/>
    <n v="4500"/>
  </r>
  <r>
    <s v="I-1102"/>
    <s v="Moscow"/>
    <s v="Russia"/>
    <s v="EMEA"/>
    <d v="2018-04-17T00:00:00"/>
    <x v="1"/>
    <s v="Rita Hill"/>
    <n v="700"/>
    <n v="679"/>
    <n v="0.03"/>
    <n v="53"/>
    <n v="35987"/>
  </r>
  <r>
    <s v="I-1103"/>
    <s v="Shenzhen"/>
    <s v="China"/>
    <s v="APAC"/>
    <d v="2014-07-13T00:00:00"/>
    <x v="11"/>
    <s v="Gary Shaw"/>
    <n v="50"/>
    <n v="45"/>
    <n v="0.1"/>
    <n v="65"/>
    <n v="2925"/>
  </r>
  <r>
    <s v="I-1104"/>
    <s v="Bangkok"/>
    <s v="Thailand"/>
    <s v="APAC"/>
    <d v="2016-03-17T00:00:00"/>
    <x v="4"/>
    <s v="Stephen Burch"/>
    <n v="30"/>
    <n v="30"/>
    <n v="0"/>
    <n v="41"/>
    <n v="1230"/>
  </r>
  <r>
    <s v="I-1105"/>
    <s v="Lima"/>
    <s v="Peru"/>
    <s v="LATAM"/>
    <d v="2018-07-24T00:00:00"/>
    <x v="4"/>
    <s v="Claire Storey"/>
    <n v="30"/>
    <n v="30"/>
    <n v="0"/>
    <n v="20"/>
    <n v="600"/>
  </r>
  <r>
    <s v="I-1106"/>
    <s v="Berlin"/>
    <s v="Germany"/>
    <s v="EMEA"/>
    <d v="2015-11-18T00:00:00"/>
    <x v="0"/>
    <s v="James Whitehead"/>
    <n v="80"/>
    <n v="62"/>
    <n v="0.22500000000000001"/>
    <n v="17"/>
    <n v="1054"/>
  </r>
  <r>
    <s v="I-1107"/>
    <s v="New York"/>
    <s v="USA"/>
    <s v="NA"/>
    <d v="2014-09-22T00:00:00"/>
    <x v="0"/>
    <s v="Barbara Turner"/>
    <n v="80"/>
    <n v="76"/>
    <n v="0.05"/>
    <n v="69"/>
    <n v="5244"/>
  </r>
  <r>
    <s v="I-1108"/>
    <s v="Rome"/>
    <s v="Italy"/>
    <s v="EMEA"/>
    <d v="2017-01-30T00:00:00"/>
    <x v="3"/>
    <s v="Audrey Kane"/>
    <n v="50"/>
    <n v="45"/>
    <n v="0.1"/>
    <n v="94"/>
    <n v="4230"/>
  </r>
  <r>
    <s v="I-1109"/>
    <s v="Cairo"/>
    <s v="Egypt"/>
    <s v="EMEA"/>
    <d v="2015-05-09T00:00:00"/>
    <x v="7"/>
    <s v="Robert Payne"/>
    <n v="1000"/>
    <n v="610"/>
    <n v="0.39"/>
    <n v="44"/>
    <n v="26840"/>
  </r>
  <r>
    <s v="I-1110"/>
    <s v="Sao Paolo"/>
    <s v="Brazil"/>
    <s v="LATAM"/>
    <d v="2015-10-17T00:00:00"/>
    <x v="9"/>
    <s v="Cheryl Tubbs"/>
    <n v="70"/>
    <n v="67"/>
    <n v="4.2900000000000001E-2"/>
    <n v="91"/>
    <n v="6097"/>
  </r>
  <r>
    <s v="I-1111"/>
    <s v="Riyadh"/>
    <s v="Saudi Arabia"/>
    <s v="EMEA"/>
    <d v="2017-04-10T00:00:00"/>
    <x v="9"/>
    <s v="Victoria Sherwin"/>
    <n v="70"/>
    <n v="68"/>
    <n v="2.86E-2"/>
    <n v="93"/>
    <n v="6324"/>
  </r>
  <r>
    <s v="I-1112"/>
    <s v="Cairo"/>
    <s v="Egypt"/>
    <s v="EMEA"/>
    <d v="2017-10-16T00:00:00"/>
    <x v="3"/>
    <s v="Marek Kwiatkowski"/>
    <n v="50"/>
    <n v="50"/>
    <n v="0"/>
    <n v="55"/>
    <n v="2750"/>
  </r>
  <r>
    <s v="I-1113"/>
    <s v="Berlin"/>
    <s v="Germany"/>
    <s v="EMEA"/>
    <d v="2014-07-21T00:00:00"/>
    <x v="8"/>
    <s v="Kate Pearce"/>
    <n v="500"/>
    <n v="495"/>
    <n v="0.01"/>
    <n v="5"/>
    <n v="2475"/>
  </r>
  <r>
    <s v="I-1114"/>
    <s v="Ho Chi Minh City"/>
    <s v="Vietnam"/>
    <s v="APAC"/>
    <d v="2014-09-07T00:00:00"/>
    <x v="9"/>
    <s v="Ken Rogerson"/>
    <n v="70"/>
    <n v="62"/>
    <n v="0.1143"/>
    <n v="93"/>
    <n v="5766"/>
  </r>
  <r>
    <s v="I-1115"/>
    <s v="Amsterdam"/>
    <s v="Netherlands"/>
    <s v="EMEA"/>
    <d v="2017-11-04T00:00:00"/>
    <x v="8"/>
    <s v="Danny Grant"/>
    <n v="500"/>
    <n v="490"/>
    <n v="0.02"/>
    <n v="99"/>
    <n v="48510"/>
  </r>
  <r>
    <s v="I-1116"/>
    <s v="Lima"/>
    <s v="Peru"/>
    <s v="LATAM"/>
    <d v="2017-03-11T00:00:00"/>
    <x v="0"/>
    <s v="Jacqueline Swaine"/>
    <n v="80"/>
    <n v="73"/>
    <n v="8.7499999999999994E-2"/>
    <n v="20"/>
    <n v="1460"/>
  </r>
  <r>
    <s v="I-1117"/>
    <s v="Istanbul"/>
    <s v="Turkey"/>
    <s v="EMEA"/>
    <d v="2016-01-11T00:00:00"/>
    <x v="1"/>
    <s v="Mark Buntain"/>
    <n v="700"/>
    <n v="616"/>
    <n v="0.12"/>
    <n v="74"/>
    <n v="45584"/>
  </r>
  <r>
    <s v="I-1118"/>
    <s v="Bucharest"/>
    <s v="Romania"/>
    <s v="EMEA"/>
    <d v="2016-12-12T00:00:00"/>
    <x v="4"/>
    <s v="Constance Tidey"/>
    <n v="30"/>
    <n v="30"/>
    <n v="0"/>
    <n v="35"/>
    <n v="1050"/>
  </r>
  <r>
    <s v="I-1119"/>
    <s v="Delhi"/>
    <s v="India"/>
    <s v="APAC"/>
    <d v="2015-11-16T00:00:00"/>
    <x v="4"/>
    <s v="Roy Johnson"/>
    <n v="30"/>
    <n v="23"/>
    <n v="0.23330000000000001"/>
    <n v="71"/>
    <n v="1633"/>
  </r>
  <r>
    <s v="I-1120"/>
    <s v="Kansas City"/>
    <s v="USA"/>
    <s v="NA"/>
    <d v="2015-09-19T00:00:00"/>
    <x v="3"/>
    <s v="Christina Pedley"/>
    <n v="50"/>
    <n v="36"/>
    <n v="0.28000000000000003"/>
    <n v="51"/>
    <n v="1836"/>
  </r>
  <r>
    <s v="I-1121"/>
    <s v="Madria"/>
    <s v="Spain"/>
    <s v="EMEA"/>
    <d v="2014-04-17T00:00:00"/>
    <x v="8"/>
    <s v="Barrie Murray"/>
    <n v="500"/>
    <n v="490"/>
    <n v="0.02"/>
    <n v="99"/>
    <n v="48510"/>
  </r>
  <r>
    <s v="I-1122"/>
    <s v="Prague"/>
    <s v="Czech Republic"/>
    <s v="EMEA"/>
    <d v="2014-09-10T00:00:00"/>
    <x v="6"/>
    <s v="Andrew Waddell"/>
    <n v="800"/>
    <n v="672"/>
    <n v="0.16"/>
    <n v="50"/>
    <n v="33600"/>
  </r>
  <r>
    <s v="I-1123"/>
    <s v="Istanbul"/>
    <s v="Turkey"/>
    <s v="EMEA"/>
    <d v="2017-11-02T00:00:00"/>
    <x v="8"/>
    <s v="Richard Barr"/>
    <n v="500"/>
    <n v="490"/>
    <n v="0.02"/>
    <n v="94"/>
    <n v="46060"/>
  </r>
  <r>
    <s v="I-1124"/>
    <s v="Kuala Lumpur"/>
    <s v="Malaysia"/>
    <s v="APAC"/>
    <d v="2016-03-15T00:00:00"/>
    <x v="2"/>
    <s v="Ian Baker"/>
    <n v="150"/>
    <n v="140"/>
    <n v="6.6699999999999995E-2"/>
    <n v="75"/>
    <n v="10500"/>
  </r>
  <r>
    <s v="I-1125"/>
    <s v="San Fransisco"/>
    <s v="USA"/>
    <s v="NA"/>
    <d v="2018-01-19T00:00:00"/>
    <x v="8"/>
    <s v="Gillan Clark"/>
    <n v="500"/>
    <n v="495"/>
    <n v="0.01"/>
    <n v="96"/>
    <n v="47520"/>
  </r>
  <r>
    <s v="I-1126"/>
    <s v="Athens"/>
    <s v="Greece"/>
    <s v="EMEA"/>
    <d v="2018-04-28T00:00:00"/>
    <x v="2"/>
    <s v="Sarah Chadwick"/>
    <n v="150"/>
    <n v="150"/>
    <n v="0"/>
    <n v="79"/>
    <n v="11850"/>
  </r>
  <r>
    <s v="I-1127"/>
    <s v="Birmingham"/>
    <s v="UK"/>
    <s v="EMEA"/>
    <d v="2014-03-13T00:00:00"/>
    <x v="4"/>
    <s v="Robert Reed"/>
    <n v="30"/>
    <n v="29"/>
    <n v="3.3300000000000003E-2"/>
    <n v="61"/>
    <n v="1769"/>
  </r>
  <r>
    <s v="I-1128"/>
    <s v="San Fransisco"/>
    <s v="USA"/>
    <s v="NA"/>
    <d v="2015-08-28T00:00:00"/>
    <x v="8"/>
    <s v="James Scott"/>
    <n v="500"/>
    <n v="500"/>
    <n v="0"/>
    <n v="47"/>
    <n v="23500"/>
  </r>
  <r>
    <s v="I-1129"/>
    <s v="Osaka"/>
    <s v="Japan"/>
    <s v="APAC"/>
    <d v="2014-07-07T00:00:00"/>
    <x v="7"/>
    <s v="Denise Clark"/>
    <n v="1000"/>
    <n v="510"/>
    <n v="0.49"/>
    <n v="18"/>
    <n v="9180"/>
  </r>
  <r>
    <s v="I-1130"/>
    <s v="Chicago"/>
    <s v="USA"/>
    <s v="NA"/>
    <d v="2016-02-22T00:00:00"/>
    <x v="8"/>
    <s v="Paul Collier"/>
    <n v="500"/>
    <n v="490"/>
    <n v="0.02"/>
    <n v="11"/>
    <n v="5390"/>
  </r>
  <r>
    <s v="I-1131"/>
    <s v="Moscow"/>
    <s v="Russia"/>
    <s v="EMEA"/>
    <d v="2017-12-11T00:00:00"/>
    <x v="3"/>
    <s v="Zulfiqar Mirza"/>
    <n v="50"/>
    <n v="50"/>
    <n v="0"/>
    <n v="53"/>
    <n v="2650"/>
  </r>
  <r>
    <s v="I-1132"/>
    <s v="Madria"/>
    <s v="Spain"/>
    <s v="EMEA"/>
    <d v="2016-07-06T00:00:00"/>
    <x v="1"/>
    <s v="Philip Sutherland"/>
    <n v="700"/>
    <n v="665"/>
    <n v="0.05"/>
    <n v="20"/>
    <n v="13300"/>
  </r>
  <r>
    <s v="I-1133"/>
    <s v="Los Angeles"/>
    <s v="USA"/>
    <s v="NA"/>
    <d v="2014-08-02T00:00:00"/>
    <x v="10"/>
    <s v="Chandrakant Atkins"/>
    <n v="250"/>
    <n v="175"/>
    <n v="0.3"/>
    <n v="73"/>
    <n v="12775"/>
  </r>
  <r>
    <s v="I-1134"/>
    <s v="Seattle"/>
    <s v="USA"/>
    <s v="NA"/>
    <d v="2016-10-30T00:00:00"/>
    <x v="11"/>
    <s v="Derek Harris"/>
    <n v="50"/>
    <n v="48"/>
    <n v="0.04"/>
    <n v="68"/>
    <n v="3264"/>
  </r>
  <r>
    <s v="I-1135"/>
    <s v="Madria"/>
    <s v="Spain"/>
    <s v="EMEA"/>
    <d v="2016-04-19T00:00:00"/>
    <x v="2"/>
    <s v="Penelope Freeland"/>
    <n v="150"/>
    <n v="146"/>
    <n v="2.6700000000000002E-2"/>
    <n v="5"/>
    <n v="730"/>
  </r>
  <r>
    <s v="I-1136"/>
    <s v="Bangkok"/>
    <s v="Thailand"/>
    <s v="APAC"/>
    <d v="2015-05-25T00:00:00"/>
    <x v="2"/>
    <s v="Mary Mitchell"/>
    <n v="150"/>
    <n v="143"/>
    <n v="4.6699999999999998E-2"/>
    <n v="3"/>
    <n v="429"/>
  </r>
  <r>
    <s v="I-1137"/>
    <s v="Paris"/>
    <s v="France"/>
    <s v="EMEA"/>
    <d v="2015-10-05T00:00:00"/>
    <x v="9"/>
    <s v="Joanne Sayer"/>
    <n v="70"/>
    <n v="57"/>
    <n v="0.1857"/>
    <n v="73"/>
    <n v="4161"/>
  </r>
  <r>
    <s v="I-1138"/>
    <s v="Riyadh"/>
    <s v="Saudi Arabia"/>
    <s v="EMEA"/>
    <d v="2017-11-07T00:00:00"/>
    <x v="11"/>
    <s v="Victoria Sherwin"/>
    <n v="50"/>
    <n v="46"/>
    <n v="0.08"/>
    <n v="80"/>
    <n v="3680"/>
  </r>
  <r>
    <s v="I-1139"/>
    <s v="Bogota"/>
    <s v="Colombia"/>
    <s v="LATAM"/>
    <d v="2017-12-25T00:00:00"/>
    <x v="4"/>
    <s v="Lisa Manning"/>
    <n v="30"/>
    <n v="27"/>
    <n v="0.1"/>
    <n v="49"/>
    <n v="1323"/>
  </r>
  <r>
    <s v="I-1140"/>
    <s v="Athens"/>
    <s v="Greece"/>
    <s v="EMEA"/>
    <d v="2014-04-05T00:00:00"/>
    <x v="5"/>
    <s v="Mark Lawton"/>
    <n v="500"/>
    <n v="500"/>
    <n v="0"/>
    <n v="71"/>
    <n v="35500"/>
  </r>
  <r>
    <s v="I-1141"/>
    <s v="Bucharest"/>
    <s v="Romania"/>
    <s v="EMEA"/>
    <d v="2018-07-07T00:00:00"/>
    <x v="5"/>
    <s v="Jacqueline Todd"/>
    <n v="500"/>
    <n v="500"/>
    <n v="0"/>
    <n v="88"/>
    <n v="44000"/>
  </r>
  <r>
    <s v="I-1142"/>
    <s v="Birmingham"/>
    <s v="UK"/>
    <s v="EMEA"/>
    <d v="2018-11-03T00:00:00"/>
    <x v="10"/>
    <s v="Philip Collins"/>
    <n v="250"/>
    <n v="225"/>
    <n v="0.1"/>
    <n v="36"/>
    <n v="8100"/>
  </r>
  <r>
    <s v="I-1143"/>
    <s v="Cairo"/>
    <s v="Egypt"/>
    <s v="EMEA"/>
    <d v="2015-10-05T00:00:00"/>
    <x v="4"/>
    <s v="Basil Bain"/>
    <n v="30"/>
    <n v="26"/>
    <n v="0.1333"/>
    <n v="77"/>
    <n v="2002"/>
  </r>
  <r>
    <s v="I-1144"/>
    <s v="Bogota"/>
    <s v="Colombia"/>
    <s v="LATAM"/>
    <d v="2016-01-28T00:00:00"/>
    <x v="4"/>
    <s v="Lisa Manning"/>
    <n v="30"/>
    <n v="27"/>
    <n v="0.1"/>
    <n v="35"/>
    <n v="945"/>
  </r>
  <r>
    <s v="I-1145"/>
    <s v="Jerusalem"/>
    <s v="Israel"/>
    <s v="EMEA"/>
    <d v="2015-12-09T00:00:00"/>
    <x v="11"/>
    <s v="John Bond"/>
    <n v="50"/>
    <n v="34"/>
    <n v="0.32"/>
    <n v="41"/>
    <n v="1394"/>
  </r>
  <r>
    <s v="I-1146"/>
    <s v="Tokyo"/>
    <s v="Japan"/>
    <s v="APAC"/>
    <d v="2018-11-08T00:00:00"/>
    <x v="8"/>
    <s v="Tony Milner"/>
    <n v="500"/>
    <n v="500"/>
    <n v="0"/>
    <n v="24"/>
    <n v="12000"/>
  </r>
  <r>
    <s v="I-1147"/>
    <s v="Vienna"/>
    <s v="Austria"/>
    <s v="EMEA"/>
    <d v="2017-04-30T00:00:00"/>
    <x v="7"/>
    <s v="Peter Thompson"/>
    <n v="1000"/>
    <n v="780"/>
    <n v="0.22"/>
    <n v="68"/>
    <n v="53040"/>
  </r>
  <r>
    <s v="I-1148"/>
    <s v="Tijuana"/>
    <s v="Mexico"/>
    <s v="LATAM"/>
    <d v="2017-03-05T00:00:00"/>
    <x v="10"/>
    <s v="Stephen Carlin"/>
    <n v="250"/>
    <n v="245"/>
    <n v="0.02"/>
    <n v="10"/>
    <n v="2450"/>
  </r>
  <r>
    <s v="I-1149"/>
    <s v="Madria"/>
    <s v="Spain"/>
    <s v="EMEA"/>
    <d v="2017-01-20T00:00:00"/>
    <x v="6"/>
    <s v="Roy Lloyd"/>
    <n v="800"/>
    <n v="784"/>
    <n v="0.02"/>
    <n v="92"/>
    <n v="72128"/>
  </r>
  <r>
    <s v="I-1150"/>
    <s v="Kansas City"/>
    <s v="USA"/>
    <s v="NA"/>
    <d v="2018-05-07T00:00:00"/>
    <x v="9"/>
    <s v="Nick Gee"/>
    <n v="70"/>
    <n v="60"/>
    <n v="0.1429"/>
    <n v="69"/>
    <n v="4140"/>
  </r>
  <r>
    <s v="I-1151"/>
    <s v="Toronto"/>
    <s v="Canada"/>
    <s v="NA"/>
    <d v="2018-10-15T00:00:00"/>
    <x v="8"/>
    <s v="Stephen James"/>
    <n v="500"/>
    <n v="500"/>
    <n v="0"/>
    <n v="58"/>
    <n v="29000"/>
  </r>
  <r>
    <s v="I-1152"/>
    <s v="Berlin"/>
    <s v="Germany"/>
    <s v="EMEA"/>
    <d v="2018-09-04T00:00:00"/>
    <x v="6"/>
    <s v="Paul Mannion"/>
    <n v="800"/>
    <n v="496"/>
    <n v="0.38"/>
    <n v="99"/>
    <n v="49104"/>
  </r>
  <r>
    <s v="I-1153"/>
    <s v="Tel Aviv"/>
    <s v="Israel"/>
    <s v="EMEA"/>
    <d v="2018-08-31T00:00:00"/>
    <x v="9"/>
    <s v="Jacob Percival"/>
    <n v="70"/>
    <n v="69"/>
    <n v="1.43E-2"/>
    <n v="84"/>
    <n v="5796"/>
  </r>
  <r>
    <s v="I-1154"/>
    <s v="Bangalore"/>
    <s v="India"/>
    <s v="APAC"/>
    <d v="2018-08-18T00:00:00"/>
    <x v="4"/>
    <s v="Paul Rule"/>
    <n v="30"/>
    <n v="29"/>
    <n v="3.3300000000000003E-2"/>
    <n v="44"/>
    <n v="1276"/>
  </r>
  <r>
    <s v="I-1155"/>
    <s v="Rome"/>
    <s v="Italy"/>
    <s v="EMEA"/>
    <d v="2016-06-15T00:00:00"/>
    <x v="9"/>
    <s v="Steven Bell"/>
    <n v="70"/>
    <n v="65"/>
    <n v="7.1400000000000005E-2"/>
    <n v="13"/>
    <n v="845"/>
  </r>
  <r>
    <s v="I-1156"/>
    <s v="Delhi"/>
    <s v="India"/>
    <s v="APAC"/>
    <d v="2016-04-05T00:00:00"/>
    <x v="0"/>
    <s v="Geoffrey Patel"/>
    <n v="80"/>
    <n v="78"/>
    <n v="2.5000000000000001E-2"/>
    <n v="83"/>
    <n v="6474"/>
  </r>
  <r>
    <s v="I-1157"/>
    <s v="Shanghai"/>
    <s v="China"/>
    <s v="APAC"/>
    <d v="2015-06-16T00:00:00"/>
    <x v="11"/>
    <s v="Alen Dinan"/>
    <n v="50"/>
    <n v="39"/>
    <n v="0.22"/>
    <n v="20"/>
    <n v="780"/>
  </r>
  <r>
    <s v="I-1158"/>
    <s v="Ho Chi Minh City"/>
    <s v="Vietnam"/>
    <s v="APAC"/>
    <d v="2017-04-15T00:00:00"/>
    <x v="4"/>
    <s v="Rosemary Aziz"/>
    <n v="30"/>
    <n v="28"/>
    <n v="6.6699999999999995E-2"/>
    <n v="59"/>
    <n v="1652"/>
  </r>
  <r>
    <s v="I-1159"/>
    <s v="Istanbul"/>
    <s v="Turkey"/>
    <s v="EMEA"/>
    <d v="2015-06-25T00:00:00"/>
    <x v="5"/>
    <s v="Cordia Alston"/>
    <n v="500"/>
    <n v="315"/>
    <n v="0.37"/>
    <n v="63"/>
    <n v="19845"/>
  </r>
  <r>
    <s v="I-1160"/>
    <s v="Tijuana"/>
    <s v="Mexico"/>
    <s v="LATAM"/>
    <d v="2016-05-05T00:00:00"/>
    <x v="4"/>
    <s v="Kevin McLauchlin"/>
    <n v="30"/>
    <n v="29"/>
    <n v="3.3300000000000003E-2"/>
    <n v="47"/>
    <n v="1363"/>
  </r>
  <r>
    <s v="I-1161"/>
    <s v="Dubai"/>
    <s v="UAE"/>
    <s v="EMEA"/>
    <d v="2016-05-19T00:00:00"/>
    <x v="1"/>
    <s v="Marie Whitfield"/>
    <n v="700"/>
    <n v="595"/>
    <n v="0.15"/>
    <n v="5"/>
    <n v="2975"/>
  </r>
  <r>
    <s v="I-1162"/>
    <s v="London"/>
    <s v="UK"/>
    <s v="EMEA"/>
    <d v="2014-02-26T00:00:00"/>
    <x v="8"/>
    <s v="Philip Dewar"/>
    <n v="500"/>
    <n v="500"/>
    <n v="0"/>
    <n v="27"/>
    <n v="13500"/>
  </r>
  <r>
    <s v="I-1163"/>
    <s v="Tijuana"/>
    <s v="Mexico"/>
    <s v="LATAM"/>
    <d v="2014-11-26T00:00:00"/>
    <x v="10"/>
    <s v="Gillian Allnutt"/>
    <n v="250"/>
    <n v="243"/>
    <n v="2.8000000000000001E-2"/>
    <n v="62"/>
    <n v="15066"/>
  </r>
  <r>
    <s v="I-1164"/>
    <s v="Kansas City"/>
    <s v="USA"/>
    <s v="NA"/>
    <d v="2014-01-26T00:00:00"/>
    <x v="3"/>
    <s v="Robert Arnold"/>
    <n v="50"/>
    <n v="40"/>
    <n v="0.2"/>
    <n v="24"/>
    <n v="960"/>
  </r>
  <r>
    <s v="I-1165"/>
    <s v="Osaka"/>
    <s v="Japan"/>
    <s v="APAC"/>
    <d v="2015-04-26T00:00:00"/>
    <x v="9"/>
    <s v="Neil McAvoy"/>
    <n v="70"/>
    <n v="47"/>
    <n v="0.3286"/>
    <n v="10"/>
    <n v="470"/>
  </r>
  <r>
    <s v="I-1166"/>
    <s v="Rome"/>
    <s v="Italy"/>
    <s v="EMEA"/>
    <d v="2015-04-06T00:00:00"/>
    <x v="11"/>
    <s v="Andrew Hirst"/>
    <n v="50"/>
    <n v="46"/>
    <n v="0.08"/>
    <n v="76"/>
    <n v="3496"/>
  </r>
  <r>
    <s v="I-1167"/>
    <s v="Warsaw"/>
    <s v="Poland"/>
    <s v="EMEA"/>
    <d v="2015-06-03T00:00:00"/>
    <x v="8"/>
    <s v="Robert Brook"/>
    <n v="500"/>
    <n v="500"/>
    <n v="0"/>
    <n v="21"/>
    <n v="10500"/>
  </r>
  <r>
    <s v="I-1168"/>
    <s v="Mexico City"/>
    <s v="Mexico"/>
    <s v="LATAM"/>
    <d v="2017-03-25T00:00:00"/>
    <x v="0"/>
    <s v="Malcolm Griffith"/>
    <n v="80"/>
    <n v="77"/>
    <n v="3.7499999999999999E-2"/>
    <n v="33"/>
    <n v="2541"/>
  </r>
  <r>
    <s v="I-1169"/>
    <s v="Dublin"/>
    <s v="Ireland"/>
    <s v="EMEA"/>
    <d v="2018-01-16T00:00:00"/>
    <x v="11"/>
    <s v="Alison Younger"/>
    <n v="50"/>
    <n v="43"/>
    <n v="0.14000000000000001"/>
    <n v="3"/>
    <n v="129"/>
  </r>
  <r>
    <s v="I-1170"/>
    <s v="Delhi"/>
    <s v="India"/>
    <s v="APAC"/>
    <d v="2018-08-07T00:00:00"/>
    <x v="2"/>
    <s v="Steven Batty"/>
    <n v="150"/>
    <n v="143"/>
    <n v="4.6699999999999998E-2"/>
    <n v="95"/>
    <n v="13585"/>
  </r>
  <r>
    <s v="I-1171"/>
    <s v="Bangkok"/>
    <s v="Thailand"/>
    <s v="APAC"/>
    <d v="2015-06-09T00:00:00"/>
    <x v="7"/>
    <s v="John Jenkins"/>
    <n v="1000"/>
    <n v="610"/>
    <n v="0.39"/>
    <n v="53"/>
    <n v="32330"/>
  </r>
  <r>
    <s v="I-1172"/>
    <s v="Tel Aviv"/>
    <s v="Israel"/>
    <s v="EMEA"/>
    <d v="2014-06-05T00:00:00"/>
    <x v="3"/>
    <s v="Jacob Percival"/>
    <n v="50"/>
    <n v="41"/>
    <n v="0.18"/>
    <n v="69"/>
    <n v="2829"/>
  </r>
  <r>
    <s v="I-1173"/>
    <s v="Chicago"/>
    <s v="USA"/>
    <s v="NA"/>
    <d v="2015-06-20T00:00:00"/>
    <x v="4"/>
    <s v="Nicholas Knight"/>
    <n v="30"/>
    <n v="29"/>
    <n v="3.3300000000000003E-2"/>
    <n v="36"/>
    <n v="1044"/>
  </r>
  <r>
    <s v="I-1174"/>
    <s v="Berlin"/>
    <s v="Germany"/>
    <s v="EMEA"/>
    <d v="2014-10-29T00:00:00"/>
    <x v="0"/>
    <s v="Paul Mannion"/>
    <n v="80"/>
    <n v="70"/>
    <n v="0.125"/>
    <n v="46"/>
    <n v="3220"/>
  </r>
  <r>
    <s v="I-1175"/>
    <s v="Istanbul"/>
    <s v="Turkey"/>
    <s v="EMEA"/>
    <d v="2018-12-10T00:00:00"/>
    <x v="10"/>
    <s v="David Philp"/>
    <n v="250"/>
    <n v="240"/>
    <n v="0.04"/>
    <n v="73"/>
    <n v="17520"/>
  </r>
  <r>
    <s v="I-1176"/>
    <s v="Madria"/>
    <s v="Spain"/>
    <s v="EMEA"/>
    <d v="2018-05-20T00:00:00"/>
    <x v="4"/>
    <s v="Roy Nunes"/>
    <n v="30"/>
    <n v="28"/>
    <n v="6.6699999999999995E-2"/>
    <n v="86"/>
    <n v="2408"/>
  </r>
  <r>
    <s v="I-1177"/>
    <s v="Delhi"/>
    <s v="India"/>
    <s v="APAC"/>
    <d v="2018-01-21T00:00:00"/>
    <x v="9"/>
    <s v="Glen Campbell"/>
    <n v="70"/>
    <n v="64"/>
    <n v="8.5699999999999998E-2"/>
    <n v="15"/>
    <n v="960"/>
  </r>
  <r>
    <s v="I-1178"/>
    <s v="Seattle"/>
    <s v="USA"/>
    <s v="NA"/>
    <d v="2015-07-15T00:00:00"/>
    <x v="9"/>
    <s v="Lesleyann Pope"/>
    <n v="70"/>
    <n v="51"/>
    <n v="0.27139999999999997"/>
    <n v="34"/>
    <n v="1734"/>
  </r>
  <r>
    <s v="I-1179"/>
    <s v="Sao Paolo"/>
    <s v="Brazil"/>
    <s v="LATAM"/>
    <d v="2015-07-11T00:00:00"/>
    <x v="3"/>
    <s v="Stephen Smith"/>
    <n v="50"/>
    <n v="41"/>
    <n v="0.18"/>
    <n v="64"/>
    <n v="2624"/>
  </r>
  <r>
    <s v="I-1180"/>
    <s v="Lima"/>
    <s v="Peru"/>
    <s v="LATAM"/>
    <d v="2018-07-26T00:00:00"/>
    <x v="8"/>
    <s v="William Lant"/>
    <n v="500"/>
    <n v="490"/>
    <n v="0.02"/>
    <n v="16"/>
    <n v="7840"/>
  </r>
  <r>
    <s v="I-1181"/>
    <s v="Lima"/>
    <s v="Peru"/>
    <s v="LATAM"/>
    <d v="2014-06-16T00:00:00"/>
    <x v="8"/>
    <s v="Christopher Cresswell"/>
    <n v="500"/>
    <n v="490"/>
    <n v="0.02"/>
    <n v="77"/>
    <n v="37730"/>
  </r>
  <r>
    <s v="I-1182"/>
    <s v="Santiago"/>
    <s v="Chile"/>
    <s v="LATAM"/>
    <d v="2015-07-09T00:00:00"/>
    <x v="7"/>
    <s v="Ram Mathews"/>
    <n v="1000"/>
    <n v="910"/>
    <n v="0.09"/>
    <n v="17"/>
    <n v="15470"/>
  </r>
  <r>
    <s v="I-1183"/>
    <s v="Buenos Aires"/>
    <s v="Argentina"/>
    <s v="LATAM"/>
    <d v="2016-08-19T00:00:00"/>
    <x v="4"/>
    <s v="Naeem Perry"/>
    <n v="30"/>
    <n v="28"/>
    <n v="6.6699999999999995E-2"/>
    <n v="24"/>
    <n v="672"/>
  </r>
  <r>
    <s v="I-1184"/>
    <s v="Warsaw"/>
    <s v="Poland"/>
    <s v="EMEA"/>
    <d v="2014-02-01T00:00:00"/>
    <x v="3"/>
    <s v="Anthony Connolly"/>
    <n v="50"/>
    <n v="44"/>
    <n v="0.12"/>
    <n v="75"/>
    <n v="3300"/>
  </r>
  <r>
    <s v="I-1185"/>
    <s v="Madria"/>
    <s v="Spain"/>
    <s v="EMEA"/>
    <d v="2016-05-25T00:00:00"/>
    <x v="0"/>
    <s v="Howard Jones"/>
    <n v="80"/>
    <n v="75"/>
    <n v="6.25E-2"/>
    <n v="6"/>
    <n v="450"/>
  </r>
  <r>
    <s v="I-1186"/>
    <s v="Dubai"/>
    <s v="UAE"/>
    <s v="EMEA"/>
    <d v="2015-06-22T00:00:00"/>
    <x v="10"/>
    <s v="Brenda Lightfoot"/>
    <n v="250"/>
    <n v="225"/>
    <n v="0.1"/>
    <n v="7"/>
    <n v="1575"/>
  </r>
  <r>
    <s v="I-1187"/>
    <s v="Istanbul"/>
    <s v="Turkey"/>
    <s v="EMEA"/>
    <d v="2016-09-24T00:00:00"/>
    <x v="4"/>
    <s v="Chloe Lyons"/>
    <n v="30"/>
    <n v="30"/>
    <n v="0"/>
    <n v="59"/>
    <n v="1770"/>
  </r>
  <r>
    <s v="I-1188"/>
    <s v="Buenos Aires"/>
    <s v="Argentina"/>
    <s v="LATAM"/>
    <d v="2014-09-21T00:00:00"/>
    <x v="10"/>
    <s v="Abdul Heywood"/>
    <n v="250"/>
    <n v="210"/>
    <n v="0.16"/>
    <n v="78"/>
    <n v="16380"/>
  </r>
  <r>
    <s v="I-1189"/>
    <s v="Moscow"/>
    <s v="Russia"/>
    <s v="EMEA"/>
    <d v="2017-04-26T00:00:00"/>
    <x v="10"/>
    <s v="Rita Hill"/>
    <n v="250"/>
    <n v="250"/>
    <n v="0"/>
    <n v="14"/>
    <n v="3500"/>
  </r>
  <r>
    <s v="I-1190"/>
    <s v="Warsaw"/>
    <s v="Poland"/>
    <s v="EMEA"/>
    <d v="2017-12-27T00:00:00"/>
    <x v="5"/>
    <s v="Tony Green"/>
    <n v="500"/>
    <n v="480"/>
    <n v="0.04"/>
    <n v="38"/>
    <n v="18240"/>
  </r>
  <r>
    <s v="I-1191"/>
    <s v="Sydney"/>
    <s v="Australia"/>
    <s v="APAC"/>
    <d v="2016-03-04T00:00:00"/>
    <x v="7"/>
    <s v="Armand Ahmed"/>
    <n v="1000"/>
    <n v="970"/>
    <n v="0.03"/>
    <n v="32"/>
    <n v="31040"/>
  </r>
  <r>
    <s v="I-1192"/>
    <s v="Bucharest"/>
    <s v="Romania"/>
    <s v="EMEA"/>
    <d v="2014-07-21T00:00:00"/>
    <x v="2"/>
    <s v="Geoffrey Shiner"/>
    <n v="150"/>
    <n v="144"/>
    <n v="0.04"/>
    <n v="81"/>
    <n v="11664"/>
  </r>
  <r>
    <s v="I-1193"/>
    <s v="Kansas City"/>
    <s v="USA"/>
    <s v="NA"/>
    <d v="2017-03-26T00:00:00"/>
    <x v="1"/>
    <s v="Robert Arnold"/>
    <n v="700"/>
    <n v="637"/>
    <n v="0.09"/>
    <n v="15"/>
    <n v="9555"/>
  </r>
  <r>
    <s v="I-1194"/>
    <s v="Jerusalem"/>
    <s v="Israel"/>
    <s v="EMEA"/>
    <d v="2016-04-13T00:00:00"/>
    <x v="9"/>
    <s v="Isla Parsons"/>
    <n v="70"/>
    <n v="63"/>
    <n v="0.1"/>
    <n v="99"/>
    <n v="6237"/>
  </r>
  <r>
    <s v="I-1195"/>
    <s v="Jerusalem"/>
    <s v="Israel"/>
    <s v="EMEA"/>
    <d v="2018-07-05T00:00:00"/>
    <x v="1"/>
    <s v="John Bond"/>
    <n v="700"/>
    <n v="672"/>
    <n v="0.04"/>
    <n v="11"/>
    <n v="7392"/>
  </r>
  <r>
    <s v="I-1196"/>
    <s v="Shanghai"/>
    <s v="China"/>
    <s v="APAC"/>
    <d v="2015-01-27T00:00:00"/>
    <x v="11"/>
    <s v="Christopher Snape"/>
    <n v="50"/>
    <n v="42"/>
    <n v="0.16"/>
    <n v="75"/>
    <n v="3150"/>
  </r>
  <r>
    <s v="I-1197"/>
    <s v="Prague"/>
    <s v="Czech Republic"/>
    <s v="EMEA"/>
    <d v="2018-11-30T00:00:00"/>
    <x v="0"/>
    <s v="Stephen Nolan"/>
    <n v="80"/>
    <n v="78"/>
    <n v="2.5000000000000001E-2"/>
    <n v="93"/>
    <n v="7254"/>
  </r>
  <r>
    <s v="I-1198"/>
    <s v="Santiago"/>
    <s v="Chile"/>
    <s v="LATAM"/>
    <d v="2017-11-25T00:00:00"/>
    <x v="3"/>
    <s v="Julia Hurren"/>
    <n v="50"/>
    <n v="49"/>
    <n v="0.02"/>
    <n v="84"/>
    <n v="4116"/>
  </r>
  <r>
    <s v="I-1199"/>
    <s v="New York"/>
    <s v="USA"/>
    <s v="NA"/>
    <d v="2014-01-05T00:00:00"/>
    <x v="10"/>
    <s v="Simon Hirst"/>
    <n v="250"/>
    <n v="193"/>
    <n v="0.22800000000000001"/>
    <n v="53"/>
    <n v="10229"/>
  </r>
  <r>
    <s v="I-1200"/>
    <s v="Moscow"/>
    <s v="Russia"/>
    <s v="EMEA"/>
    <d v="2017-02-16T00:00:00"/>
    <x v="0"/>
    <s v="Alexander Hillier"/>
    <n v="80"/>
    <n v="76"/>
    <n v="0.05"/>
    <n v="57"/>
    <n v="4332"/>
  </r>
  <r>
    <s v="I-1201"/>
    <s v="Kansas City"/>
    <s v="USA"/>
    <s v="NA"/>
    <d v="2015-10-23T00:00:00"/>
    <x v="1"/>
    <s v="Christina Pedley"/>
    <n v="700"/>
    <n v="672"/>
    <n v="0.04"/>
    <n v="66"/>
    <n v="44352"/>
  </r>
  <r>
    <s v="I-1202"/>
    <s v="Amsterdam"/>
    <s v="Netherlands"/>
    <s v="EMEA"/>
    <d v="2015-12-26T00:00:00"/>
    <x v="4"/>
    <s v="Danny Grant"/>
    <n v="30"/>
    <n v="28"/>
    <n v="6.6699999999999995E-2"/>
    <n v="79"/>
    <n v="2212"/>
  </r>
  <r>
    <s v="I-1203"/>
    <s v="Istanbul"/>
    <s v="Turkey"/>
    <s v="EMEA"/>
    <d v="2014-11-08T00:00:00"/>
    <x v="0"/>
    <s v="Francis Hall"/>
    <n v="80"/>
    <n v="66"/>
    <n v="0.17499999999999999"/>
    <n v="20"/>
    <n v="1320"/>
  </r>
  <r>
    <s v="I-1204"/>
    <s v="Dubai"/>
    <s v="UAE"/>
    <s v="EMEA"/>
    <d v="2015-06-08T00:00:00"/>
    <x v="11"/>
    <s v="Marie Whitfield"/>
    <n v="50"/>
    <n v="48"/>
    <n v="0.04"/>
    <n v="89"/>
    <n v="4272"/>
  </r>
  <r>
    <s v="I-1205"/>
    <s v="Amsterdam"/>
    <s v="Netherlands"/>
    <s v="EMEA"/>
    <d v="2014-02-12T00:00:00"/>
    <x v="5"/>
    <s v="Alan Evora"/>
    <n v="500"/>
    <n v="370"/>
    <n v="0.26"/>
    <n v="98"/>
    <n v="36260"/>
  </r>
  <r>
    <s v="I-1206"/>
    <s v="Kansas City"/>
    <s v="USA"/>
    <s v="NA"/>
    <d v="2016-01-25T00:00:00"/>
    <x v="0"/>
    <s v="Xun Simms"/>
    <n v="80"/>
    <n v="72"/>
    <n v="0.1"/>
    <n v="40"/>
    <n v="2880"/>
  </r>
  <r>
    <s v="I-1207"/>
    <s v="Birmingham"/>
    <s v="UK"/>
    <s v="EMEA"/>
    <d v="2015-01-26T00:00:00"/>
    <x v="0"/>
    <s v="Gustavo Taiwo"/>
    <n v="80"/>
    <n v="58"/>
    <n v="0.27500000000000002"/>
    <n v="42"/>
    <n v="2436"/>
  </r>
  <r>
    <s v="I-1208"/>
    <s v="Toronto"/>
    <s v="Canada"/>
    <s v="NA"/>
    <d v="2018-10-03T00:00:00"/>
    <x v="0"/>
    <s v="James Hammond"/>
    <n v="80"/>
    <n v="73"/>
    <n v="8.7499999999999994E-2"/>
    <n v="53"/>
    <n v="3869"/>
  </r>
  <r>
    <s v="I-1209"/>
    <s v="Los Angeles"/>
    <s v="USA"/>
    <s v="NA"/>
    <d v="2015-03-06T00:00:00"/>
    <x v="6"/>
    <s v="Colin Matthews"/>
    <n v="800"/>
    <n v="776"/>
    <n v="0.03"/>
    <n v="76"/>
    <n v="58976"/>
  </r>
  <r>
    <s v="I-1210"/>
    <s v="Chicago"/>
    <s v="USA"/>
    <s v="NA"/>
    <d v="2018-08-26T00:00:00"/>
    <x v="2"/>
    <s v="Barry Baldwin"/>
    <n v="150"/>
    <n v="147"/>
    <n v="0.02"/>
    <n v="47"/>
    <n v="6909"/>
  </r>
  <r>
    <s v="I-1211"/>
    <s v="Sao Paolo"/>
    <s v="Brazil"/>
    <s v="LATAM"/>
    <d v="2016-01-09T00:00:00"/>
    <x v="2"/>
    <s v="Elizabeth Holloway"/>
    <n v="150"/>
    <n v="134"/>
    <n v="0.1067"/>
    <n v="19"/>
    <n v="2546"/>
  </r>
  <r>
    <s v="I-1212"/>
    <s v="Warsaw"/>
    <s v="Poland"/>
    <s v="EMEA"/>
    <d v="2016-07-15T00:00:00"/>
    <x v="4"/>
    <s v="Anthony Connolly"/>
    <n v="30"/>
    <n v="8"/>
    <n v="0.73329999999999995"/>
    <n v="64"/>
    <n v="512"/>
  </r>
  <r>
    <s v="I-1213"/>
    <s v="Dubai"/>
    <s v="UAE"/>
    <s v="EMEA"/>
    <d v="2014-11-29T00:00:00"/>
    <x v="2"/>
    <s v="Peter Kelly"/>
    <n v="150"/>
    <n v="135"/>
    <n v="0.1"/>
    <n v="66"/>
    <n v="8910"/>
  </r>
  <r>
    <s v="I-1214"/>
    <s v="Santiago"/>
    <s v="Chile"/>
    <s v="LATAM"/>
    <d v="2014-09-22T00:00:00"/>
    <x v="9"/>
    <s v="Julia Hurren"/>
    <n v="70"/>
    <n v="59"/>
    <n v="0.15709999999999999"/>
    <n v="69"/>
    <n v="4071"/>
  </r>
  <r>
    <s v="I-1215"/>
    <s v="Bangalore"/>
    <s v="India"/>
    <s v="APAC"/>
    <d v="2017-12-20T00:00:00"/>
    <x v="7"/>
    <s v="Paul Rule"/>
    <n v="1000"/>
    <n v="500"/>
    <n v="0.5"/>
    <n v="83"/>
    <n v="41500"/>
  </r>
  <r>
    <s v="I-1216"/>
    <s v="Los Angeles"/>
    <s v="USA"/>
    <s v="NA"/>
    <d v="2017-02-19T00:00:00"/>
    <x v="5"/>
    <s v="Christopher Kitching"/>
    <n v="500"/>
    <n v="495"/>
    <n v="0.01"/>
    <n v="71"/>
    <n v="35145"/>
  </r>
  <r>
    <s v="I-1217"/>
    <s v="Bucharest"/>
    <s v="Romania"/>
    <s v="EMEA"/>
    <d v="2018-02-16T00:00:00"/>
    <x v="3"/>
    <s v="Constance Tidey"/>
    <n v="50"/>
    <n v="49"/>
    <n v="0.02"/>
    <n v="22"/>
    <n v="1078"/>
  </r>
  <r>
    <s v="I-1218"/>
    <s v="Toronto"/>
    <s v="Canada"/>
    <s v="NA"/>
    <d v="2014-01-10T00:00:00"/>
    <x v="11"/>
    <s v="Michael Patel"/>
    <n v="50"/>
    <n v="48"/>
    <n v="0.04"/>
    <n v="14"/>
    <n v="672"/>
  </r>
  <r>
    <s v="I-1219"/>
    <s v="Osaka"/>
    <s v="Japan"/>
    <s v="APAC"/>
    <d v="2015-09-04T00:00:00"/>
    <x v="1"/>
    <s v="Tracy Stanley"/>
    <n v="700"/>
    <n v="560"/>
    <n v="0.2"/>
    <n v="97"/>
    <n v="54320"/>
  </r>
  <r>
    <s v="I-1220"/>
    <s v="Bangalore"/>
    <s v="India"/>
    <s v="APAC"/>
    <d v="2014-08-04T00:00:00"/>
    <x v="7"/>
    <s v="Stuart Sykes"/>
    <n v="1000"/>
    <n v="500"/>
    <n v="0.5"/>
    <n v="35"/>
    <n v="17500"/>
  </r>
  <r>
    <s v="I-1221"/>
    <s v="Los Angeles"/>
    <s v="USA"/>
    <s v="NA"/>
    <d v="2018-08-13T00:00:00"/>
    <x v="8"/>
    <s v="Christopher Kitching"/>
    <n v="500"/>
    <n v="495"/>
    <n v="0.01"/>
    <n v="64"/>
    <n v="31680"/>
  </r>
  <r>
    <s v="I-1222"/>
    <s v="Chicago"/>
    <s v="USA"/>
    <s v="NA"/>
    <d v="2016-10-04T00:00:00"/>
    <x v="4"/>
    <s v="Marie Foster"/>
    <n v="30"/>
    <n v="29"/>
    <n v="3.3300000000000003E-2"/>
    <n v="84"/>
    <n v="2436"/>
  </r>
  <r>
    <s v="I-1223"/>
    <s v="San Fransisco"/>
    <s v="USA"/>
    <s v="NA"/>
    <d v="2014-07-06T00:00:00"/>
    <x v="11"/>
    <s v="Gary Acheampong"/>
    <n v="50"/>
    <n v="44"/>
    <n v="0.12"/>
    <n v="68"/>
    <n v="2992"/>
  </r>
  <r>
    <s v="I-1224"/>
    <s v="Jerusalem"/>
    <s v="Israel"/>
    <s v="EMEA"/>
    <d v="2014-09-03T00:00:00"/>
    <x v="7"/>
    <s v="John Bond"/>
    <n v="1000"/>
    <n v="710"/>
    <n v="0.28999999999999998"/>
    <n v="26"/>
    <n v="18460"/>
  </r>
  <r>
    <s v="I-1225"/>
    <s v="San Fransisco"/>
    <s v="USA"/>
    <s v="NA"/>
    <d v="2016-04-16T00:00:00"/>
    <x v="2"/>
    <s v="John Osborne"/>
    <n v="150"/>
    <n v="150"/>
    <n v="0"/>
    <n v="56"/>
    <n v="8400"/>
  </r>
  <r>
    <s v="I-1226"/>
    <s v="Osaka"/>
    <s v="Japan"/>
    <s v="APAC"/>
    <d v="2016-10-23T00:00:00"/>
    <x v="3"/>
    <s v="Paul Atkins"/>
    <n v="50"/>
    <n v="44"/>
    <n v="0.12"/>
    <n v="81"/>
    <n v="3564"/>
  </r>
  <r>
    <s v="I-1227"/>
    <s v="Mexico City"/>
    <s v="Mexico"/>
    <s v="LATAM"/>
    <d v="2015-03-05T00:00:00"/>
    <x v="4"/>
    <s v="Denise Rodgers"/>
    <n v="30"/>
    <n v="24"/>
    <n v="0.2"/>
    <n v="71"/>
    <n v="1704"/>
  </r>
  <r>
    <s v="I-1228"/>
    <s v="Santiago"/>
    <s v="Chile"/>
    <s v="LATAM"/>
    <d v="2015-07-31T00:00:00"/>
    <x v="10"/>
    <s v="Julia Hurren"/>
    <n v="250"/>
    <n v="163"/>
    <n v="0.34799999999999998"/>
    <n v="32"/>
    <n v="5216"/>
  </r>
  <r>
    <s v="I-1229"/>
    <s v="Bangkok"/>
    <s v="Thailand"/>
    <s v="APAC"/>
    <d v="2018-10-08T00:00:00"/>
    <x v="0"/>
    <s v="Arthur Moncrieff"/>
    <n v="80"/>
    <n v="78"/>
    <n v="2.5000000000000001E-2"/>
    <n v="93"/>
    <n v="7254"/>
  </r>
  <r>
    <s v="I-1230"/>
    <s v="Dublin"/>
    <s v="Ireland"/>
    <s v="EMEA"/>
    <d v="2018-07-22T00:00:00"/>
    <x v="0"/>
    <s v="Alison Younger"/>
    <n v="80"/>
    <n v="78"/>
    <n v="2.5000000000000001E-2"/>
    <n v="54"/>
    <n v="4212"/>
  </r>
  <r>
    <s v="I-1231"/>
    <s v="Shanghai"/>
    <s v="China"/>
    <s v="APAC"/>
    <d v="2017-06-06T00:00:00"/>
    <x v="1"/>
    <s v="Alen Dinan"/>
    <n v="700"/>
    <n v="651"/>
    <n v="7.0000000000000007E-2"/>
    <n v="9"/>
    <n v="5859"/>
  </r>
  <r>
    <s v="I-1232"/>
    <s v="Athens"/>
    <s v="Greece"/>
    <s v="EMEA"/>
    <d v="2015-07-14T00:00:00"/>
    <x v="3"/>
    <s v="Aidan Perrott"/>
    <n v="50"/>
    <n v="36"/>
    <n v="0.28000000000000003"/>
    <n v="9"/>
    <n v="324"/>
  </r>
  <r>
    <s v="I-1233"/>
    <s v="Warsaw"/>
    <s v="Poland"/>
    <s v="EMEA"/>
    <d v="2014-04-21T00:00:00"/>
    <x v="8"/>
    <s v="Alexandra Wright"/>
    <n v="500"/>
    <n v="500"/>
    <n v="0"/>
    <n v="41"/>
    <n v="20500"/>
  </r>
  <r>
    <s v="I-1234"/>
    <s v="Madria"/>
    <s v="Spain"/>
    <s v="EMEA"/>
    <d v="2015-07-26T00:00:00"/>
    <x v="2"/>
    <s v="Zhan Whitfield"/>
    <n v="150"/>
    <n v="140"/>
    <n v="6.6699999999999995E-2"/>
    <n v="36"/>
    <n v="5040"/>
  </r>
  <r>
    <s v="I-1235"/>
    <s v="Vienna"/>
    <s v="Austria"/>
    <s v="EMEA"/>
    <d v="2017-12-04T00:00:00"/>
    <x v="1"/>
    <s v="Daniel Henderson"/>
    <n v="700"/>
    <n v="700"/>
    <n v="0"/>
    <n v="63"/>
    <n v="44100"/>
  </r>
  <r>
    <s v="I-1236"/>
    <s v="Ho Chi Minh City"/>
    <s v="Vietnam"/>
    <s v="APAC"/>
    <d v="2017-04-12T00:00:00"/>
    <x v="2"/>
    <s v="Barbara Love"/>
    <n v="150"/>
    <n v="144"/>
    <n v="0.04"/>
    <n v="11"/>
    <n v="1584"/>
  </r>
  <r>
    <s v="I-1237"/>
    <s v="Berlin"/>
    <s v="Germany"/>
    <s v="EMEA"/>
    <d v="2017-09-23T00:00:00"/>
    <x v="5"/>
    <s v="Paul Sherwin"/>
    <n v="500"/>
    <n v="465"/>
    <n v="7.0000000000000007E-2"/>
    <n v="62"/>
    <n v="28830"/>
  </r>
  <r>
    <s v="I-1238"/>
    <s v="Kuala Lumpur"/>
    <s v="Malaysia"/>
    <s v="APAC"/>
    <d v="2016-03-05T00:00:00"/>
    <x v="3"/>
    <s v="Ian Baker"/>
    <n v="50"/>
    <n v="50"/>
    <n v="0"/>
    <n v="36"/>
    <n v="1800"/>
  </r>
  <r>
    <s v="I-1239"/>
    <s v="Bangkok"/>
    <s v="Thailand"/>
    <s v="APAC"/>
    <d v="2015-03-11T00:00:00"/>
    <x v="11"/>
    <s v="Nicole Marshall"/>
    <n v="50"/>
    <n v="49"/>
    <n v="0.02"/>
    <n v="64"/>
    <n v="3136"/>
  </r>
  <r>
    <s v="I-1240"/>
    <s v="Seattle"/>
    <s v="USA"/>
    <s v="NA"/>
    <d v="2014-08-17T00:00:00"/>
    <x v="3"/>
    <s v="Susan Toye"/>
    <n v="50"/>
    <n v="44"/>
    <n v="0.12"/>
    <n v="75"/>
    <n v="3300"/>
  </r>
  <r>
    <s v="I-1241"/>
    <s v="Berlin"/>
    <s v="Germany"/>
    <s v="EMEA"/>
    <d v="2016-10-21T00:00:00"/>
    <x v="8"/>
    <s v="Paul Mannion"/>
    <n v="500"/>
    <n v="490"/>
    <n v="0.02"/>
    <n v="45"/>
    <n v="22050"/>
  </r>
  <r>
    <s v="I-1242"/>
    <s v="Berlin"/>
    <s v="Germany"/>
    <s v="EMEA"/>
    <d v="2018-07-01T00:00:00"/>
    <x v="1"/>
    <s v="Natasha Carvalho"/>
    <n v="700"/>
    <n v="623"/>
    <n v="0.11"/>
    <n v="18"/>
    <n v="11214"/>
  </r>
  <r>
    <s v="I-1243"/>
    <s v="Kansas City"/>
    <s v="USA"/>
    <s v="NA"/>
    <d v="2014-06-11T00:00:00"/>
    <x v="1"/>
    <s v="Ronnette Stocks"/>
    <n v="700"/>
    <n v="574"/>
    <n v="0.18"/>
    <n v="59"/>
    <n v="33866"/>
  </r>
  <r>
    <s v="I-1244"/>
    <s v="Tokyo"/>
    <s v="Japan"/>
    <s v="APAC"/>
    <d v="2016-01-27T00:00:00"/>
    <x v="9"/>
    <s v="Pauline Pope"/>
    <n v="70"/>
    <n v="68"/>
    <n v="2.86E-2"/>
    <n v="22"/>
    <n v="1496"/>
  </r>
  <r>
    <s v="I-1245"/>
    <s v="Seoul"/>
    <s v="South Korea"/>
    <s v="APAC"/>
    <d v="2018-09-26T00:00:00"/>
    <x v="9"/>
    <s v="Roger Scott"/>
    <n v="70"/>
    <n v="69"/>
    <n v="1.43E-2"/>
    <n v="48"/>
    <n v="3312"/>
  </r>
  <r>
    <s v="I-1246"/>
    <s v="Santiago"/>
    <s v="Chile"/>
    <s v="LATAM"/>
    <d v="2016-03-11T00:00:00"/>
    <x v="4"/>
    <s v="Ram Mathews"/>
    <n v="30"/>
    <n v="29"/>
    <n v="3.3300000000000003E-2"/>
    <n v="87"/>
    <n v="2523"/>
  </r>
  <r>
    <s v="I-1247"/>
    <s v="Toronto"/>
    <s v="Canada"/>
    <s v="NA"/>
    <d v="2018-09-16T00:00:00"/>
    <x v="6"/>
    <s v="Alison Storey"/>
    <n v="800"/>
    <n v="696"/>
    <n v="0.13"/>
    <n v="97"/>
    <n v="67512"/>
  </r>
  <r>
    <s v="I-1248"/>
    <s v="Istanbul"/>
    <s v="Turkey"/>
    <s v="EMEA"/>
    <d v="2016-04-14T00:00:00"/>
    <x v="1"/>
    <s v="David Philp"/>
    <n v="700"/>
    <n v="602"/>
    <n v="0.14000000000000001"/>
    <n v="53"/>
    <n v="31906"/>
  </r>
  <r>
    <s v="I-1249"/>
    <s v="Kansas City"/>
    <s v="USA"/>
    <s v="NA"/>
    <d v="2014-04-08T00:00:00"/>
    <x v="3"/>
    <s v="Douglas Davies"/>
    <n v="50"/>
    <n v="40"/>
    <n v="0.2"/>
    <n v="58"/>
    <n v="2320"/>
  </r>
  <r>
    <s v="I-1250"/>
    <s v="Ho Chi Minh City"/>
    <s v="Vietnam"/>
    <s v="APAC"/>
    <d v="2017-04-05T00:00:00"/>
    <x v="11"/>
    <s v="Susan Passey"/>
    <n v="50"/>
    <n v="50"/>
    <n v="0"/>
    <n v="67"/>
    <n v="3350"/>
  </r>
  <r>
    <s v="I-1251"/>
    <s v="Santiago"/>
    <s v="Chile"/>
    <s v="LATAM"/>
    <d v="2017-11-22T00:00:00"/>
    <x v="3"/>
    <s v="Bruce McPhee"/>
    <n v="50"/>
    <n v="49"/>
    <n v="0.02"/>
    <n v="63"/>
    <n v="3087"/>
  </r>
  <r>
    <s v="I-1252"/>
    <s v="Riyadh"/>
    <s v="Saudi Arabia"/>
    <s v="EMEA"/>
    <d v="2014-07-19T00:00:00"/>
    <x v="5"/>
    <s v="Victoria Sherwin"/>
    <n v="500"/>
    <n v="425"/>
    <n v="0.15"/>
    <n v="79"/>
    <n v="33575"/>
  </r>
  <r>
    <s v="I-1253"/>
    <s v="Warsaw"/>
    <s v="Poland"/>
    <s v="EMEA"/>
    <d v="2018-09-21T00:00:00"/>
    <x v="8"/>
    <s v="Alexandra Wright"/>
    <n v="500"/>
    <n v="500"/>
    <n v="0"/>
    <n v="79"/>
    <n v="39500"/>
  </r>
  <r>
    <s v="I-1254"/>
    <s v="Istanbul"/>
    <s v="Turkey"/>
    <s v="EMEA"/>
    <d v="2015-09-30T00:00:00"/>
    <x v="6"/>
    <s v="Bryan Mason"/>
    <n v="800"/>
    <n v="680"/>
    <n v="0.15"/>
    <n v="11"/>
    <n v="7480"/>
  </r>
  <r>
    <s v="I-1255"/>
    <s v="Tel Aviv"/>
    <s v="Israel"/>
    <s v="EMEA"/>
    <d v="2017-12-12T00:00:00"/>
    <x v="2"/>
    <s v="Rebecca Delo"/>
    <n v="150"/>
    <n v="144"/>
    <n v="0.04"/>
    <n v="49"/>
    <n v="7056"/>
  </r>
  <r>
    <s v="I-1256"/>
    <s v="Vienna"/>
    <s v="Austria"/>
    <s v="EMEA"/>
    <d v="2016-02-06T00:00:00"/>
    <x v="7"/>
    <s v="Peter Thompson"/>
    <n v="1000"/>
    <n v="680"/>
    <n v="0.32"/>
    <n v="13"/>
    <n v="8840"/>
  </r>
  <r>
    <s v="I-1257"/>
    <s v="Sao Paolo"/>
    <s v="Brazil"/>
    <s v="LATAM"/>
    <d v="2017-12-30T00:00:00"/>
    <x v="2"/>
    <s v="Cheryl Tubbs"/>
    <n v="150"/>
    <n v="140"/>
    <n v="6.6699999999999995E-2"/>
    <n v="17"/>
    <n v="2380"/>
  </r>
  <r>
    <s v="I-1258"/>
    <s v="Jerusalem"/>
    <s v="Israel"/>
    <s v="EMEA"/>
    <d v="2017-05-20T00:00:00"/>
    <x v="4"/>
    <s v="Abu Moore"/>
    <n v="30"/>
    <n v="28"/>
    <n v="6.6699999999999995E-2"/>
    <n v="90"/>
    <n v="2520"/>
  </r>
  <r>
    <s v="I-1259"/>
    <s v="Bogota"/>
    <s v="Colombia"/>
    <s v="LATAM"/>
    <d v="2014-01-23T00:00:00"/>
    <x v="6"/>
    <s v="Antony Westlake"/>
    <n v="800"/>
    <n v="544"/>
    <n v="0.32"/>
    <n v="91"/>
    <n v="49504"/>
  </r>
  <r>
    <s v="I-1260"/>
    <s v="Toronto"/>
    <s v="Canada"/>
    <s v="NA"/>
    <d v="2016-03-18T00:00:00"/>
    <x v="3"/>
    <s v="Robin Hall"/>
    <n v="50"/>
    <n v="47"/>
    <n v="0.06"/>
    <n v="44"/>
    <n v="2068"/>
  </r>
  <r>
    <s v="I-1261"/>
    <s v="Jerusalem"/>
    <s v="Israel"/>
    <s v="EMEA"/>
    <d v="2014-07-20T00:00:00"/>
    <x v="0"/>
    <s v="Carole Owen"/>
    <n v="80"/>
    <n v="60"/>
    <n v="0.25"/>
    <n v="77"/>
    <n v="4620"/>
  </r>
  <r>
    <s v="I-1262"/>
    <s v="Kuala Lumpur"/>
    <s v="Malaysia"/>
    <s v="APAC"/>
    <d v="2018-06-17T00:00:00"/>
    <x v="4"/>
    <s v="Rachel Oliver"/>
    <n v="30"/>
    <n v="26"/>
    <n v="0.1333"/>
    <n v="98"/>
    <n v="2548"/>
  </r>
  <r>
    <s v="I-1263"/>
    <s v="Kansas City"/>
    <s v="USA"/>
    <s v="NA"/>
    <d v="2016-09-23T00:00:00"/>
    <x v="8"/>
    <s v="Ronnette Stocks"/>
    <n v="500"/>
    <n v="495"/>
    <n v="0.01"/>
    <n v="60"/>
    <n v="29700"/>
  </r>
  <r>
    <s v="I-1264"/>
    <s v="Guangzhou"/>
    <s v="China"/>
    <s v="APAC"/>
    <d v="2014-05-09T00:00:00"/>
    <x v="7"/>
    <s v="Carl Snape"/>
    <n v="1000"/>
    <n v="620"/>
    <n v="0.38"/>
    <n v="70"/>
    <n v="43400"/>
  </r>
  <r>
    <s v="I-1265"/>
    <s v="New York"/>
    <s v="USA"/>
    <s v="NA"/>
    <d v="2018-03-14T00:00:00"/>
    <x v="8"/>
    <s v="John Bull"/>
    <n v="500"/>
    <n v="490"/>
    <n v="0.02"/>
    <n v="42"/>
    <n v="20580"/>
  </r>
  <r>
    <s v="I-1266"/>
    <s v="Athens"/>
    <s v="Greece"/>
    <s v="EMEA"/>
    <d v="2014-08-11T00:00:00"/>
    <x v="4"/>
    <s v="Charles Ali"/>
    <n v="30"/>
    <n v="21"/>
    <n v="0.3"/>
    <n v="57"/>
    <n v="1197"/>
  </r>
  <r>
    <s v="I-1267"/>
    <s v="Guangzhou"/>
    <s v="China"/>
    <s v="APAC"/>
    <d v="2015-05-28T00:00:00"/>
    <x v="4"/>
    <s v="Wolfgang Carvalho"/>
    <n v="30"/>
    <n v="20"/>
    <n v="0.33329999999999999"/>
    <n v="86"/>
    <n v="1720"/>
  </r>
  <r>
    <s v="I-1268"/>
    <s v="Shanghai"/>
    <s v="China"/>
    <s v="APAC"/>
    <d v="2015-06-19T00:00:00"/>
    <x v="7"/>
    <s v="Michelle Murray"/>
    <n v="1000"/>
    <n v="910"/>
    <n v="0.09"/>
    <n v="25"/>
    <n v="22750"/>
  </r>
  <r>
    <s v="I-1269"/>
    <s v="Bangkok"/>
    <s v="Thailand"/>
    <s v="APAC"/>
    <d v="2016-10-23T00:00:00"/>
    <x v="9"/>
    <s v="Nicole Marshall"/>
    <n v="70"/>
    <n v="68"/>
    <n v="2.86E-2"/>
    <n v="97"/>
    <n v="6596"/>
  </r>
  <r>
    <s v="I-1270"/>
    <s v="Bogota"/>
    <s v="Colombia"/>
    <s v="LATAM"/>
    <d v="2016-03-27T00:00:00"/>
    <x v="1"/>
    <s v="Gary Percival"/>
    <n v="700"/>
    <n v="623"/>
    <n v="0.11"/>
    <n v="100"/>
    <n v="62300"/>
  </r>
  <r>
    <s v="I-1271"/>
    <s v="Athens"/>
    <s v="Greece"/>
    <s v="EMEA"/>
    <d v="2014-02-28T00:00:00"/>
    <x v="8"/>
    <s v="Gary Roberts"/>
    <n v="500"/>
    <n v="490"/>
    <n v="0.02"/>
    <n v="12"/>
    <n v="5880"/>
  </r>
  <r>
    <s v="I-1272"/>
    <s v="Seoul"/>
    <s v="South Korea"/>
    <s v="APAC"/>
    <d v="2016-11-04T00:00:00"/>
    <x v="3"/>
    <s v="Leonard Green"/>
    <n v="50"/>
    <n v="50"/>
    <n v="0"/>
    <n v="81"/>
    <n v="4050"/>
  </r>
  <r>
    <s v="I-1273"/>
    <s v="Santiago"/>
    <s v="Chile"/>
    <s v="LATAM"/>
    <d v="2015-06-26T00:00:00"/>
    <x v="7"/>
    <s v="Richard James"/>
    <n v="1000"/>
    <n v="790"/>
    <n v="0.21"/>
    <n v="58"/>
    <n v="45820"/>
  </r>
  <r>
    <s v="I-1274"/>
    <s v="Sydney"/>
    <s v="Australia"/>
    <s v="APAC"/>
    <d v="2014-09-19T00:00:00"/>
    <x v="2"/>
    <s v="Christine Davies"/>
    <n v="150"/>
    <n v="144"/>
    <n v="0.04"/>
    <n v="20"/>
    <n v="2880"/>
  </r>
  <r>
    <s v="I-1275"/>
    <s v="Bucharest"/>
    <s v="Romania"/>
    <s v="EMEA"/>
    <d v="2015-07-14T00:00:00"/>
    <x v="7"/>
    <s v="Richard Rowe"/>
    <n v="1000"/>
    <n v="960"/>
    <n v="0.04"/>
    <n v="100"/>
    <n v="96000"/>
  </r>
  <r>
    <s v="I-1276"/>
    <s v="Vienna"/>
    <s v="Austria"/>
    <s v="EMEA"/>
    <d v="2018-01-17T00:00:00"/>
    <x v="5"/>
    <s v="Bryan Clement"/>
    <n v="500"/>
    <n v="445"/>
    <n v="0.11"/>
    <n v="32"/>
    <n v="14240"/>
  </r>
  <r>
    <s v="I-1277"/>
    <s v="Bangalore"/>
    <s v="India"/>
    <s v="APAC"/>
    <d v="2018-10-23T00:00:00"/>
    <x v="5"/>
    <s v="Paresh Mathews"/>
    <n v="500"/>
    <n v="435"/>
    <n v="0.13"/>
    <n v="9"/>
    <n v="3915"/>
  </r>
  <r>
    <s v="I-1278"/>
    <s v="Capetown"/>
    <s v="South Africa"/>
    <s v="EMEA"/>
    <d v="2014-08-27T00:00:00"/>
    <x v="8"/>
    <s v="Thomas Davies"/>
    <n v="500"/>
    <n v="490"/>
    <n v="0.02"/>
    <n v="78"/>
    <n v="38220"/>
  </r>
  <r>
    <s v="I-1279"/>
    <s v="Bogota"/>
    <s v="Colombia"/>
    <s v="LATAM"/>
    <d v="2017-10-14T00:00:00"/>
    <x v="10"/>
    <s v="Ronald Curtis"/>
    <n v="250"/>
    <n v="230"/>
    <n v="0.08"/>
    <n v="4"/>
    <n v="920"/>
  </r>
  <r>
    <s v="I-1280"/>
    <s v="Santiago"/>
    <s v="Chile"/>
    <s v="LATAM"/>
    <d v="2015-12-12T00:00:00"/>
    <x v="6"/>
    <s v="Ram Mathews"/>
    <n v="800"/>
    <n v="472"/>
    <n v="0.41"/>
    <n v="35"/>
    <n v="16520"/>
  </r>
  <r>
    <s v="I-1281"/>
    <s v="Cairo"/>
    <s v="Egypt"/>
    <s v="EMEA"/>
    <d v="2016-02-11T00:00:00"/>
    <x v="7"/>
    <s v="David Amos"/>
    <n v="1000"/>
    <n v="510"/>
    <n v="0.49"/>
    <n v="67"/>
    <n v="34170"/>
  </r>
  <r>
    <s v="I-1282"/>
    <s v="Riyadh"/>
    <s v="Saudi Arabia"/>
    <s v="EMEA"/>
    <d v="2016-09-22T00:00:00"/>
    <x v="10"/>
    <s v="Danny Brooks"/>
    <n v="250"/>
    <n v="230"/>
    <n v="0.08"/>
    <n v="54"/>
    <n v="12420"/>
  </r>
  <r>
    <s v="I-1283"/>
    <s v="Cairo"/>
    <s v="Egypt"/>
    <s v="EMEA"/>
    <d v="2018-04-01T00:00:00"/>
    <x v="11"/>
    <s v="John Barnett"/>
    <n v="50"/>
    <n v="48"/>
    <n v="0.04"/>
    <n v="39"/>
    <n v="1872"/>
  </r>
  <r>
    <s v="I-1284"/>
    <s v="Bangalore"/>
    <s v="India"/>
    <s v="APAC"/>
    <d v="2015-03-02T00:00:00"/>
    <x v="0"/>
    <s v="Colin Lima"/>
    <n v="80"/>
    <n v="49"/>
    <n v="0.38750000000000001"/>
    <n v="7"/>
    <n v="343"/>
  </r>
  <r>
    <s v="I-1285"/>
    <s v="Cairo"/>
    <s v="Egypt"/>
    <s v="EMEA"/>
    <d v="2015-11-18T00:00:00"/>
    <x v="8"/>
    <s v="Marek Kwiatkowski"/>
    <n v="500"/>
    <n v="490"/>
    <n v="0.02"/>
    <n v="86"/>
    <n v="42140"/>
  </r>
  <r>
    <s v="I-1286"/>
    <s v="Buenos Aires"/>
    <s v="Argentina"/>
    <s v="LATAM"/>
    <d v="2018-03-05T00:00:00"/>
    <x v="10"/>
    <s v="Stuart Brown"/>
    <n v="250"/>
    <n v="248"/>
    <n v="8.0000000000000002E-3"/>
    <n v="2"/>
    <n v="496"/>
  </r>
  <r>
    <s v="I-1287"/>
    <s v="Amsterdam"/>
    <s v="Netherlands"/>
    <s v="EMEA"/>
    <d v="2015-12-27T00:00:00"/>
    <x v="7"/>
    <s v="Christopher Hurren"/>
    <n v="1000"/>
    <n v="900"/>
    <n v="0.1"/>
    <n v="68"/>
    <n v="61200"/>
  </r>
  <r>
    <s v="I-1288"/>
    <s v="Riyadh"/>
    <s v="Saudi Arabia"/>
    <s v="EMEA"/>
    <d v="2018-01-10T00:00:00"/>
    <x v="11"/>
    <s v="Danny Brooks"/>
    <n v="50"/>
    <n v="45"/>
    <n v="0.1"/>
    <n v="3"/>
    <n v="135"/>
  </r>
  <r>
    <s v="I-1289"/>
    <s v="Jerusalem"/>
    <s v="Israel"/>
    <s v="EMEA"/>
    <d v="2017-02-06T00:00:00"/>
    <x v="2"/>
    <s v="Neil Tubbs"/>
    <n v="150"/>
    <n v="144"/>
    <n v="0.04"/>
    <n v="94"/>
    <n v="13536"/>
  </r>
  <r>
    <s v="I-1290"/>
    <s v="Tokyo"/>
    <s v="Japan"/>
    <s v="APAC"/>
    <d v="2018-01-11T00:00:00"/>
    <x v="8"/>
    <s v="David Gow"/>
    <n v="500"/>
    <n v="495"/>
    <n v="0.01"/>
    <n v="49"/>
    <n v="24255"/>
  </r>
  <r>
    <s v="I-1291"/>
    <s v="Prague"/>
    <s v="Czech Republic"/>
    <s v="EMEA"/>
    <d v="2014-09-20T00:00:00"/>
    <x v="5"/>
    <s v="David Stewart"/>
    <n v="500"/>
    <n v="425"/>
    <n v="0.15"/>
    <n v="68"/>
    <n v="28900"/>
  </r>
  <r>
    <s v="I-1292"/>
    <s v="Riyadh"/>
    <s v="Saudi Arabia"/>
    <s v="EMEA"/>
    <d v="2018-06-28T00:00:00"/>
    <x v="9"/>
    <s v="John Craig"/>
    <n v="70"/>
    <n v="60"/>
    <n v="0.1429"/>
    <n v="92"/>
    <n v="5520"/>
  </r>
  <r>
    <s v="I-1293"/>
    <s v="Toronto"/>
    <s v="Canada"/>
    <s v="NA"/>
    <d v="2014-11-27T00:00:00"/>
    <x v="6"/>
    <s v="Richard Oliver"/>
    <n v="800"/>
    <n v="624"/>
    <n v="0.22"/>
    <n v="85"/>
    <n v="53040"/>
  </r>
  <r>
    <s v="I-1294"/>
    <s v="Dubai"/>
    <s v="UAE"/>
    <s v="EMEA"/>
    <d v="2018-08-01T00:00:00"/>
    <x v="3"/>
    <s v="Nicholas Timbrell"/>
    <n v="50"/>
    <n v="47"/>
    <n v="0.06"/>
    <n v="58"/>
    <n v="2726"/>
  </r>
  <r>
    <s v="I-1295"/>
    <s v="Bangalore"/>
    <s v="India"/>
    <s v="APAC"/>
    <d v="2017-11-06T00:00:00"/>
    <x v="4"/>
    <s v="Francis Walsh"/>
    <n v="30"/>
    <n v="29"/>
    <n v="3.3300000000000003E-2"/>
    <n v="17"/>
    <n v="493"/>
  </r>
  <r>
    <s v="I-1296"/>
    <s v="Buenos Aires"/>
    <s v="Argentina"/>
    <s v="LATAM"/>
    <d v="2016-12-11T00:00:00"/>
    <x v="11"/>
    <s v="Nicola Nathan"/>
    <n v="50"/>
    <n v="50"/>
    <n v="0"/>
    <n v="43"/>
    <n v="2150"/>
  </r>
  <r>
    <s v="I-1297"/>
    <s v="Dublin"/>
    <s v="Ireland"/>
    <s v="EMEA"/>
    <d v="2017-09-16T00:00:00"/>
    <x v="0"/>
    <s v="Alison Younger"/>
    <n v="80"/>
    <n v="72"/>
    <n v="0.1"/>
    <n v="76"/>
    <n v="5472"/>
  </r>
  <r>
    <s v="I-1298"/>
    <s v="Sao Paolo"/>
    <s v="Brazil"/>
    <s v="LATAM"/>
    <d v="2015-02-01T00:00:00"/>
    <x v="7"/>
    <s v="Zoe Munday"/>
    <n v="1000"/>
    <n v="580"/>
    <n v="0.42"/>
    <n v="45"/>
    <n v="26100"/>
  </r>
  <r>
    <s v="I-1299"/>
    <s v="Madria"/>
    <s v="Spain"/>
    <s v="EMEA"/>
    <d v="2016-05-12T00:00:00"/>
    <x v="6"/>
    <s v="Paul Long"/>
    <n v="800"/>
    <n v="552"/>
    <n v="0.31"/>
    <n v="68"/>
    <n v="37536"/>
  </r>
  <r>
    <s v="I-1300"/>
    <s v="Athens"/>
    <s v="Greece"/>
    <s v="EMEA"/>
    <d v="2015-05-12T00:00:00"/>
    <x v="9"/>
    <s v="Olivia Reynolds"/>
    <n v="70"/>
    <n v="67"/>
    <n v="4.2900000000000001E-2"/>
    <n v="12"/>
    <n v="804"/>
  </r>
  <r>
    <s v="I-1301"/>
    <s v="Tijuana"/>
    <s v="Mexico"/>
    <s v="LATAM"/>
    <d v="2018-06-24T00:00:00"/>
    <x v="6"/>
    <s v="Gillian Allnutt"/>
    <n v="800"/>
    <n v="704"/>
    <n v="0.12"/>
    <n v="30"/>
    <n v="21120"/>
  </r>
  <r>
    <s v="I-1302"/>
    <s v="Mexico City"/>
    <s v="Mexico"/>
    <s v="LATAM"/>
    <d v="2015-05-20T00:00:00"/>
    <x v="7"/>
    <s v="Eric Walker"/>
    <n v="1000"/>
    <n v="590"/>
    <n v="0.41"/>
    <n v="32"/>
    <n v="18880"/>
  </r>
  <r>
    <s v="I-1303"/>
    <s v="New York"/>
    <s v="USA"/>
    <s v="NA"/>
    <d v="2014-05-16T00:00:00"/>
    <x v="4"/>
    <s v="Andrew Jones"/>
    <n v="30"/>
    <n v="28"/>
    <n v="6.6699999999999995E-2"/>
    <n v="9"/>
    <n v="252"/>
  </r>
  <r>
    <s v="I-1304"/>
    <s v="Bogota"/>
    <s v="Colombia"/>
    <s v="LATAM"/>
    <d v="2017-12-30T00:00:00"/>
    <x v="6"/>
    <s v="Basil Nolan"/>
    <n v="800"/>
    <n v="488"/>
    <n v="0.39"/>
    <n v="65"/>
    <n v="31720"/>
  </r>
  <r>
    <s v="I-1305"/>
    <s v="Toronto"/>
    <s v="Canada"/>
    <s v="NA"/>
    <d v="2015-04-15T00:00:00"/>
    <x v="2"/>
    <s v="Richard Oliver"/>
    <n v="150"/>
    <n v="134"/>
    <n v="0.1067"/>
    <n v="23"/>
    <n v="3082"/>
  </r>
  <r>
    <s v="I-1306"/>
    <s v="Ho Chi Minh City"/>
    <s v="Vietnam"/>
    <s v="APAC"/>
    <d v="2017-05-28T00:00:00"/>
    <x v="11"/>
    <s v="Rosemary Aziz"/>
    <n v="50"/>
    <n v="50"/>
    <n v="0"/>
    <n v="87"/>
    <n v="4350"/>
  </r>
  <r>
    <s v="I-1307"/>
    <s v="New York"/>
    <s v="USA"/>
    <s v="NA"/>
    <d v="2017-03-31T00:00:00"/>
    <x v="7"/>
    <s v="Andrew Jones"/>
    <n v="1000"/>
    <n v="670"/>
    <n v="0.33"/>
    <n v="5"/>
    <n v="3350"/>
  </r>
  <r>
    <s v="I-1308"/>
    <s v="Bangalore"/>
    <s v="India"/>
    <s v="APAC"/>
    <d v="2014-03-16T00:00:00"/>
    <x v="2"/>
    <s v="Stuart Sykes"/>
    <n v="150"/>
    <n v="149"/>
    <n v="6.7000000000000002E-3"/>
    <n v="18"/>
    <n v="2682"/>
  </r>
  <r>
    <s v="I-1309"/>
    <s v="Tel Aviv"/>
    <s v="Israel"/>
    <s v="EMEA"/>
    <d v="2018-09-17T00:00:00"/>
    <x v="8"/>
    <s v="Thomas Gordon"/>
    <n v="500"/>
    <n v="500"/>
    <n v="0"/>
    <n v="3"/>
    <n v="1500"/>
  </r>
  <r>
    <s v="I-1310"/>
    <s v="Tel Aviv"/>
    <s v="Israel"/>
    <s v="EMEA"/>
    <d v="2017-07-22T00:00:00"/>
    <x v="2"/>
    <s v="Thomas Gordon"/>
    <n v="150"/>
    <n v="146"/>
    <n v="2.6700000000000002E-2"/>
    <n v="13"/>
    <n v="1898"/>
  </r>
  <r>
    <s v="I-1311"/>
    <s v="London"/>
    <s v="UK"/>
    <s v="EMEA"/>
    <d v="2018-12-06T00:00:00"/>
    <x v="7"/>
    <s v="Damilola Raymond"/>
    <n v="1000"/>
    <n v="810"/>
    <n v="0.19"/>
    <n v="68"/>
    <n v="55080"/>
  </r>
  <r>
    <s v="I-1312"/>
    <s v="Prague"/>
    <s v="Czech Republic"/>
    <s v="EMEA"/>
    <d v="2015-06-24T00:00:00"/>
    <x v="2"/>
    <s v="Christopher Lloyd"/>
    <n v="150"/>
    <n v="147"/>
    <n v="0.02"/>
    <n v="82"/>
    <n v="12054"/>
  </r>
  <r>
    <s v="I-1313"/>
    <s v="London"/>
    <s v="UK"/>
    <s v="EMEA"/>
    <d v="2018-12-13T00:00:00"/>
    <x v="7"/>
    <s v="James Neville"/>
    <n v="1000"/>
    <n v="730"/>
    <n v="0.27"/>
    <n v="60"/>
    <n v="43800"/>
  </r>
  <r>
    <s v="I-1314"/>
    <s v="Bangkok"/>
    <s v="Thailand"/>
    <s v="APAC"/>
    <d v="2016-07-05T00:00:00"/>
    <x v="10"/>
    <s v="Mary Mitchell"/>
    <n v="250"/>
    <n v="248"/>
    <n v="8.0000000000000002E-3"/>
    <n v="73"/>
    <n v="18104"/>
  </r>
  <r>
    <s v="I-1315"/>
    <s v="Dublin"/>
    <s v="Ireland"/>
    <s v="EMEA"/>
    <d v="2018-12-11T00:00:00"/>
    <x v="1"/>
    <s v="Alison Younger"/>
    <n v="700"/>
    <n v="609"/>
    <n v="0.13"/>
    <n v="44"/>
    <n v="26796"/>
  </r>
  <r>
    <s v="I-1316"/>
    <s v="Istanbul"/>
    <s v="Turkey"/>
    <s v="EMEA"/>
    <d v="2016-11-25T00:00:00"/>
    <x v="2"/>
    <s v="Chloe Lyons"/>
    <n v="150"/>
    <n v="140"/>
    <n v="6.6699999999999995E-2"/>
    <n v="25"/>
    <n v="3500"/>
  </r>
  <r>
    <s v="I-1317"/>
    <s v="Bangalore"/>
    <s v="India"/>
    <s v="APAC"/>
    <d v="2014-02-20T00:00:00"/>
    <x v="8"/>
    <s v="Francis Walsh"/>
    <n v="500"/>
    <n v="500"/>
    <n v="0"/>
    <n v="40"/>
    <n v="20000"/>
  </r>
  <r>
    <s v="I-1318"/>
    <s v="Cairo"/>
    <s v="Egypt"/>
    <s v="EMEA"/>
    <d v="2018-09-03T00:00:00"/>
    <x v="7"/>
    <s v="John Barnett"/>
    <n v="1000"/>
    <n v="960"/>
    <n v="0.04"/>
    <n v="45"/>
    <n v="43200"/>
  </r>
  <r>
    <s v="I-1319"/>
    <s v="Mexico City"/>
    <s v="Mexico"/>
    <s v="LATAM"/>
    <d v="2014-07-10T00:00:00"/>
    <x v="0"/>
    <s v="Denise Rodgers"/>
    <n v="80"/>
    <n v="73"/>
    <n v="8.7499999999999994E-2"/>
    <n v="96"/>
    <n v="7008"/>
  </r>
  <r>
    <s v="I-1320"/>
    <s v="Bangkok"/>
    <s v="Thailand"/>
    <s v="APAC"/>
    <d v="2016-09-10T00:00:00"/>
    <x v="1"/>
    <s v="Nicole Marshall"/>
    <n v="700"/>
    <n v="700"/>
    <n v="0"/>
    <n v="14"/>
    <n v="9800"/>
  </r>
  <r>
    <s v="I-1321"/>
    <s v="Berlin"/>
    <s v="Germany"/>
    <s v="EMEA"/>
    <d v="2017-02-27T00:00:00"/>
    <x v="1"/>
    <s v="Jacqueline Clamp"/>
    <n v="700"/>
    <n v="672"/>
    <n v="0.04"/>
    <n v="73"/>
    <n v="49056"/>
  </r>
  <r>
    <s v="I-1322"/>
    <s v="Kuala Lumpur"/>
    <s v="Malaysia"/>
    <s v="APAC"/>
    <d v="2017-05-22T00:00:00"/>
    <x v="1"/>
    <s v="Trudi Griffin"/>
    <n v="700"/>
    <n v="651"/>
    <n v="7.0000000000000007E-2"/>
    <n v="23"/>
    <n v="14973"/>
  </r>
  <r>
    <s v="I-1323"/>
    <s v="Tijuana"/>
    <s v="Mexico"/>
    <s v="LATAM"/>
    <d v="2014-09-14T00:00:00"/>
    <x v="2"/>
    <s v="Timothy Younger"/>
    <n v="150"/>
    <n v="137"/>
    <n v="8.6699999999999999E-2"/>
    <n v="57"/>
    <n v="7809"/>
  </r>
  <r>
    <s v="I-1324"/>
    <s v="Bogota"/>
    <s v="Colombia"/>
    <s v="LATAM"/>
    <d v="2018-06-13T00:00:00"/>
    <x v="1"/>
    <s v="Philip Mishra"/>
    <n v="700"/>
    <n v="651"/>
    <n v="7.0000000000000007E-2"/>
    <n v="17"/>
    <n v="11067"/>
  </r>
  <r>
    <s v="I-1325"/>
    <s v="Shenzhen"/>
    <s v="China"/>
    <s v="APAC"/>
    <d v="2018-04-04T00:00:00"/>
    <x v="10"/>
    <s v="Gary Shaw"/>
    <n v="250"/>
    <n v="238"/>
    <n v="4.8000000000000001E-2"/>
    <n v="82"/>
    <n v="19516"/>
  </r>
  <r>
    <s v="I-1326"/>
    <s v="Sao Paolo"/>
    <s v="Brazil"/>
    <s v="LATAM"/>
    <d v="2014-09-15T00:00:00"/>
    <x v="6"/>
    <s v="Gary Reynolds"/>
    <n v="800"/>
    <n v="696"/>
    <n v="0.13"/>
    <n v="89"/>
    <n v="61944"/>
  </r>
  <r>
    <s v="I-1327"/>
    <s v="Tijuana"/>
    <s v="Mexico"/>
    <s v="LATAM"/>
    <d v="2014-06-12T00:00:00"/>
    <x v="4"/>
    <s v="Kevin McLauchlin"/>
    <n v="30"/>
    <n v="21"/>
    <n v="0.3"/>
    <n v="59"/>
    <n v="1239"/>
  </r>
  <r>
    <s v="I-1328"/>
    <s v="Berlin"/>
    <s v="Germany"/>
    <s v="EMEA"/>
    <d v="2017-11-26T00:00:00"/>
    <x v="0"/>
    <s v="Jacqueline Clamp"/>
    <n v="80"/>
    <n v="74"/>
    <n v="7.4999999999999997E-2"/>
    <n v="45"/>
    <n v="3330"/>
  </r>
  <r>
    <s v="I-1329"/>
    <s v="Sao Paolo"/>
    <s v="Brazil"/>
    <s v="LATAM"/>
    <d v="2017-04-05T00:00:00"/>
    <x v="10"/>
    <s v="Stephen Smith"/>
    <n v="250"/>
    <n v="228"/>
    <n v="8.7999999999999995E-2"/>
    <n v="50"/>
    <n v="11400"/>
  </r>
  <r>
    <s v="I-1330"/>
    <s v="Amsterdam"/>
    <s v="Netherlands"/>
    <s v="EMEA"/>
    <d v="2016-07-16T00:00:00"/>
    <x v="1"/>
    <s v="Christopher Hurren"/>
    <n v="700"/>
    <n v="644"/>
    <n v="0.08"/>
    <n v="26"/>
    <n v="16744"/>
  </r>
  <r>
    <s v="I-1331"/>
    <s v="Ho Chi Minh City"/>
    <s v="Vietnam"/>
    <s v="APAC"/>
    <d v="2014-01-27T00:00:00"/>
    <x v="4"/>
    <s v="Irene Skiba"/>
    <n v="30"/>
    <n v="29"/>
    <n v="3.3300000000000003E-2"/>
    <n v="28"/>
    <n v="812"/>
  </r>
  <r>
    <s v="I-1332"/>
    <s v="Delhi"/>
    <s v="India"/>
    <s v="APAC"/>
    <d v="2014-07-06T00:00:00"/>
    <x v="6"/>
    <s v="Francis Hughes"/>
    <n v="800"/>
    <n v="656"/>
    <n v="0.18"/>
    <n v="61"/>
    <n v="40016"/>
  </r>
  <r>
    <s v="I-1333"/>
    <s v="Rome"/>
    <s v="Italy"/>
    <s v="EMEA"/>
    <d v="2017-10-07T00:00:00"/>
    <x v="2"/>
    <s v="Elaine Whitfield"/>
    <n v="150"/>
    <n v="149"/>
    <n v="6.7000000000000002E-3"/>
    <n v="6"/>
    <n v="894"/>
  </r>
  <r>
    <s v="I-1334"/>
    <s v="San Fransisco"/>
    <s v="USA"/>
    <s v="NA"/>
    <d v="2018-07-10T00:00:00"/>
    <x v="2"/>
    <s v="Patricia Sewell"/>
    <n v="150"/>
    <n v="147"/>
    <n v="0.02"/>
    <n v="12"/>
    <n v="1764"/>
  </r>
  <r>
    <s v="I-1335"/>
    <s v="Jerusalem"/>
    <s v="Israel"/>
    <s v="EMEA"/>
    <d v="2015-12-10T00:00:00"/>
    <x v="0"/>
    <s v="Susan Carley"/>
    <n v="80"/>
    <n v="78"/>
    <n v="2.5000000000000001E-2"/>
    <n v="99"/>
    <n v="7722"/>
  </r>
  <r>
    <s v="I-1336"/>
    <s v="Bucharest"/>
    <s v="Romania"/>
    <s v="EMEA"/>
    <d v="2015-08-29T00:00:00"/>
    <x v="2"/>
    <s v="Jacqueline Todd"/>
    <n v="150"/>
    <n v="147"/>
    <n v="0.02"/>
    <n v="53"/>
    <n v="7791"/>
  </r>
  <r>
    <s v="I-1337"/>
    <s v="Ho Chi Minh City"/>
    <s v="Vietnam"/>
    <s v="APAC"/>
    <d v="2015-07-04T00:00:00"/>
    <x v="5"/>
    <s v="Susan Passey"/>
    <n v="500"/>
    <n v="360"/>
    <n v="0.28000000000000003"/>
    <n v="52"/>
    <n v="18720"/>
  </r>
  <r>
    <s v="I-1338"/>
    <s v="Tokyo"/>
    <s v="Japan"/>
    <s v="APAC"/>
    <d v="2018-08-26T00:00:00"/>
    <x v="11"/>
    <s v="Michelle Hunter"/>
    <n v="50"/>
    <n v="45"/>
    <n v="0.1"/>
    <n v="91"/>
    <n v="4095"/>
  </r>
  <r>
    <s v="I-1339"/>
    <s v="Delhi"/>
    <s v="India"/>
    <s v="APAC"/>
    <d v="2018-03-21T00:00:00"/>
    <x v="11"/>
    <s v="Roy Johnson"/>
    <n v="50"/>
    <n v="43"/>
    <n v="0.14000000000000001"/>
    <n v="10"/>
    <n v="430"/>
  </r>
  <r>
    <s v="I-1340"/>
    <s v="Bogota"/>
    <s v="Colombia"/>
    <s v="LATAM"/>
    <d v="2014-11-21T00:00:00"/>
    <x v="0"/>
    <s v="Margaret Buck"/>
    <n v="80"/>
    <n v="75"/>
    <n v="6.25E-2"/>
    <n v="92"/>
    <n v="6900"/>
  </r>
  <r>
    <s v="I-1341"/>
    <s v="Dublin"/>
    <s v="Ireland"/>
    <s v="EMEA"/>
    <d v="2015-08-03T00:00:00"/>
    <x v="11"/>
    <s v="Gwyn Taylor"/>
    <n v="50"/>
    <n v="36"/>
    <n v="0.28000000000000003"/>
    <n v="68"/>
    <n v="2448"/>
  </r>
  <r>
    <s v="I-1342"/>
    <s v="Buenos Aires"/>
    <s v="Argentina"/>
    <s v="LATAM"/>
    <d v="2016-04-27T00:00:00"/>
    <x v="6"/>
    <s v="Ronald Rowlands"/>
    <n v="800"/>
    <n v="448"/>
    <n v="0.44"/>
    <n v="46"/>
    <n v="20608"/>
  </r>
  <r>
    <s v="I-1343"/>
    <s v="Madria"/>
    <s v="Spain"/>
    <s v="EMEA"/>
    <d v="2017-01-04T00:00:00"/>
    <x v="2"/>
    <s v="Roy Lloyd"/>
    <n v="150"/>
    <n v="138"/>
    <n v="0.08"/>
    <n v="68"/>
    <n v="9384"/>
  </r>
  <r>
    <s v="I-1344"/>
    <s v="Kansas City"/>
    <s v="USA"/>
    <s v="NA"/>
    <d v="2017-05-20T00:00:00"/>
    <x v="8"/>
    <s v="Kirsty Amos"/>
    <n v="500"/>
    <n v="500"/>
    <n v="0"/>
    <n v="51"/>
    <n v="25500"/>
  </r>
  <r>
    <s v="I-1345"/>
    <s v="Istanbul"/>
    <s v="Turkey"/>
    <s v="EMEA"/>
    <d v="2015-01-22T00:00:00"/>
    <x v="8"/>
    <s v="Cordia Alston"/>
    <n v="500"/>
    <n v="495"/>
    <n v="0.01"/>
    <n v="63"/>
    <n v="31185"/>
  </r>
  <r>
    <s v="I-1346"/>
    <s v="Amsterdam"/>
    <s v="Netherlands"/>
    <s v="EMEA"/>
    <d v="2014-02-03T00:00:00"/>
    <x v="2"/>
    <s v="Christopher Hurren"/>
    <n v="150"/>
    <n v="128"/>
    <n v="0.1467"/>
    <n v="51"/>
    <n v="6528"/>
  </r>
  <r>
    <s v="I-1347"/>
    <s v="Delhi"/>
    <s v="India"/>
    <s v="APAC"/>
    <d v="2014-06-27T00:00:00"/>
    <x v="11"/>
    <s v="Steven Batty"/>
    <n v="50"/>
    <n v="42"/>
    <n v="0.16"/>
    <n v="1"/>
    <n v="42"/>
  </r>
  <r>
    <s v="I-1348"/>
    <s v="Dubai"/>
    <s v="UAE"/>
    <s v="EMEA"/>
    <d v="2014-03-01T00:00:00"/>
    <x v="0"/>
    <s v="Rachel Clayton"/>
    <n v="80"/>
    <n v="80"/>
    <n v="0"/>
    <n v="1"/>
    <n v="80"/>
  </r>
  <r>
    <s v="I-1349"/>
    <s v="Seoul"/>
    <s v="South Korea"/>
    <s v="APAC"/>
    <d v="2018-04-21T00:00:00"/>
    <x v="2"/>
    <s v="Rosalind Chandler"/>
    <n v="150"/>
    <n v="147"/>
    <n v="0.02"/>
    <n v="5"/>
    <n v="735"/>
  </r>
  <r>
    <s v="I-1350"/>
    <s v="Riyadh"/>
    <s v="Saudi Arabia"/>
    <s v="EMEA"/>
    <d v="2014-02-22T00:00:00"/>
    <x v="3"/>
    <s v="Kelly Owen"/>
    <n v="50"/>
    <n v="44"/>
    <n v="0.12"/>
    <n v="82"/>
    <n v="3608"/>
  </r>
  <r>
    <s v="I-1351"/>
    <s v="Tijuana"/>
    <s v="Mexico"/>
    <s v="LATAM"/>
    <d v="2018-05-13T00:00:00"/>
    <x v="9"/>
    <s v="Emily Brierley"/>
    <n v="70"/>
    <n v="67"/>
    <n v="4.2900000000000001E-2"/>
    <n v="52"/>
    <n v="3484"/>
  </r>
  <r>
    <s v="I-1352"/>
    <s v="Seattle"/>
    <s v="USA"/>
    <s v="NA"/>
    <d v="2018-04-23T00:00:00"/>
    <x v="9"/>
    <s v="Alan Davie"/>
    <n v="70"/>
    <n v="67"/>
    <n v="4.2900000000000001E-2"/>
    <n v="12"/>
    <n v="804"/>
  </r>
  <r>
    <s v="I-1353"/>
    <s v="Tokyo"/>
    <s v="Japan"/>
    <s v="APAC"/>
    <d v="2016-10-28T00:00:00"/>
    <x v="5"/>
    <s v="Kenneth Bullion"/>
    <n v="500"/>
    <n v="460"/>
    <n v="0.08"/>
    <n v="52"/>
    <n v="23920"/>
  </r>
  <r>
    <s v="I-1354"/>
    <s v="Moscow"/>
    <s v="Russia"/>
    <s v="EMEA"/>
    <d v="2015-09-19T00:00:00"/>
    <x v="8"/>
    <s v="May Wilmot"/>
    <n v="500"/>
    <n v="495"/>
    <n v="0.01"/>
    <n v="15"/>
    <n v="7425"/>
  </r>
  <r>
    <s v="I-1355"/>
    <s v="Prague"/>
    <s v="Czech Republic"/>
    <s v="EMEA"/>
    <d v="2016-08-06T00:00:00"/>
    <x v="6"/>
    <s v="Edward Khan"/>
    <n v="800"/>
    <n v="704"/>
    <n v="0.12"/>
    <n v="49"/>
    <n v="34496"/>
  </r>
  <r>
    <s v="I-1356"/>
    <s v="Athens"/>
    <s v="Greece"/>
    <s v="EMEA"/>
    <d v="2014-04-09T00:00:00"/>
    <x v="0"/>
    <s v="Mark Lawton"/>
    <n v="80"/>
    <n v="60"/>
    <n v="0.25"/>
    <n v="12"/>
    <n v="720"/>
  </r>
  <r>
    <s v="I-1357"/>
    <s v="Kuala Lumpur"/>
    <s v="Malaysia"/>
    <s v="APAC"/>
    <d v="2018-08-07T00:00:00"/>
    <x v="8"/>
    <s v="Trudi Griffin"/>
    <n v="500"/>
    <n v="500"/>
    <n v="0"/>
    <n v="33"/>
    <n v="16500"/>
  </r>
  <r>
    <s v="I-1358"/>
    <s v="Los Angeles"/>
    <s v="USA"/>
    <s v="NA"/>
    <d v="2016-01-22T00:00:00"/>
    <x v="2"/>
    <s v="Chandrakant Atkins"/>
    <n v="150"/>
    <n v="150"/>
    <n v="0"/>
    <n v="54"/>
    <n v="8100"/>
  </r>
  <r>
    <s v="I-1359"/>
    <s v="Seoul"/>
    <s v="South Korea"/>
    <s v="APAC"/>
    <d v="2015-12-10T00:00:00"/>
    <x v="9"/>
    <s v="Mark Towey"/>
    <n v="70"/>
    <n v="68"/>
    <n v="2.86E-2"/>
    <n v="28"/>
    <n v="1904"/>
  </r>
  <r>
    <s v="I-1360"/>
    <s v="Dubai"/>
    <s v="UAE"/>
    <s v="EMEA"/>
    <d v="2015-10-23T00:00:00"/>
    <x v="9"/>
    <s v="Ernie Dyer"/>
    <n v="70"/>
    <n v="70"/>
    <n v="0"/>
    <n v="60"/>
    <n v="4200"/>
  </r>
  <r>
    <s v="I-1361"/>
    <s v="Kuala Lumpur"/>
    <s v="Malaysia"/>
    <s v="APAC"/>
    <d v="2018-11-06T00:00:00"/>
    <x v="4"/>
    <s v="Stephen MacGregor"/>
    <n v="30"/>
    <n v="28"/>
    <n v="6.6699999999999995E-2"/>
    <n v="90"/>
    <n v="2520"/>
  </r>
  <r>
    <s v="I-1362"/>
    <s v="Kuala Lumpur"/>
    <s v="Malaysia"/>
    <s v="APAC"/>
    <d v="2017-06-03T00:00:00"/>
    <x v="9"/>
    <s v="Harold Lunn"/>
    <n v="70"/>
    <n v="64"/>
    <n v="8.5699999999999998E-2"/>
    <n v="96"/>
    <n v="6144"/>
  </r>
  <r>
    <s v="I-1363"/>
    <s v="Sao Paolo"/>
    <s v="Brazil"/>
    <s v="LATAM"/>
    <d v="2015-08-24T00:00:00"/>
    <x v="11"/>
    <s v="Gary Reynolds"/>
    <n v="50"/>
    <n v="38"/>
    <n v="0.24"/>
    <n v="12"/>
    <n v="456"/>
  </r>
  <r>
    <s v="I-1364"/>
    <s v="Toronto"/>
    <s v="Canada"/>
    <s v="NA"/>
    <d v="2017-12-20T00:00:00"/>
    <x v="11"/>
    <s v="Alison Storey"/>
    <n v="50"/>
    <n v="50"/>
    <n v="0"/>
    <n v="29"/>
    <n v="1450"/>
  </r>
  <r>
    <s v="I-1365"/>
    <s v="Bangalore"/>
    <s v="India"/>
    <s v="APAC"/>
    <d v="2015-02-21T00:00:00"/>
    <x v="5"/>
    <s v="Paul Rule"/>
    <n v="500"/>
    <n v="465"/>
    <n v="7.0000000000000007E-2"/>
    <n v="54"/>
    <n v="25110"/>
  </r>
  <r>
    <s v="I-1366"/>
    <s v="New York"/>
    <s v="USA"/>
    <s v="NA"/>
    <d v="2014-11-14T00:00:00"/>
    <x v="3"/>
    <s v="Richard Nash"/>
    <n v="50"/>
    <n v="44"/>
    <n v="0.12"/>
    <n v="51"/>
    <n v="2244"/>
  </r>
  <r>
    <s v="I-1367"/>
    <s v="Bogota"/>
    <s v="Colombia"/>
    <s v="LATAM"/>
    <d v="2014-02-28T00:00:00"/>
    <x v="3"/>
    <s v="Paul Puri"/>
    <n v="50"/>
    <n v="47"/>
    <n v="0.06"/>
    <n v="58"/>
    <n v="2726"/>
  </r>
  <r>
    <s v="I-1368"/>
    <s v="Warsaw"/>
    <s v="Poland"/>
    <s v="EMEA"/>
    <d v="2015-01-28T00:00:00"/>
    <x v="2"/>
    <s v="Alexandra Wright"/>
    <n v="150"/>
    <n v="101"/>
    <n v="0.32669999999999999"/>
    <n v="29"/>
    <n v="2929"/>
  </r>
  <r>
    <s v="I-1369"/>
    <s v="Paris"/>
    <s v="France"/>
    <s v="EMEA"/>
    <d v="2014-11-07T00:00:00"/>
    <x v="0"/>
    <s v="Ryan Goad"/>
    <n v="80"/>
    <n v="78"/>
    <n v="2.5000000000000001E-2"/>
    <n v="19"/>
    <n v="1482"/>
  </r>
  <r>
    <s v="I-1370"/>
    <s v="Bangalore"/>
    <s v="India"/>
    <s v="APAC"/>
    <d v="2015-02-21T00:00:00"/>
    <x v="8"/>
    <s v="Stuart Hunter"/>
    <n v="500"/>
    <n v="500"/>
    <n v="0"/>
    <n v="86"/>
    <n v="43000"/>
  </r>
  <r>
    <s v="I-1371"/>
    <s v="Tijuana"/>
    <s v="Mexico"/>
    <s v="LATAM"/>
    <d v="2015-02-28T00:00:00"/>
    <x v="0"/>
    <s v="Paul Salmon"/>
    <n v="80"/>
    <n v="74"/>
    <n v="7.4999999999999997E-2"/>
    <n v="23"/>
    <n v="1702"/>
  </r>
  <r>
    <s v="I-1372"/>
    <s v="Prague"/>
    <s v="Czech Republic"/>
    <s v="EMEA"/>
    <d v="2017-11-27T00:00:00"/>
    <x v="9"/>
    <s v="Terence Mirza"/>
    <n v="70"/>
    <n v="68"/>
    <n v="2.86E-2"/>
    <n v="55"/>
    <n v="3740"/>
  </r>
  <r>
    <s v="I-1373"/>
    <s v="Cairo"/>
    <s v="Egypt"/>
    <s v="EMEA"/>
    <d v="2014-02-11T00:00:00"/>
    <x v="5"/>
    <s v="Marek Kwiatkowski"/>
    <n v="500"/>
    <n v="500"/>
    <n v="0"/>
    <n v="67"/>
    <n v="33500"/>
  </r>
  <r>
    <s v="I-1374"/>
    <s v="Mexico City"/>
    <s v="Mexico"/>
    <s v="LATAM"/>
    <d v="2018-04-04T00:00:00"/>
    <x v="7"/>
    <s v="Catherine Rahman"/>
    <n v="1000"/>
    <n v="720"/>
    <n v="0.28000000000000003"/>
    <n v="47"/>
    <n v="33840"/>
  </r>
  <r>
    <s v="I-1375"/>
    <s v="Toronto"/>
    <s v="Canada"/>
    <s v="NA"/>
    <d v="2017-02-24T00:00:00"/>
    <x v="5"/>
    <s v="Richard Oliver"/>
    <n v="500"/>
    <n v="480"/>
    <n v="0.04"/>
    <n v="87"/>
    <n v="41760"/>
  </r>
  <r>
    <s v="I-1376"/>
    <s v="Los Angeles"/>
    <s v="USA"/>
    <s v="NA"/>
    <d v="2014-02-16T00:00:00"/>
    <x v="3"/>
    <s v="Ellen Lillie"/>
    <n v="50"/>
    <n v="43"/>
    <n v="0.14000000000000001"/>
    <n v="32"/>
    <n v="1376"/>
  </r>
  <r>
    <s v="I-1377"/>
    <s v="London"/>
    <s v="UK"/>
    <s v="EMEA"/>
    <d v="2018-06-26T00:00:00"/>
    <x v="2"/>
    <s v="Damilola Raymond"/>
    <n v="150"/>
    <n v="150"/>
    <n v="0"/>
    <n v="79"/>
    <n v="11850"/>
  </r>
  <r>
    <s v="I-1378"/>
    <s v="Moscow"/>
    <s v="Russia"/>
    <s v="EMEA"/>
    <d v="2014-01-17T00:00:00"/>
    <x v="6"/>
    <s v="Zulfiqar Mirza"/>
    <n v="800"/>
    <n v="528"/>
    <n v="0.34"/>
    <n v="74"/>
    <n v="39072"/>
  </r>
  <r>
    <s v="I-1379"/>
    <s v="Dublin"/>
    <s v="Ireland"/>
    <s v="EMEA"/>
    <d v="2015-03-06T00:00:00"/>
    <x v="3"/>
    <s v="Emma Gibbons"/>
    <n v="50"/>
    <n v="39"/>
    <n v="0.22"/>
    <n v="69"/>
    <n v="2691"/>
  </r>
  <r>
    <s v="I-1380"/>
    <s v="Athens"/>
    <s v="Greece"/>
    <s v="EMEA"/>
    <d v="2017-10-22T00:00:00"/>
    <x v="11"/>
    <s v="David Walker"/>
    <n v="50"/>
    <n v="50"/>
    <n v="0"/>
    <n v="9"/>
    <n v="450"/>
  </r>
  <r>
    <s v="I-1381"/>
    <s v="Bangalore"/>
    <s v="India"/>
    <s v="APAC"/>
    <d v="2016-04-23T00:00:00"/>
    <x v="8"/>
    <s v="Colin Lima"/>
    <n v="500"/>
    <n v="500"/>
    <n v="0"/>
    <n v="7"/>
    <n v="3500"/>
  </r>
  <r>
    <s v="I-1382"/>
    <s v="Prague"/>
    <s v="Czech Republic"/>
    <s v="EMEA"/>
    <d v="2018-11-01T00:00:00"/>
    <x v="3"/>
    <s v="Christopher Martin"/>
    <n v="50"/>
    <n v="44"/>
    <n v="0.12"/>
    <n v="42"/>
    <n v="1848"/>
  </r>
  <r>
    <s v="I-1383"/>
    <s v="Mexico City"/>
    <s v="Mexico"/>
    <s v="LATAM"/>
    <d v="2017-10-29T00:00:00"/>
    <x v="11"/>
    <s v="Brendon Dyer"/>
    <n v="50"/>
    <n v="48"/>
    <n v="0.04"/>
    <n v="38"/>
    <n v="1824"/>
  </r>
  <r>
    <s v="I-1384"/>
    <s v="Tokyo"/>
    <s v="Japan"/>
    <s v="APAC"/>
    <d v="2017-02-28T00:00:00"/>
    <x v="0"/>
    <s v="Steven Douglas"/>
    <n v="80"/>
    <n v="72"/>
    <n v="0.1"/>
    <n v="6"/>
    <n v="432"/>
  </r>
  <r>
    <s v="I-1385"/>
    <s v="Bogota"/>
    <s v="Colombia"/>
    <s v="LATAM"/>
    <d v="2015-09-02T00:00:00"/>
    <x v="11"/>
    <s v="Ronald Curtis"/>
    <n v="50"/>
    <n v="32"/>
    <n v="0.36"/>
    <n v="2"/>
    <n v="64"/>
  </r>
  <r>
    <s v="I-1386"/>
    <s v="Shanghai"/>
    <s v="China"/>
    <s v="APAC"/>
    <d v="2017-07-18T00:00:00"/>
    <x v="1"/>
    <s v="Alen Dinan"/>
    <n v="700"/>
    <n v="651"/>
    <n v="7.0000000000000007E-2"/>
    <n v="47"/>
    <n v="30597"/>
  </r>
  <r>
    <s v="I-1387"/>
    <s v="Berlin"/>
    <s v="Germany"/>
    <s v="EMEA"/>
    <d v="2017-05-03T00:00:00"/>
    <x v="11"/>
    <s v="James Whitehead"/>
    <n v="50"/>
    <n v="49"/>
    <n v="0.02"/>
    <n v="26"/>
    <n v="1274"/>
  </r>
  <r>
    <s v="I-1388"/>
    <s v="Capetown"/>
    <s v="South Africa"/>
    <s v="EMEA"/>
    <d v="2018-12-07T00:00:00"/>
    <x v="5"/>
    <s v="Marcus Jacob"/>
    <n v="500"/>
    <n v="440"/>
    <n v="0.12"/>
    <n v="55"/>
    <n v="24200"/>
  </r>
  <r>
    <s v="I-1389"/>
    <s v="Dublin"/>
    <s v="Ireland"/>
    <s v="EMEA"/>
    <d v="2018-06-26T00:00:00"/>
    <x v="7"/>
    <s v="Andrew Phillips"/>
    <n v="1000"/>
    <n v="680"/>
    <n v="0.32"/>
    <n v="15"/>
    <n v="10200"/>
  </r>
  <r>
    <s v="I-1390"/>
    <s v="Sydney"/>
    <s v="Australia"/>
    <s v="APAC"/>
    <d v="2015-10-06T00:00:00"/>
    <x v="1"/>
    <s v="James White"/>
    <n v="700"/>
    <n v="637"/>
    <n v="0.09"/>
    <n v="30"/>
    <n v="19110"/>
  </r>
  <r>
    <s v="I-1391"/>
    <s v="Birmingham"/>
    <s v="UK"/>
    <s v="EMEA"/>
    <d v="2014-05-25T00:00:00"/>
    <x v="3"/>
    <s v="Gustavo Taiwo"/>
    <n v="50"/>
    <n v="43"/>
    <n v="0.14000000000000001"/>
    <n v="77"/>
    <n v="3311"/>
  </r>
  <r>
    <s v="I-1392"/>
    <s v="Delhi"/>
    <s v="India"/>
    <s v="APAC"/>
    <d v="2016-06-25T00:00:00"/>
    <x v="4"/>
    <s v="Tessa Morrow"/>
    <n v="30"/>
    <n v="29"/>
    <n v="3.3300000000000003E-2"/>
    <n v="25"/>
    <n v="725"/>
  </r>
  <r>
    <s v="I-1393"/>
    <s v="Riyadh"/>
    <s v="Saudi Arabia"/>
    <s v="EMEA"/>
    <d v="2017-09-04T00:00:00"/>
    <x v="3"/>
    <s v="Victoria Sherwin"/>
    <n v="50"/>
    <n v="47"/>
    <n v="0.06"/>
    <n v="18"/>
    <n v="846"/>
  </r>
  <r>
    <s v="I-1394"/>
    <s v="Bogota"/>
    <s v="Colombia"/>
    <s v="LATAM"/>
    <d v="2015-08-04T00:00:00"/>
    <x v="2"/>
    <s v="David Finnie"/>
    <n v="150"/>
    <n v="144"/>
    <n v="0.04"/>
    <n v="47"/>
    <n v="6768"/>
  </r>
  <r>
    <s v="I-1395"/>
    <s v="Amsterdam"/>
    <s v="Netherlands"/>
    <s v="EMEA"/>
    <d v="2015-08-23T00:00:00"/>
    <x v="10"/>
    <s v="Danny Grant"/>
    <n v="250"/>
    <n v="193"/>
    <n v="0.22800000000000001"/>
    <n v="86"/>
    <n v="16598"/>
  </r>
  <r>
    <s v="I-1396"/>
    <s v="Ho Chi Minh City"/>
    <s v="Vietnam"/>
    <s v="APAC"/>
    <d v="2016-01-10T00:00:00"/>
    <x v="6"/>
    <s v="Michael Rodgers"/>
    <n v="800"/>
    <n v="800"/>
    <n v="0"/>
    <n v="55"/>
    <n v="44000"/>
  </r>
  <r>
    <s v="I-1397"/>
    <s v="Santiago"/>
    <s v="Chile"/>
    <s v="LATAM"/>
    <d v="2015-11-28T00:00:00"/>
    <x v="1"/>
    <s v="Karen Hopewell"/>
    <n v="700"/>
    <n v="441"/>
    <n v="0.37"/>
    <n v="48"/>
    <n v="21168"/>
  </r>
  <r>
    <s v="I-1398"/>
    <s v="Rome"/>
    <s v="Italy"/>
    <s v="EMEA"/>
    <d v="2016-07-19T00:00:00"/>
    <x v="9"/>
    <s v="Steven Bell"/>
    <n v="70"/>
    <n v="60"/>
    <n v="0.1429"/>
    <n v="94"/>
    <n v="5640"/>
  </r>
  <r>
    <s v="I-1399"/>
    <s v="Shenzhen"/>
    <s v="China"/>
    <s v="APAC"/>
    <d v="2017-08-12T00:00:00"/>
    <x v="5"/>
    <s v="Roger Rust"/>
    <n v="500"/>
    <n v="495"/>
    <n v="0.01"/>
    <n v="71"/>
    <n v="35145"/>
  </r>
  <r>
    <s v="I-1400"/>
    <s v="Dublin"/>
    <s v="Ireland"/>
    <s v="EMEA"/>
    <d v="2017-08-02T00:00:00"/>
    <x v="4"/>
    <s v="Alison Younger"/>
    <n v="30"/>
    <n v="29"/>
    <n v="3.3300000000000003E-2"/>
    <n v="77"/>
    <n v="2233"/>
  </r>
  <r>
    <s v="I-1401"/>
    <s v="Prague"/>
    <s v="Czech Republic"/>
    <s v="EMEA"/>
    <d v="2018-09-28T00:00:00"/>
    <x v="4"/>
    <s v="Rachel Blane"/>
    <n v="30"/>
    <n v="29"/>
    <n v="3.3300000000000003E-2"/>
    <n v="94"/>
    <n v="2726"/>
  </r>
  <r>
    <s v="I-1402"/>
    <s v="Rome"/>
    <s v="Italy"/>
    <s v="EMEA"/>
    <d v="2017-04-20T00:00:00"/>
    <x v="8"/>
    <s v="Golam Reid"/>
    <n v="500"/>
    <n v="500"/>
    <n v="0"/>
    <n v="55"/>
    <n v="27500"/>
  </r>
  <r>
    <s v="I-1403"/>
    <s v="Amsterdam"/>
    <s v="Netherlands"/>
    <s v="EMEA"/>
    <d v="2014-01-14T00:00:00"/>
    <x v="7"/>
    <s v="Christopher Hurren"/>
    <n v="1000"/>
    <n v="510"/>
    <n v="0.49"/>
    <n v="60"/>
    <n v="30600"/>
  </r>
  <r>
    <s v="I-1404"/>
    <s v="Mexico City"/>
    <s v="Mexico"/>
    <s v="LATAM"/>
    <d v="2015-05-11T00:00:00"/>
    <x v="6"/>
    <s v="James Anthony"/>
    <n v="800"/>
    <n v="488"/>
    <n v="0.39"/>
    <n v="32"/>
    <n v="15616"/>
  </r>
  <r>
    <s v="I-1405"/>
    <s v="Toronto"/>
    <s v="Canada"/>
    <s v="NA"/>
    <d v="2016-12-15T00:00:00"/>
    <x v="3"/>
    <s v="Nick Blacklock"/>
    <n v="50"/>
    <n v="49"/>
    <n v="0.02"/>
    <n v="49"/>
    <n v="2401"/>
  </r>
  <r>
    <s v="I-1406"/>
    <s v="Vienna"/>
    <s v="Austria"/>
    <s v="EMEA"/>
    <d v="2017-06-07T00:00:00"/>
    <x v="0"/>
    <s v="Daniel Henderson"/>
    <n v="80"/>
    <n v="78"/>
    <n v="2.5000000000000001E-2"/>
    <n v="59"/>
    <n v="4602"/>
  </r>
  <r>
    <s v="I-1407"/>
    <s v="Madria"/>
    <s v="Spain"/>
    <s v="EMEA"/>
    <d v="2018-08-13T00:00:00"/>
    <x v="11"/>
    <s v="Martin Mishra"/>
    <n v="50"/>
    <n v="48"/>
    <n v="0.04"/>
    <n v="14"/>
    <n v="672"/>
  </r>
  <r>
    <s v="I-1408"/>
    <s v="Riyadh"/>
    <s v="Saudi Arabia"/>
    <s v="EMEA"/>
    <d v="2018-03-31T00:00:00"/>
    <x v="11"/>
    <s v="Heather Murray"/>
    <n v="50"/>
    <n v="50"/>
    <n v="0"/>
    <n v="47"/>
    <n v="2350"/>
  </r>
  <r>
    <s v="I-1409"/>
    <s v="Bangkok"/>
    <s v="Thailand"/>
    <s v="APAC"/>
    <d v="2018-10-24T00:00:00"/>
    <x v="10"/>
    <s v="Alan Procter"/>
    <n v="250"/>
    <n v="250"/>
    <n v="0"/>
    <n v="80"/>
    <n v="20000"/>
  </r>
  <r>
    <s v="I-1410"/>
    <s v="Athens"/>
    <s v="Greece"/>
    <s v="EMEA"/>
    <d v="2016-07-07T00:00:00"/>
    <x v="9"/>
    <s v="Gary Roberts"/>
    <n v="70"/>
    <n v="67"/>
    <n v="4.2900000000000001E-2"/>
    <n v="92"/>
    <n v="6164"/>
  </r>
  <r>
    <s v="I-1411"/>
    <s v="Sydney"/>
    <s v="Australia"/>
    <s v="APAC"/>
    <d v="2018-06-08T00:00:00"/>
    <x v="1"/>
    <s v="Christine Davies"/>
    <n v="700"/>
    <n v="693"/>
    <n v="0.01"/>
    <n v="53"/>
    <n v="36729"/>
  </r>
  <r>
    <s v="I-1412"/>
    <s v="Shenzhen"/>
    <s v="China"/>
    <s v="APAC"/>
    <d v="2017-07-28T00:00:00"/>
    <x v="4"/>
    <s v="Ronald Butler"/>
    <n v="30"/>
    <n v="27"/>
    <n v="0.1"/>
    <n v="34"/>
    <n v="918"/>
  </r>
  <r>
    <s v="I-1413"/>
    <s v="Amsterdam"/>
    <s v="Netherlands"/>
    <s v="EMEA"/>
    <d v="2016-03-19T00:00:00"/>
    <x v="3"/>
    <s v="Julia Ferguson"/>
    <n v="50"/>
    <n v="49"/>
    <n v="0.02"/>
    <n v="35"/>
    <n v="1715"/>
  </r>
  <r>
    <s v="I-1414"/>
    <s v="Istanbul"/>
    <s v="Turkey"/>
    <s v="EMEA"/>
    <d v="2015-06-03T00:00:00"/>
    <x v="6"/>
    <s v="Chloe Lyons"/>
    <n v="800"/>
    <n v="664"/>
    <n v="0.17"/>
    <n v="89"/>
    <n v="59096"/>
  </r>
  <r>
    <s v="I-1415"/>
    <s v="Dublin"/>
    <s v="Ireland"/>
    <s v="EMEA"/>
    <d v="2016-04-26T00:00:00"/>
    <x v="6"/>
    <s v="Robert Harris"/>
    <n v="800"/>
    <n v="648"/>
    <n v="0.19"/>
    <n v="38"/>
    <n v="24624"/>
  </r>
  <r>
    <s v="I-1416"/>
    <s v="Kansas City"/>
    <s v="USA"/>
    <s v="NA"/>
    <d v="2018-10-25T00:00:00"/>
    <x v="4"/>
    <s v="David Rodrigues"/>
    <n v="30"/>
    <n v="29"/>
    <n v="3.3300000000000003E-2"/>
    <n v="98"/>
    <n v="2842"/>
  </r>
  <r>
    <s v="I-1417"/>
    <s v="London"/>
    <s v="UK"/>
    <s v="EMEA"/>
    <d v="2017-11-26T00:00:00"/>
    <x v="5"/>
    <s v="Claire Brooks"/>
    <n v="500"/>
    <n v="475"/>
    <n v="0.05"/>
    <n v="4"/>
    <n v="1900"/>
  </r>
  <r>
    <s v="I-1418"/>
    <s v="Dublin"/>
    <s v="Ireland"/>
    <s v="EMEA"/>
    <d v="2015-02-24T00:00:00"/>
    <x v="8"/>
    <s v="Penelope Norton"/>
    <n v="500"/>
    <n v="495"/>
    <n v="0.01"/>
    <n v="45"/>
    <n v="22275"/>
  </r>
  <r>
    <s v="I-1419"/>
    <s v="Moscow"/>
    <s v="Russia"/>
    <s v="EMEA"/>
    <d v="2014-12-25T00:00:00"/>
    <x v="7"/>
    <s v="Dermot Bailey"/>
    <n v="1000"/>
    <n v="580"/>
    <n v="0.42"/>
    <n v="99"/>
    <n v="57420"/>
  </r>
  <r>
    <s v="I-1420"/>
    <s v="Vienna"/>
    <s v="Austria"/>
    <s v="EMEA"/>
    <d v="2017-11-14T00:00:00"/>
    <x v="11"/>
    <s v="Raymond Denning"/>
    <n v="50"/>
    <n v="47"/>
    <n v="0.06"/>
    <n v="12"/>
    <n v="564"/>
  </r>
  <r>
    <s v="I-1421"/>
    <s v="Cairo"/>
    <s v="Egypt"/>
    <s v="EMEA"/>
    <d v="2015-05-05T00:00:00"/>
    <x v="9"/>
    <s v="Valerie Pereira"/>
    <n v="70"/>
    <n v="48"/>
    <n v="0.31430000000000002"/>
    <n v="59"/>
    <n v="2832"/>
  </r>
  <r>
    <s v="I-1422"/>
    <s v="Dublin"/>
    <s v="Ireland"/>
    <s v="EMEA"/>
    <d v="2015-04-10T00:00:00"/>
    <x v="7"/>
    <s v="Emma Gibbons"/>
    <n v="1000"/>
    <n v="750"/>
    <n v="0.25"/>
    <n v="31"/>
    <n v="23250"/>
  </r>
  <r>
    <s v="I-1423"/>
    <s v="Vienna"/>
    <s v="Austria"/>
    <s v="EMEA"/>
    <d v="2014-05-31T00:00:00"/>
    <x v="4"/>
    <s v="Paul Drage"/>
    <n v="30"/>
    <n v="25"/>
    <n v="0.16669999999999999"/>
    <n v="23"/>
    <n v="575"/>
  </r>
  <r>
    <s v="I-1424"/>
    <s v="Tokyo"/>
    <s v="Japan"/>
    <s v="APAC"/>
    <d v="2018-09-29T00:00:00"/>
    <x v="4"/>
    <s v="Pauline Taylor"/>
    <n v="30"/>
    <n v="27"/>
    <n v="0.1"/>
    <n v="46"/>
    <n v="1242"/>
  </r>
  <r>
    <s v="I-1425"/>
    <s v="Kuala Lumpur"/>
    <s v="Malaysia"/>
    <s v="APAC"/>
    <d v="2018-12-16T00:00:00"/>
    <x v="8"/>
    <s v="Valerie Hook"/>
    <n v="500"/>
    <n v="490"/>
    <n v="0.02"/>
    <n v="75"/>
    <n v="36750"/>
  </r>
  <r>
    <s v="I-1426"/>
    <s v="Seattle"/>
    <s v="USA"/>
    <s v="NA"/>
    <d v="2015-01-15T00:00:00"/>
    <x v="8"/>
    <s v="Lesleyann Pope"/>
    <n v="500"/>
    <n v="500"/>
    <n v="0"/>
    <n v="5"/>
    <n v="2500"/>
  </r>
  <r>
    <s v="I-1427"/>
    <s v="Berlin"/>
    <s v="Germany"/>
    <s v="EMEA"/>
    <d v="2014-07-04T00:00:00"/>
    <x v="8"/>
    <s v="James Whitehead"/>
    <n v="500"/>
    <n v="495"/>
    <n v="0.01"/>
    <n v="55"/>
    <n v="27225"/>
  </r>
  <r>
    <s v="I-1428"/>
    <s v="Santiago"/>
    <s v="Chile"/>
    <s v="LATAM"/>
    <d v="2014-05-21T00:00:00"/>
    <x v="2"/>
    <s v="Bruce McPhee"/>
    <n v="150"/>
    <n v="119"/>
    <n v="0.20669999999999999"/>
    <n v="97"/>
    <n v="11543"/>
  </r>
  <r>
    <s v="I-1429"/>
    <s v="London"/>
    <s v="UK"/>
    <s v="EMEA"/>
    <d v="2014-02-14T00:00:00"/>
    <x v="0"/>
    <s v="Ian Borowski"/>
    <n v="80"/>
    <n v="79"/>
    <n v="1.2500000000000001E-2"/>
    <n v="54"/>
    <n v="4266"/>
  </r>
  <r>
    <s v="I-1430"/>
    <s v="Dubai"/>
    <s v="UAE"/>
    <s v="EMEA"/>
    <d v="2017-11-05T00:00:00"/>
    <x v="2"/>
    <s v="Marie Whitfield"/>
    <n v="150"/>
    <n v="99"/>
    <n v="0.34"/>
    <n v="74"/>
    <n v="7326"/>
  </r>
  <r>
    <s v="I-1431"/>
    <s v="Seattle"/>
    <s v="USA"/>
    <s v="NA"/>
    <d v="2016-02-14T00:00:00"/>
    <x v="5"/>
    <s v="Harold Green"/>
    <n v="500"/>
    <n v="425"/>
    <n v="0.15"/>
    <n v="36"/>
    <n v="15300"/>
  </r>
  <r>
    <s v="I-1432"/>
    <s v="Madria"/>
    <s v="Spain"/>
    <s v="EMEA"/>
    <d v="2014-03-18T00:00:00"/>
    <x v="7"/>
    <s v="Martin Mishra"/>
    <n v="1000"/>
    <n v="810"/>
    <n v="0.19"/>
    <n v="6"/>
    <n v="4860"/>
  </r>
  <r>
    <s v="I-1433"/>
    <s v="Jerusalem"/>
    <s v="Israel"/>
    <s v="EMEA"/>
    <d v="2018-06-03T00:00:00"/>
    <x v="10"/>
    <s v="David Hubble"/>
    <n v="250"/>
    <n v="245"/>
    <n v="0.02"/>
    <n v="93"/>
    <n v="22785"/>
  </r>
  <r>
    <s v="I-1434"/>
    <s v="London"/>
    <s v="UK"/>
    <s v="EMEA"/>
    <d v="2017-03-27T00:00:00"/>
    <x v="11"/>
    <s v="William Cruse"/>
    <n v="50"/>
    <n v="50"/>
    <n v="0"/>
    <n v="10"/>
    <n v="500"/>
  </r>
  <r>
    <s v="I-1435"/>
    <s v="Rome"/>
    <s v="Italy"/>
    <s v="EMEA"/>
    <d v="2018-06-24T00:00:00"/>
    <x v="10"/>
    <s v="Michael Toy"/>
    <n v="250"/>
    <n v="235"/>
    <n v="0.06"/>
    <n v="60"/>
    <n v="14100"/>
  </r>
  <r>
    <s v="I-1436"/>
    <s v="Jerusalem"/>
    <s v="Israel"/>
    <s v="EMEA"/>
    <d v="2016-11-23T00:00:00"/>
    <x v="10"/>
    <s v="Harold Charters"/>
    <n v="250"/>
    <n v="240"/>
    <n v="0.04"/>
    <n v="48"/>
    <n v="11520"/>
  </r>
  <r>
    <s v="I-1437"/>
    <s v="Santiago"/>
    <s v="Chile"/>
    <s v="LATAM"/>
    <d v="2017-07-22T00:00:00"/>
    <x v="9"/>
    <s v="Jason Edmund"/>
    <n v="70"/>
    <n v="69"/>
    <n v="1.43E-2"/>
    <n v="10"/>
    <n v="690"/>
  </r>
  <r>
    <s v="I-1438"/>
    <s v="Paris"/>
    <s v="France"/>
    <s v="EMEA"/>
    <d v="2017-08-24T00:00:00"/>
    <x v="9"/>
    <s v="Melanie Fletcher"/>
    <n v="70"/>
    <n v="67"/>
    <n v="4.2900000000000001E-2"/>
    <n v="32"/>
    <n v="2144"/>
  </r>
  <r>
    <s v="I-1439"/>
    <s v="Cairo"/>
    <s v="Egypt"/>
    <s v="EMEA"/>
    <d v="2017-02-24T00:00:00"/>
    <x v="3"/>
    <s v="Marek Kwiatkowski"/>
    <n v="50"/>
    <n v="49"/>
    <n v="0.02"/>
    <n v="10"/>
    <n v="490"/>
  </r>
  <r>
    <s v="I-1440"/>
    <s v="Athens"/>
    <s v="Greece"/>
    <s v="EMEA"/>
    <d v="2015-09-01T00:00:00"/>
    <x v="2"/>
    <s v="David Walker"/>
    <n v="150"/>
    <n v="98"/>
    <n v="0.34670000000000001"/>
    <n v="70"/>
    <n v="6860"/>
  </r>
  <r>
    <s v="I-1441"/>
    <s v="Bangalore"/>
    <s v="India"/>
    <s v="APAC"/>
    <d v="2018-09-22T00:00:00"/>
    <x v="3"/>
    <s v="Delia Muhammad"/>
    <n v="50"/>
    <n v="50"/>
    <n v="0"/>
    <n v="44"/>
    <n v="2200"/>
  </r>
  <r>
    <s v="I-1442"/>
    <s v="Mexico City"/>
    <s v="Mexico"/>
    <s v="LATAM"/>
    <d v="2015-03-14T00:00:00"/>
    <x v="8"/>
    <s v="Catherine Rahman"/>
    <n v="500"/>
    <n v="495"/>
    <n v="0.01"/>
    <n v="14"/>
    <n v="6930"/>
  </r>
  <r>
    <s v="I-1443"/>
    <s v="Buenos Aires"/>
    <s v="Argentina"/>
    <s v="LATAM"/>
    <d v="2014-12-20T00:00:00"/>
    <x v="9"/>
    <s v="Ian Grant"/>
    <n v="70"/>
    <n v="54"/>
    <n v="0.2286"/>
    <n v="19"/>
    <n v="1026"/>
  </r>
  <r>
    <s v="I-1444"/>
    <s v="Los Angeles"/>
    <s v="USA"/>
    <s v="NA"/>
    <d v="2018-09-30T00:00:00"/>
    <x v="5"/>
    <s v="Christopher Kitching"/>
    <n v="500"/>
    <n v="485"/>
    <n v="0.03"/>
    <n v="17"/>
    <n v="8245"/>
  </r>
  <r>
    <s v="I-1445"/>
    <s v="Chicago"/>
    <s v="USA"/>
    <s v="NA"/>
    <d v="2014-09-18T00:00:00"/>
    <x v="0"/>
    <s v="Barry Baldwin"/>
    <n v="80"/>
    <n v="78"/>
    <n v="2.5000000000000001E-2"/>
    <n v="37"/>
    <n v="2886"/>
  </r>
  <r>
    <s v="I-1446"/>
    <s v="Tijuana"/>
    <s v="Mexico"/>
    <s v="LATAM"/>
    <d v="2018-08-05T00:00:00"/>
    <x v="6"/>
    <s v="Paul Salmon"/>
    <n v="800"/>
    <n v="712"/>
    <n v="0.11"/>
    <n v="94"/>
    <n v="66928"/>
  </r>
  <r>
    <s v="I-1447"/>
    <s v="Riyadh"/>
    <s v="Saudi Arabia"/>
    <s v="EMEA"/>
    <d v="2015-11-08T00:00:00"/>
    <x v="2"/>
    <s v="Jodie Fairhurst"/>
    <n v="150"/>
    <n v="93"/>
    <n v="0.38"/>
    <n v="5"/>
    <n v="465"/>
  </r>
  <r>
    <s v="I-1448"/>
    <s v="Shanghai"/>
    <s v="China"/>
    <s v="APAC"/>
    <d v="2018-10-18T00:00:00"/>
    <x v="7"/>
    <s v="Michelle Murray"/>
    <n v="1000"/>
    <n v="710"/>
    <n v="0.28999999999999998"/>
    <n v="69"/>
    <n v="48990"/>
  </r>
  <r>
    <s v="I-1449"/>
    <s v="Shenzhen"/>
    <s v="China"/>
    <s v="APAC"/>
    <d v="2018-08-09T00:00:00"/>
    <x v="8"/>
    <s v="Joanne Ripley"/>
    <n v="500"/>
    <n v="495"/>
    <n v="0.01"/>
    <n v="51"/>
    <n v="25245"/>
  </r>
  <r>
    <s v="I-1450"/>
    <s v="Tijuana"/>
    <s v="Mexico"/>
    <s v="LATAM"/>
    <d v="2017-05-28T00:00:00"/>
    <x v="8"/>
    <s v="Paul Salmon"/>
    <n v="500"/>
    <n v="490"/>
    <n v="0.02"/>
    <n v="96"/>
    <n v="47040"/>
  </r>
  <r>
    <s v="I-1451"/>
    <s v="Seoul"/>
    <s v="South Korea"/>
    <s v="APAC"/>
    <d v="2014-03-23T00:00:00"/>
    <x v="9"/>
    <s v="Martin Birch"/>
    <n v="70"/>
    <n v="67"/>
    <n v="4.2900000000000001E-2"/>
    <n v="53"/>
    <n v="3551"/>
  </r>
  <r>
    <s v="I-1452"/>
    <s v="Tokyo"/>
    <s v="Japan"/>
    <s v="APAC"/>
    <d v="2015-10-01T00:00:00"/>
    <x v="10"/>
    <s v="Basil Bell"/>
    <n v="250"/>
    <n v="235"/>
    <n v="0.06"/>
    <n v="16"/>
    <n v="3760"/>
  </r>
  <r>
    <s v="I-1453"/>
    <s v="Tijuana"/>
    <s v="Mexico"/>
    <s v="LATAM"/>
    <d v="2017-10-09T00:00:00"/>
    <x v="6"/>
    <s v="Timothy Younger"/>
    <n v="800"/>
    <n v="584"/>
    <n v="0.27"/>
    <n v="95"/>
    <n v="55480"/>
  </r>
  <r>
    <s v="I-1454"/>
    <s v="New York"/>
    <s v="USA"/>
    <s v="NA"/>
    <d v="2017-06-05T00:00:00"/>
    <x v="0"/>
    <s v="Richard Nash"/>
    <n v="80"/>
    <n v="72"/>
    <n v="0.1"/>
    <n v="57"/>
    <n v="4104"/>
  </r>
  <r>
    <s v="I-1455"/>
    <s v="Toronto"/>
    <s v="Canada"/>
    <s v="NA"/>
    <d v="2014-02-02T00:00:00"/>
    <x v="7"/>
    <s v="Kyle Anderson"/>
    <n v="1000"/>
    <n v="750"/>
    <n v="0.25"/>
    <n v="33"/>
    <n v="24750"/>
  </r>
  <r>
    <s v="I-1456"/>
    <s v="Chicago"/>
    <s v="USA"/>
    <s v="NA"/>
    <d v="2016-10-04T00:00:00"/>
    <x v="6"/>
    <s v="Paul Collier"/>
    <n v="800"/>
    <n v="696"/>
    <n v="0.13"/>
    <n v="48"/>
    <n v="33408"/>
  </r>
  <r>
    <s v="I-1457"/>
    <s v="Dubai"/>
    <s v="UAE"/>
    <s v="EMEA"/>
    <d v="2014-04-21T00:00:00"/>
    <x v="2"/>
    <s v="Roy Connelly"/>
    <n v="150"/>
    <n v="146"/>
    <n v="2.6700000000000002E-2"/>
    <n v="13"/>
    <n v="1898"/>
  </r>
  <r>
    <s v="I-1458"/>
    <s v="Santiago"/>
    <s v="Chile"/>
    <s v="LATAM"/>
    <d v="2015-10-11T00:00:00"/>
    <x v="11"/>
    <s v="Julia Hammond"/>
    <n v="50"/>
    <n v="41"/>
    <n v="0.18"/>
    <n v="72"/>
    <n v="2952"/>
  </r>
  <r>
    <s v="I-1459"/>
    <s v="Prague"/>
    <s v="Czech Republic"/>
    <s v="EMEA"/>
    <d v="2017-06-22T00:00:00"/>
    <x v="8"/>
    <s v="Christopher Lloyd"/>
    <n v="500"/>
    <n v="495"/>
    <n v="0.01"/>
    <n v="85"/>
    <n v="42075"/>
  </r>
  <r>
    <s v="I-1460"/>
    <s v="Tel Aviv"/>
    <s v="Israel"/>
    <s v="EMEA"/>
    <d v="2017-07-23T00:00:00"/>
    <x v="3"/>
    <s v="Maureen Reynolds"/>
    <n v="50"/>
    <n v="46"/>
    <n v="0.08"/>
    <n v="84"/>
    <n v="3864"/>
  </r>
  <r>
    <s v="I-1461"/>
    <s v="Guangzhou"/>
    <s v="China"/>
    <s v="APAC"/>
    <d v="2015-11-24T00:00:00"/>
    <x v="0"/>
    <s v="Donald Higgs"/>
    <n v="80"/>
    <n v="74"/>
    <n v="7.4999999999999997E-2"/>
    <n v="78"/>
    <n v="5772"/>
  </r>
  <r>
    <s v="I-1462"/>
    <s v="Cairo"/>
    <s v="Egypt"/>
    <s v="EMEA"/>
    <d v="2014-06-06T00:00:00"/>
    <x v="9"/>
    <s v="Marek Kwiatkowski"/>
    <n v="70"/>
    <n v="59"/>
    <n v="0.15709999999999999"/>
    <n v="41"/>
    <n v="2419"/>
  </r>
  <r>
    <s v="I-1463"/>
    <s v="Riyadh"/>
    <s v="Saudi Arabia"/>
    <s v="EMEA"/>
    <d v="2017-07-30T00:00:00"/>
    <x v="9"/>
    <s v="Victoria Sherwin"/>
    <n v="70"/>
    <n v="68"/>
    <n v="2.86E-2"/>
    <n v="93"/>
    <n v="6324"/>
  </r>
  <r>
    <s v="I-1464"/>
    <s v="Berlin"/>
    <s v="Germany"/>
    <s v="EMEA"/>
    <d v="2017-11-08T00:00:00"/>
    <x v="2"/>
    <s v="David Power"/>
    <n v="150"/>
    <n v="146"/>
    <n v="2.6700000000000002E-2"/>
    <n v="70"/>
    <n v="10220"/>
  </r>
  <r>
    <s v="I-1465"/>
    <s v="Moscow"/>
    <s v="Russia"/>
    <s v="EMEA"/>
    <d v="2014-09-17T00:00:00"/>
    <x v="7"/>
    <s v="Rita Hill"/>
    <n v="1000"/>
    <n v="630"/>
    <n v="0.37"/>
    <n v="26"/>
    <n v="16380"/>
  </r>
  <r>
    <s v="I-1466"/>
    <s v="Buenos Aires"/>
    <s v="Argentina"/>
    <s v="LATAM"/>
    <d v="2018-10-18T00:00:00"/>
    <x v="3"/>
    <s v="Simon Snape"/>
    <n v="50"/>
    <n v="44"/>
    <n v="0.12"/>
    <n v="39"/>
    <n v="1716"/>
  </r>
  <r>
    <s v="I-1467"/>
    <s v="Bangkok"/>
    <s v="Thailand"/>
    <s v="APAC"/>
    <d v="2014-12-31T00:00:00"/>
    <x v="1"/>
    <s v="Martin Gee"/>
    <n v="700"/>
    <n v="693"/>
    <n v="0.01"/>
    <n v="99"/>
    <n v="68607"/>
  </r>
  <r>
    <s v="I-1468"/>
    <s v="Dublin"/>
    <s v="Ireland"/>
    <s v="EMEA"/>
    <d v="2017-07-21T00:00:00"/>
    <x v="1"/>
    <s v="Robert Harris"/>
    <n v="700"/>
    <n v="637"/>
    <n v="0.09"/>
    <n v="39"/>
    <n v="24843"/>
  </r>
  <r>
    <s v="I-1469"/>
    <s v="Lima"/>
    <s v="Peru"/>
    <s v="LATAM"/>
    <d v="2016-05-07T00:00:00"/>
    <x v="0"/>
    <s v="Claire Storey"/>
    <n v="80"/>
    <n v="68"/>
    <n v="0.15"/>
    <n v="44"/>
    <n v="2992"/>
  </r>
  <r>
    <s v="I-1470"/>
    <s v="Ho Chi Minh City"/>
    <s v="Vietnam"/>
    <s v="APAC"/>
    <d v="2014-03-16T00:00:00"/>
    <x v="4"/>
    <s v="Michael Bell"/>
    <n v="30"/>
    <n v="26"/>
    <n v="0.1333"/>
    <n v="85"/>
    <n v="2210"/>
  </r>
  <r>
    <s v="I-1471"/>
    <s v="Chicago"/>
    <s v="USA"/>
    <s v="NA"/>
    <d v="2017-09-27T00:00:00"/>
    <x v="10"/>
    <s v="Robert Polhill"/>
    <n v="250"/>
    <n v="240"/>
    <n v="0.04"/>
    <n v="51"/>
    <n v="12240"/>
  </r>
  <r>
    <s v="I-1472"/>
    <s v="Bangalore"/>
    <s v="India"/>
    <s v="APAC"/>
    <d v="2018-08-08T00:00:00"/>
    <x v="2"/>
    <s v="Delia Muhammad"/>
    <n v="150"/>
    <n v="131"/>
    <n v="0.12670000000000001"/>
    <n v="39"/>
    <n v="5109"/>
  </r>
  <r>
    <s v="I-1473"/>
    <s v="Paris"/>
    <s v="France"/>
    <s v="EMEA"/>
    <d v="2017-04-02T00:00:00"/>
    <x v="7"/>
    <s v="Ryan Goad"/>
    <n v="1000"/>
    <n v="820"/>
    <n v="0.18"/>
    <n v="20"/>
    <n v="16400"/>
  </r>
  <r>
    <s v="I-1474"/>
    <s v="Santiago"/>
    <s v="Chile"/>
    <s v="LATAM"/>
    <d v="2018-08-19T00:00:00"/>
    <x v="6"/>
    <s v="Karen Hopewell"/>
    <n v="800"/>
    <n v="528"/>
    <n v="0.34"/>
    <n v="50"/>
    <n v="26400"/>
  </r>
  <r>
    <s v="I-1475"/>
    <s v="Bucharest"/>
    <s v="Romania"/>
    <s v="EMEA"/>
    <d v="2014-07-13T00:00:00"/>
    <x v="9"/>
    <s v="Geoffrey Shiner"/>
    <n v="70"/>
    <n v="69"/>
    <n v="1.43E-2"/>
    <n v="53"/>
    <n v="3657"/>
  </r>
  <r>
    <s v="I-1476"/>
    <s v="Bucharest"/>
    <s v="Romania"/>
    <s v="EMEA"/>
    <d v="2018-06-08T00:00:00"/>
    <x v="5"/>
    <s v="Thomas Taylor"/>
    <n v="500"/>
    <n v="485"/>
    <n v="0.03"/>
    <n v="36"/>
    <n v="17460"/>
  </r>
  <r>
    <s v="I-1477"/>
    <s v="Birmingham"/>
    <s v="UK"/>
    <s v="EMEA"/>
    <d v="2015-04-19T00:00:00"/>
    <x v="11"/>
    <s v="Stephen Muhammad"/>
    <n v="50"/>
    <n v="39"/>
    <n v="0.22"/>
    <n v="27"/>
    <n v="1053"/>
  </r>
  <r>
    <s v="I-1478"/>
    <s v="Birmingham"/>
    <s v="UK"/>
    <s v="EMEA"/>
    <d v="2017-04-26T00:00:00"/>
    <x v="7"/>
    <s v="Robert James"/>
    <n v="1000"/>
    <n v="830"/>
    <n v="0.17"/>
    <n v="81"/>
    <n v="67230"/>
  </r>
  <r>
    <s v="I-1479"/>
    <s v="New York"/>
    <s v="USA"/>
    <s v="NA"/>
    <d v="2016-09-14T00:00:00"/>
    <x v="3"/>
    <s v="Simon Hirst"/>
    <n v="50"/>
    <n v="44"/>
    <n v="0.12"/>
    <n v="11"/>
    <n v="484"/>
  </r>
  <r>
    <s v="I-1480"/>
    <s v="London"/>
    <s v="UK"/>
    <s v="EMEA"/>
    <d v="2014-10-28T00:00:00"/>
    <x v="8"/>
    <s v="Philip Dewar"/>
    <n v="500"/>
    <n v="500"/>
    <n v="0"/>
    <n v="79"/>
    <n v="39500"/>
  </r>
  <r>
    <s v="I-1481"/>
    <s v="Toronto"/>
    <s v="Canada"/>
    <s v="NA"/>
    <d v="2015-06-29T00:00:00"/>
    <x v="3"/>
    <s v="Michael Patel"/>
    <n v="50"/>
    <n v="37"/>
    <n v="0.26"/>
    <n v="97"/>
    <n v="3589"/>
  </r>
  <r>
    <s v="I-1482"/>
    <s v="San Fransisco"/>
    <s v="USA"/>
    <s v="NA"/>
    <d v="2017-03-18T00:00:00"/>
    <x v="0"/>
    <s v="John Osborne"/>
    <n v="80"/>
    <n v="78"/>
    <n v="2.5000000000000001E-2"/>
    <n v="76"/>
    <n v="5928"/>
  </r>
  <r>
    <s v="I-1483"/>
    <s v="Kuala Lumpur"/>
    <s v="Malaysia"/>
    <s v="APAC"/>
    <d v="2018-08-30T00:00:00"/>
    <x v="9"/>
    <s v="Ian Baker"/>
    <n v="70"/>
    <n v="65"/>
    <n v="7.1400000000000005E-2"/>
    <n v="23"/>
    <n v="1495"/>
  </r>
  <r>
    <s v="I-1484"/>
    <s v="Seattle"/>
    <s v="USA"/>
    <s v="NA"/>
    <d v="2014-07-25T00:00:00"/>
    <x v="10"/>
    <s v="Richard Anderson"/>
    <n v="250"/>
    <n v="228"/>
    <n v="8.7999999999999995E-2"/>
    <n v="80"/>
    <n v="18240"/>
  </r>
  <r>
    <s v="I-1485"/>
    <s v="Seoul"/>
    <s v="South Korea"/>
    <s v="APAC"/>
    <d v="2017-12-09T00:00:00"/>
    <x v="10"/>
    <s v="James Gahagan"/>
    <n v="250"/>
    <n v="250"/>
    <n v="0"/>
    <n v="38"/>
    <n v="9500"/>
  </r>
  <r>
    <s v="I-1486"/>
    <s v="Bucharest"/>
    <s v="Romania"/>
    <s v="EMEA"/>
    <d v="2017-07-15T00:00:00"/>
    <x v="4"/>
    <s v="Jacqueline Todd"/>
    <n v="30"/>
    <n v="29"/>
    <n v="3.3300000000000003E-2"/>
    <n v="40"/>
    <n v="1160"/>
  </r>
  <r>
    <s v="I-1487"/>
    <s v="Bogota"/>
    <s v="Colombia"/>
    <s v="LATAM"/>
    <d v="2015-02-03T00:00:00"/>
    <x v="11"/>
    <s v="Lisa Manning"/>
    <n v="50"/>
    <n v="32"/>
    <n v="0.36"/>
    <n v="46"/>
    <n v="1472"/>
  </r>
  <r>
    <s v="I-1488"/>
    <s v="Osaka"/>
    <s v="Japan"/>
    <s v="APAC"/>
    <d v="2018-08-19T00:00:00"/>
    <x v="1"/>
    <s v="Alice Canning"/>
    <n v="700"/>
    <n v="686"/>
    <n v="0.02"/>
    <n v="74"/>
    <n v="50764"/>
  </r>
  <r>
    <s v="I-1489"/>
    <s v="Santiago"/>
    <s v="Chile"/>
    <s v="LATAM"/>
    <d v="2016-12-24T00:00:00"/>
    <x v="2"/>
    <s v="Bruce McPhee"/>
    <n v="150"/>
    <n v="131"/>
    <n v="0.12670000000000001"/>
    <n v="31"/>
    <n v="4061"/>
  </r>
  <r>
    <s v="I-1490"/>
    <s v="Chicago"/>
    <s v="USA"/>
    <s v="NA"/>
    <d v="2016-06-05T00:00:00"/>
    <x v="7"/>
    <s v="Ronald Bettley"/>
    <n v="1000"/>
    <n v="940"/>
    <n v="0.06"/>
    <n v="50"/>
    <n v="47000"/>
  </r>
  <r>
    <s v="I-1491"/>
    <s v="Capetown"/>
    <s v="South Africa"/>
    <s v="EMEA"/>
    <d v="2016-06-08T00:00:00"/>
    <x v="2"/>
    <s v="Marcus Jacob"/>
    <n v="150"/>
    <n v="138"/>
    <n v="0.08"/>
    <n v="92"/>
    <n v="12696"/>
  </r>
  <r>
    <s v="I-1492"/>
    <s v="Mexico City"/>
    <s v="Mexico"/>
    <s v="LATAM"/>
    <d v="2014-05-19T00:00:00"/>
    <x v="11"/>
    <s v="Jeremy Morrow"/>
    <n v="50"/>
    <n v="44"/>
    <n v="0.12"/>
    <n v="70"/>
    <n v="3080"/>
  </r>
  <r>
    <s v="I-1493"/>
    <s v="Cairo"/>
    <s v="Egypt"/>
    <s v="EMEA"/>
    <d v="2016-02-08T00:00:00"/>
    <x v="10"/>
    <s v="Valerie Pereira"/>
    <n v="250"/>
    <n v="218"/>
    <n v="0.128"/>
    <n v="23"/>
    <n v="5014"/>
  </r>
  <r>
    <s v="I-1494"/>
    <s v="Seoul"/>
    <s v="South Korea"/>
    <s v="APAC"/>
    <d v="2016-10-08T00:00:00"/>
    <x v="2"/>
    <s v="Mark Brook"/>
    <n v="150"/>
    <n v="144"/>
    <n v="0.04"/>
    <n v="39"/>
    <n v="5616"/>
  </r>
  <r>
    <s v="I-1495"/>
    <s v="Capetown"/>
    <s v="South Africa"/>
    <s v="EMEA"/>
    <d v="2018-05-04T00:00:00"/>
    <x v="7"/>
    <s v="Stuart Anderson"/>
    <n v="1000"/>
    <n v="890"/>
    <n v="0.11"/>
    <n v="42"/>
    <n v="37380"/>
  </r>
  <r>
    <s v="I-1496"/>
    <s v="Toronto"/>
    <s v="Canada"/>
    <s v="NA"/>
    <d v="2017-07-15T00:00:00"/>
    <x v="2"/>
    <s v="Jordan Andrews"/>
    <n v="150"/>
    <n v="150"/>
    <n v="0"/>
    <n v="37"/>
    <n v="5550"/>
  </r>
  <r>
    <s v="I-1497"/>
    <s v="Chicago"/>
    <s v="USA"/>
    <s v="NA"/>
    <d v="2014-05-11T00:00:00"/>
    <x v="10"/>
    <s v="Marie Foster"/>
    <n v="250"/>
    <n v="238"/>
    <n v="4.8000000000000001E-2"/>
    <n v="65"/>
    <n v="15470"/>
  </r>
  <r>
    <s v="I-1498"/>
    <s v="Guangzhou"/>
    <s v="China"/>
    <s v="APAC"/>
    <d v="2016-06-06T00:00:00"/>
    <x v="11"/>
    <s v="Helen Watt"/>
    <n v="50"/>
    <n v="49"/>
    <n v="0.02"/>
    <n v="29"/>
    <n v="1421"/>
  </r>
  <r>
    <s v="I-1499"/>
    <s v="Tijuana"/>
    <s v="Mexico"/>
    <s v="LATAM"/>
    <d v="2018-07-26T00:00:00"/>
    <x v="1"/>
    <s v="Paul Skiba"/>
    <n v="700"/>
    <n v="630"/>
    <n v="0.1"/>
    <n v="85"/>
    <n v="53550"/>
  </r>
  <r>
    <s v="I-1500"/>
    <s v="Berlin"/>
    <s v="Germany"/>
    <s v="EMEA"/>
    <d v="2018-05-26T00:00:00"/>
    <x v="3"/>
    <s v="John Gunter"/>
    <n v="50"/>
    <n v="48"/>
    <n v="0.04"/>
    <n v="25"/>
    <n v="1200"/>
  </r>
  <r>
    <s v="I-1501"/>
    <s v="Bucharest"/>
    <s v="Romania"/>
    <s v="EMEA"/>
    <d v="2015-11-25T00:00:00"/>
    <x v="5"/>
    <s v="Kevin Ross"/>
    <n v="500"/>
    <n v="500"/>
    <n v="0"/>
    <n v="4"/>
    <n v="2000"/>
  </r>
  <r>
    <s v="I-1502"/>
    <s v="Madria"/>
    <s v="Spain"/>
    <s v="EMEA"/>
    <d v="2017-11-01T00:00:00"/>
    <x v="4"/>
    <s v="Howard Jones"/>
    <n v="30"/>
    <n v="29"/>
    <n v="3.3300000000000003E-2"/>
    <n v="96"/>
    <n v="2784"/>
  </r>
  <r>
    <s v="I-1503"/>
    <s v="New York"/>
    <s v="USA"/>
    <s v="NA"/>
    <d v="2018-10-15T00:00:00"/>
    <x v="8"/>
    <s v="Ian Coates"/>
    <n v="500"/>
    <n v="495"/>
    <n v="0.01"/>
    <n v="18"/>
    <n v="8910"/>
  </r>
  <r>
    <s v="I-1504"/>
    <s v="Chicago"/>
    <s v="USA"/>
    <s v="NA"/>
    <d v="2016-07-21T00:00:00"/>
    <x v="2"/>
    <s v="Paul Collier"/>
    <n v="150"/>
    <n v="149"/>
    <n v="6.7000000000000002E-3"/>
    <n v="54"/>
    <n v="8046"/>
  </r>
  <r>
    <s v="I-1505"/>
    <s v="Seattle"/>
    <s v="USA"/>
    <s v="NA"/>
    <d v="2015-11-05T00:00:00"/>
    <x v="9"/>
    <s v="Lesleyann Pope"/>
    <n v="70"/>
    <n v="54"/>
    <n v="0.2286"/>
    <n v="48"/>
    <n v="2592"/>
  </r>
  <r>
    <s v="I-1506"/>
    <s v="Bangkok"/>
    <s v="Thailand"/>
    <s v="APAC"/>
    <d v="2018-01-02T00:00:00"/>
    <x v="8"/>
    <s v="John Jenkins"/>
    <n v="500"/>
    <n v="490"/>
    <n v="0.02"/>
    <n v="79"/>
    <n v="38710"/>
  </r>
  <r>
    <s v="I-1507"/>
    <s v="Santiago"/>
    <s v="Chile"/>
    <s v="LATAM"/>
    <d v="2015-04-02T00:00:00"/>
    <x v="11"/>
    <s v="Karen Hopewell"/>
    <n v="50"/>
    <n v="46"/>
    <n v="0.08"/>
    <n v="7"/>
    <n v="322"/>
  </r>
  <r>
    <s v="I-1508"/>
    <s v="Lima"/>
    <s v="Peru"/>
    <s v="LATAM"/>
    <d v="2017-02-03T00:00:00"/>
    <x v="6"/>
    <s v="Janet Ford"/>
    <n v="800"/>
    <n v="600"/>
    <n v="0.25"/>
    <n v="74"/>
    <n v="44400"/>
  </r>
  <r>
    <s v="I-1509"/>
    <s v="London"/>
    <s v="UK"/>
    <s v="EMEA"/>
    <d v="2017-11-16T00:00:00"/>
    <x v="1"/>
    <s v="Francis Godden"/>
    <n v="700"/>
    <n v="665"/>
    <n v="0.05"/>
    <n v="50"/>
    <n v="33250"/>
  </r>
  <r>
    <s v="I-1510"/>
    <s v="Madria"/>
    <s v="Spain"/>
    <s v="EMEA"/>
    <d v="2017-01-19T00:00:00"/>
    <x v="5"/>
    <s v="Roy Nunes"/>
    <n v="500"/>
    <n v="480"/>
    <n v="0.04"/>
    <n v="45"/>
    <n v="21600"/>
  </r>
  <r>
    <s v="I-1511"/>
    <s v="Ho Chi Minh City"/>
    <s v="Vietnam"/>
    <s v="APAC"/>
    <d v="2016-04-29T00:00:00"/>
    <x v="6"/>
    <s v="Ken Rogerson"/>
    <n v="800"/>
    <n v="528"/>
    <n v="0.34"/>
    <n v="5"/>
    <n v="2640"/>
  </r>
  <r>
    <s v="I-1512"/>
    <s v="Guangzhou"/>
    <s v="China"/>
    <s v="APAC"/>
    <d v="2018-04-08T00:00:00"/>
    <x v="10"/>
    <s v="Wolfgang Carvalho"/>
    <n v="250"/>
    <n v="225"/>
    <n v="0.1"/>
    <n v="59"/>
    <n v="13275"/>
  </r>
  <r>
    <s v="I-1513"/>
    <s v="San Fransisco"/>
    <s v="USA"/>
    <s v="NA"/>
    <d v="2015-07-22T00:00:00"/>
    <x v="2"/>
    <s v="Gary Acheampong"/>
    <n v="150"/>
    <n v="113"/>
    <n v="0.2467"/>
    <n v="1"/>
    <n v="113"/>
  </r>
  <r>
    <s v="I-1514"/>
    <s v="Buenos Aires"/>
    <s v="Argentina"/>
    <s v="LATAM"/>
    <d v="2016-02-06T00:00:00"/>
    <x v="5"/>
    <s v="Lisa Wood"/>
    <n v="500"/>
    <n v="440"/>
    <n v="0.12"/>
    <n v="22"/>
    <n v="9680"/>
  </r>
  <r>
    <s v="I-1515"/>
    <s v="Osaka"/>
    <s v="Japan"/>
    <s v="APAC"/>
    <d v="2015-02-04T00:00:00"/>
    <x v="9"/>
    <s v="Peter Walker"/>
    <n v="70"/>
    <n v="44"/>
    <n v="0.37140000000000001"/>
    <n v="45"/>
    <n v="1980"/>
  </r>
  <r>
    <s v="I-1516"/>
    <s v="Warsaw"/>
    <s v="Poland"/>
    <s v="EMEA"/>
    <d v="2014-10-16T00:00:00"/>
    <x v="10"/>
    <s v="Barbara McDevitt"/>
    <n v="250"/>
    <n v="73"/>
    <n v="0.70799999999999996"/>
    <n v="74"/>
    <n v="5402"/>
  </r>
  <r>
    <s v="I-1517"/>
    <s v="Guangzhou"/>
    <s v="China"/>
    <s v="APAC"/>
    <d v="2015-07-17T00:00:00"/>
    <x v="3"/>
    <s v="Helen Watt"/>
    <n v="50"/>
    <n v="34"/>
    <n v="0.32"/>
    <n v="57"/>
    <n v="1938"/>
  </r>
  <r>
    <s v="I-1518"/>
    <s v="Dubai"/>
    <s v="UAE"/>
    <s v="EMEA"/>
    <d v="2017-11-27T00:00:00"/>
    <x v="0"/>
    <s v="Nicholas Timbrell"/>
    <n v="80"/>
    <n v="78"/>
    <n v="2.5000000000000001E-2"/>
    <n v="86"/>
    <n v="6708"/>
  </r>
  <r>
    <s v="I-1519"/>
    <s v="Bangkok"/>
    <s v="Thailand"/>
    <s v="APAC"/>
    <d v="2017-06-19T00:00:00"/>
    <x v="2"/>
    <s v="Stephen Burch"/>
    <n v="150"/>
    <n v="149"/>
    <n v="6.7000000000000002E-3"/>
    <n v="33"/>
    <n v="4917"/>
  </r>
  <r>
    <s v="I-1520"/>
    <s v="Seattle"/>
    <s v="USA"/>
    <s v="NA"/>
    <d v="2017-09-21T00:00:00"/>
    <x v="10"/>
    <s v="Kevin Styles"/>
    <n v="250"/>
    <n v="250"/>
    <n v="0"/>
    <n v="79"/>
    <n v="19750"/>
  </r>
  <r>
    <s v="I-1521"/>
    <s v="Capetown"/>
    <s v="South Africa"/>
    <s v="EMEA"/>
    <d v="2017-04-06T00:00:00"/>
    <x v="1"/>
    <s v="Margaret Philp"/>
    <n v="700"/>
    <n v="665"/>
    <n v="0.05"/>
    <n v="67"/>
    <n v="44555"/>
  </r>
  <r>
    <s v="I-1522"/>
    <s v="Bogota"/>
    <s v="Colombia"/>
    <s v="LATAM"/>
    <d v="2015-01-29T00:00:00"/>
    <x v="2"/>
    <s v="David Finnie"/>
    <n v="150"/>
    <n v="140"/>
    <n v="6.6699999999999995E-2"/>
    <n v="90"/>
    <n v="12600"/>
  </r>
  <r>
    <s v="I-1523"/>
    <s v="Madria"/>
    <s v="Spain"/>
    <s v="EMEA"/>
    <d v="2017-01-10T00:00:00"/>
    <x v="6"/>
    <s v="Martin Mishra"/>
    <n v="800"/>
    <n v="792"/>
    <n v="0.01"/>
    <n v="55"/>
    <n v="43560"/>
  </r>
  <r>
    <s v="I-1524"/>
    <s v="Osaka"/>
    <s v="Japan"/>
    <s v="APAC"/>
    <d v="2017-12-17T00:00:00"/>
    <x v="2"/>
    <s v="Alice Canning"/>
    <n v="150"/>
    <n v="138"/>
    <n v="0.08"/>
    <n v="28"/>
    <n v="3864"/>
  </r>
  <r>
    <s v="I-1525"/>
    <s v="Tel Aviv"/>
    <s v="Israel"/>
    <s v="EMEA"/>
    <d v="2015-11-03T00:00:00"/>
    <x v="4"/>
    <s v="Steven Green"/>
    <n v="30"/>
    <n v="23"/>
    <n v="0.23330000000000001"/>
    <n v="72"/>
    <n v="1656"/>
  </r>
  <r>
    <s v="I-1526"/>
    <s v="Tijuana"/>
    <s v="Mexico"/>
    <s v="LATAM"/>
    <d v="2016-12-27T00:00:00"/>
    <x v="0"/>
    <s v="Paul Salmon"/>
    <n v="80"/>
    <n v="78"/>
    <n v="2.5000000000000001E-2"/>
    <n v="58"/>
    <n v="4524"/>
  </r>
  <r>
    <s v="I-1527"/>
    <s v="Toronto"/>
    <s v="Canada"/>
    <s v="NA"/>
    <d v="2016-04-21T00:00:00"/>
    <x v="3"/>
    <s v="Kyle Anderson"/>
    <n v="50"/>
    <n v="49"/>
    <n v="0.02"/>
    <n v="73"/>
    <n v="3577"/>
  </r>
  <r>
    <s v="I-1528"/>
    <s v="Dublin"/>
    <s v="Ireland"/>
    <s v="EMEA"/>
    <d v="2017-10-18T00:00:00"/>
    <x v="10"/>
    <s v="Robert Harris"/>
    <n v="250"/>
    <n v="235"/>
    <n v="0.06"/>
    <n v="14"/>
    <n v="3290"/>
  </r>
  <r>
    <s v="I-1529"/>
    <s v="San Fransisco"/>
    <s v="USA"/>
    <s v="NA"/>
    <d v="2015-07-01T00:00:00"/>
    <x v="8"/>
    <s v="Shelley Lock"/>
    <n v="500"/>
    <n v="490"/>
    <n v="0.02"/>
    <n v="86"/>
    <n v="42140"/>
  </r>
  <r>
    <s v="I-1530"/>
    <s v="Dubai"/>
    <s v="UAE"/>
    <s v="EMEA"/>
    <d v="2014-08-02T00:00:00"/>
    <x v="1"/>
    <s v="Ernie Dyer"/>
    <n v="700"/>
    <n v="525"/>
    <n v="0.25"/>
    <n v="46"/>
    <n v="24150"/>
  </r>
  <r>
    <s v="I-1531"/>
    <s v="Madria"/>
    <s v="Spain"/>
    <s v="EMEA"/>
    <d v="2015-10-13T00:00:00"/>
    <x v="0"/>
    <s v="Howard Jones"/>
    <n v="80"/>
    <n v="74"/>
    <n v="7.4999999999999997E-2"/>
    <n v="12"/>
    <n v="888"/>
  </r>
  <r>
    <s v="I-1532"/>
    <s v="Delhi"/>
    <s v="India"/>
    <s v="APAC"/>
    <d v="2014-08-09T00:00:00"/>
    <x v="6"/>
    <s v="David Johnson"/>
    <n v="800"/>
    <n v="696"/>
    <n v="0.13"/>
    <n v="10"/>
    <n v="6960"/>
  </r>
  <r>
    <s v="I-1533"/>
    <s v="Bucharest"/>
    <s v="Romania"/>
    <s v="EMEA"/>
    <d v="2017-02-15T00:00:00"/>
    <x v="11"/>
    <s v="Constance Tidey"/>
    <n v="50"/>
    <n v="50"/>
    <n v="0"/>
    <n v="43"/>
    <n v="2150"/>
  </r>
  <r>
    <s v="I-1534"/>
    <s v="Cairo"/>
    <s v="Egypt"/>
    <s v="EMEA"/>
    <d v="2017-04-20T00:00:00"/>
    <x v="3"/>
    <s v="David Amos"/>
    <n v="50"/>
    <n v="50"/>
    <n v="0"/>
    <n v="33"/>
    <n v="1650"/>
  </r>
  <r>
    <s v="I-1535"/>
    <s v="Berlin"/>
    <s v="Germany"/>
    <s v="EMEA"/>
    <d v="2016-06-27T00:00:00"/>
    <x v="10"/>
    <s v="Jacqueline Clamp"/>
    <n v="250"/>
    <n v="225"/>
    <n v="0.1"/>
    <n v="13"/>
    <n v="2925"/>
  </r>
  <r>
    <s v="I-1536"/>
    <s v="Prague"/>
    <s v="Czech Republic"/>
    <s v="EMEA"/>
    <d v="2014-11-25T00:00:00"/>
    <x v="6"/>
    <s v="David Stewart"/>
    <n v="800"/>
    <n v="760"/>
    <n v="0.05"/>
    <n v="53"/>
    <n v="40280"/>
  </r>
  <r>
    <s v="I-1537"/>
    <s v="Osaka"/>
    <s v="Japan"/>
    <s v="APAC"/>
    <d v="2016-06-30T00:00:00"/>
    <x v="11"/>
    <s v="Tracy Stanley"/>
    <n v="50"/>
    <n v="49"/>
    <n v="0.02"/>
    <n v="77"/>
    <n v="3773"/>
  </r>
  <r>
    <s v="I-1538"/>
    <s v="Paris"/>
    <s v="France"/>
    <s v="EMEA"/>
    <d v="2017-01-22T00:00:00"/>
    <x v="8"/>
    <s v="Ryan Goad"/>
    <n v="500"/>
    <n v="495"/>
    <n v="0.01"/>
    <n v="10"/>
    <n v="4950"/>
  </r>
  <r>
    <s v="I-1539"/>
    <s v="Guangzhou"/>
    <s v="China"/>
    <s v="APAC"/>
    <d v="2016-09-24T00:00:00"/>
    <x v="10"/>
    <s v="Mark Searle"/>
    <n v="250"/>
    <n v="213"/>
    <n v="0.14799999999999999"/>
    <n v="17"/>
    <n v="3621"/>
  </r>
  <r>
    <s v="I-1540"/>
    <s v="Chicago"/>
    <s v="USA"/>
    <s v="NA"/>
    <d v="2016-10-19T00:00:00"/>
    <x v="1"/>
    <s v="Richard Hughes"/>
    <n v="700"/>
    <n v="693"/>
    <n v="0.01"/>
    <n v="88"/>
    <n v="60984"/>
  </r>
  <r>
    <s v="I-1541"/>
    <s v="Tel Aviv"/>
    <s v="Israel"/>
    <s v="EMEA"/>
    <d v="2016-11-10T00:00:00"/>
    <x v="4"/>
    <s v="Thomas Gordon"/>
    <n v="30"/>
    <n v="28"/>
    <n v="6.6699999999999995E-2"/>
    <n v="88"/>
    <n v="2464"/>
  </r>
  <r>
    <s v="I-1542"/>
    <s v="Vienna"/>
    <s v="Austria"/>
    <s v="EMEA"/>
    <d v="2015-05-10T00:00:00"/>
    <x v="1"/>
    <s v="Janet Ward"/>
    <n v="700"/>
    <n v="518"/>
    <n v="0.26"/>
    <n v="54"/>
    <n v="27972"/>
  </r>
  <r>
    <s v="I-1543"/>
    <s v="Lima"/>
    <s v="Peru"/>
    <s v="LATAM"/>
    <d v="2018-06-01T00:00:00"/>
    <x v="8"/>
    <s v="William Lant"/>
    <n v="500"/>
    <n v="495"/>
    <n v="0.01"/>
    <n v="7"/>
    <n v="3465"/>
  </r>
  <r>
    <s v="I-1544"/>
    <s v="Mexico City"/>
    <s v="Mexico"/>
    <s v="LATAM"/>
    <d v="2015-05-14T00:00:00"/>
    <x v="4"/>
    <s v="Brendon Dyer"/>
    <n v="30"/>
    <n v="21"/>
    <n v="0.3"/>
    <n v="58"/>
    <n v="1218"/>
  </r>
  <r>
    <s v="I-1545"/>
    <s v="Kansas City"/>
    <s v="USA"/>
    <s v="NA"/>
    <d v="2017-09-15T00:00:00"/>
    <x v="7"/>
    <s v="Robert Arnold"/>
    <n v="1000"/>
    <n v="700"/>
    <n v="0.3"/>
    <n v="77"/>
    <n v="53900"/>
  </r>
  <r>
    <s v="I-1546"/>
    <s v="Kuala Lumpur"/>
    <s v="Malaysia"/>
    <s v="APAC"/>
    <d v="2015-04-21T00:00:00"/>
    <x v="3"/>
    <s v="Rachel Oliver"/>
    <n v="50"/>
    <n v="32"/>
    <n v="0.36"/>
    <n v="38"/>
    <n v="1216"/>
  </r>
  <r>
    <s v="I-1547"/>
    <s v="Athens"/>
    <s v="Greece"/>
    <s v="EMEA"/>
    <d v="2015-10-07T00:00:00"/>
    <x v="6"/>
    <s v="Aidan Perrott"/>
    <n v="800"/>
    <n v="632"/>
    <n v="0.21"/>
    <n v="26"/>
    <n v="16432"/>
  </r>
  <r>
    <s v="I-1548"/>
    <s v="New York"/>
    <s v="USA"/>
    <s v="NA"/>
    <d v="2018-12-19T00:00:00"/>
    <x v="5"/>
    <s v="Matthew Crowe"/>
    <n v="500"/>
    <n v="450"/>
    <n v="0.1"/>
    <n v="49"/>
    <n v="22050"/>
  </r>
  <r>
    <s v="I-1549"/>
    <s v="Sao Paolo"/>
    <s v="Brazil"/>
    <s v="LATAM"/>
    <d v="2016-08-17T00:00:00"/>
    <x v="3"/>
    <s v="Elizabeth Holloway"/>
    <n v="50"/>
    <n v="49"/>
    <n v="0.02"/>
    <n v="6"/>
    <n v="294"/>
  </r>
  <r>
    <s v="I-1550"/>
    <s v="Buenos Aires"/>
    <s v="Argentina"/>
    <s v="LATAM"/>
    <d v="2015-06-24T00:00:00"/>
    <x v="6"/>
    <s v="Roy Cooper"/>
    <n v="800"/>
    <n v="456"/>
    <n v="0.43"/>
    <n v="14"/>
    <n v="6384"/>
  </r>
  <r>
    <s v="I-1551"/>
    <s v="Cairo"/>
    <s v="Egypt"/>
    <s v="EMEA"/>
    <d v="2015-01-01T00:00:00"/>
    <x v="11"/>
    <s v="Marek Kwiatkowski"/>
    <n v="50"/>
    <n v="31"/>
    <n v="0.38"/>
    <n v="50"/>
    <n v="1550"/>
  </r>
  <r>
    <s v="I-1552"/>
    <s v="Seattle"/>
    <s v="USA"/>
    <s v="NA"/>
    <d v="2014-12-29T00:00:00"/>
    <x v="0"/>
    <s v="Lesleyann Pope"/>
    <n v="80"/>
    <n v="69"/>
    <n v="0.13750000000000001"/>
    <n v="35"/>
    <n v="2415"/>
  </r>
  <r>
    <s v="I-1553"/>
    <s v="Amsterdam"/>
    <s v="Netherlands"/>
    <s v="EMEA"/>
    <d v="2016-11-17T00:00:00"/>
    <x v="0"/>
    <s v="Donald Barratt"/>
    <n v="80"/>
    <n v="70"/>
    <n v="0.125"/>
    <n v="93"/>
    <n v="6510"/>
  </r>
  <r>
    <s v="I-1554"/>
    <s v="Istanbul"/>
    <s v="Turkey"/>
    <s v="EMEA"/>
    <d v="2017-01-17T00:00:00"/>
    <x v="10"/>
    <s v="Chloe Lyons"/>
    <n v="250"/>
    <n v="240"/>
    <n v="0.04"/>
    <n v="56"/>
    <n v="13440"/>
  </r>
  <r>
    <s v="I-1555"/>
    <s v="Seattle"/>
    <s v="USA"/>
    <s v="NA"/>
    <d v="2016-06-23T00:00:00"/>
    <x v="2"/>
    <s v="Kevin Styles"/>
    <n v="150"/>
    <n v="132"/>
    <n v="0.12"/>
    <n v="25"/>
    <n v="3300"/>
  </r>
  <r>
    <s v="I-1556"/>
    <s v="Capetown"/>
    <s v="South Africa"/>
    <s v="EMEA"/>
    <d v="2016-10-05T00:00:00"/>
    <x v="4"/>
    <s v="Nicholas Holloway"/>
    <n v="30"/>
    <n v="27"/>
    <n v="0.1"/>
    <n v="43"/>
    <n v="1161"/>
  </r>
  <r>
    <s v="I-1557"/>
    <s v="Dublin"/>
    <s v="Ireland"/>
    <s v="EMEA"/>
    <d v="2015-07-10T00:00:00"/>
    <x v="6"/>
    <s v="Emma Gibbons"/>
    <n v="800"/>
    <n v="624"/>
    <n v="0.22"/>
    <n v="76"/>
    <n v="47424"/>
  </r>
  <r>
    <s v="I-1558"/>
    <s v="Los Angeles"/>
    <s v="USA"/>
    <s v="NA"/>
    <d v="2014-07-19T00:00:00"/>
    <x v="9"/>
    <s v="Anthony Procter"/>
    <n v="70"/>
    <n v="52"/>
    <n v="0.2571"/>
    <n v="99"/>
    <n v="5148"/>
  </r>
  <r>
    <s v="I-1559"/>
    <s v="Seoul"/>
    <s v="South Korea"/>
    <s v="APAC"/>
    <d v="2017-11-22T00:00:00"/>
    <x v="0"/>
    <s v="Steven Wood"/>
    <n v="80"/>
    <n v="77"/>
    <n v="3.7499999999999999E-2"/>
    <n v="97"/>
    <n v="7469"/>
  </r>
  <r>
    <s v="I-1560"/>
    <s v="Lima"/>
    <s v="Peru"/>
    <s v="LATAM"/>
    <d v="2017-09-25T00:00:00"/>
    <x v="4"/>
    <s v="Janet Ford"/>
    <n v="30"/>
    <n v="27"/>
    <n v="0.1"/>
    <n v="82"/>
    <n v="2214"/>
  </r>
  <r>
    <s v="I-1561"/>
    <s v="Rome"/>
    <s v="Italy"/>
    <s v="EMEA"/>
    <d v="2017-11-01T00:00:00"/>
    <x v="3"/>
    <s v="Golam Reid"/>
    <n v="50"/>
    <n v="47"/>
    <n v="0.06"/>
    <n v="43"/>
    <n v="2021"/>
  </r>
  <r>
    <s v="I-1562"/>
    <s v="Dubai"/>
    <s v="UAE"/>
    <s v="EMEA"/>
    <d v="2017-06-07T00:00:00"/>
    <x v="5"/>
    <s v="Marie Whitfield"/>
    <n v="500"/>
    <n v="265"/>
    <n v="0.47"/>
    <n v="47"/>
    <n v="12455"/>
  </r>
  <r>
    <s v="I-1563"/>
    <s v="Kuala Lumpur"/>
    <s v="Malaysia"/>
    <s v="APAC"/>
    <d v="2016-10-16T00:00:00"/>
    <x v="4"/>
    <s v="Stephen MacGregor"/>
    <n v="30"/>
    <n v="28"/>
    <n v="6.6699999999999995E-2"/>
    <n v="62"/>
    <n v="1736"/>
  </r>
  <r>
    <s v="I-1564"/>
    <s v="Tijuana"/>
    <s v="Mexico"/>
    <s v="LATAM"/>
    <d v="2014-07-16T00:00:00"/>
    <x v="10"/>
    <s v="Richard Foy"/>
    <n v="250"/>
    <n v="240"/>
    <n v="0.04"/>
    <n v="49"/>
    <n v="11760"/>
  </r>
  <r>
    <s v="I-1565"/>
    <s v="Buenos Aires"/>
    <s v="Argentina"/>
    <s v="LATAM"/>
    <d v="2018-12-11T00:00:00"/>
    <x v="3"/>
    <s v="Ian Grant"/>
    <n v="50"/>
    <n v="45"/>
    <n v="0.1"/>
    <n v="71"/>
    <n v="3195"/>
  </r>
  <r>
    <s v="I-1566"/>
    <s v="Tijuana"/>
    <s v="Mexico"/>
    <s v="LATAM"/>
    <d v="2015-09-01T00:00:00"/>
    <x v="8"/>
    <s v="Richard Foy"/>
    <n v="500"/>
    <n v="490"/>
    <n v="0.02"/>
    <n v="22"/>
    <n v="10780"/>
  </r>
  <r>
    <s v="I-1567"/>
    <s v="Los Angeles"/>
    <s v="USA"/>
    <s v="NA"/>
    <d v="2017-05-31T00:00:00"/>
    <x v="4"/>
    <s v="Paul Hirst"/>
    <n v="30"/>
    <n v="29"/>
    <n v="3.3300000000000003E-2"/>
    <n v="1"/>
    <n v="29"/>
  </r>
  <r>
    <s v="I-1568"/>
    <s v="Paris"/>
    <s v="France"/>
    <s v="EMEA"/>
    <d v="2017-06-16T00:00:00"/>
    <x v="11"/>
    <s v="Philip Tubbs"/>
    <n v="50"/>
    <n v="49"/>
    <n v="0.02"/>
    <n v="23"/>
    <n v="1127"/>
  </r>
  <r>
    <s v="I-1569"/>
    <s v="Moscow"/>
    <s v="Russia"/>
    <s v="EMEA"/>
    <d v="2014-07-13T00:00:00"/>
    <x v="1"/>
    <s v="Alexander Hillier"/>
    <n v="700"/>
    <n v="665"/>
    <n v="0.05"/>
    <n v="73"/>
    <n v="48545"/>
  </r>
  <r>
    <s v="I-1570"/>
    <s v="Bucharest"/>
    <s v="Romania"/>
    <s v="EMEA"/>
    <d v="2014-08-13T00:00:00"/>
    <x v="6"/>
    <s v="Alan Grant"/>
    <n v="800"/>
    <n v="720"/>
    <n v="0.1"/>
    <n v="31"/>
    <n v="22320"/>
  </r>
  <r>
    <s v="I-1571"/>
    <s v="Madria"/>
    <s v="Spain"/>
    <s v="EMEA"/>
    <d v="2016-03-31T00:00:00"/>
    <x v="8"/>
    <s v="Penelope Freeland"/>
    <n v="500"/>
    <n v="500"/>
    <n v="0"/>
    <n v="70"/>
    <n v="35000"/>
  </r>
  <r>
    <s v="I-1572"/>
    <s v="Seattle"/>
    <s v="USA"/>
    <s v="NA"/>
    <d v="2018-08-26T00:00:00"/>
    <x v="6"/>
    <s v="Susan Toye"/>
    <n v="800"/>
    <n v="680"/>
    <n v="0.15"/>
    <n v="68"/>
    <n v="46240"/>
  </r>
  <r>
    <s v="I-1573"/>
    <s v="Bangalore"/>
    <s v="India"/>
    <s v="APAC"/>
    <d v="2015-07-03T00:00:00"/>
    <x v="6"/>
    <s v="Delia Muhammad"/>
    <n v="800"/>
    <n v="480"/>
    <n v="0.4"/>
    <n v="67"/>
    <n v="32160"/>
  </r>
  <r>
    <s v="I-1574"/>
    <s v="Riyadh"/>
    <s v="Saudi Arabia"/>
    <s v="EMEA"/>
    <d v="2014-08-04T00:00:00"/>
    <x v="1"/>
    <s v="Daniel Battersby"/>
    <n v="700"/>
    <n v="602"/>
    <n v="0.14000000000000001"/>
    <n v="49"/>
    <n v="29498"/>
  </r>
  <r>
    <s v="I-1575"/>
    <s v="Rome"/>
    <s v="Italy"/>
    <s v="EMEA"/>
    <d v="2018-01-13T00:00:00"/>
    <x v="10"/>
    <s v="Andrew Hirst"/>
    <n v="250"/>
    <n v="220"/>
    <n v="0.12"/>
    <n v="39"/>
    <n v="8580"/>
  </r>
  <r>
    <s v="I-1576"/>
    <s v="Guangzhou"/>
    <s v="China"/>
    <s v="APAC"/>
    <d v="2015-12-23T00:00:00"/>
    <x v="8"/>
    <s v="Abdul Amos"/>
    <n v="500"/>
    <n v="495"/>
    <n v="0.01"/>
    <n v="50"/>
    <n v="24750"/>
  </r>
  <r>
    <s v="I-1577"/>
    <s v="Tokyo"/>
    <s v="Japan"/>
    <s v="APAC"/>
    <d v="2016-11-02T00:00:00"/>
    <x v="0"/>
    <s v="Rose Rowntree"/>
    <n v="80"/>
    <n v="71"/>
    <n v="0.1125"/>
    <n v="29"/>
    <n v="2059"/>
  </r>
  <r>
    <s v="I-1578"/>
    <s v="Seoul"/>
    <s v="South Korea"/>
    <s v="APAC"/>
    <d v="2018-03-26T00:00:00"/>
    <x v="7"/>
    <s v="Roger Scott"/>
    <n v="1000"/>
    <n v="530"/>
    <n v="0.47"/>
    <n v="57"/>
    <n v="30210"/>
  </r>
  <r>
    <s v="I-1579"/>
    <s v="New York"/>
    <s v="USA"/>
    <s v="NA"/>
    <d v="2014-08-11T00:00:00"/>
    <x v="9"/>
    <s v="George Stevenson"/>
    <n v="70"/>
    <n v="65"/>
    <n v="7.1400000000000005E-2"/>
    <n v="45"/>
    <n v="2925"/>
  </r>
  <r>
    <s v="I-1580"/>
    <s v="Buenos Aires"/>
    <s v="Argentina"/>
    <s v="LATAM"/>
    <d v="2017-01-16T00:00:00"/>
    <x v="3"/>
    <s v="Kevin Curtis"/>
    <n v="50"/>
    <n v="49"/>
    <n v="0.02"/>
    <n v="6"/>
    <n v="294"/>
  </r>
  <r>
    <s v="I-1581"/>
    <s v="London"/>
    <s v="UK"/>
    <s v="EMEA"/>
    <d v="2017-07-12T00:00:00"/>
    <x v="4"/>
    <s v="Claire Brooks"/>
    <n v="30"/>
    <n v="30"/>
    <n v="0"/>
    <n v="84"/>
    <n v="2520"/>
  </r>
  <r>
    <s v="I-1582"/>
    <s v="Capetown"/>
    <s v="South Africa"/>
    <s v="EMEA"/>
    <d v="2018-08-06T00:00:00"/>
    <x v="0"/>
    <s v="Stuart Anderson"/>
    <n v="80"/>
    <n v="69"/>
    <n v="0.13750000000000001"/>
    <n v="21"/>
    <n v="1449"/>
  </r>
  <r>
    <s v="I-1583"/>
    <s v="Bangkok"/>
    <s v="Thailand"/>
    <s v="APAC"/>
    <d v="2017-04-27T00:00:00"/>
    <x v="4"/>
    <s v="Mayank Ali"/>
    <n v="30"/>
    <n v="29"/>
    <n v="3.3300000000000003E-2"/>
    <n v="81"/>
    <n v="2349"/>
  </r>
  <r>
    <s v="I-1584"/>
    <s v="Seattle"/>
    <s v="USA"/>
    <s v="NA"/>
    <d v="2016-09-20T00:00:00"/>
    <x v="11"/>
    <s v="Kate Nash"/>
    <n v="50"/>
    <n v="43"/>
    <n v="0.14000000000000001"/>
    <n v="62"/>
    <n v="2666"/>
  </r>
  <r>
    <s v="I-1585"/>
    <s v="Dublin"/>
    <s v="Ireland"/>
    <s v="EMEA"/>
    <d v="2017-07-09T00:00:00"/>
    <x v="2"/>
    <s v="Penelope Norton"/>
    <n v="150"/>
    <n v="149"/>
    <n v="6.7000000000000002E-3"/>
    <n v="10"/>
    <n v="1490"/>
  </r>
  <r>
    <s v="I-1586"/>
    <s v="Mexico City"/>
    <s v="Mexico"/>
    <s v="LATAM"/>
    <d v="2015-04-01T00:00:00"/>
    <x v="1"/>
    <s v="Denise Rodgers"/>
    <n v="700"/>
    <n v="574"/>
    <n v="0.18"/>
    <n v="19"/>
    <n v="10906"/>
  </r>
  <r>
    <s v="I-1587"/>
    <s v="Paris"/>
    <s v="France"/>
    <s v="EMEA"/>
    <d v="2014-04-22T00:00:00"/>
    <x v="1"/>
    <s v="Christopher Griffith"/>
    <n v="700"/>
    <n v="581"/>
    <n v="0.17"/>
    <n v="15"/>
    <n v="8715"/>
  </r>
  <r>
    <s v="I-1588"/>
    <s v="Lima"/>
    <s v="Peru"/>
    <s v="LATAM"/>
    <d v="2014-09-03T00:00:00"/>
    <x v="3"/>
    <s v="Peter Jago"/>
    <n v="50"/>
    <n v="46"/>
    <n v="0.08"/>
    <n v="68"/>
    <n v="3128"/>
  </r>
  <r>
    <s v="I-1589"/>
    <s v="Warsaw"/>
    <s v="Poland"/>
    <s v="EMEA"/>
    <d v="2014-05-31T00:00:00"/>
    <x v="7"/>
    <s v="Barbara McDevitt"/>
    <n v="1000"/>
    <n v="610"/>
    <n v="0.39"/>
    <n v="54"/>
    <n v="32940"/>
  </r>
  <r>
    <s v="I-1590"/>
    <s v="Mexico City"/>
    <s v="Mexico"/>
    <s v="LATAM"/>
    <d v="2017-05-14T00:00:00"/>
    <x v="2"/>
    <s v="Jacqueline Green"/>
    <n v="150"/>
    <n v="147"/>
    <n v="0.02"/>
    <n v="18"/>
    <n v="2646"/>
  </r>
  <r>
    <s v="I-1591"/>
    <s v="Bogota"/>
    <s v="Colombia"/>
    <s v="LATAM"/>
    <d v="2016-08-02T00:00:00"/>
    <x v="1"/>
    <s v="Margaret Buck"/>
    <n v="700"/>
    <n v="602"/>
    <n v="0.14000000000000001"/>
    <n v="41"/>
    <n v="24682"/>
  </r>
  <r>
    <s v="I-1592"/>
    <s v="Chicago"/>
    <s v="USA"/>
    <s v="NA"/>
    <d v="2015-11-13T00:00:00"/>
    <x v="5"/>
    <s v="Jeremy Bannister"/>
    <n v="500"/>
    <n v="495"/>
    <n v="0.01"/>
    <n v="25"/>
    <n v="12375"/>
  </r>
  <r>
    <s v="I-1593"/>
    <s v="San Fransisco"/>
    <s v="USA"/>
    <s v="NA"/>
    <d v="2017-04-19T00:00:00"/>
    <x v="1"/>
    <s v="Richard Dewar"/>
    <n v="700"/>
    <n v="665"/>
    <n v="0.05"/>
    <n v="100"/>
    <n v="66500"/>
  </r>
  <r>
    <s v="I-1594"/>
    <s v="Amsterdam"/>
    <s v="Netherlands"/>
    <s v="EMEA"/>
    <d v="2017-08-14T00:00:00"/>
    <x v="5"/>
    <s v="Donald Barratt"/>
    <n v="500"/>
    <n v="485"/>
    <n v="0.03"/>
    <n v="6"/>
    <n v="2910"/>
  </r>
  <r>
    <s v="I-1595"/>
    <s v="Moscow"/>
    <s v="Russia"/>
    <s v="EMEA"/>
    <d v="2018-04-12T00:00:00"/>
    <x v="0"/>
    <s v="Zulfiqar Mirza"/>
    <n v="80"/>
    <n v="79"/>
    <n v="1.2500000000000001E-2"/>
    <n v="5"/>
    <n v="395"/>
  </r>
  <r>
    <s v="I-1596"/>
    <s v="Tel Aviv"/>
    <s v="Israel"/>
    <s v="EMEA"/>
    <d v="2018-11-22T00:00:00"/>
    <x v="7"/>
    <s v="John Verma"/>
    <n v="1000"/>
    <n v="540"/>
    <n v="0.46"/>
    <n v="17"/>
    <n v="9180"/>
  </r>
  <r>
    <s v="I-1597"/>
    <s v="Tel Aviv"/>
    <s v="Israel"/>
    <s v="EMEA"/>
    <d v="2015-12-10T00:00:00"/>
    <x v="0"/>
    <s v="Maureen Reynolds"/>
    <n v="80"/>
    <n v="70"/>
    <n v="0.125"/>
    <n v="25"/>
    <n v="1750"/>
  </r>
  <r>
    <s v="I-1598"/>
    <s v="Seoul"/>
    <s v="South Korea"/>
    <s v="APAC"/>
    <d v="2018-10-02T00:00:00"/>
    <x v="11"/>
    <s v="Martin Birch"/>
    <n v="50"/>
    <n v="49"/>
    <n v="0.02"/>
    <n v="67"/>
    <n v="3283"/>
  </r>
  <r>
    <s v="I-1599"/>
    <s v="Madria"/>
    <s v="Spain"/>
    <s v="EMEA"/>
    <d v="2015-11-01T00:00:00"/>
    <x v="0"/>
    <s v="Philip Sutherland"/>
    <n v="80"/>
    <n v="62"/>
    <n v="0.22500000000000001"/>
    <n v="67"/>
    <n v="4154"/>
  </r>
  <r>
    <s v="I-1600"/>
    <s v="Shenzhen"/>
    <s v="China"/>
    <s v="APAC"/>
    <d v="2017-01-13T00:00:00"/>
    <x v="2"/>
    <s v="Joanne Ripley"/>
    <n v="150"/>
    <n v="143"/>
    <n v="4.6699999999999998E-2"/>
    <n v="87"/>
    <n v="12441"/>
  </r>
  <r>
    <s v="I-1601"/>
    <s v="Cairo"/>
    <s v="Egypt"/>
    <s v="EMEA"/>
    <d v="2018-04-18T00:00:00"/>
    <x v="4"/>
    <s v="John Barnett"/>
    <n v="30"/>
    <n v="26"/>
    <n v="0.1333"/>
    <n v="54"/>
    <n v="1404"/>
  </r>
  <r>
    <s v="I-1602"/>
    <s v="Santiago"/>
    <s v="Chile"/>
    <s v="LATAM"/>
    <d v="2017-07-23T00:00:00"/>
    <x v="10"/>
    <s v="Jason Edmund"/>
    <n v="250"/>
    <n v="248"/>
    <n v="8.0000000000000002E-3"/>
    <n v="65"/>
    <n v="16120"/>
  </r>
  <r>
    <s v="I-1603"/>
    <s v="Amsterdam"/>
    <s v="Netherlands"/>
    <s v="EMEA"/>
    <d v="2018-08-15T00:00:00"/>
    <x v="3"/>
    <s v="Allyson Rush"/>
    <n v="50"/>
    <n v="44"/>
    <n v="0.12"/>
    <n v="75"/>
    <n v="3300"/>
  </r>
  <r>
    <s v="I-1604"/>
    <s v="Athens"/>
    <s v="Greece"/>
    <s v="EMEA"/>
    <d v="2015-08-22T00:00:00"/>
    <x v="10"/>
    <s v="Olivia Reynolds"/>
    <n v="250"/>
    <n v="173"/>
    <n v="0.308"/>
    <n v="85"/>
    <n v="14705"/>
  </r>
  <r>
    <s v="I-1605"/>
    <s v="Bangkok"/>
    <s v="Thailand"/>
    <s v="APAC"/>
    <d v="2016-04-30T00:00:00"/>
    <x v="7"/>
    <s v="Olive Foster"/>
    <n v="1000"/>
    <n v="850"/>
    <n v="0.15"/>
    <n v="99"/>
    <n v="84150"/>
  </r>
  <r>
    <s v="I-1606"/>
    <s v="Shanghai"/>
    <s v="China"/>
    <s v="APAC"/>
    <d v="2014-05-15T00:00:00"/>
    <x v="3"/>
    <s v="Jonathan Will"/>
    <n v="50"/>
    <n v="40"/>
    <n v="0.2"/>
    <n v="100"/>
    <n v="4000"/>
  </r>
  <r>
    <s v="I-1607"/>
    <s v="Dubai"/>
    <s v="UAE"/>
    <s v="EMEA"/>
    <d v="2016-01-15T00:00:00"/>
    <x v="10"/>
    <s v="Rachel Clayton"/>
    <n v="250"/>
    <n v="218"/>
    <n v="0.128"/>
    <n v="87"/>
    <n v="18966"/>
  </r>
  <r>
    <s v="I-1608"/>
    <s v="Tokyo"/>
    <s v="Japan"/>
    <s v="APAC"/>
    <d v="2016-08-15T00:00:00"/>
    <x v="0"/>
    <s v="Nicholas Goude"/>
    <n v="80"/>
    <n v="79"/>
    <n v="1.2500000000000001E-2"/>
    <n v="51"/>
    <n v="4029"/>
  </r>
  <r>
    <s v="I-1609"/>
    <s v="New York"/>
    <s v="USA"/>
    <s v="NA"/>
    <d v="2014-04-26T00:00:00"/>
    <x v="11"/>
    <s v="John Bull"/>
    <n v="50"/>
    <n v="40"/>
    <n v="0.2"/>
    <n v="64"/>
    <n v="2560"/>
  </r>
  <r>
    <s v="I-1610"/>
    <s v="Osaka"/>
    <s v="Japan"/>
    <s v="APAC"/>
    <d v="2018-12-04T00:00:00"/>
    <x v="11"/>
    <s v="Jill Thompson"/>
    <n v="50"/>
    <n v="44"/>
    <n v="0.12"/>
    <n v="29"/>
    <n v="1276"/>
  </r>
  <r>
    <s v="I-1611"/>
    <s v="Birmingham"/>
    <s v="UK"/>
    <s v="EMEA"/>
    <d v="2014-10-20T00:00:00"/>
    <x v="1"/>
    <s v="Susan Reay"/>
    <n v="700"/>
    <n v="553"/>
    <n v="0.21"/>
    <n v="71"/>
    <n v="39263"/>
  </r>
  <r>
    <s v="I-1612"/>
    <s v="Riyadh"/>
    <s v="Saudi Arabia"/>
    <s v="EMEA"/>
    <d v="2017-07-07T00:00:00"/>
    <x v="9"/>
    <s v="Heather Murray"/>
    <n v="70"/>
    <n v="66"/>
    <n v="5.7099999999999998E-2"/>
    <n v="83"/>
    <n v="5478"/>
  </r>
  <r>
    <s v="I-1613"/>
    <s v="Birmingham"/>
    <s v="UK"/>
    <s v="EMEA"/>
    <d v="2017-10-07T00:00:00"/>
    <x v="7"/>
    <s v="Robert Stocks"/>
    <n v="1000"/>
    <n v="920"/>
    <n v="0.08"/>
    <n v="15"/>
    <n v="13800"/>
  </r>
  <r>
    <s v="I-1614"/>
    <s v="Lima"/>
    <s v="Peru"/>
    <s v="LATAM"/>
    <d v="2018-09-05T00:00:00"/>
    <x v="3"/>
    <s v="Kevin Goad"/>
    <n v="50"/>
    <n v="50"/>
    <n v="0"/>
    <n v="52"/>
    <n v="2600"/>
  </r>
  <r>
    <s v="I-1615"/>
    <s v="Ho Chi Minh City"/>
    <s v="Vietnam"/>
    <s v="APAC"/>
    <d v="2015-08-28T00:00:00"/>
    <x v="9"/>
    <s v="Terence Jones"/>
    <n v="70"/>
    <n v="53"/>
    <n v="0.2429"/>
    <n v="22"/>
    <n v="1166"/>
  </r>
  <r>
    <s v="I-1616"/>
    <s v="Los Angeles"/>
    <s v="USA"/>
    <s v="NA"/>
    <d v="2014-04-04T00:00:00"/>
    <x v="7"/>
    <s v="Chandrakant Atkins"/>
    <n v="1000"/>
    <n v="780"/>
    <n v="0.22"/>
    <n v="42"/>
    <n v="32760"/>
  </r>
  <r>
    <s v="I-1617"/>
    <s v="Seoul"/>
    <s v="South Korea"/>
    <s v="APAC"/>
    <d v="2015-04-20T00:00:00"/>
    <x v="1"/>
    <s v="James Gahagan"/>
    <n v="700"/>
    <n v="686"/>
    <n v="0.02"/>
    <n v="58"/>
    <n v="39788"/>
  </r>
  <r>
    <s v="I-1618"/>
    <s v="Seattle"/>
    <s v="USA"/>
    <s v="NA"/>
    <d v="2014-10-22T00:00:00"/>
    <x v="2"/>
    <s v="Kate Nash"/>
    <n v="150"/>
    <n v="108"/>
    <n v="0.28000000000000003"/>
    <n v="41"/>
    <n v="4428"/>
  </r>
  <r>
    <s v="I-1619"/>
    <s v="Cairo"/>
    <s v="Egypt"/>
    <s v="EMEA"/>
    <d v="2018-06-16T00:00:00"/>
    <x v="7"/>
    <s v="David Amos"/>
    <n v="1000"/>
    <n v="880"/>
    <n v="0.12"/>
    <n v="98"/>
    <n v="86240"/>
  </r>
  <r>
    <s v="I-1620"/>
    <s v="Seoul"/>
    <s v="South Korea"/>
    <s v="APAC"/>
    <d v="2014-07-13T00:00:00"/>
    <x v="6"/>
    <s v="Roger Scott"/>
    <n v="800"/>
    <n v="560"/>
    <n v="0.3"/>
    <n v="34"/>
    <n v="19040"/>
  </r>
  <r>
    <s v="I-1621"/>
    <s v="Seoul"/>
    <s v="South Korea"/>
    <s v="APAC"/>
    <d v="2016-03-16T00:00:00"/>
    <x v="7"/>
    <s v="Suzanna Davies"/>
    <n v="1000"/>
    <n v="930"/>
    <n v="7.0000000000000007E-2"/>
    <n v="51"/>
    <n v="47430"/>
  </r>
  <r>
    <s v="I-1622"/>
    <s v="Moscow"/>
    <s v="Russia"/>
    <s v="EMEA"/>
    <d v="2017-03-04T00:00:00"/>
    <x v="1"/>
    <s v="May Wilmot"/>
    <n v="700"/>
    <n v="693"/>
    <n v="0.01"/>
    <n v="57"/>
    <n v="39501"/>
  </r>
  <r>
    <s v="I-1623"/>
    <s v="New York"/>
    <s v="USA"/>
    <s v="NA"/>
    <d v="2015-07-10T00:00:00"/>
    <x v="4"/>
    <s v="George Stevenson"/>
    <n v="30"/>
    <n v="26"/>
    <n v="0.1333"/>
    <n v="99"/>
    <n v="2574"/>
  </r>
  <r>
    <s v="I-1624"/>
    <s v="Seattle"/>
    <s v="USA"/>
    <s v="NA"/>
    <d v="2018-07-05T00:00:00"/>
    <x v="4"/>
    <s v="Kate Nash"/>
    <n v="30"/>
    <n v="29"/>
    <n v="3.3300000000000003E-2"/>
    <n v="28"/>
    <n v="812"/>
  </r>
  <r>
    <s v="I-1625"/>
    <s v="Kansas City"/>
    <s v="USA"/>
    <s v="NA"/>
    <d v="2014-02-10T00:00:00"/>
    <x v="4"/>
    <s v="Kirsty Amos"/>
    <n v="30"/>
    <n v="30"/>
    <n v="0"/>
    <n v="39"/>
    <n v="1170"/>
  </r>
  <r>
    <s v="I-1626"/>
    <s v="Madria"/>
    <s v="Spain"/>
    <s v="EMEA"/>
    <d v="2015-08-22T00:00:00"/>
    <x v="2"/>
    <s v="Roy Nunes"/>
    <n v="150"/>
    <n v="143"/>
    <n v="4.6699999999999998E-2"/>
    <n v="22"/>
    <n v="3146"/>
  </r>
  <r>
    <s v="I-1627"/>
    <s v="Buenos Aires"/>
    <s v="Argentina"/>
    <s v="LATAM"/>
    <d v="2015-07-24T00:00:00"/>
    <x v="10"/>
    <s v="Simon Snape"/>
    <n v="250"/>
    <n v="208"/>
    <n v="0.16800000000000001"/>
    <n v="46"/>
    <n v="9568"/>
  </r>
  <r>
    <s v="I-1628"/>
    <s v="Amsterdam"/>
    <s v="Netherlands"/>
    <s v="EMEA"/>
    <d v="2016-10-20T00:00:00"/>
    <x v="5"/>
    <s v="Christopher Hurren"/>
    <n v="500"/>
    <n v="455"/>
    <n v="0.09"/>
    <n v="6"/>
    <n v="2730"/>
  </r>
  <r>
    <s v="I-1629"/>
    <s v="Paris"/>
    <s v="France"/>
    <s v="EMEA"/>
    <d v="2015-09-22T00:00:00"/>
    <x v="10"/>
    <s v="Christopher Griffith"/>
    <n v="250"/>
    <n v="155"/>
    <n v="0.38"/>
    <n v="18"/>
    <n v="2790"/>
  </r>
  <r>
    <s v="I-1630"/>
    <s v="Berlin"/>
    <s v="Germany"/>
    <s v="EMEA"/>
    <d v="2015-09-29T00:00:00"/>
    <x v="4"/>
    <s v="Paul Mannion"/>
    <n v="30"/>
    <n v="27"/>
    <n v="0.1"/>
    <n v="45"/>
    <n v="1215"/>
  </r>
  <r>
    <s v="I-1631"/>
    <s v="Capetown"/>
    <s v="South Africa"/>
    <s v="EMEA"/>
    <d v="2015-02-09T00:00:00"/>
    <x v="5"/>
    <s v="Lucy Downs"/>
    <n v="500"/>
    <n v="485"/>
    <n v="0.03"/>
    <n v="9"/>
    <n v="4365"/>
  </r>
  <r>
    <s v="I-1632"/>
    <s v="Chicago"/>
    <s v="USA"/>
    <s v="NA"/>
    <d v="2014-08-16T00:00:00"/>
    <x v="11"/>
    <s v="Richard Hughes"/>
    <n v="50"/>
    <n v="49"/>
    <n v="0.02"/>
    <n v="21"/>
    <n v="1029"/>
  </r>
  <r>
    <s v="I-1633"/>
    <s v="Ho Chi Minh City"/>
    <s v="Vietnam"/>
    <s v="APAC"/>
    <d v="2017-03-11T00:00:00"/>
    <x v="5"/>
    <s v="Austin Parsons"/>
    <n v="500"/>
    <n v="450"/>
    <n v="0.1"/>
    <n v="10"/>
    <n v="4500"/>
  </r>
  <r>
    <s v="I-1634"/>
    <s v="Ho Chi Minh City"/>
    <s v="Vietnam"/>
    <s v="APAC"/>
    <d v="2016-03-05T00:00:00"/>
    <x v="3"/>
    <s v="Ken Rogerson"/>
    <n v="50"/>
    <n v="49"/>
    <n v="0.02"/>
    <n v="31"/>
    <n v="1519"/>
  </r>
  <r>
    <s v="I-1635"/>
    <s v="New York"/>
    <s v="USA"/>
    <s v="NA"/>
    <d v="2014-02-12T00:00:00"/>
    <x v="2"/>
    <s v="Stephen Cohen"/>
    <n v="150"/>
    <n v="111"/>
    <n v="0.26"/>
    <n v="84"/>
    <n v="9324"/>
  </r>
  <r>
    <s v="I-1636"/>
    <s v="Vienna"/>
    <s v="Austria"/>
    <s v="EMEA"/>
    <d v="2017-05-08T00:00:00"/>
    <x v="4"/>
    <s v="Jesus Timmins"/>
    <n v="30"/>
    <n v="29"/>
    <n v="3.3300000000000003E-2"/>
    <n v="65"/>
    <n v="1885"/>
  </r>
  <r>
    <s v="I-1637"/>
    <s v="Rome"/>
    <s v="Italy"/>
    <s v="EMEA"/>
    <d v="2015-02-17T00:00:00"/>
    <x v="3"/>
    <s v="Steven Bell"/>
    <n v="50"/>
    <n v="35"/>
    <n v="0.3"/>
    <n v="8"/>
    <n v="280"/>
  </r>
  <r>
    <s v="I-1638"/>
    <s v="Warsaw"/>
    <s v="Poland"/>
    <s v="EMEA"/>
    <d v="2017-07-24T00:00:00"/>
    <x v="9"/>
    <s v="Gary Mistry"/>
    <n v="70"/>
    <n v="69"/>
    <n v="1.43E-2"/>
    <n v="24"/>
    <n v="1656"/>
  </r>
  <r>
    <s v="I-1639"/>
    <s v="Lima"/>
    <s v="Peru"/>
    <s v="LATAM"/>
    <d v="2015-10-02T00:00:00"/>
    <x v="10"/>
    <s v="Michael Wood"/>
    <n v="250"/>
    <n v="218"/>
    <n v="0.128"/>
    <n v="3"/>
    <n v="654"/>
  </r>
  <r>
    <s v="I-1640"/>
    <s v="Seoul"/>
    <s v="South Korea"/>
    <s v="APAC"/>
    <d v="2018-10-10T00:00:00"/>
    <x v="1"/>
    <s v="Suzanna Davies"/>
    <n v="700"/>
    <n v="672"/>
    <n v="0.04"/>
    <n v="64"/>
    <n v="43008"/>
  </r>
  <r>
    <s v="I-1641"/>
    <s v="Kuala Lumpur"/>
    <s v="Malaysia"/>
    <s v="APAC"/>
    <d v="2016-11-16T00:00:00"/>
    <x v="7"/>
    <s v="Harold Lunn"/>
    <n v="1000"/>
    <n v="950"/>
    <n v="0.05"/>
    <n v="97"/>
    <n v="92150"/>
  </r>
  <r>
    <s v="I-1642"/>
    <s v="Bucharest"/>
    <s v="Romania"/>
    <s v="EMEA"/>
    <d v="2015-01-18T00:00:00"/>
    <x v="11"/>
    <s v="Kevin Ross"/>
    <n v="50"/>
    <n v="50"/>
    <n v="0"/>
    <n v="17"/>
    <n v="850"/>
  </r>
  <r>
    <s v="I-1643"/>
    <s v="Mexico City"/>
    <s v="Mexico"/>
    <s v="LATAM"/>
    <d v="2015-10-24T00:00:00"/>
    <x v="1"/>
    <s v="James Anthony"/>
    <n v="700"/>
    <n v="651"/>
    <n v="7.0000000000000007E-2"/>
    <n v="77"/>
    <n v="50127"/>
  </r>
  <r>
    <s v="I-1644"/>
    <s v="Istanbul"/>
    <s v="Turkey"/>
    <s v="EMEA"/>
    <d v="2014-12-16T00:00:00"/>
    <x v="5"/>
    <s v="Anthony Rothery"/>
    <n v="500"/>
    <n v="465"/>
    <n v="7.0000000000000007E-2"/>
    <n v="46"/>
    <n v="21390"/>
  </r>
  <r>
    <s v="I-1645"/>
    <s v="Seoul"/>
    <s v="South Korea"/>
    <s v="APAC"/>
    <d v="2017-01-05T00:00:00"/>
    <x v="11"/>
    <s v="Iftikhar Haywood"/>
    <n v="50"/>
    <n v="48"/>
    <n v="0.04"/>
    <n v="2"/>
    <n v="96"/>
  </r>
  <r>
    <s v="I-1646"/>
    <s v="Kansas City"/>
    <s v="USA"/>
    <s v="NA"/>
    <d v="2015-12-14T00:00:00"/>
    <x v="2"/>
    <s v="Nick Gee"/>
    <n v="150"/>
    <n v="144"/>
    <n v="0.04"/>
    <n v="85"/>
    <n v="12240"/>
  </r>
  <r>
    <s v="I-1647"/>
    <s v="Jerusalem"/>
    <s v="Israel"/>
    <s v="EMEA"/>
    <d v="2017-07-13T00:00:00"/>
    <x v="3"/>
    <s v="Harold Charters"/>
    <n v="50"/>
    <n v="46"/>
    <n v="0.08"/>
    <n v="69"/>
    <n v="3174"/>
  </r>
  <r>
    <s v="I-1648"/>
    <s v="Paris"/>
    <s v="France"/>
    <s v="EMEA"/>
    <d v="2015-08-07T00:00:00"/>
    <x v="0"/>
    <s v="Caroline Eccles"/>
    <n v="80"/>
    <n v="70"/>
    <n v="0.125"/>
    <n v="29"/>
    <n v="2030"/>
  </r>
  <r>
    <s v="I-1649"/>
    <s v="New York"/>
    <s v="USA"/>
    <s v="NA"/>
    <d v="2018-10-26T00:00:00"/>
    <x v="6"/>
    <s v="Stephen Cohen"/>
    <n v="800"/>
    <n v="776"/>
    <n v="0.03"/>
    <n v="19"/>
    <n v="14744"/>
  </r>
  <r>
    <s v="I-1650"/>
    <s v="Bogota"/>
    <s v="Colombia"/>
    <s v="LATAM"/>
    <d v="2016-08-28T00:00:00"/>
    <x v="11"/>
    <s v="Shelley Mannix"/>
    <n v="50"/>
    <n v="47"/>
    <n v="0.06"/>
    <n v="84"/>
    <n v="3948"/>
  </r>
  <r>
    <s v="I-1651"/>
    <s v="Delhi"/>
    <s v="India"/>
    <s v="APAC"/>
    <d v="2014-10-06T00:00:00"/>
    <x v="11"/>
    <s v="Francis Hughes"/>
    <n v="50"/>
    <n v="50"/>
    <n v="0"/>
    <n v="28"/>
    <n v="1400"/>
  </r>
  <r>
    <s v="I-1652"/>
    <s v="Riyadh"/>
    <s v="Saudi Arabia"/>
    <s v="EMEA"/>
    <d v="2014-11-20T00:00:00"/>
    <x v="11"/>
    <s v="Kelly Owen"/>
    <n v="50"/>
    <n v="48"/>
    <n v="0.04"/>
    <n v="85"/>
    <n v="4080"/>
  </r>
  <r>
    <s v="I-1653"/>
    <s v="Sydney"/>
    <s v="Australia"/>
    <s v="APAC"/>
    <d v="2014-04-05T00:00:00"/>
    <x v="3"/>
    <s v="James White"/>
    <n v="50"/>
    <n v="39"/>
    <n v="0.22"/>
    <n v="27"/>
    <n v="1053"/>
  </r>
  <r>
    <s v="I-1654"/>
    <s v="Ho Chi Minh City"/>
    <s v="Vietnam"/>
    <s v="APAC"/>
    <d v="2018-02-04T00:00:00"/>
    <x v="8"/>
    <s v="Michael Bell"/>
    <n v="500"/>
    <n v="500"/>
    <n v="0"/>
    <n v="64"/>
    <n v="32000"/>
  </r>
  <r>
    <s v="I-1655"/>
    <s v="Kansas City"/>
    <s v="USA"/>
    <s v="NA"/>
    <d v="2017-04-06T00:00:00"/>
    <x v="9"/>
    <s v="David Rodrigues"/>
    <n v="70"/>
    <n v="64"/>
    <n v="8.5699999999999998E-2"/>
    <n v="29"/>
    <n v="1856"/>
  </r>
  <r>
    <s v="I-1656"/>
    <s v="Berlin"/>
    <s v="Germany"/>
    <s v="EMEA"/>
    <d v="2018-08-31T00:00:00"/>
    <x v="8"/>
    <s v="Paul Sherwin"/>
    <n v="500"/>
    <n v="495"/>
    <n v="0.01"/>
    <n v="69"/>
    <n v="34155"/>
  </r>
  <r>
    <s v="I-1657"/>
    <s v="Tijuana"/>
    <s v="Mexico"/>
    <s v="LATAM"/>
    <d v="2016-09-04T00:00:00"/>
    <x v="0"/>
    <s v="Richard Foy"/>
    <n v="80"/>
    <n v="70"/>
    <n v="0.125"/>
    <n v="34"/>
    <n v="2380"/>
  </r>
  <r>
    <s v="I-1658"/>
    <s v="Istanbul"/>
    <s v="Turkey"/>
    <s v="EMEA"/>
    <d v="2014-02-12T00:00:00"/>
    <x v="4"/>
    <s v="George Sherwin"/>
    <n v="30"/>
    <n v="29"/>
    <n v="3.3300000000000003E-2"/>
    <n v="21"/>
    <n v="609"/>
  </r>
  <r>
    <s v="I-1659"/>
    <s v="Santiago"/>
    <s v="Chile"/>
    <s v="LATAM"/>
    <d v="2017-09-07T00:00:00"/>
    <x v="6"/>
    <s v="Julia Hammond"/>
    <n v="800"/>
    <n v="680"/>
    <n v="0.15"/>
    <n v="71"/>
    <n v="48280"/>
  </r>
  <r>
    <s v="I-1660"/>
    <s v="Tokyo"/>
    <s v="Japan"/>
    <s v="APAC"/>
    <d v="2016-08-04T00:00:00"/>
    <x v="3"/>
    <s v="Ken Mishra"/>
    <n v="50"/>
    <n v="49"/>
    <n v="0.02"/>
    <n v="18"/>
    <n v="882"/>
  </r>
  <r>
    <s v="I-1661"/>
    <s v="Chicago"/>
    <s v="USA"/>
    <s v="NA"/>
    <d v="2018-01-11T00:00:00"/>
    <x v="8"/>
    <s v="Amelia Scott"/>
    <n v="500"/>
    <n v="495"/>
    <n v="0.01"/>
    <n v="56"/>
    <n v="27720"/>
  </r>
  <r>
    <s v="I-1662"/>
    <s v="Sydney"/>
    <s v="Australia"/>
    <s v="APAC"/>
    <d v="2016-10-13T00:00:00"/>
    <x v="7"/>
    <s v="Stephen Neville"/>
    <n v="1000"/>
    <n v="510"/>
    <n v="0.49"/>
    <n v="24"/>
    <n v="12240"/>
  </r>
  <r>
    <s v="I-1663"/>
    <s v="Tijuana"/>
    <s v="Mexico"/>
    <s v="LATAM"/>
    <d v="2014-09-20T00:00:00"/>
    <x v="8"/>
    <s v="Kevin McLauchlin"/>
    <n v="500"/>
    <n v="495"/>
    <n v="0.01"/>
    <n v="71"/>
    <n v="35145"/>
  </r>
  <r>
    <s v="I-1664"/>
    <s v="Buenos Aires"/>
    <s v="Argentina"/>
    <s v="LATAM"/>
    <d v="2014-10-22T00:00:00"/>
    <x v="4"/>
    <s v="Simon Snape"/>
    <n v="30"/>
    <n v="26"/>
    <n v="0.1333"/>
    <n v="86"/>
    <n v="2236"/>
  </r>
  <r>
    <s v="I-1665"/>
    <s v="Tokyo"/>
    <s v="Japan"/>
    <s v="APAC"/>
    <d v="2015-11-05T00:00:00"/>
    <x v="6"/>
    <s v="Alexander Uddin"/>
    <n v="800"/>
    <n v="656"/>
    <n v="0.18"/>
    <n v="37"/>
    <n v="24272"/>
  </r>
  <r>
    <s v="I-1666"/>
    <s v="Birmingham"/>
    <s v="UK"/>
    <s v="EMEA"/>
    <d v="2014-01-09T00:00:00"/>
    <x v="2"/>
    <s v="Stephen Muhammad"/>
    <n v="150"/>
    <n v="141"/>
    <n v="0.06"/>
    <n v="84"/>
    <n v="11844"/>
  </r>
  <r>
    <s v="I-1667"/>
    <s v="Toronto"/>
    <s v="Canada"/>
    <s v="NA"/>
    <d v="2018-02-22T00:00:00"/>
    <x v="0"/>
    <s v="Michael Patel"/>
    <n v="80"/>
    <n v="80"/>
    <n v="0"/>
    <n v="9"/>
    <n v="720"/>
  </r>
  <r>
    <s v="I-1668"/>
    <s v="Dubai"/>
    <s v="UAE"/>
    <s v="EMEA"/>
    <d v="2017-10-14T00:00:00"/>
    <x v="6"/>
    <s v="Nicholas Timbrell"/>
    <n v="800"/>
    <n v="784"/>
    <n v="0.02"/>
    <n v="52"/>
    <n v="40768"/>
  </r>
  <r>
    <s v="I-1669"/>
    <s v="Bangkok"/>
    <s v="Thailand"/>
    <s v="APAC"/>
    <d v="2018-11-16T00:00:00"/>
    <x v="6"/>
    <s v="Olive Foster"/>
    <n v="800"/>
    <n v="776"/>
    <n v="0.03"/>
    <n v="12"/>
    <n v="9312"/>
  </r>
  <r>
    <s v="I-1670"/>
    <s v="Berlin"/>
    <s v="Germany"/>
    <s v="EMEA"/>
    <d v="2016-04-22T00:00:00"/>
    <x v="9"/>
    <s v="John Gunter"/>
    <n v="70"/>
    <n v="69"/>
    <n v="1.43E-2"/>
    <n v="63"/>
    <n v="4347"/>
  </r>
  <r>
    <s v="I-1671"/>
    <s v="Santiago"/>
    <s v="Chile"/>
    <s v="LATAM"/>
    <d v="2015-02-18T00:00:00"/>
    <x v="6"/>
    <s v="Bruce McPhee"/>
    <n v="800"/>
    <n v="632"/>
    <n v="0.21"/>
    <n v="29"/>
    <n v="18328"/>
  </r>
  <r>
    <s v="I-1672"/>
    <s v="Sydney"/>
    <s v="Australia"/>
    <s v="APAC"/>
    <d v="2015-11-10T00:00:00"/>
    <x v="8"/>
    <s v="Robert Faulkner"/>
    <n v="500"/>
    <n v="500"/>
    <n v="0"/>
    <n v="87"/>
    <n v="43500"/>
  </r>
  <r>
    <s v="I-1673"/>
    <s v="Toronto"/>
    <s v="Canada"/>
    <s v="NA"/>
    <d v="2015-08-11T00:00:00"/>
    <x v="8"/>
    <s v="Nick Blacklock"/>
    <n v="500"/>
    <n v="490"/>
    <n v="0.02"/>
    <n v="63"/>
    <n v="30870"/>
  </r>
  <r>
    <s v="I-1674"/>
    <s v="Lima"/>
    <s v="Peru"/>
    <s v="LATAM"/>
    <d v="2017-08-18T00:00:00"/>
    <x v="9"/>
    <s v="Rachel Howard"/>
    <n v="70"/>
    <n v="64"/>
    <n v="8.5699999999999998E-2"/>
    <n v="25"/>
    <n v="1600"/>
  </r>
  <r>
    <s v="I-1675"/>
    <s v="Bucharest"/>
    <s v="Romania"/>
    <s v="EMEA"/>
    <d v="2014-03-23T00:00:00"/>
    <x v="11"/>
    <s v="Kevin Ross"/>
    <n v="50"/>
    <n v="50"/>
    <n v="0"/>
    <n v="77"/>
    <n v="3850"/>
  </r>
  <r>
    <s v="I-1676"/>
    <s v="Bucharest"/>
    <s v="Romania"/>
    <s v="EMEA"/>
    <d v="2016-11-29T00:00:00"/>
    <x v="3"/>
    <s v="Constance Tidey"/>
    <n v="50"/>
    <n v="48"/>
    <n v="0.04"/>
    <n v="88"/>
    <n v="4224"/>
  </r>
  <r>
    <s v="I-1677"/>
    <s v="Dublin"/>
    <s v="Ireland"/>
    <s v="EMEA"/>
    <d v="2018-08-17T00:00:00"/>
    <x v="5"/>
    <s v="John Curtis"/>
    <n v="500"/>
    <n v="495"/>
    <n v="0.01"/>
    <n v="84"/>
    <n v="41580"/>
  </r>
  <r>
    <s v="I-1678"/>
    <s v="Madria"/>
    <s v="Spain"/>
    <s v="EMEA"/>
    <d v="2016-03-06T00:00:00"/>
    <x v="6"/>
    <s v="Catherine Gagg"/>
    <n v="800"/>
    <n v="760"/>
    <n v="0.05"/>
    <n v="14"/>
    <n v="10640"/>
  </r>
  <r>
    <s v="I-1679"/>
    <s v="Los Angeles"/>
    <s v="USA"/>
    <s v="NA"/>
    <d v="2017-02-04T00:00:00"/>
    <x v="9"/>
    <s v="Anthony Procter"/>
    <n v="70"/>
    <n v="65"/>
    <n v="7.1400000000000005E-2"/>
    <n v="27"/>
    <n v="1755"/>
  </r>
  <r>
    <s v="I-1680"/>
    <s v="Osaka"/>
    <s v="Japan"/>
    <s v="APAC"/>
    <d v="2014-11-27T00:00:00"/>
    <x v="9"/>
    <s v="Colin Patel"/>
    <n v="70"/>
    <n v="67"/>
    <n v="4.2900000000000001E-2"/>
    <n v="7"/>
    <n v="469"/>
  </r>
  <r>
    <s v="I-1681"/>
    <s v="San Fransisco"/>
    <s v="USA"/>
    <s v="NA"/>
    <d v="2016-04-29T00:00:00"/>
    <x v="8"/>
    <s v="Robert Tattersall"/>
    <n v="500"/>
    <n v="490"/>
    <n v="0.02"/>
    <n v="82"/>
    <n v="40180"/>
  </r>
  <r>
    <s v="I-1682"/>
    <s v="Moscow"/>
    <s v="Russia"/>
    <s v="EMEA"/>
    <d v="2017-05-08T00:00:00"/>
    <x v="2"/>
    <s v="Diane Batty"/>
    <n v="150"/>
    <n v="147"/>
    <n v="0.02"/>
    <n v="10"/>
    <n v="1470"/>
  </r>
  <r>
    <s v="I-1683"/>
    <s v="Dubai"/>
    <s v="UAE"/>
    <s v="EMEA"/>
    <d v="2017-12-17T00:00:00"/>
    <x v="8"/>
    <s v="Brenda Lightfoot"/>
    <n v="500"/>
    <n v="500"/>
    <n v="0"/>
    <n v="56"/>
    <n v="28000"/>
  </r>
  <r>
    <s v="I-1684"/>
    <s v="New York"/>
    <s v="USA"/>
    <s v="NA"/>
    <d v="2018-11-10T00:00:00"/>
    <x v="4"/>
    <s v="Stephen Cohen"/>
    <n v="30"/>
    <n v="28"/>
    <n v="6.6699999999999995E-2"/>
    <n v="98"/>
    <n v="2744"/>
  </r>
  <r>
    <s v="I-1685"/>
    <s v="Tokyo"/>
    <s v="Japan"/>
    <s v="APAC"/>
    <d v="2015-07-23T00:00:00"/>
    <x v="6"/>
    <s v="Ken Mishra"/>
    <n v="800"/>
    <n v="600"/>
    <n v="0.25"/>
    <n v="27"/>
    <n v="16200"/>
  </r>
  <r>
    <s v="I-1686"/>
    <s v="Seoul"/>
    <s v="South Korea"/>
    <s v="APAC"/>
    <d v="2018-09-06T00:00:00"/>
    <x v="6"/>
    <s v="James Gahagan"/>
    <n v="800"/>
    <n v="552"/>
    <n v="0.31"/>
    <n v="97"/>
    <n v="53544"/>
  </r>
  <r>
    <s v="I-1687"/>
    <s v="Jerusalem"/>
    <s v="Israel"/>
    <s v="EMEA"/>
    <d v="2017-02-03T00:00:00"/>
    <x v="11"/>
    <s v="Abu Moore"/>
    <n v="50"/>
    <n v="46"/>
    <n v="0.08"/>
    <n v="12"/>
    <n v="552"/>
  </r>
  <r>
    <s v="I-1688"/>
    <s v="Bucharest"/>
    <s v="Romania"/>
    <s v="EMEA"/>
    <d v="2015-11-29T00:00:00"/>
    <x v="4"/>
    <s v="Geoffrey Shiner"/>
    <n v="30"/>
    <n v="29"/>
    <n v="3.3300000000000003E-2"/>
    <n v="19"/>
    <n v="551"/>
  </r>
  <r>
    <s v="I-1689"/>
    <s v="Dubai"/>
    <s v="UAE"/>
    <s v="EMEA"/>
    <d v="2015-02-12T00:00:00"/>
    <x v="6"/>
    <s v="Frank Murray"/>
    <n v="800"/>
    <n v="680"/>
    <n v="0.15"/>
    <n v="29"/>
    <n v="19720"/>
  </r>
  <r>
    <s v="I-1690"/>
    <s v="Shenzhen"/>
    <s v="China"/>
    <s v="APAC"/>
    <d v="2014-08-25T00:00:00"/>
    <x v="8"/>
    <s v="Joanne Ripley"/>
    <n v="500"/>
    <n v="495"/>
    <n v="0.01"/>
    <n v="29"/>
    <n v="14355"/>
  </r>
  <r>
    <s v="I-1691"/>
    <s v="Guangzhou"/>
    <s v="China"/>
    <s v="APAC"/>
    <d v="2015-07-07T00:00:00"/>
    <x v="10"/>
    <s v="Wolfgang Carvalho"/>
    <n v="250"/>
    <n v="205"/>
    <n v="0.18"/>
    <n v="22"/>
    <n v="4510"/>
  </r>
  <r>
    <s v="I-1692"/>
    <s v="Capetown"/>
    <s v="South Africa"/>
    <s v="EMEA"/>
    <d v="2016-08-29T00:00:00"/>
    <x v="3"/>
    <s v="Noel Bull"/>
    <n v="50"/>
    <n v="48"/>
    <n v="0.04"/>
    <n v="63"/>
    <n v="3024"/>
  </r>
  <r>
    <s v="I-1693"/>
    <s v="Dublin"/>
    <s v="Ireland"/>
    <s v="EMEA"/>
    <d v="2016-09-02T00:00:00"/>
    <x v="0"/>
    <s v="Robert Harris"/>
    <n v="80"/>
    <n v="78"/>
    <n v="2.5000000000000001E-2"/>
    <n v="83"/>
    <n v="6474"/>
  </r>
  <r>
    <s v="I-1694"/>
    <s v="Riyadh"/>
    <s v="Saudi Arabia"/>
    <s v="EMEA"/>
    <d v="2017-05-29T00:00:00"/>
    <x v="6"/>
    <s v="Daniel Battersby"/>
    <n v="800"/>
    <n v="552"/>
    <n v="0.31"/>
    <n v="36"/>
    <n v="19872"/>
  </r>
  <r>
    <s v="I-1695"/>
    <s v="Vienna"/>
    <s v="Austria"/>
    <s v="EMEA"/>
    <d v="2014-07-12T00:00:00"/>
    <x v="8"/>
    <s v="Peter Thompson"/>
    <n v="500"/>
    <n v="495"/>
    <n v="0.01"/>
    <n v="36"/>
    <n v="17820"/>
  </r>
  <r>
    <s v="I-1696"/>
    <s v="Kansas City"/>
    <s v="USA"/>
    <s v="NA"/>
    <d v="2016-03-06T00:00:00"/>
    <x v="7"/>
    <s v="Robert Arnold"/>
    <n v="1000"/>
    <n v="1000"/>
    <n v="0"/>
    <n v="56"/>
    <n v="56000"/>
  </r>
  <r>
    <s v="I-1697"/>
    <s v="Lima"/>
    <s v="Peru"/>
    <s v="LATAM"/>
    <d v="2016-01-28T00:00:00"/>
    <x v="3"/>
    <s v="Lloyd Norton"/>
    <n v="50"/>
    <n v="43"/>
    <n v="0.14000000000000001"/>
    <n v="43"/>
    <n v="1849"/>
  </r>
  <r>
    <s v="I-1698"/>
    <s v="Shanghai"/>
    <s v="China"/>
    <s v="APAC"/>
    <d v="2018-02-03T00:00:00"/>
    <x v="10"/>
    <s v="Glenys Raymond"/>
    <n v="250"/>
    <n v="250"/>
    <n v="0"/>
    <n v="81"/>
    <n v="20250"/>
  </r>
  <r>
    <s v="I-1699"/>
    <s v="Cairo"/>
    <s v="Egypt"/>
    <s v="EMEA"/>
    <d v="2015-08-26T00:00:00"/>
    <x v="4"/>
    <s v="Marek Kwiatkowski"/>
    <n v="30"/>
    <n v="23"/>
    <n v="0.23330000000000001"/>
    <n v="52"/>
    <n v="1196"/>
  </r>
  <r>
    <s v="I-1700"/>
    <s v="Bangkok"/>
    <s v="Thailand"/>
    <s v="APAC"/>
    <d v="2015-01-05T00:00:00"/>
    <x v="8"/>
    <s v="John Jenkins"/>
    <n v="500"/>
    <n v="490"/>
    <n v="0.02"/>
    <n v="73"/>
    <n v="35770"/>
  </r>
  <r>
    <s v="I-1701"/>
    <s v="Sao Paolo"/>
    <s v="Brazil"/>
    <s v="LATAM"/>
    <d v="2014-06-11T00:00:00"/>
    <x v="5"/>
    <s v="Cheryl Tubbs"/>
    <n v="500"/>
    <n v="425"/>
    <n v="0.15"/>
    <n v="63"/>
    <n v="26775"/>
  </r>
  <r>
    <s v="I-1702"/>
    <s v="Dubai"/>
    <s v="UAE"/>
    <s v="EMEA"/>
    <d v="2018-05-06T00:00:00"/>
    <x v="10"/>
    <s v="Rachel Clayton"/>
    <n v="250"/>
    <n v="223"/>
    <n v="0.108"/>
    <n v="27"/>
    <n v="6021"/>
  </r>
  <r>
    <s v="I-1703"/>
    <s v="Los Angeles"/>
    <s v="USA"/>
    <s v="NA"/>
    <d v="2017-10-27T00:00:00"/>
    <x v="1"/>
    <s v="Heather Beck"/>
    <n v="700"/>
    <n v="693"/>
    <n v="0.01"/>
    <n v="80"/>
    <n v="55440"/>
  </r>
  <r>
    <s v="I-1704"/>
    <s v="Seattle"/>
    <s v="USA"/>
    <s v="NA"/>
    <d v="2017-07-13T00:00:00"/>
    <x v="2"/>
    <s v="Lesleyann Pope"/>
    <n v="150"/>
    <n v="147"/>
    <n v="0.02"/>
    <n v="83"/>
    <n v="12201"/>
  </r>
  <r>
    <s v="I-1705"/>
    <s v="Shanghai"/>
    <s v="China"/>
    <s v="APAC"/>
    <d v="2018-10-03T00:00:00"/>
    <x v="4"/>
    <s v="Glenys Raymond"/>
    <n v="30"/>
    <n v="26"/>
    <n v="0.1333"/>
    <n v="67"/>
    <n v="1742"/>
  </r>
  <r>
    <s v="I-1706"/>
    <s v="Vienna"/>
    <s v="Austria"/>
    <s v="EMEA"/>
    <d v="2016-08-20T00:00:00"/>
    <x v="4"/>
    <s v="Raymond Denning"/>
    <n v="30"/>
    <n v="29"/>
    <n v="3.3300000000000003E-2"/>
    <n v="22"/>
    <n v="638"/>
  </r>
  <r>
    <s v="I-1707"/>
    <s v="Guangzhou"/>
    <s v="China"/>
    <s v="APAC"/>
    <d v="2014-10-05T00:00:00"/>
    <x v="2"/>
    <s v="Mark Searle"/>
    <n v="150"/>
    <n v="105"/>
    <n v="0.3"/>
    <n v="20"/>
    <n v="2100"/>
  </r>
  <r>
    <s v="I-1708"/>
    <s v="Toronto"/>
    <s v="Canada"/>
    <s v="NA"/>
    <d v="2018-02-19T00:00:00"/>
    <x v="11"/>
    <s v="Michael Patel"/>
    <n v="50"/>
    <n v="50"/>
    <n v="0"/>
    <n v="92"/>
    <n v="4600"/>
  </r>
  <r>
    <s v="I-1709"/>
    <s v="Bucharest"/>
    <s v="Romania"/>
    <s v="EMEA"/>
    <d v="2014-10-21T00:00:00"/>
    <x v="6"/>
    <s v="Nicola Hewitt"/>
    <n v="800"/>
    <n v="480"/>
    <n v="0.4"/>
    <n v="50"/>
    <n v="24000"/>
  </r>
  <r>
    <s v="I-1710"/>
    <s v="Buenos Aires"/>
    <s v="Argentina"/>
    <s v="LATAM"/>
    <d v="2016-04-07T00:00:00"/>
    <x v="8"/>
    <s v="Simon Snape"/>
    <n v="500"/>
    <n v="500"/>
    <n v="0"/>
    <n v="33"/>
    <n v="16500"/>
  </r>
  <r>
    <s v="I-1711"/>
    <s v="Toronto"/>
    <s v="Canada"/>
    <s v="NA"/>
    <d v="2014-04-21T00:00:00"/>
    <x v="3"/>
    <s v="Nick Blacklock"/>
    <n v="50"/>
    <n v="40"/>
    <n v="0.2"/>
    <n v="40"/>
    <n v="1600"/>
  </r>
  <r>
    <s v="I-1712"/>
    <s v="Seattle"/>
    <s v="USA"/>
    <s v="NA"/>
    <d v="2017-07-23T00:00:00"/>
    <x v="7"/>
    <s v="Susan Toye"/>
    <n v="1000"/>
    <n v="620"/>
    <n v="0.38"/>
    <n v="36"/>
    <n v="22320"/>
  </r>
  <r>
    <s v="I-1713"/>
    <s v="Moscow"/>
    <s v="Russia"/>
    <s v="EMEA"/>
    <d v="2014-04-04T00:00:00"/>
    <x v="3"/>
    <s v="Rita Hill"/>
    <n v="50"/>
    <n v="50"/>
    <n v="0"/>
    <n v="73"/>
    <n v="3650"/>
  </r>
  <r>
    <s v="I-1714"/>
    <s v="Delhi"/>
    <s v="India"/>
    <s v="APAC"/>
    <d v="2015-08-29T00:00:00"/>
    <x v="2"/>
    <s v="Roy Johnson"/>
    <n v="150"/>
    <n v="98"/>
    <n v="0.34670000000000001"/>
    <n v="51"/>
    <n v="4998"/>
  </r>
  <r>
    <s v="I-1715"/>
    <s v="Madria"/>
    <s v="Spain"/>
    <s v="EMEA"/>
    <d v="2017-07-26T00:00:00"/>
    <x v="1"/>
    <s v="Paul Long"/>
    <n v="700"/>
    <n v="700"/>
    <n v="0"/>
    <n v="19"/>
    <n v="13300"/>
  </r>
  <r>
    <s v="I-1716"/>
    <s v="Ho Chi Minh City"/>
    <s v="Vietnam"/>
    <s v="APAC"/>
    <d v="2014-04-29T00:00:00"/>
    <x v="3"/>
    <s v="Irene Skiba"/>
    <n v="50"/>
    <n v="37"/>
    <n v="0.26"/>
    <n v="44"/>
    <n v="1628"/>
  </r>
  <r>
    <s v="I-1717"/>
    <s v="Bangkok"/>
    <s v="Thailand"/>
    <s v="APAC"/>
    <d v="2017-07-10T00:00:00"/>
    <x v="4"/>
    <s v="John Jenkins"/>
    <n v="30"/>
    <n v="29"/>
    <n v="3.3300000000000003E-2"/>
    <n v="19"/>
    <n v="551"/>
  </r>
  <r>
    <s v="I-1718"/>
    <s v="Moscow"/>
    <s v="Russia"/>
    <s v="EMEA"/>
    <d v="2015-10-20T00:00:00"/>
    <x v="1"/>
    <s v="Zulfiqar Mirza"/>
    <n v="700"/>
    <n v="679"/>
    <n v="0.03"/>
    <n v="1"/>
    <n v="679"/>
  </r>
  <r>
    <s v="I-1719"/>
    <s v="Tijuana"/>
    <s v="Mexico"/>
    <s v="LATAM"/>
    <d v="2015-09-06T00:00:00"/>
    <x v="8"/>
    <s v="Kevin McLauchlin"/>
    <n v="500"/>
    <n v="495"/>
    <n v="0.01"/>
    <n v="36"/>
    <n v="17820"/>
  </r>
  <r>
    <s v="I-1720"/>
    <s v="Toronto"/>
    <s v="Canada"/>
    <s v="NA"/>
    <d v="2014-07-23T00:00:00"/>
    <x v="11"/>
    <s v="David Shiner"/>
    <n v="50"/>
    <n v="36"/>
    <n v="0.28000000000000003"/>
    <n v="42"/>
    <n v="1512"/>
  </r>
  <r>
    <s v="I-1721"/>
    <s v="Dubai"/>
    <s v="UAE"/>
    <s v="EMEA"/>
    <d v="2015-01-08T00:00:00"/>
    <x v="3"/>
    <s v="Frank Murray"/>
    <n v="50"/>
    <n v="48"/>
    <n v="0.04"/>
    <n v="64"/>
    <n v="3072"/>
  </r>
  <r>
    <s v="I-1722"/>
    <s v="London"/>
    <s v="UK"/>
    <s v="EMEA"/>
    <d v="2017-12-30T00:00:00"/>
    <x v="5"/>
    <s v="Nicola Williams"/>
    <n v="500"/>
    <n v="475"/>
    <n v="0.05"/>
    <n v="24"/>
    <n v="11400"/>
  </r>
  <r>
    <s v="I-1723"/>
    <s v="Vienna"/>
    <s v="Austria"/>
    <s v="EMEA"/>
    <d v="2016-03-27T00:00:00"/>
    <x v="3"/>
    <s v="Marie Hewitt"/>
    <n v="50"/>
    <n v="43"/>
    <n v="0.14000000000000001"/>
    <n v="78"/>
    <n v="3354"/>
  </r>
  <r>
    <s v="I-1724"/>
    <s v="Buenos Aires"/>
    <s v="Argentina"/>
    <s v="LATAM"/>
    <d v="2018-02-26T00:00:00"/>
    <x v="10"/>
    <s v="Ronald Rowlands"/>
    <n v="250"/>
    <n v="235"/>
    <n v="0.06"/>
    <n v="1"/>
    <n v="235"/>
  </r>
  <r>
    <s v="I-1725"/>
    <s v="Paris"/>
    <s v="France"/>
    <s v="EMEA"/>
    <d v="2018-04-08T00:00:00"/>
    <x v="11"/>
    <s v="Melanie Fletcher"/>
    <n v="50"/>
    <n v="43"/>
    <n v="0.14000000000000001"/>
    <n v="53"/>
    <n v="2279"/>
  </r>
  <r>
    <s v="I-1726"/>
    <s v="Mexico City"/>
    <s v="Mexico"/>
    <s v="LATAM"/>
    <d v="2015-10-26T00:00:00"/>
    <x v="4"/>
    <s v="Denise Rodgers"/>
    <n v="30"/>
    <n v="26"/>
    <n v="0.1333"/>
    <n v="74"/>
    <n v="1924"/>
  </r>
  <r>
    <s v="I-1727"/>
    <s v="Tijuana"/>
    <s v="Mexico"/>
    <s v="LATAM"/>
    <d v="2015-09-24T00:00:00"/>
    <x v="9"/>
    <s v="Stephen Carlin"/>
    <n v="70"/>
    <n v="53"/>
    <n v="0.2429"/>
    <n v="83"/>
    <n v="4399"/>
  </r>
  <r>
    <s v="I-1728"/>
    <s v="Osaka"/>
    <s v="Japan"/>
    <s v="APAC"/>
    <d v="2017-07-17T00:00:00"/>
    <x v="2"/>
    <s v="Peter Walker"/>
    <n v="150"/>
    <n v="149"/>
    <n v="6.7000000000000002E-3"/>
    <n v="39"/>
    <n v="5811"/>
  </r>
  <r>
    <s v="I-1729"/>
    <s v="Rome"/>
    <s v="Italy"/>
    <s v="EMEA"/>
    <d v="2018-05-18T00:00:00"/>
    <x v="10"/>
    <s v="Michael Toy"/>
    <n v="250"/>
    <n v="228"/>
    <n v="8.7999999999999995E-2"/>
    <n v="18"/>
    <n v="4104"/>
  </r>
  <r>
    <s v="I-1730"/>
    <s v="Paris"/>
    <s v="France"/>
    <s v="EMEA"/>
    <d v="2016-05-16T00:00:00"/>
    <x v="9"/>
    <s v="Philip Tubbs"/>
    <n v="70"/>
    <n v="64"/>
    <n v="8.5699999999999998E-2"/>
    <n v="52"/>
    <n v="3328"/>
  </r>
  <r>
    <s v="I-1731"/>
    <s v="Istanbul"/>
    <s v="Turkey"/>
    <s v="EMEA"/>
    <d v="2016-07-06T00:00:00"/>
    <x v="4"/>
    <s v="Ian McCartan"/>
    <n v="30"/>
    <n v="27"/>
    <n v="0.1"/>
    <n v="53"/>
    <n v="1431"/>
  </r>
  <r>
    <s v="I-1732"/>
    <s v="Jerusalem"/>
    <s v="Israel"/>
    <s v="EMEA"/>
    <d v="2016-11-28T00:00:00"/>
    <x v="6"/>
    <s v="Emma Westbrook"/>
    <n v="800"/>
    <n v="648"/>
    <n v="0.19"/>
    <n v="99"/>
    <n v="64152"/>
  </r>
  <r>
    <s v="I-1733"/>
    <s v="Los Angeles"/>
    <s v="USA"/>
    <s v="NA"/>
    <d v="2015-05-10T00:00:00"/>
    <x v="4"/>
    <s v="Paul Hirst"/>
    <n v="30"/>
    <n v="30"/>
    <n v="0"/>
    <n v="7"/>
    <n v="210"/>
  </r>
  <r>
    <s v="I-1734"/>
    <s v="Birmingham"/>
    <s v="UK"/>
    <s v="EMEA"/>
    <d v="2014-04-16T00:00:00"/>
    <x v="6"/>
    <s v="Susan Goude"/>
    <n v="800"/>
    <n v="488"/>
    <n v="0.39"/>
    <n v="22"/>
    <n v="10736"/>
  </r>
  <r>
    <s v="I-1735"/>
    <s v="Tel Aviv"/>
    <s v="Israel"/>
    <s v="EMEA"/>
    <d v="2014-05-07T00:00:00"/>
    <x v="1"/>
    <s v="Steven Green"/>
    <n v="700"/>
    <n v="546"/>
    <n v="0.22"/>
    <n v="83"/>
    <n v="45318"/>
  </r>
  <r>
    <s v="I-1736"/>
    <s v="Chicago"/>
    <s v="USA"/>
    <s v="NA"/>
    <d v="2016-09-09T00:00:00"/>
    <x v="10"/>
    <s v="Marie Foster"/>
    <n v="250"/>
    <n v="248"/>
    <n v="8.0000000000000002E-3"/>
    <n v="87"/>
    <n v="21576"/>
  </r>
  <r>
    <s v="I-1737"/>
    <s v="Prague"/>
    <s v="Czech Republic"/>
    <s v="EMEA"/>
    <d v="2016-08-10T00:00:00"/>
    <x v="10"/>
    <s v="Rachel Blane"/>
    <n v="250"/>
    <n v="243"/>
    <n v="2.8000000000000001E-2"/>
    <n v="1"/>
    <n v="243"/>
  </r>
  <r>
    <s v="I-1738"/>
    <s v="Bangkok"/>
    <s v="Thailand"/>
    <s v="APAC"/>
    <d v="2018-12-28T00:00:00"/>
    <x v="3"/>
    <s v="Olive Foster"/>
    <n v="50"/>
    <n v="49"/>
    <n v="0.02"/>
    <n v="76"/>
    <n v="3724"/>
  </r>
  <r>
    <s v="I-1739"/>
    <s v="Chicago"/>
    <s v="USA"/>
    <s v="NA"/>
    <d v="2016-08-26T00:00:00"/>
    <x v="10"/>
    <s v="Barry Baldwin"/>
    <n v="250"/>
    <n v="250"/>
    <n v="0"/>
    <n v="15"/>
    <n v="3750"/>
  </r>
  <r>
    <s v="I-1740"/>
    <s v="Istanbul"/>
    <s v="Turkey"/>
    <s v="EMEA"/>
    <d v="2018-01-21T00:00:00"/>
    <x v="3"/>
    <s v="Mark Buntain"/>
    <n v="50"/>
    <n v="47"/>
    <n v="0.06"/>
    <n v="15"/>
    <n v="705"/>
  </r>
  <r>
    <s v="I-1741"/>
    <s v="Kansas City"/>
    <s v="USA"/>
    <s v="NA"/>
    <d v="2016-06-25T00:00:00"/>
    <x v="1"/>
    <s v="Nick Gee"/>
    <n v="700"/>
    <n v="644"/>
    <n v="0.08"/>
    <n v="15"/>
    <n v="9660"/>
  </r>
  <r>
    <s v="I-1742"/>
    <s v="Ho Chi Minh City"/>
    <s v="Vietnam"/>
    <s v="APAC"/>
    <d v="2017-11-22T00:00:00"/>
    <x v="8"/>
    <s v="Susan Passey"/>
    <n v="500"/>
    <n v="495"/>
    <n v="0.01"/>
    <n v="29"/>
    <n v="14355"/>
  </r>
  <r>
    <s v="I-1743"/>
    <s v="Bangalore"/>
    <s v="India"/>
    <s v="APAC"/>
    <d v="2018-05-18T00:00:00"/>
    <x v="1"/>
    <s v="Francis Walsh"/>
    <n v="700"/>
    <n v="644"/>
    <n v="0.08"/>
    <n v="22"/>
    <n v="14168"/>
  </r>
  <r>
    <s v="I-1744"/>
    <s v="Tel Aviv"/>
    <s v="Israel"/>
    <s v="EMEA"/>
    <d v="2018-05-10T00:00:00"/>
    <x v="1"/>
    <s v="Frances Weller"/>
    <n v="700"/>
    <n v="651"/>
    <n v="7.0000000000000007E-2"/>
    <n v="52"/>
    <n v="33852"/>
  </r>
  <r>
    <s v="I-1745"/>
    <s v="Ho Chi Minh City"/>
    <s v="Vietnam"/>
    <s v="APAC"/>
    <d v="2015-09-27T00:00:00"/>
    <x v="6"/>
    <s v="Susan Dixon"/>
    <n v="800"/>
    <n v="752"/>
    <n v="0.06"/>
    <n v="13"/>
    <n v="9776"/>
  </r>
  <r>
    <s v="I-1746"/>
    <s v="Paris"/>
    <s v="France"/>
    <s v="EMEA"/>
    <d v="2018-04-16T00:00:00"/>
    <x v="10"/>
    <s v="Barry Smith"/>
    <n v="250"/>
    <n v="233"/>
    <n v="6.8000000000000005E-2"/>
    <n v="3"/>
    <n v="699"/>
  </r>
  <r>
    <s v="I-1747"/>
    <s v="Riyadh"/>
    <s v="Saudi Arabia"/>
    <s v="EMEA"/>
    <d v="2014-11-20T00:00:00"/>
    <x v="6"/>
    <s v="Victoria Sherwin"/>
    <n v="800"/>
    <n v="480"/>
    <n v="0.4"/>
    <n v="73"/>
    <n v="35040"/>
  </r>
  <r>
    <s v="I-1748"/>
    <s v="Riyadh"/>
    <s v="Saudi Arabia"/>
    <s v="EMEA"/>
    <d v="2017-10-11T00:00:00"/>
    <x v="7"/>
    <s v="Daniel Battersby"/>
    <n v="1000"/>
    <n v="810"/>
    <n v="0.19"/>
    <n v="19"/>
    <n v="15390"/>
  </r>
  <r>
    <s v="I-1749"/>
    <s v="Mexico City"/>
    <s v="Mexico"/>
    <s v="LATAM"/>
    <d v="2017-06-17T00:00:00"/>
    <x v="6"/>
    <s v="Phillip Clarke"/>
    <n v="800"/>
    <n v="552"/>
    <n v="0.31"/>
    <n v="94"/>
    <n v="51888"/>
  </r>
  <r>
    <s v="I-1750"/>
    <s v="Mexico City"/>
    <s v="Mexico"/>
    <s v="LATAM"/>
    <d v="2018-12-30T00:00:00"/>
    <x v="11"/>
    <s v="James Anthony"/>
    <n v="50"/>
    <n v="48"/>
    <n v="0.04"/>
    <n v="78"/>
    <n v="3744"/>
  </r>
  <r>
    <s v="I-1751"/>
    <s v="Shanghai"/>
    <s v="China"/>
    <s v="APAC"/>
    <d v="2017-03-28T00:00:00"/>
    <x v="9"/>
    <s v="Glenys Raymond"/>
    <n v="70"/>
    <n v="70"/>
    <n v="0"/>
    <n v="29"/>
    <n v="2030"/>
  </r>
  <r>
    <s v="I-1752"/>
    <s v="Sydney"/>
    <s v="Australia"/>
    <s v="APAC"/>
    <d v="2018-03-16T00:00:00"/>
    <x v="7"/>
    <s v="Susan Luker"/>
    <n v="1000"/>
    <n v="930"/>
    <n v="7.0000000000000007E-2"/>
    <n v="14"/>
    <n v="13020"/>
  </r>
  <r>
    <s v="I-1753"/>
    <s v="Berlin"/>
    <s v="Germany"/>
    <s v="EMEA"/>
    <d v="2018-11-27T00:00:00"/>
    <x v="10"/>
    <s v="John Gunter"/>
    <n v="250"/>
    <n v="250"/>
    <n v="0"/>
    <n v="73"/>
    <n v="18250"/>
  </r>
  <r>
    <s v="I-1754"/>
    <s v="Shenzhen"/>
    <s v="China"/>
    <s v="APAC"/>
    <d v="2015-12-25T00:00:00"/>
    <x v="1"/>
    <s v="Ronald Butler"/>
    <n v="700"/>
    <n v="469"/>
    <n v="0.33"/>
    <n v="41"/>
    <n v="19229"/>
  </r>
  <r>
    <s v="I-1755"/>
    <s v="Bucharest"/>
    <s v="Romania"/>
    <s v="EMEA"/>
    <d v="2016-11-10T00:00:00"/>
    <x v="9"/>
    <s v="Bruce Neville"/>
    <n v="70"/>
    <n v="69"/>
    <n v="1.43E-2"/>
    <n v="39"/>
    <n v="2691"/>
  </r>
  <r>
    <s v="I-1756"/>
    <s v="Athens"/>
    <s v="Greece"/>
    <s v="EMEA"/>
    <d v="2014-06-14T00:00:00"/>
    <x v="1"/>
    <s v="Martin Timmins"/>
    <n v="700"/>
    <n v="630"/>
    <n v="0.1"/>
    <n v="98"/>
    <n v="61740"/>
  </r>
  <r>
    <s v="I-1757"/>
    <s v="Delhi"/>
    <s v="India"/>
    <s v="APAC"/>
    <d v="2017-11-13T00:00:00"/>
    <x v="0"/>
    <s v="Tessa Morrow"/>
    <n v="80"/>
    <n v="78"/>
    <n v="2.5000000000000001E-2"/>
    <n v="58"/>
    <n v="4524"/>
  </r>
  <r>
    <s v="I-1758"/>
    <s v="Mexico City"/>
    <s v="Mexico"/>
    <s v="LATAM"/>
    <d v="2017-07-05T00:00:00"/>
    <x v="3"/>
    <s v="Phillip Clarke"/>
    <n v="50"/>
    <n v="49"/>
    <n v="0.02"/>
    <n v="8"/>
    <n v="392"/>
  </r>
  <r>
    <s v="I-1759"/>
    <s v="Bogota"/>
    <s v="Colombia"/>
    <s v="LATAM"/>
    <d v="2014-08-30T00:00:00"/>
    <x v="7"/>
    <s v="Antony Westlake"/>
    <n v="1000"/>
    <n v="750"/>
    <n v="0.25"/>
    <n v="53"/>
    <n v="39750"/>
  </r>
  <r>
    <s v="I-1760"/>
    <s v="Jerusalem"/>
    <s v="Israel"/>
    <s v="EMEA"/>
    <d v="2014-08-01T00:00:00"/>
    <x v="3"/>
    <s v="Susan Carley"/>
    <n v="50"/>
    <n v="37"/>
    <n v="0.26"/>
    <n v="76"/>
    <n v="2812"/>
  </r>
  <r>
    <s v="I-1761"/>
    <s v="Warsaw"/>
    <s v="Poland"/>
    <s v="EMEA"/>
    <d v="2018-08-11T00:00:00"/>
    <x v="4"/>
    <s v="Anthony Connolly"/>
    <n v="30"/>
    <n v="28"/>
    <n v="6.6699999999999995E-2"/>
    <n v="73"/>
    <n v="2044"/>
  </r>
  <r>
    <s v="I-1762"/>
    <s v="Shanghai"/>
    <s v="China"/>
    <s v="APAC"/>
    <d v="2018-02-21T00:00:00"/>
    <x v="8"/>
    <s v="Michelle Murray"/>
    <n v="500"/>
    <n v="500"/>
    <n v="0"/>
    <n v="26"/>
    <n v="13000"/>
  </r>
  <r>
    <s v="I-1763"/>
    <s v="Bangkok"/>
    <s v="Thailand"/>
    <s v="APAC"/>
    <d v="2018-12-31T00:00:00"/>
    <x v="4"/>
    <s v="Martin Gee"/>
    <n v="30"/>
    <n v="29"/>
    <n v="3.3300000000000003E-2"/>
    <n v="100"/>
    <n v="2900"/>
  </r>
  <r>
    <s v="I-1764"/>
    <s v="San Fransisco"/>
    <s v="USA"/>
    <s v="NA"/>
    <d v="2014-09-23T00:00:00"/>
    <x v="2"/>
    <s v="James Stephen"/>
    <n v="150"/>
    <n v="110"/>
    <n v="0.26669999999999999"/>
    <n v="53"/>
    <n v="5830"/>
  </r>
  <r>
    <s v="I-1765"/>
    <s v="Riyadh"/>
    <s v="Saudi Arabia"/>
    <s v="EMEA"/>
    <d v="2015-06-17T00:00:00"/>
    <x v="9"/>
    <s v="John Craig"/>
    <n v="70"/>
    <n v="50"/>
    <n v="0.28570000000000001"/>
    <n v="43"/>
    <n v="2150"/>
  </r>
  <r>
    <s v="I-1766"/>
    <s v="Berlin"/>
    <s v="Germany"/>
    <s v="EMEA"/>
    <d v="2018-02-06T00:00:00"/>
    <x v="6"/>
    <s v="David Townsend"/>
    <n v="800"/>
    <n v="760"/>
    <n v="0.05"/>
    <n v="59"/>
    <n v="44840"/>
  </r>
  <r>
    <s v="I-1767"/>
    <s v="Amsterdam"/>
    <s v="Netherlands"/>
    <s v="EMEA"/>
    <d v="2018-10-05T00:00:00"/>
    <x v="9"/>
    <s v="Danny Grant"/>
    <n v="70"/>
    <n v="68"/>
    <n v="2.86E-2"/>
    <n v="59"/>
    <n v="4012"/>
  </r>
  <r>
    <s v="I-1768"/>
    <s v="Tijuana"/>
    <s v="Mexico"/>
    <s v="LATAM"/>
    <d v="2016-02-24T00:00:00"/>
    <x v="7"/>
    <s v="Paul Skiba"/>
    <n v="1000"/>
    <n v="960"/>
    <n v="0.04"/>
    <n v="97"/>
    <n v="93120"/>
  </r>
  <r>
    <s v="I-1769"/>
    <s v="Birmingham"/>
    <s v="UK"/>
    <s v="EMEA"/>
    <d v="2017-12-19T00:00:00"/>
    <x v="0"/>
    <s v="Susan Goude"/>
    <n v="80"/>
    <n v="80"/>
    <n v="0"/>
    <n v="58"/>
    <n v="4640"/>
  </r>
  <r>
    <s v="I-1770"/>
    <s v="Vienna"/>
    <s v="Austria"/>
    <s v="EMEA"/>
    <d v="2018-09-01T00:00:00"/>
    <x v="6"/>
    <s v="Paul Munday"/>
    <n v="800"/>
    <n v="776"/>
    <n v="0.03"/>
    <n v="3"/>
    <n v="2328"/>
  </r>
  <r>
    <s v="I-1771"/>
    <s v="Tokyo"/>
    <s v="Japan"/>
    <s v="APAC"/>
    <d v="2017-08-27T00:00:00"/>
    <x v="6"/>
    <s v="Basil Bell"/>
    <n v="800"/>
    <n v="560"/>
    <n v="0.3"/>
    <n v="72"/>
    <n v="40320"/>
  </r>
  <r>
    <s v="I-1772"/>
    <s v="Birmingham"/>
    <s v="UK"/>
    <s v="EMEA"/>
    <d v="2017-10-17T00:00:00"/>
    <x v="11"/>
    <s v="Robert Reed"/>
    <n v="50"/>
    <n v="46"/>
    <n v="0.08"/>
    <n v="2"/>
    <n v="92"/>
  </r>
  <r>
    <s v="I-1773"/>
    <s v="Los Angeles"/>
    <s v="USA"/>
    <s v="NA"/>
    <d v="2014-04-26T00:00:00"/>
    <x v="9"/>
    <s v="Ellen Lillie"/>
    <n v="70"/>
    <n v="57"/>
    <n v="0.1857"/>
    <n v="69"/>
    <n v="3933"/>
  </r>
  <r>
    <s v="I-1774"/>
    <s v="Jerusalem"/>
    <s v="Israel"/>
    <s v="EMEA"/>
    <d v="2016-05-12T00:00:00"/>
    <x v="0"/>
    <s v="Isla Parsons"/>
    <n v="80"/>
    <n v="78"/>
    <n v="2.5000000000000001E-2"/>
    <n v="84"/>
    <n v="6552"/>
  </r>
  <r>
    <s v="I-1775"/>
    <s v="Prague"/>
    <s v="Czech Republic"/>
    <s v="EMEA"/>
    <d v="2017-09-24T00:00:00"/>
    <x v="0"/>
    <s v="Christopher Martin"/>
    <n v="80"/>
    <n v="78"/>
    <n v="2.5000000000000001E-2"/>
    <n v="10"/>
    <n v="780"/>
  </r>
  <r>
    <s v="I-1776"/>
    <s v="Dublin"/>
    <s v="Ireland"/>
    <s v="EMEA"/>
    <d v="2018-07-29T00:00:00"/>
    <x v="10"/>
    <s v="Alison Younger"/>
    <n v="250"/>
    <n v="250"/>
    <n v="0"/>
    <n v="31"/>
    <n v="7750"/>
  </r>
  <r>
    <s v="I-1777"/>
    <s v="Kansas City"/>
    <s v="USA"/>
    <s v="NA"/>
    <d v="2014-07-30T00:00:00"/>
    <x v="4"/>
    <s v="Xun Simms"/>
    <n v="30"/>
    <n v="29"/>
    <n v="3.3300000000000003E-2"/>
    <n v="85"/>
    <n v="2465"/>
  </r>
  <r>
    <s v="I-1778"/>
    <s v="Prague"/>
    <s v="Czech Republic"/>
    <s v="EMEA"/>
    <d v="2015-08-11T00:00:00"/>
    <x v="11"/>
    <s v="Nick Denny"/>
    <n v="50"/>
    <n v="33"/>
    <n v="0.34"/>
    <n v="81"/>
    <n v="2673"/>
  </r>
  <r>
    <s v="I-1779"/>
    <s v="Amsterdam"/>
    <s v="Netherlands"/>
    <s v="EMEA"/>
    <d v="2017-02-01T00:00:00"/>
    <x v="7"/>
    <s v="David Dorey"/>
    <n v="1000"/>
    <n v="880"/>
    <n v="0.12"/>
    <n v="74"/>
    <n v="65120"/>
  </r>
  <r>
    <s v="I-1780"/>
    <s v="Osaka"/>
    <s v="Japan"/>
    <s v="APAC"/>
    <d v="2015-10-13T00:00:00"/>
    <x v="5"/>
    <s v="Peter Walker"/>
    <n v="500"/>
    <n v="305"/>
    <n v="0.39"/>
    <n v="58"/>
    <n v="17690"/>
  </r>
  <r>
    <s v="I-1781"/>
    <s v="Dublin"/>
    <s v="Ireland"/>
    <s v="EMEA"/>
    <d v="2014-06-27T00:00:00"/>
    <x v="1"/>
    <s v="Robert Harris"/>
    <n v="700"/>
    <n v="665"/>
    <n v="0.05"/>
    <n v="17"/>
    <n v="11305"/>
  </r>
  <r>
    <s v="I-1782"/>
    <s v="Dubai"/>
    <s v="UAE"/>
    <s v="EMEA"/>
    <d v="2018-02-09T00:00:00"/>
    <x v="5"/>
    <s v="David Romero"/>
    <n v="500"/>
    <n v="100"/>
    <n v="0.8"/>
    <n v="22"/>
    <n v="2200"/>
  </r>
  <r>
    <s v="I-1783"/>
    <s v="Capetown"/>
    <s v="South Africa"/>
    <s v="EMEA"/>
    <d v="2017-03-19T00:00:00"/>
    <x v="8"/>
    <s v="Marcus Jacob"/>
    <n v="500"/>
    <n v="500"/>
    <n v="0"/>
    <n v="50"/>
    <n v="25000"/>
  </r>
  <r>
    <s v="I-1784"/>
    <s v="Shenzhen"/>
    <s v="China"/>
    <s v="APAC"/>
    <d v="2015-10-25T00:00:00"/>
    <x v="0"/>
    <s v="Phillip Humphreys"/>
    <n v="80"/>
    <n v="65"/>
    <n v="0.1875"/>
    <n v="51"/>
    <n v="3315"/>
  </r>
  <r>
    <s v="I-1785"/>
    <s v="New York"/>
    <s v="USA"/>
    <s v="NA"/>
    <d v="2017-04-27T00:00:00"/>
    <x v="1"/>
    <s v="Robert Salisbury"/>
    <n v="700"/>
    <n v="651"/>
    <n v="7.0000000000000007E-2"/>
    <n v="53"/>
    <n v="34503"/>
  </r>
  <r>
    <s v="I-1786"/>
    <s v="Guangzhou"/>
    <s v="China"/>
    <s v="APAC"/>
    <d v="2017-05-08T00:00:00"/>
    <x v="2"/>
    <s v="Mark Searle"/>
    <n v="150"/>
    <n v="141"/>
    <n v="0.06"/>
    <n v="49"/>
    <n v="6909"/>
  </r>
  <r>
    <s v="I-1787"/>
    <s v="Guangzhou"/>
    <s v="China"/>
    <s v="APAC"/>
    <d v="2018-08-15T00:00:00"/>
    <x v="10"/>
    <s v="Donald Higgs"/>
    <n v="250"/>
    <n v="240"/>
    <n v="0.04"/>
    <n v="49"/>
    <n v="11760"/>
  </r>
  <r>
    <s v="I-1788"/>
    <s v="Shenzhen"/>
    <s v="China"/>
    <s v="APAC"/>
    <d v="2015-12-02T00:00:00"/>
    <x v="9"/>
    <s v="Edward Jenkins"/>
    <n v="70"/>
    <n v="57"/>
    <n v="0.1857"/>
    <n v="49"/>
    <n v="2793"/>
  </r>
  <r>
    <s v="I-1789"/>
    <s v="Los Angeles"/>
    <s v="USA"/>
    <s v="NA"/>
    <d v="2014-09-21T00:00:00"/>
    <x v="8"/>
    <s v="Ron Goodman"/>
    <n v="500"/>
    <n v="495"/>
    <n v="0.01"/>
    <n v="71"/>
    <n v="35145"/>
  </r>
  <r>
    <s v="I-1790"/>
    <s v="Seoul"/>
    <s v="South Korea"/>
    <s v="APAC"/>
    <d v="2017-03-16T00:00:00"/>
    <x v="4"/>
    <s v="Martin Birch"/>
    <n v="30"/>
    <n v="29"/>
    <n v="3.3300000000000003E-2"/>
    <n v="78"/>
    <n v="2262"/>
  </r>
  <r>
    <s v="I-1791"/>
    <s v="San Fransisco"/>
    <s v="USA"/>
    <s v="NA"/>
    <d v="2016-10-08T00:00:00"/>
    <x v="1"/>
    <s v="Saffron Cruse"/>
    <n v="700"/>
    <n v="595"/>
    <n v="0.15"/>
    <n v="29"/>
    <n v="17255"/>
  </r>
  <r>
    <s v="I-1792"/>
    <s v="Rome"/>
    <s v="Italy"/>
    <s v="EMEA"/>
    <d v="2016-11-23T00:00:00"/>
    <x v="10"/>
    <s v="Andrew Hirst"/>
    <n v="250"/>
    <n v="213"/>
    <n v="0.14799999999999999"/>
    <n v="40"/>
    <n v="8520"/>
  </r>
  <r>
    <s v="I-1793"/>
    <s v="Delhi"/>
    <s v="India"/>
    <s v="APAC"/>
    <d v="2018-10-16T00:00:00"/>
    <x v="2"/>
    <s v="David Johnson"/>
    <n v="150"/>
    <n v="129"/>
    <n v="0.14000000000000001"/>
    <n v="2"/>
    <n v="258"/>
  </r>
  <r>
    <s v="I-1794"/>
    <s v="Seoul"/>
    <s v="South Korea"/>
    <s v="APAC"/>
    <d v="2015-01-15T00:00:00"/>
    <x v="4"/>
    <s v="Mark Brook"/>
    <n v="30"/>
    <n v="29"/>
    <n v="3.3300000000000003E-2"/>
    <n v="17"/>
    <n v="493"/>
  </r>
  <r>
    <s v="I-1795"/>
    <s v="Moscow"/>
    <s v="Russia"/>
    <s v="EMEA"/>
    <d v="2018-09-11T00:00:00"/>
    <x v="11"/>
    <s v="Zulfiqar Mirza"/>
    <n v="50"/>
    <n v="49"/>
    <n v="0.02"/>
    <n v="17"/>
    <n v="833"/>
  </r>
  <r>
    <s v="I-1796"/>
    <s v="Paris"/>
    <s v="France"/>
    <s v="EMEA"/>
    <d v="2014-06-11T00:00:00"/>
    <x v="5"/>
    <s v="Joanne Sayer"/>
    <n v="500"/>
    <n v="370"/>
    <n v="0.26"/>
    <n v="19"/>
    <n v="7030"/>
  </r>
  <r>
    <s v="I-1797"/>
    <s v="Toronto"/>
    <s v="Canada"/>
    <s v="NA"/>
    <d v="2016-01-30T00:00:00"/>
    <x v="4"/>
    <s v="Michael Patel"/>
    <n v="30"/>
    <n v="26"/>
    <n v="0.1333"/>
    <n v="10"/>
    <n v="260"/>
  </r>
  <r>
    <s v="I-1798"/>
    <s v="Berlin"/>
    <s v="Germany"/>
    <s v="EMEA"/>
    <d v="2017-09-06T00:00:00"/>
    <x v="10"/>
    <s v="Paul Mannion"/>
    <n v="250"/>
    <n v="243"/>
    <n v="2.8000000000000001E-2"/>
    <n v="70"/>
    <n v="17010"/>
  </r>
  <r>
    <s v="I-1799"/>
    <s v="Shenzhen"/>
    <s v="China"/>
    <s v="APAC"/>
    <d v="2015-02-24T00:00:00"/>
    <x v="7"/>
    <s v="Fatima James"/>
    <n v="1000"/>
    <n v="700"/>
    <n v="0.3"/>
    <n v="37"/>
    <n v="25900"/>
  </r>
  <r>
    <s v="I-1800"/>
    <s v="San Fransisco"/>
    <s v="USA"/>
    <s v="NA"/>
    <d v="2018-11-18T00:00:00"/>
    <x v="11"/>
    <s v="Patricia Sewell"/>
    <n v="50"/>
    <n v="43"/>
    <n v="0.14000000000000001"/>
    <n v="4"/>
    <n v="172"/>
  </r>
  <r>
    <s v="I-1801"/>
    <s v="Buenos Aires"/>
    <s v="Argentina"/>
    <s v="LATAM"/>
    <d v="2017-07-14T00:00:00"/>
    <x v="6"/>
    <s v="Lisa Wood"/>
    <n v="800"/>
    <n v="440"/>
    <n v="0.45"/>
    <n v="45"/>
    <n v="19800"/>
  </r>
  <r>
    <s v="I-1802"/>
    <s v="London"/>
    <s v="UK"/>
    <s v="EMEA"/>
    <d v="2017-03-15T00:00:00"/>
    <x v="0"/>
    <s v="Claire Brooks"/>
    <n v="80"/>
    <n v="80"/>
    <n v="0"/>
    <n v="43"/>
    <n v="3440"/>
  </r>
  <r>
    <s v="I-1803"/>
    <s v="Kansas City"/>
    <s v="USA"/>
    <s v="NA"/>
    <d v="2015-09-03T00:00:00"/>
    <x v="9"/>
    <s v="David Rodrigues"/>
    <n v="70"/>
    <n v="63"/>
    <n v="0.1"/>
    <n v="18"/>
    <n v="1134"/>
  </r>
  <r>
    <s v="I-1804"/>
    <s v="Tel Aviv"/>
    <s v="Israel"/>
    <s v="EMEA"/>
    <d v="2014-01-09T00:00:00"/>
    <x v="1"/>
    <s v="John Verma"/>
    <n v="700"/>
    <n v="672"/>
    <n v="0.04"/>
    <n v="29"/>
    <n v="19488"/>
  </r>
  <r>
    <s v="I-1805"/>
    <s v="Sao Paolo"/>
    <s v="Brazil"/>
    <s v="LATAM"/>
    <d v="2018-03-08T00:00:00"/>
    <x v="8"/>
    <s v="Stephen Smith"/>
    <n v="500"/>
    <n v="490"/>
    <n v="0.02"/>
    <n v="21"/>
    <n v="10290"/>
  </r>
  <r>
    <s v="I-1806"/>
    <s v="Berlin"/>
    <s v="Germany"/>
    <s v="EMEA"/>
    <d v="2015-11-23T00:00:00"/>
    <x v="6"/>
    <s v="David Townsend"/>
    <n v="800"/>
    <n v="592"/>
    <n v="0.26"/>
    <n v="81"/>
    <n v="47952"/>
  </r>
  <r>
    <s v="I-1807"/>
    <s v="Berlin"/>
    <s v="Germany"/>
    <s v="EMEA"/>
    <d v="2017-02-17T00:00:00"/>
    <x v="3"/>
    <s v="John Gunter"/>
    <n v="50"/>
    <n v="46"/>
    <n v="0.08"/>
    <n v="86"/>
    <n v="3956"/>
  </r>
  <r>
    <s v="I-1808"/>
    <s v="Lima"/>
    <s v="Peru"/>
    <s v="LATAM"/>
    <d v="2017-02-23T00:00:00"/>
    <x v="11"/>
    <s v="Claire Storey"/>
    <n v="50"/>
    <n v="50"/>
    <n v="0"/>
    <n v="94"/>
    <n v="4700"/>
  </r>
  <r>
    <s v="I-1809"/>
    <s v="New York"/>
    <s v="USA"/>
    <s v="NA"/>
    <d v="2018-04-01T00:00:00"/>
    <x v="11"/>
    <s v="Robert Salisbury"/>
    <n v="50"/>
    <n v="48"/>
    <n v="0.04"/>
    <n v="25"/>
    <n v="1200"/>
  </r>
  <r>
    <s v="I-1810"/>
    <s v="Sydney"/>
    <s v="Australia"/>
    <s v="APAC"/>
    <d v="2017-09-06T00:00:00"/>
    <x v="11"/>
    <s v="Susan Luker"/>
    <n v="50"/>
    <n v="47"/>
    <n v="0.06"/>
    <n v="87"/>
    <n v="4089"/>
  </r>
  <r>
    <s v="I-1811"/>
    <s v="Lima"/>
    <s v="Peru"/>
    <s v="LATAM"/>
    <d v="2014-07-01T00:00:00"/>
    <x v="9"/>
    <s v="Peter Jago"/>
    <n v="70"/>
    <n v="63"/>
    <n v="0.1"/>
    <n v="10"/>
    <n v="630"/>
  </r>
  <r>
    <s v="I-1812"/>
    <s v="Paris"/>
    <s v="France"/>
    <s v="EMEA"/>
    <d v="2018-12-22T00:00:00"/>
    <x v="10"/>
    <s v="Rory Bullion"/>
    <n v="250"/>
    <n v="243"/>
    <n v="2.8000000000000001E-2"/>
    <n v="39"/>
    <n v="9477"/>
  </r>
  <r>
    <s v="I-1813"/>
    <s v="San Fransisco"/>
    <s v="USA"/>
    <s v="NA"/>
    <d v="2016-05-14T00:00:00"/>
    <x v="8"/>
    <s v="John Osborne"/>
    <n v="500"/>
    <n v="500"/>
    <n v="0"/>
    <n v="87"/>
    <n v="43500"/>
  </r>
  <r>
    <s v="I-1814"/>
    <s v="Prague"/>
    <s v="Czech Republic"/>
    <s v="EMEA"/>
    <d v="2016-11-26T00:00:00"/>
    <x v="8"/>
    <s v="Rachel Blane"/>
    <n v="500"/>
    <n v="495"/>
    <n v="0.01"/>
    <n v="53"/>
    <n v="26235"/>
  </r>
  <r>
    <s v="I-1815"/>
    <s v="Shanghai"/>
    <s v="China"/>
    <s v="APAC"/>
    <d v="2014-07-10T00:00:00"/>
    <x v="6"/>
    <s v="Paul Power"/>
    <n v="800"/>
    <n v="648"/>
    <n v="0.19"/>
    <n v="84"/>
    <n v="54432"/>
  </r>
  <r>
    <s v="I-1816"/>
    <s v="Buenos Aires"/>
    <s v="Argentina"/>
    <s v="LATAM"/>
    <d v="2015-03-21T00:00:00"/>
    <x v="4"/>
    <s v="Naeem Perry"/>
    <n v="30"/>
    <n v="20"/>
    <n v="0.33329999999999999"/>
    <n v="6"/>
    <n v="120"/>
  </r>
  <r>
    <s v="I-1817"/>
    <s v="Guangzhou"/>
    <s v="China"/>
    <s v="APAC"/>
    <d v="2015-03-10T00:00:00"/>
    <x v="1"/>
    <s v="Abdul Amos"/>
    <n v="700"/>
    <n v="462"/>
    <n v="0.34"/>
    <n v="26"/>
    <n v="12012"/>
  </r>
  <r>
    <s v="I-1818"/>
    <s v="Dubai"/>
    <s v="UAE"/>
    <s v="EMEA"/>
    <d v="2016-07-17T00:00:00"/>
    <x v="4"/>
    <s v="Roy Connelly"/>
    <n v="30"/>
    <n v="29"/>
    <n v="3.3300000000000003E-2"/>
    <n v="92"/>
    <n v="2668"/>
  </r>
  <r>
    <s v="I-1819"/>
    <s v="Berlin"/>
    <s v="Germany"/>
    <s v="EMEA"/>
    <d v="2017-01-16T00:00:00"/>
    <x v="9"/>
    <s v="John Gunter"/>
    <n v="70"/>
    <n v="66"/>
    <n v="5.7099999999999998E-2"/>
    <n v="6"/>
    <n v="396"/>
  </r>
  <r>
    <s v="I-1820"/>
    <s v="Dubai"/>
    <s v="UAE"/>
    <s v="EMEA"/>
    <d v="2017-08-13T00:00:00"/>
    <x v="7"/>
    <s v="Rachel Clayton"/>
    <n v="1000"/>
    <n v="690"/>
    <n v="0.31"/>
    <n v="3"/>
    <n v="2070"/>
  </r>
  <r>
    <s v="I-1821"/>
    <s v="Mexico City"/>
    <s v="Mexico"/>
    <s v="LATAM"/>
    <d v="2016-10-02T00:00:00"/>
    <x v="9"/>
    <s v="Brendon Dyer"/>
    <n v="70"/>
    <n v="69"/>
    <n v="1.43E-2"/>
    <n v="58"/>
    <n v="4002"/>
  </r>
  <r>
    <s v="I-1822"/>
    <s v="Warsaw"/>
    <s v="Poland"/>
    <s v="EMEA"/>
    <d v="2017-11-25T00:00:00"/>
    <x v="4"/>
    <s v="Hin Bragg"/>
    <n v="30"/>
    <n v="27"/>
    <n v="0.1"/>
    <n v="99"/>
    <n v="2673"/>
  </r>
  <r>
    <s v="I-1823"/>
    <s v="Shanghai"/>
    <s v="China"/>
    <s v="APAC"/>
    <d v="2017-09-16T00:00:00"/>
    <x v="10"/>
    <s v="Craig Johnson"/>
    <n v="250"/>
    <n v="225"/>
    <n v="0.1"/>
    <n v="65"/>
    <n v="14625"/>
  </r>
  <r>
    <s v="I-1824"/>
    <s v="Buenos Aires"/>
    <s v="Argentina"/>
    <s v="LATAM"/>
    <d v="2017-01-14T00:00:00"/>
    <x v="8"/>
    <s v="Simon Snape"/>
    <n v="500"/>
    <n v="500"/>
    <n v="0"/>
    <n v="99"/>
    <n v="49500"/>
  </r>
  <r>
    <s v="I-1825"/>
    <s v="Jerusalem"/>
    <s v="Israel"/>
    <s v="EMEA"/>
    <d v="2016-10-06T00:00:00"/>
    <x v="11"/>
    <s v="Isla Parsons"/>
    <n v="50"/>
    <n v="45"/>
    <n v="0.1"/>
    <n v="37"/>
    <n v="1665"/>
  </r>
  <r>
    <s v="I-1826"/>
    <s v="Paris"/>
    <s v="France"/>
    <s v="EMEA"/>
    <d v="2014-04-06T00:00:00"/>
    <x v="2"/>
    <s v="Ketan Bryan"/>
    <n v="150"/>
    <n v="137"/>
    <n v="8.6699999999999999E-2"/>
    <n v="90"/>
    <n v="12330"/>
  </r>
  <r>
    <s v="I-1827"/>
    <s v="Istanbul"/>
    <s v="Turkey"/>
    <s v="EMEA"/>
    <d v="2017-03-05T00:00:00"/>
    <x v="5"/>
    <s v="Ian McCartan"/>
    <n v="500"/>
    <n v="455"/>
    <n v="0.09"/>
    <n v="99"/>
    <n v="45045"/>
  </r>
  <r>
    <s v="I-1828"/>
    <s v="Birmingham"/>
    <s v="UK"/>
    <s v="EMEA"/>
    <d v="2018-12-17T00:00:00"/>
    <x v="8"/>
    <s v="Robert Reed"/>
    <n v="500"/>
    <n v="500"/>
    <n v="0"/>
    <n v="1"/>
    <n v="500"/>
  </r>
  <r>
    <s v="I-1829"/>
    <s v="Tokyo"/>
    <s v="Japan"/>
    <s v="APAC"/>
    <d v="2016-12-27T00:00:00"/>
    <x v="1"/>
    <s v="Kenneth Bullion"/>
    <n v="700"/>
    <n v="644"/>
    <n v="0.08"/>
    <n v="58"/>
    <n v="37352"/>
  </r>
  <r>
    <s v="I-1830"/>
    <s v="Guangzhou"/>
    <s v="China"/>
    <s v="APAC"/>
    <d v="2014-01-06T00:00:00"/>
    <x v="2"/>
    <s v="Donald Higgs"/>
    <n v="150"/>
    <n v="123"/>
    <n v="0.18"/>
    <n v="82"/>
    <n v="10086"/>
  </r>
  <r>
    <s v="I-1831"/>
    <s v="Moscow"/>
    <s v="Russia"/>
    <s v="EMEA"/>
    <d v="2016-11-20T00:00:00"/>
    <x v="5"/>
    <s v="Rita Hill"/>
    <n v="500"/>
    <n v="475"/>
    <n v="0.05"/>
    <n v="47"/>
    <n v="22325"/>
  </r>
  <r>
    <s v="I-1832"/>
    <s v="Vienna"/>
    <s v="Austria"/>
    <s v="EMEA"/>
    <d v="2018-01-28T00:00:00"/>
    <x v="7"/>
    <s v="Noel Hardy"/>
    <n v="1000"/>
    <n v="750"/>
    <n v="0.25"/>
    <n v="78"/>
    <n v="58500"/>
  </r>
  <r>
    <s v="I-1833"/>
    <s v="Osaka"/>
    <s v="Japan"/>
    <s v="APAC"/>
    <d v="2018-04-17T00:00:00"/>
    <x v="2"/>
    <s v="Kyle Walter"/>
    <n v="150"/>
    <n v="150"/>
    <n v="0"/>
    <n v="67"/>
    <n v="10050"/>
  </r>
  <r>
    <s v="I-1834"/>
    <s v="Vienna"/>
    <s v="Austria"/>
    <s v="EMEA"/>
    <d v="2018-12-15T00:00:00"/>
    <x v="9"/>
    <s v="Gillian Rodrigues"/>
    <n v="70"/>
    <n v="63"/>
    <n v="0.1"/>
    <n v="37"/>
    <n v="2331"/>
  </r>
  <r>
    <s v="I-1835"/>
    <s v="Prague"/>
    <s v="Czech Republic"/>
    <s v="EMEA"/>
    <d v="2015-12-11T00:00:00"/>
    <x v="9"/>
    <s v="Stephen Nolan"/>
    <n v="70"/>
    <n v="57"/>
    <n v="0.1857"/>
    <n v="23"/>
    <n v="1311"/>
  </r>
  <r>
    <s v="I-1836"/>
    <s v="Paris"/>
    <s v="France"/>
    <s v="EMEA"/>
    <d v="2018-02-01T00:00:00"/>
    <x v="2"/>
    <s v="Nicola Rea"/>
    <n v="150"/>
    <n v="143"/>
    <n v="4.6699999999999998E-2"/>
    <n v="58"/>
    <n v="8294"/>
  </r>
  <r>
    <s v="I-1837"/>
    <s v="Toronto"/>
    <s v="Canada"/>
    <s v="NA"/>
    <d v="2018-07-19T00:00:00"/>
    <x v="4"/>
    <s v="Robin Hall"/>
    <n v="30"/>
    <n v="27"/>
    <n v="0.1"/>
    <n v="73"/>
    <n v="1971"/>
  </r>
  <r>
    <s v="I-1838"/>
    <s v="Rome"/>
    <s v="Italy"/>
    <s v="EMEA"/>
    <d v="2017-04-04T00:00:00"/>
    <x v="6"/>
    <s v="Peter Allan"/>
    <n v="800"/>
    <n v="648"/>
    <n v="0.19"/>
    <n v="63"/>
    <n v="40824"/>
  </r>
  <r>
    <s v="I-1839"/>
    <s v="Dublin"/>
    <s v="Ireland"/>
    <s v="EMEA"/>
    <d v="2015-01-31T00:00:00"/>
    <x v="7"/>
    <s v="Penelope Norton"/>
    <n v="1000"/>
    <n v="970"/>
    <n v="0.03"/>
    <n v="51"/>
    <n v="49470"/>
  </r>
  <r>
    <s v="I-1840"/>
    <s v="Bogota"/>
    <s v="Colombia"/>
    <s v="LATAM"/>
    <d v="2016-06-19T00:00:00"/>
    <x v="9"/>
    <s v="David Finnie"/>
    <n v="70"/>
    <n v="67"/>
    <n v="4.2900000000000001E-2"/>
    <n v="61"/>
    <n v="4087"/>
  </r>
  <r>
    <s v="I-1841"/>
    <s v="Tokyo"/>
    <s v="Japan"/>
    <s v="APAC"/>
    <d v="2017-08-18T00:00:00"/>
    <x v="7"/>
    <s v="Pauline Pope"/>
    <n v="1000"/>
    <n v="890"/>
    <n v="0.11"/>
    <n v="51"/>
    <n v="45390"/>
  </r>
  <r>
    <s v="I-1842"/>
    <s v="New York"/>
    <s v="USA"/>
    <s v="NA"/>
    <d v="2015-08-03T00:00:00"/>
    <x v="1"/>
    <s v="Barbara Turner"/>
    <n v="700"/>
    <n v="476"/>
    <n v="0.32"/>
    <n v="26"/>
    <n v="12376"/>
  </r>
  <r>
    <s v="I-1843"/>
    <s v="Capetown"/>
    <s v="South Africa"/>
    <s v="EMEA"/>
    <d v="2015-07-01T00:00:00"/>
    <x v="9"/>
    <s v="Lucy Downs"/>
    <n v="70"/>
    <n v="52"/>
    <n v="0.2571"/>
    <n v="69"/>
    <n v="3588"/>
  </r>
  <r>
    <s v="I-1844"/>
    <s v="Tokyo"/>
    <s v="Japan"/>
    <s v="APAC"/>
    <d v="2018-10-09T00:00:00"/>
    <x v="1"/>
    <s v="Alexander Uddin"/>
    <n v="700"/>
    <n v="686"/>
    <n v="0.02"/>
    <n v="85"/>
    <n v="58310"/>
  </r>
  <r>
    <s v="I-1845"/>
    <s v="New York"/>
    <s v="USA"/>
    <s v="NA"/>
    <d v="2018-05-08T00:00:00"/>
    <x v="7"/>
    <s v="Simon Hirst"/>
    <n v="1000"/>
    <n v="640"/>
    <n v="0.36"/>
    <n v="1"/>
    <n v="640"/>
  </r>
  <r>
    <s v="I-1846"/>
    <s v="Tokyo"/>
    <s v="Japan"/>
    <s v="APAC"/>
    <d v="2016-02-13T00:00:00"/>
    <x v="5"/>
    <s v="Rose Rowntree"/>
    <n v="500"/>
    <n v="440"/>
    <n v="0.12"/>
    <n v="56"/>
    <n v="24640"/>
  </r>
  <r>
    <s v="I-1847"/>
    <s v="Ho Chi Minh City"/>
    <s v="Vietnam"/>
    <s v="APAC"/>
    <d v="2016-12-15T00:00:00"/>
    <x v="0"/>
    <s v="Ken Rogerson"/>
    <n v="80"/>
    <n v="75"/>
    <n v="6.25E-2"/>
    <n v="95"/>
    <n v="7125"/>
  </r>
  <r>
    <s v="I-1848"/>
    <s v="Istanbul"/>
    <s v="Turkey"/>
    <s v="EMEA"/>
    <d v="2017-11-25T00:00:00"/>
    <x v="2"/>
    <s v="Chloe Lyons"/>
    <n v="150"/>
    <n v="144"/>
    <n v="0.04"/>
    <n v="66"/>
    <n v="9504"/>
  </r>
  <r>
    <s v="I-1849"/>
    <s v="Santiago"/>
    <s v="Chile"/>
    <s v="LATAM"/>
    <d v="2016-12-10T00:00:00"/>
    <x v="4"/>
    <s v="Ram Mathews"/>
    <n v="30"/>
    <n v="26"/>
    <n v="0.1333"/>
    <n v="30"/>
    <n v="780"/>
  </r>
  <r>
    <s v="I-1850"/>
    <s v="Tokyo"/>
    <s v="Japan"/>
    <s v="APAC"/>
    <d v="2018-01-15T00:00:00"/>
    <x v="0"/>
    <s v="Nicholas Goude"/>
    <n v="80"/>
    <n v="74"/>
    <n v="7.4999999999999997E-2"/>
    <n v="38"/>
    <n v="2812"/>
  </r>
  <r>
    <s v="I-1851"/>
    <s v="Guangzhou"/>
    <s v="China"/>
    <s v="APAC"/>
    <d v="2018-07-16T00:00:00"/>
    <x v="10"/>
    <s v="Glenys Wright"/>
    <n v="250"/>
    <n v="245"/>
    <n v="0.02"/>
    <n v="80"/>
    <n v="19600"/>
  </r>
  <r>
    <s v="I-1852"/>
    <s v="Berlin"/>
    <s v="Germany"/>
    <s v="EMEA"/>
    <d v="2016-06-29T00:00:00"/>
    <x v="7"/>
    <s v="Paul Sherwin"/>
    <n v="1000"/>
    <n v="940"/>
    <n v="0.06"/>
    <n v="8"/>
    <n v="7520"/>
  </r>
  <r>
    <s v="I-1853"/>
    <s v="Vienna"/>
    <s v="Austria"/>
    <s v="EMEA"/>
    <d v="2017-06-11T00:00:00"/>
    <x v="3"/>
    <s v="Paul Drage"/>
    <n v="50"/>
    <n v="50"/>
    <n v="0"/>
    <n v="54"/>
    <n v="2700"/>
  </r>
  <r>
    <s v="I-1854"/>
    <s v="Ho Chi Minh City"/>
    <s v="Vietnam"/>
    <s v="APAC"/>
    <d v="2016-06-29T00:00:00"/>
    <x v="3"/>
    <s v="Terence Jones"/>
    <n v="50"/>
    <n v="46"/>
    <n v="0.08"/>
    <n v="62"/>
    <n v="2852"/>
  </r>
  <r>
    <s v="I-1855"/>
    <s v="Dubai"/>
    <s v="UAE"/>
    <s v="EMEA"/>
    <d v="2017-08-12T00:00:00"/>
    <x v="1"/>
    <s v="Peter Kelly"/>
    <n v="700"/>
    <n v="665"/>
    <n v="0.05"/>
    <n v="9"/>
    <n v="5985"/>
  </r>
  <r>
    <s v="I-1856"/>
    <s v="Birmingham"/>
    <s v="UK"/>
    <s v="EMEA"/>
    <d v="2014-03-04T00:00:00"/>
    <x v="7"/>
    <s v="Robert Stocks"/>
    <n v="1000"/>
    <n v="950"/>
    <n v="0.05"/>
    <n v="17"/>
    <n v="16150"/>
  </r>
  <r>
    <s v="I-1857"/>
    <s v="Warsaw"/>
    <s v="Poland"/>
    <s v="EMEA"/>
    <d v="2014-03-10T00:00:00"/>
    <x v="2"/>
    <s v="Barbara McDevitt"/>
    <n v="150"/>
    <n v="135"/>
    <n v="0.1"/>
    <n v="34"/>
    <n v="4590"/>
  </r>
  <r>
    <s v="I-1858"/>
    <s v="Kansas City"/>
    <s v="USA"/>
    <s v="NA"/>
    <d v="2017-03-31T00:00:00"/>
    <x v="4"/>
    <s v="Robert Arnold"/>
    <n v="30"/>
    <n v="29"/>
    <n v="3.3300000000000003E-2"/>
    <n v="32"/>
    <n v="928"/>
  </r>
  <r>
    <s v="I-1859"/>
    <s v="Vienna"/>
    <s v="Austria"/>
    <s v="EMEA"/>
    <d v="2017-07-28T00:00:00"/>
    <x v="10"/>
    <s v="Baljinder Anderson"/>
    <n v="250"/>
    <n v="243"/>
    <n v="2.8000000000000001E-2"/>
    <n v="89"/>
    <n v="21627"/>
  </r>
  <r>
    <s v="I-1860"/>
    <s v="Tokyo"/>
    <s v="Japan"/>
    <s v="APAC"/>
    <d v="2018-04-13T00:00:00"/>
    <x v="4"/>
    <s v="David Gow"/>
    <n v="30"/>
    <n v="29"/>
    <n v="3.3300000000000003E-2"/>
    <n v="52"/>
    <n v="1508"/>
  </r>
  <r>
    <s v="I-1861"/>
    <s v="Guangzhou"/>
    <s v="China"/>
    <s v="APAC"/>
    <d v="2015-12-15T00:00:00"/>
    <x v="5"/>
    <s v="Mark Searle"/>
    <n v="500"/>
    <n v="490"/>
    <n v="0.02"/>
    <n v="15"/>
    <n v="7350"/>
  </r>
  <r>
    <s v="I-1862"/>
    <s v="Toronto"/>
    <s v="Canada"/>
    <s v="NA"/>
    <d v="2017-11-30T00:00:00"/>
    <x v="1"/>
    <s v="Robin Hall"/>
    <n v="700"/>
    <n v="686"/>
    <n v="0.02"/>
    <n v="26"/>
    <n v="17836"/>
  </r>
  <r>
    <s v="I-1863"/>
    <s v="Bangalore"/>
    <s v="India"/>
    <s v="APAC"/>
    <d v="2017-05-18T00:00:00"/>
    <x v="0"/>
    <s v="Colin Lima"/>
    <n v="80"/>
    <n v="75"/>
    <n v="6.25E-2"/>
    <n v="54"/>
    <n v="4050"/>
  </r>
  <r>
    <s v="I-1864"/>
    <s v="Delhi"/>
    <s v="India"/>
    <s v="APAC"/>
    <d v="2018-05-10T00:00:00"/>
    <x v="10"/>
    <s v="Francis Hughes"/>
    <n v="250"/>
    <n v="223"/>
    <n v="0.108"/>
    <n v="49"/>
    <n v="10927"/>
  </r>
  <r>
    <s v="I-1865"/>
    <s v="Birmingham"/>
    <s v="UK"/>
    <s v="EMEA"/>
    <d v="2016-04-06T00:00:00"/>
    <x v="5"/>
    <s v="Robert Stocks"/>
    <n v="500"/>
    <n v="480"/>
    <n v="0.04"/>
    <n v="27"/>
    <n v="12960"/>
  </r>
  <r>
    <s v="I-1866"/>
    <s v="Osaka"/>
    <s v="Japan"/>
    <s v="APAC"/>
    <d v="2017-04-11T00:00:00"/>
    <x v="11"/>
    <s v="Kenneth Walter"/>
    <n v="50"/>
    <n v="50"/>
    <n v="0"/>
    <n v="43"/>
    <n v="2150"/>
  </r>
  <r>
    <s v="I-1867"/>
    <s v="Guangzhou"/>
    <s v="China"/>
    <s v="APAC"/>
    <d v="2014-09-17T00:00:00"/>
    <x v="3"/>
    <s v="Donald Higgs"/>
    <n v="50"/>
    <n v="42"/>
    <n v="0.16"/>
    <n v="35"/>
    <n v="1470"/>
  </r>
  <r>
    <s v="I-1868"/>
    <s v="Toronto"/>
    <s v="Canada"/>
    <s v="NA"/>
    <d v="2014-01-19T00:00:00"/>
    <x v="4"/>
    <s v="Michael Patel"/>
    <n v="30"/>
    <n v="21"/>
    <n v="0.3"/>
    <n v="42"/>
    <n v="882"/>
  </r>
  <r>
    <s v="I-1869"/>
    <s v="San Fransisco"/>
    <s v="USA"/>
    <s v="NA"/>
    <d v="2017-07-29T00:00:00"/>
    <x v="8"/>
    <s v="Gillan Clark"/>
    <n v="500"/>
    <n v="500"/>
    <n v="0"/>
    <n v="3"/>
    <n v="1500"/>
  </r>
  <r>
    <s v="I-1870"/>
    <s v="San Fransisco"/>
    <s v="USA"/>
    <s v="NA"/>
    <d v="2017-12-18T00:00:00"/>
    <x v="6"/>
    <s v="John Osborne"/>
    <n v="800"/>
    <n v="632"/>
    <n v="0.21"/>
    <n v="74"/>
    <n v="46768"/>
  </r>
  <r>
    <s v="I-1871"/>
    <s v="Tokyo"/>
    <s v="Japan"/>
    <s v="APAC"/>
    <d v="2017-02-26T00:00:00"/>
    <x v="11"/>
    <s v="Michelle Hunter"/>
    <n v="50"/>
    <n v="46"/>
    <n v="0.08"/>
    <n v="11"/>
    <n v="506"/>
  </r>
  <r>
    <s v="I-1872"/>
    <s v="Guangzhou"/>
    <s v="China"/>
    <s v="APAC"/>
    <d v="2017-10-16T00:00:00"/>
    <x v="3"/>
    <s v="Glenys Wright"/>
    <n v="50"/>
    <n v="48"/>
    <n v="0.04"/>
    <n v="91"/>
    <n v="4368"/>
  </r>
  <r>
    <s v="I-1873"/>
    <s v="Los Angeles"/>
    <s v="USA"/>
    <s v="NA"/>
    <d v="2015-08-24T00:00:00"/>
    <x v="6"/>
    <s v="Colin Matthews"/>
    <n v="800"/>
    <n v="528"/>
    <n v="0.34"/>
    <n v="86"/>
    <n v="45408"/>
  </r>
  <r>
    <s v="I-1874"/>
    <s v="Dublin"/>
    <s v="Ireland"/>
    <s v="EMEA"/>
    <d v="2016-01-09T00:00:00"/>
    <x v="11"/>
    <s v="John Curtis"/>
    <n v="50"/>
    <n v="47"/>
    <n v="0.06"/>
    <n v="28"/>
    <n v="1316"/>
  </r>
  <r>
    <s v="I-1875"/>
    <s v="Shanghai"/>
    <s v="China"/>
    <s v="APAC"/>
    <d v="2016-01-24T00:00:00"/>
    <x v="2"/>
    <s v="Glenys Raymond"/>
    <n v="150"/>
    <n v="129"/>
    <n v="0.14000000000000001"/>
    <n v="90"/>
    <n v="11610"/>
  </r>
  <r>
    <s v="I-1876"/>
    <s v="Buenos Aires"/>
    <s v="Argentina"/>
    <s v="LATAM"/>
    <d v="2014-11-24T00:00:00"/>
    <x v="1"/>
    <s v="Stuart Brown"/>
    <n v="700"/>
    <n v="581"/>
    <n v="0.17"/>
    <n v="44"/>
    <n v="25564"/>
  </r>
  <r>
    <s v="I-1877"/>
    <s v="Shanghai"/>
    <s v="China"/>
    <s v="APAC"/>
    <d v="2014-01-13T00:00:00"/>
    <x v="4"/>
    <s v="Craig Johnson"/>
    <n v="30"/>
    <n v="27"/>
    <n v="0.1"/>
    <n v="29"/>
    <n v="783"/>
  </r>
  <r>
    <s v="I-1878"/>
    <s v="Tokyo"/>
    <s v="Japan"/>
    <s v="APAC"/>
    <d v="2016-11-14T00:00:00"/>
    <x v="0"/>
    <s v="Nicholas Goude"/>
    <n v="80"/>
    <n v="75"/>
    <n v="6.25E-2"/>
    <n v="29"/>
    <n v="2175"/>
  </r>
  <r>
    <s v="I-1879"/>
    <s v="Tokyo"/>
    <s v="Japan"/>
    <s v="APAC"/>
    <d v="2017-10-15T00:00:00"/>
    <x v="6"/>
    <s v="Basil Bell"/>
    <n v="800"/>
    <n v="736"/>
    <n v="0.08"/>
    <n v="67"/>
    <n v="49312"/>
  </r>
  <r>
    <s v="I-1880"/>
    <s v="Seoul"/>
    <s v="South Korea"/>
    <s v="APAC"/>
    <d v="2017-03-31T00:00:00"/>
    <x v="7"/>
    <s v="Mark Brook"/>
    <n v="1000"/>
    <n v="880"/>
    <n v="0.12"/>
    <n v="33"/>
    <n v="29040"/>
  </r>
  <r>
    <s v="I-1881"/>
    <s v="Athens"/>
    <s v="Greece"/>
    <s v="EMEA"/>
    <d v="2014-08-22T00:00:00"/>
    <x v="3"/>
    <s v="Aidan Perrott"/>
    <n v="50"/>
    <n v="48"/>
    <n v="0.04"/>
    <n v="78"/>
    <n v="3744"/>
  </r>
  <r>
    <s v="I-1882"/>
    <s v="Mexico City"/>
    <s v="Mexico"/>
    <s v="LATAM"/>
    <d v="2016-09-15T00:00:00"/>
    <x v="11"/>
    <s v="Brendon Dyer"/>
    <n v="50"/>
    <n v="49"/>
    <n v="0.02"/>
    <n v="65"/>
    <n v="3185"/>
  </r>
  <r>
    <s v="I-1883"/>
    <s v="Lima"/>
    <s v="Peru"/>
    <s v="LATAM"/>
    <d v="2014-04-08T00:00:00"/>
    <x v="4"/>
    <s v="Jacqueline Swaine"/>
    <n v="30"/>
    <n v="27"/>
    <n v="0.1"/>
    <n v="68"/>
    <n v="1836"/>
  </r>
  <r>
    <s v="I-1884"/>
    <s v="Tel Aviv"/>
    <s v="Israel"/>
    <s v="EMEA"/>
    <d v="2018-11-19T00:00:00"/>
    <x v="7"/>
    <s v="Deanna Wang"/>
    <n v="1000"/>
    <n v="850"/>
    <n v="0.15"/>
    <n v="93"/>
    <n v="79050"/>
  </r>
  <r>
    <s v="I-1885"/>
    <s v="Buenos Aires"/>
    <s v="Argentina"/>
    <s v="LATAM"/>
    <d v="2017-04-30T00:00:00"/>
    <x v="7"/>
    <s v="Brendon Sykes"/>
    <n v="1000"/>
    <n v="560"/>
    <n v="0.44"/>
    <n v="2"/>
    <n v="1120"/>
  </r>
  <r>
    <s v="I-1886"/>
    <s v="Bangalore"/>
    <s v="India"/>
    <s v="APAC"/>
    <d v="2014-05-21T00:00:00"/>
    <x v="4"/>
    <s v="Colin Lima"/>
    <n v="30"/>
    <n v="25"/>
    <n v="0.16669999999999999"/>
    <n v="98"/>
    <n v="2450"/>
  </r>
  <r>
    <s v="I-1887"/>
    <s v="Osaka"/>
    <s v="Japan"/>
    <s v="APAC"/>
    <d v="2016-03-16T00:00:00"/>
    <x v="3"/>
    <s v="April Childs"/>
    <n v="50"/>
    <n v="46"/>
    <n v="0.08"/>
    <n v="8"/>
    <n v="368"/>
  </r>
  <r>
    <s v="I-1888"/>
    <s v="Mexico City"/>
    <s v="Mexico"/>
    <s v="LATAM"/>
    <d v="2015-01-02T00:00:00"/>
    <x v="5"/>
    <s v="Andrew Harris"/>
    <n v="500"/>
    <n v="305"/>
    <n v="0.39"/>
    <n v="55"/>
    <n v="16775"/>
  </r>
  <r>
    <s v="I-1889"/>
    <s v="Kuala Lumpur"/>
    <s v="Malaysia"/>
    <s v="APAC"/>
    <d v="2018-03-10T00:00:00"/>
    <x v="11"/>
    <s v="Trudi Griffin"/>
    <n v="50"/>
    <n v="48"/>
    <n v="0.04"/>
    <n v="7"/>
    <n v="336"/>
  </r>
  <r>
    <s v="I-1890"/>
    <s v="Prague"/>
    <s v="Czech Republic"/>
    <s v="EMEA"/>
    <d v="2018-02-19T00:00:00"/>
    <x v="5"/>
    <s v="Maureen Haymes"/>
    <n v="500"/>
    <n v="435"/>
    <n v="0.13"/>
    <n v="93"/>
    <n v="40455"/>
  </r>
  <r>
    <s v="I-1891"/>
    <s v="Istanbul"/>
    <s v="Turkey"/>
    <s v="EMEA"/>
    <d v="2018-01-14T00:00:00"/>
    <x v="8"/>
    <s v="Ian McCartan"/>
    <n v="500"/>
    <n v="500"/>
    <n v="0"/>
    <n v="80"/>
    <n v="40000"/>
  </r>
  <r>
    <s v="I-1892"/>
    <s v="Los Angeles"/>
    <s v="USA"/>
    <s v="NA"/>
    <d v="2016-09-23T00:00:00"/>
    <x v="9"/>
    <s v="Rita Jenkins"/>
    <n v="70"/>
    <n v="66"/>
    <n v="5.7099999999999998E-2"/>
    <n v="83"/>
    <n v="5478"/>
  </r>
  <r>
    <s v="I-1893"/>
    <s v="Sydney"/>
    <s v="Australia"/>
    <s v="APAC"/>
    <d v="2017-04-09T00:00:00"/>
    <x v="9"/>
    <s v="William Martin"/>
    <n v="70"/>
    <n v="70"/>
    <n v="0"/>
    <n v="6"/>
    <n v="420"/>
  </r>
  <r>
    <s v="I-1894"/>
    <s v="Delhi"/>
    <s v="India"/>
    <s v="APAC"/>
    <d v="2016-12-17T00:00:00"/>
    <x v="0"/>
    <s v="Gillian Harris"/>
    <n v="80"/>
    <n v="79"/>
    <n v="1.2500000000000001E-2"/>
    <n v="94"/>
    <n v="7426"/>
  </r>
  <r>
    <s v="I-1895"/>
    <s v="Paris"/>
    <s v="France"/>
    <s v="EMEA"/>
    <d v="2017-02-03T00:00:00"/>
    <x v="4"/>
    <s v="Caroline Eccles"/>
    <n v="30"/>
    <n v="28"/>
    <n v="6.6699999999999995E-2"/>
    <n v="17"/>
    <n v="476"/>
  </r>
  <r>
    <s v="I-1896"/>
    <s v="Paris"/>
    <s v="France"/>
    <s v="EMEA"/>
    <d v="2014-09-23T00:00:00"/>
    <x v="5"/>
    <s v="Christopher Griffith"/>
    <n v="500"/>
    <n v="485"/>
    <n v="0.03"/>
    <n v="51"/>
    <n v="24735"/>
  </r>
  <r>
    <s v="I-1897"/>
    <s v="Madria"/>
    <s v="Spain"/>
    <s v="EMEA"/>
    <d v="2016-02-13T00:00:00"/>
    <x v="9"/>
    <s v="Martin Mishra"/>
    <n v="70"/>
    <n v="67"/>
    <n v="4.2900000000000001E-2"/>
    <n v="58"/>
    <n v="3886"/>
  </r>
  <r>
    <s v="I-1898"/>
    <s v="Dublin"/>
    <s v="Ireland"/>
    <s v="EMEA"/>
    <d v="2017-05-09T00:00:00"/>
    <x v="2"/>
    <s v="James Carley"/>
    <n v="150"/>
    <n v="143"/>
    <n v="4.6699999999999998E-2"/>
    <n v="3"/>
    <n v="429"/>
  </r>
  <r>
    <s v="I-1899"/>
    <s v="Sydney"/>
    <s v="Australia"/>
    <s v="APAC"/>
    <d v="2017-02-09T00:00:00"/>
    <x v="7"/>
    <s v="William Martin"/>
    <n v="1000"/>
    <n v="570"/>
    <n v="0.43"/>
    <n v="52"/>
    <n v="29640"/>
  </r>
  <r>
    <s v="I-1900"/>
    <s v="Warsaw"/>
    <s v="Poland"/>
    <s v="EMEA"/>
    <d v="2018-07-22T00:00:00"/>
    <x v="10"/>
    <s v="David Grey"/>
    <n v="250"/>
    <n v="235"/>
    <n v="0.06"/>
    <n v="66"/>
    <n v="15510"/>
  </r>
  <r>
    <s v="I-1901"/>
    <s v="Cairo"/>
    <s v="Egypt"/>
    <s v="EMEA"/>
    <d v="2014-11-16T00:00:00"/>
    <x v="6"/>
    <s v="Valerie Pereira"/>
    <n v="800"/>
    <n v="760"/>
    <n v="0.05"/>
    <n v="100"/>
    <n v="76000"/>
  </r>
  <r>
    <s v="I-1902"/>
    <s v="Jerusalem"/>
    <s v="Israel"/>
    <s v="EMEA"/>
    <d v="2015-03-11T00:00:00"/>
    <x v="4"/>
    <s v="William Collins"/>
    <n v="30"/>
    <n v="23"/>
    <n v="0.23330000000000001"/>
    <n v="33"/>
    <n v="759"/>
  </r>
  <r>
    <s v="I-1903"/>
    <s v="New York"/>
    <s v="USA"/>
    <s v="NA"/>
    <d v="2018-11-03T00:00:00"/>
    <x v="4"/>
    <s v="Ian Coates"/>
    <n v="30"/>
    <n v="26"/>
    <n v="0.1333"/>
    <n v="13"/>
    <n v="338"/>
  </r>
  <r>
    <s v="I-1904"/>
    <s v="Shenzhen"/>
    <s v="China"/>
    <s v="APAC"/>
    <d v="2014-04-10T00:00:00"/>
    <x v="9"/>
    <s v="Phillip Humphreys"/>
    <n v="70"/>
    <n v="57"/>
    <n v="0.1857"/>
    <n v="44"/>
    <n v="2508"/>
  </r>
  <r>
    <s v="I-1905"/>
    <s v="Istanbul"/>
    <s v="Turkey"/>
    <s v="EMEA"/>
    <d v="2017-05-22T00:00:00"/>
    <x v="6"/>
    <s v="Francis Hall"/>
    <n v="800"/>
    <n v="512"/>
    <n v="0.36"/>
    <n v="88"/>
    <n v="45056"/>
  </r>
  <r>
    <s v="I-1906"/>
    <s v="Sydney"/>
    <s v="Australia"/>
    <s v="APAC"/>
    <d v="2017-02-20T00:00:00"/>
    <x v="8"/>
    <s v="Stephen Neville"/>
    <n v="500"/>
    <n v="500"/>
    <n v="0"/>
    <n v="73"/>
    <n v="36500"/>
  </r>
  <r>
    <s v="I-1907"/>
    <s v="San Fransisco"/>
    <s v="USA"/>
    <s v="NA"/>
    <d v="2018-01-23T00:00:00"/>
    <x v="1"/>
    <s v="Robert Tattersall"/>
    <n v="700"/>
    <n v="609"/>
    <n v="0.13"/>
    <n v="30"/>
    <n v="18270"/>
  </r>
  <r>
    <s v="I-1908"/>
    <s v="Vienna"/>
    <s v="Austria"/>
    <s v="EMEA"/>
    <d v="2018-12-04T00:00:00"/>
    <x v="3"/>
    <s v="Paul Munday"/>
    <n v="50"/>
    <n v="48"/>
    <n v="0.04"/>
    <n v="18"/>
    <n v="864"/>
  </r>
  <r>
    <s v="I-1909"/>
    <s v="San Fransisco"/>
    <s v="USA"/>
    <s v="NA"/>
    <d v="2018-01-05T00:00:00"/>
    <x v="4"/>
    <s v="Arthur Carley"/>
    <n v="30"/>
    <n v="26"/>
    <n v="0.1333"/>
    <n v="26"/>
    <n v="676"/>
  </r>
  <r>
    <s v="I-1910"/>
    <s v="Mexico City"/>
    <s v="Mexico"/>
    <s v="LATAM"/>
    <d v="2014-04-25T00:00:00"/>
    <x v="8"/>
    <s v="Jacqueline Green"/>
    <n v="500"/>
    <n v="500"/>
    <n v="0"/>
    <n v="38"/>
    <n v="19000"/>
  </r>
  <r>
    <s v="I-1911"/>
    <s v="Bangkok"/>
    <s v="Thailand"/>
    <s v="APAC"/>
    <d v="2016-09-27T00:00:00"/>
    <x v="6"/>
    <s v="John Jenkins"/>
    <n v="800"/>
    <n v="664"/>
    <n v="0.17"/>
    <n v="68"/>
    <n v="45152"/>
  </r>
  <r>
    <s v="I-1912"/>
    <s v="Bucharest"/>
    <s v="Romania"/>
    <s v="EMEA"/>
    <d v="2018-02-11T00:00:00"/>
    <x v="1"/>
    <s v="Geoffrey Shiner"/>
    <n v="700"/>
    <n v="679"/>
    <n v="0.03"/>
    <n v="49"/>
    <n v="33271"/>
  </r>
  <r>
    <s v="I-1913"/>
    <s v="Seattle"/>
    <s v="USA"/>
    <s v="NA"/>
    <d v="2014-04-29T00:00:00"/>
    <x v="10"/>
    <s v="Heather Donald"/>
    <n v="250"/>
    <n v="198"/>
    <n v="0.20799999999999999"/>
    <n v="51"/>
    <n v="10098"/>
  </r>
  <r>
    <s v="I-1914"/>
    <s v="Buenos Aires"/>
    <s v="Argentina"/>
    <s v="LATAM"/>
    <d v="2015-04-30T00:00:00"/>
    <x v="8"/>
    <s v="Naeem Perry"/>
    <n v="500"/>
    <n v="500"/>
    <n v="0"/>
    <n v="89"/>
    <n v="44500"/>
  </r>
  <r>
    <s v="I-1915"/>
    <s v="London"/>
    <s v="UK"/>
    <s v="EMEA"/>
    <d v="2014-12-06T00:00:00"/>
    <x v="8"/>
    <s v="Ian Borowski"/>
    <n v="500"/>
    <n v="500"/>
    <n v="0"/>
    <n v="78"/>
    <n v="39000"/>
  </r>
  <r>
    <s v="I-1916"/>
    <s v="Mexico City"/>
    <s v="Mexico"/>
    <s v="LATAM"/>
    <d v="2015-01-29T00:00:00"/>
    <x v="5"/>
    <s v="James Anthony"/>
    <n v="500"/>
    <n v="450"/>
    <n v="0.1"/>
    <n v="78"/>
    <n v="35100"/>
  </r>
  <r>
    <s v="I-1917"/>
    <s v="Paris"/>
    <s v="France"/>
    <s v="EMEA"/>
    <d v="2017-04-03T00:00:00"/>
    <x v="4"/>
    <s v="Caroline Eccles"/>
    <n v="30"/>
    <n v="29"/>
    <n v="3.3300000000000003E-2"/>
    <n v="52"/>
    <n v="1508"/>
  </r>
  <r>
    <s v="I-1918"/>
    <s v="Los Angeles"/>
    <s v="USA"/>
    <s v="NA"/>
    <d v="2015-12-30T00:00:00"/>
    <x v="8"/>
    <s v="Colin Matthews"/>
    <n v="500"/>
    <n v="500"/>
    <n v="0"/>
    <n v="56"/>
    <n v="28000"/>
  </r>
  <r>
    <s v="I-1919"/>
    <s v="Riyadh"/>
    <s v="Saudi Arabia"/>
    <s v="EMEA"/>
    <d v="2017-08-20T00:00:00"/>
    <x v="10"/>
    <s v="John Craig"/>
    <n v="250"/>
    <n v="225"/>
    <n v="0.1"/>
    <n v="32"/>
    <n v="7200"/>
  </r>
  <r>
    <s v="I-1920"/>
    <s v="Moscow"/>
    <s v="Russia"/>
    <s v="EMEA"/>
    <d v="2015-09-17T00:00:00"/>
    <x v="0"/>
    <s v="Darren Brooks"/>
    <n v="80"/>
    <n v="78"/>
    <n v="2.5000000000000001E-2"/>
    <n v="23"/>
    <n v="1794"/>
  </r>
  <r>
    <s v="I-1921"/>
    <s v="Istanbul"/>
    <s v="Turkey"/>
    <s v="EMEA"/>
    <d v="2015-11-16T00:00:00"/>
    <x v="11"/>
    <s v="Mark Buntain"/>
    <n v="50"/>
    <n v="32"/>
    <n v="0.36"/>
    <n v="8"/>
    <n v="256"/>
  </r>
  <r>
    <s v="I-1922"/>
    <s v="Dubai"/>
    <s v="UAE"/>
    <s v="EMEA"/>
    <d v="2014-12-02T00:00:00"/>
    <x v="11"/>
    <s v="Peter Kelly"/>
    <n v="50"/>
    <n v="41"/>
    <n v="0.18"/>
    <n v="72"/>
    <n v="2952"/>
  </r>
  <r>
    <s v="I-1923"/>
    <s v="Sao Paolo"/>
    <s v="Brazil"/>
    <s v="LATAM"/>
    <d v="2018-06-14T00:00:00"/>
    <x v="9"/>
    <s v="Elizabeth Holloway"/>
    <n v="70"/>
    <n v="60"/>
    <n v="0.1429"/>
    <n v="37"/>
    <n v="2220"/>
  </r>
  <r>
    <s v="I-1924"/>
    <s v="Osaka"/>
    <s v="Japan"/>
    <s v="APAC"/>
    <d v="2014-04-12T00:00:00"/>
    <x v="9"/>
    <s v="Peter Walker"/>
    <n v="70"/>
    <n v="69"/>
    <n v="1.43E-2"/>
    <n v="33"/>
    <n v="2277"/>
  </r>
  <r>
    <s v="I-1925"/>
    <s v="London"/>
    <s v="UK"/>
    <s v="EMEA"/>
    <d v="2018-07-08T00:00:00"/>
    <x v="5"/>
    <s v="Ian Borowski"/>
    <n v="500"/>
    <n v="490"/>
    <n v="0.02"/>
    <n v="26"/>
    <n v="12740"/>
  </r>
  <r>
    <s v="I-1926"/>
    <s v="Osaka"/>
    <s v="Japan"/>
    <s v="APAC"/>
    <d v="2018-02-02T00:00:00"/>
    <x v="9"/>
    <s v="Kenneth Walter"/>
    <n v="70"/>
    <n v="69"/>
    <n v="1.43E-2"/>
    <n v="67"/>
    <n v="4623"/>
  </r>
  <r>
    <s v="I-1927"/>
    <s v="Capetown"/>
    <s v="South Africa"/>
    <s v="EMEA"/>
    <d v="2018-07-09T00:00:00"/>
    <x v="7"/>
    <s v="Nicholas Holloway"/>
    <n v="1000"/>
    <n v="640"/>
    <n v="0.36"/>
    <n v="81"/>
    <n v="51840"/>
  </r>
  <r>
    <s v="I-1928"/>
    <s v="Bangkok"/>
    <s v="Thailand"/>
    <s v="APAC"/>
    <d v="2014-10-29T00:00:00"/>
    <x v="7"/>
    <s v="Mary Mitchell"/>
    <n v="1000"/>
    <n v="1000"/>
    <n v="0"/>
    <n v="53"/>
    <n v="53000"/>
  </r>
  <r>
    <s v="I-1929"/>
    <s v="Madria"/>
    <s v="Spain"/>
    <s v="EMEA"/>
    <d v="2018-08-02T00:00:00"/>
    <x v="0"/>
    <s v="Catherine Gagg"/>
    <n v="80"/>
    <n v="70"/>
    <n v="0.125"/>
    <n v="43"/>
    <n v="3010"/>
  </r>
  <r>
    <s v="I-1930"/>
    <s v="Lima"/>
    <s v="Peru"/>
    <s v="LATAM"/>
    <d v="2017-12-24T00:00:00"/>
    <x v="2"/>
    <s v="Rachel Howard"/>
    <n v="150"/>
    <n v="135"/>
    <n v="0.1"/>
    <n v="38"/>
    <n v="5130"/>
  </r>
  <r>
    <s v="I-1931"/>
    <s v="Amsterdam"/>
    <s v="Netherlands"/>
    <s v="EMEA"/>
    <d v="2018-08-01T00:00:00"/>
    <x v="1"/>
    <s v="Allyson Parker"/>
    <n v="700"/>
    <n v="623"/>
    <n v="0.11"/>
    <n v="22"/>
    <n v="13706"/>
  </r>
  <r>
    <s v="I-1932"/>
    <s v="Athens"/>
    <s v="Greece"/>
    <s v="EMEA"/>
    <d v="2016-06-28T00:00:00"/>
    <x v="10"/>
    <s v="Alexander Rowntree"/>
    <n v="250"/>
    <n v="245"/>
    <n v="0.02"/>
    <n v="23"/>
    <n v="5635"/>
  </r>
  <r>
    <s v="I-1933"/>
    <s v="Cairo"/>
    <s v="Egypt"/>
    <s v="EMEA"/>
    <d v="2017-01-13T00:00:00"/>
    <x v="5"/>
    <s v="Marek Kwiatkowski"/>
    <n v="500"/>
    <n v="500"/>
    <n v="0"/>
    <n v="42"/>
    <n v="21000"/>
  </r>
  <r>
    <s v="I-1934"/>
    <s v="Paris"/>
    <s v="France"/>
    <s v="EMEA"/>
    <d v="2017-05-18T00:00:00"/>
    <x v="1"/>
    <s v="Melanie Fletcher"/>
    <n v="700"/>
    <n v="700"/>
    <n v="0"/>
    <n v="21"/>
    <n v="14700"/>
  </r>
  <r>
    <s v="I-1935"/>
    <s v="Capetown"/>
    <s v="South Africa"/>
    <s v="EMEA"/>
    <d v="2017-06-27T00:00:00"/>
    <x v="5"/>
    <s v="Thomas Davies"/>
    <n v="500"/>
    <n v="480"/>
    <n v="0.04"/>
    <n v="46"/>
    <n v="22080"/>
  </r>
  <r>
    <s v="I-1936"/>
    <s v="Capetown"/>
    <s v="South Africa"/>
    <s v="EMEA"/>
    <d v="2018-02-09T00:00:00"/>
    <x v="10"/>
    <s v="Lucy Downs"/>
    <n v="250"/>
    <n v="243"/>
    <n v="2.8000000000000001E-2"/>
    <n v="24"/>
    <n v="5832"/>
  </r>
  <r>
    <s v="I-1937"/>
    <s v="Tijuana"/>
    <s v="Mexico"/>
    <s v="LATAM"/>
    <d v="2017-02-17T00:00:00"/>
    <x v="7"/>
    <s v="Emily Brierley"/>
    <n v="1000"/>
    <n v="950"/>
    <n v="0.05"/>
    <n v="50"/>
    <n v="47500"/>
  </r>
  <r>
    <s v="I-1938"/>
    <s v="Jerusalem"/>
    <s v="Israel"/>
    <s v="EMEA"/>
    <d v="2017-03-05T00:00:00"/>
    <x v="11"/>
    <s v="David Hubble"/>
    <n v="50"/>
    <n v="47"/>
    <n v="0.06"/>
    <n v="45"/>
    <n v="2115"/>
  </r>
  <r>
    <s v="I-1939"/>
    <s v="Los Angeles"/>
    <s v="USA"/>
    <s v="NA"/>
    <d v="2014-09-28T00:00:00"/>
    <x v="4"/>
    <s v="Chandrakant Atkins"/>
    <n v="30"/>
    <n v="27"/>
    <n v="0.1"/>
    <n v="43"/>
    <n v="1161"/>
  </r>
  <r>
    <s v="I-1940"/>
    <s v="Madria"/>
    <s v="Spain"/>
    <s v="EMEA"/>
    <d v="2018-03-21T00:00:00"/>
    <x v="4"/>
    <s v="Roy Nunes"/>
    <n v="30"/>
    <n v="29"/>
    <n v="3.3300000000000003E-2"/>
    <n v="48"/>
    <n v="1392"/>
  </r>
  <r>
    <s v="I-1941"/>
    <s v="Bucharest"/>
    <s v="Romania"/>
    <s v="EMEA"/>
    <d v="2018-10-31T00:00:00"/>
    <x v="0"/>
    <s v="Dell Lockwood"/>
    <n v="80"/>
    <n v="76"/>
    <n v="0.05"/>
    <n v="22"/>
    <n v="1672"/>
  </r>
  <r>
    <s v="I-1942"/>
    <s v="Bucharest"/>
    <s v="Romania"/>
    <s v="EMEA"/>
    <d v="2018-01-05T00:00:00"/>
    <x v="9"/>
    <s v="Alan Grant"/>
    <n v="70"/>
    <n v="69"/>
    <n v="1.43E-2"/>
    <n v="65"/>
    <n v="4485"/>
  </r>
  <r>
    <s v="I-1943"/>
    <s v="Seattle"/>
    <s v="USA"/>
    <s v="NA"/>
    <d v="2016-01-15T00:00:00"/>
    <x v="0"/>
    <s v="Richard Anderson"/>
    <n v="80"/>
    <n v="76"/>
    <n v="0.05"/>
    <n v="66"/>
    <n v="5016"/>
  </r>
  <r>
    <s v="I-1944"/>
    <s v="Tel Aviv"/>
    <s v="Israel"/>
    <s v="EMEA"/>
    <d v="2015-10-26T00:00:00"/>
    <x v="5"/>
    <s v="Richard McGrath"/>
    <n v="500"/>
    <n v="430"/>
    <n v="0.14000000000000001"/>
    <n v="81"/>
    <n v="34830"/>
  </r>
  <r>
    <s v="I-1945"/>
    <s v="Capetown"/>
    <s v="South Africa"/>
    <s v="EMEA"/>
    <d v="2018-05-15T00:00:00"/>
    <x v="4"/>
    <s v="Stuart Anderson"/>
    <n v="30"/>
    <n v="28"/>
    <n v="6.6699999999999995E-2"/>
    <n v="87"/>
    <n v="2436"/>
  </r>
  <r>
    <s v="I-1946"/>
    <s v="Tokyo"/>
    <s v="Japan"/>
    <s v="APAC"/>
    <d v="2016-10-18T00:00:00"/>
    <x v="3"/>
    <s v="Rose Rowntree"/>
    <n v="50"/>
    <n v="45"/>
    <n v="0.1"/>
    <n v="19"/>
    <n v="855"/>
  </r>
  <r>
    <s v="I-1947"/>
    <s v="Tokyo"/>
    <s v="Japan"/>
    <s v="APAC"/>
    <d v="2014-02-15T00:00:00"/>
    <x v="9"/>
    <s v="Rachel Deignan"/>
    <n v="70"/>
    <n v="57"/>
    <n v="0.1857"/>
    <n v="66"/>
    <n v="3762"/>
  </r>
  <r>
    <s v="I-1948"/>
    <s v="Buenos Aires"/>
    <s v="Argentina"/>
    <s v="LATAM"/>
    <d v="2016-06-23T00:00:00"/>
    <x v="7"/>
    <s v="Simon Snape"/>
    <n v="1000"/>
    <n v="730"/>
    <n v="0.27"/>
    <n v="95"/>
    <n v="69350"/>
  </r>
  <r>
    <s v="I-1949"/>
    <s v="Bogota"/>
    <s v="Colombia"/>
    <s v="LATAM"/>
    <d v="2017-06-21T00:00:00"/>
    <x v="7"/>
    <s v="Russell Thorley"/>
    <n v="1000"/>
    <n v="710"/>
    <n v="0.28999999999999998"/>
    <n v="6"/>
    <n v="4260"/>
  </r>
  <r>
    <s v="I-1950"/>
    <s v="London"/>
    <s v="UK"/>
    <s v="EMEA"/>
    <d v="2017-08-01T00:00:00"/>
    <x v="5"/>
    <s v="Philip Dewar"/>
    <n v="500"/>
    <n v="500"/>
    <n v="0"/>
    <n v="65"/>
    <n v="32500"/>
  </r>
  <r>
    <s v="I-1951"/>
    <s v="Bogota"/>
    <s v="Colombia"/>
    <s v="LATAM"/>
    <d v="2017-05-13T00:00:00"/>
    <x v="1"/>
    <s v="Shelley Mannix"/>
    <n v="700"/>
    <n v="693"/>
    <n v="0.01"/>
    <n v="77"/>
    <n v="53361"/>
  </r>
  <r>
    <s v="I-1952"/>
    <s v="New York"/>
    <s v="USA"/>
    <s v="NA"/>
    <d v="2014-12-15T00:00:00"/>
    <x v="0"/>
    <s v="Barbara Turner"/>
    <n v="80"/>
    <n v="56"/>
    <n v="0.3"/>
    <n v="88"/>
    <n v="4928"/>
  </r>
  <r>
    <s v="I-1953"/>
    <s v="Guangzhou"/>
    <s v="China"/>
    <s v="APAC"/>
    <d v="2014-06-23T00:00:00"/>
    <x v="4"/>
    <s v="Mark Searle"/>
    <n v="30"/>
    <n v="27"/>
    <n v="0.1"/>
    <n v="3"/>
    <n v="81"/>
  </r>
  <r>
    <s v="I-1954"/>
    <s v="Mexico City"/>
    <s v="Mexico"/>
    <s v="LATAM"/>
    <d v="2014-06-17T00:00:00"/>
    <x v="9"/>
    <s v="Malcolm Griffith"/>
    <n v="70"/>
    <n v="67"/>
    <n v="4.2900000000000001E-2"/>
    <n v="55"/>
    <n v="3685"/>
  </r>
  <r>
    <s v="I-1955"/>
    <s v="New York"/>
    <s v="USA"/>
    <s v="NA"/>
    <d v="2015-11-18T00:00:00"/>
    <x v="11"/>
    <s v="Robert Salisbury"/>
    <n v="50"/>
    <n v="33"/>
    <n v="0.34"/>
    <n v="58"/>
    <n v="1914"/>
  </r>
  <r>
    <s v="I-1956"/>
    <s v="Kuala Lumpur"/>
    <s v="Malaysia"/>
    <s v="APAC"/>
    <d v="2014-08-25T00:00:00"/>
    <x v="0"/>
    <s v="Harold Lunn"/>
    <n v="80"/>
    <n v="78"/>
    <n v="2.5000000000000001E-2"/>
    <n v="31"/>
    <n v="2418"/>
  </r>
  <r>
    <s v="I-1957"/>
    <s v="Tijuana"/>
    <s v="Mexico"/>
    <s v="LATAM"/>
    <d v="2015-02-16T00:00:00"/>
    <x v="3"/>
    <s v="Gillian Allnutt"/>
    <n v="50"/>
    <n v="49"/>
    <n v="0.02"/>
    <n v="25"/>
    <n v="1225"/>
  </r>
  <r>
    <s v="I-1958"/>
    <s v="Warsaw"/>
    <s v="Poland"/>
    <s v="EMEA"/>
    <d v="2018-02-13T00:00:00"/>
    <x v="0"/>
    <s v="Gary Mistry"/>
    <n v="80"/>
    <n v="69"/>
    <n v="0.13750000000000001"/>
    <n v="96"/>
    <n v="6624"/>
  </r>
  <r>
    <s v="I-1959"/>
    <s v="Dubai"/>
    <s v="UAE"/>
    <s v="EMEA"/>
    <d v="2015-09-11T00:00:00"/>
    <x v="11"/>
    <s v="Ernie Dyer"/>
    <n v="50"/>
    <n v="32"/>
    <n v="0.36"/>
    <n v="7"/>
    <n v="224"/>
  </r>
  <r>
    <s v="I-1960"/>
    <s v="Tijuana"/>
    <s v="Mexico"/>
    <s v="LATAM"/>
    <d v="2016-01-09T00:00:00"/>
    <x v="7"/>
    <s v="Stephen Carlin"/>
    <n v="1000"/>
    <n v="580"/>
    <n v="0.42"/>
    <n v="37"/>
    <n v="21460"/>
  </r>
  <r>
    <s v="I-1961"/>
    <s v="Madria"/>
    <s v="Spain"/>
    <s v="EMEA"/>
    <d v="2016-06-25T00:00:00"/>
    <x v="1"/>
    <s v="Howard Jones"/>
    <n v="700"/>
    <n v="609"/>
    <n v="0.13"/>
    <n v="84"/>
    <n v="51156"/>
  </r>
  <r>
    <s v="I-1962"/>
    <s v="Paris"/>
    <s v="France"/>
    <s v="EMEA"/>
    <d v="2017-04-10T00:00:00"/>
    <x v="5"/>
    <s v="Caroline Eccles"/>
    <n v="500"/>
    <n v="480"/>
    <n v="0.04"/>
    <n v="42"/>
    <n v="20160"/>
  </r>
  <r>
    <s v="I-1963"/>
    <s v="Tel Aviv"/>
    <s v="Israel"/>
    <s v="EMEA"/>
    <d v="2016-09-13T00:00:00"/>
    <x v="11"/>
    <s v="David Isaacs"/>
    <n v="50"/>
    <n v="45"/>
    <n v="0.1"/>
    <n v="5"/>
    <n v="225"/>
  </r>
  <r>
    <s v="I-1964"/>
    <s v="Osaka"/>
    <s v="Japan"/>
    <s v="APAC"/>
    <d v="2016-06-09T00:00:00"/>
    <x v="3"/>
    <s v="Neil McAvoy"/>
    <n v="50"/>
    <n v="37"/>
    <n v="0.26"/>
    <n v="64"/>
    <n v="2368"/>
  </r>
  <r>
    <s v="I-1965"/>
    <s v="Birmingham"/>
    <s v="UK"/>
    <s v="EMEA"/>
    <d v="2016-06-10T00:00:00"/>
    <x v="5"/>
    <s v="Johanna Collins"/>
    <n v="500"/>
    <n v="455"/>
    <n v="0.09"/>
    <n v="32"/>
    <n v="14560"/>
  </r>
  <r>
    <s v="I-1966"/>
    <s v="Riyadh"/>
    <s v="Saudi Arabia"/>
    <s v="EMEA"/>
    <d v="2016-09-03T00:00:00"/>
    <x v="11"/>
    <s v="Jodie Fairhurst"/>
    <n v="50"/>
    <n v="43"/>
    <n v="0.14000000000000001"/>
    <n v="71"/>
    <n v="3053"/>
  </r>
  <r>
    <s v="I-1967"/>
    <s v="London"/>
    <s v="UK"/>
    <s v="EMEA"/>
    <d v="2017-10-06T00:00:00"/>
    <x v="7"/>
    <s v="Ian Borowski"/>
    <n v="1000"/>
    <n v="780"/>
    <n v="0.22"/>
    <n v="59"/>
    <n v="46020"/>
  </r>
  <r>
    <s v="I-1968"/>
    <s v="Cairo"/>
    <s v="Egypt"/>
    <s v="EMEA"/>
    <d v="2017-09-17T00:00:00"/>
    <x v="7"/>
    <s v="David Amos"/>
    <n v="1000"/>
    <n v="670"/>
    <n v="0.33"/>
    <n v="14"/>
    <n v="9380"/>
  </r>
  <r>
    <s v="I-1969"/>
    <s v="Toronto"/>
    <s v="Canada"/>
    <s v="NA"/>
    <d v="2015-10-14T00:00:00"/>
    <x v="0"/>
    <s v="Jordan Andrews"/>
    <n v="80"/>
    <n v="77"/>
    <n v="3.7499999999999999E-2"/>
    <n v="68"/>
    <n v="5236"/>
  </r>
  <r>
    <s v="I-1970"/>
    <s v="Tijuana"/>
    <s v="Mexico"/>
    <s v="LATAM"/>
    <d v="2017-09-03T00:00:00"/>
    <x v="4"/>
    <s v="Ryan Pearce"/>
    <n v="30"/>
    <n v="29"/>
    <n v="3.3300000000000003E-2"/>
    <n v="23"/>
    <n v="667"/>
  </r>
  <r>
    <s v="I-1971"/>
    <s v="Tokyo"/>
    <s v="Japan"/>
    <s v="APAC"/>
    <d v="2014-04-16T00:00:00"/>
    <x v="10"/>
    <s v="Ken Mishra"/>
    <n v="250"/>
    <n v="225"/>
    <n v="0.1"/>
    <n v="89"/>
    <n v="20025"/>
  </r>
  <r>
    <s v="I-1972"/>
    <s v="Berlin"/>
    <s v="Germany"/>
    <s v="EMEA"/>
    <d v="2018-09-11T00:00:00"/>
    <x v="10"/>
    <s v="Jacqueline Clamp"/>
    <n v="250"/>
    <n v="228"/>
    <n v="8.7999999999999995E-2"/>
    <n v="69"/>
    <n v="15732"/>
  </r>
  <r>
    <s v="I-1973"/>
    <s v="Vienna"/>
    <s v="Austria"/>
    <s v="EMEA"/>
    <d v="2014-07-04T00:00:00"/>
    <x v="10"/>
    <s v="Paul Drage"/>
    <n v="250"/>
    <n v="225"/>
    <n v="0.1"/>
    <n v="33"/>
    <n v="7425"/>
  </r>
  <r>
    <s v="I-1974"/>
    <s v="Vienna"/>
    <s v="Austria"/>
    <s v="EMEA"/>
    <d v="2017-10-23T00:00:00"/>
    <x v="4"/>
    <s v="Paul Munday"/>
    <n v="30"/>
    <n v="28"/>
    <n v="6.6699999999999995E-2"/>
    <n v="86"/>
    <n v="2408"/>
  </r>
  <r>
    <s v="I-1975"/>
    <s v="Toronto"/>
    <s v="Canada"/>
    <s v="NA"/>
    <d v="2018-11-09T00:00:00"/>
    <x v="0"/>
    <s v="Alison Storey"/>
    <n v="80"/>
    <n v="72"/>
    <n v="0.1"/>
    <n v="39"/>
    <n v="2808"/>
  </r>
  <r>
    <s v="I-1976"/>
    <s v="Shanghai"/>
    <s v="China"/>
    <s v="APAC"/>
    <d v="2014-07-01T00:00:00"/>
    <x v="9"/>
    <s v="Jonathan Will"/>
    <n v="70"/>
    <n v="62"/>
    <n v="0.1143"/>
    <n v="99"/>
    <n v="6138"/>
  </r>
  <r>
    <s v="I-1977"/>
    <s v="Prague"/>
    <s v="Czech Republic"/>
    <s v="EMEA"/>
    <d v="2018-01-06T00:00:00"/>
    <x v="11"/>
    <s v="Christopher Lloyd"/>
    <n v="50"/>
    <n v="31"/>
    <n v="0.38"/>
    <n v="32"/>
    <n v="992"/>
  </r>
  <r>
    <s v="I-1978"/>
    <s v="Warsaw"/>
    <s v="Poland"/>
    <s v="EMEA"/>
    <d v="2015-06-04T00:00:00"/>
    <x v="10"/>
    <s v="Valerie Brown"/>
    <n v="250"/>
    <n v="190"/>
    <n v="0.24"/>
    <n v="51"/>
    <n v="9690"/>
  </r>
  <r>
    <s v="I-1979"/>
    <s v="Ho Chi Minh City"/>
    <s v="Vietnam"/>
    <s v="APAC"/>
    <d v="2016-04-17T00:00:00"/>
    <x v="0"/>
    <s v="Michael Bell"/>
    <n v="80"/>
    <n v="78"/>
    <n v="2.5000000000000001E-2"/>
    <n v="35"/>
    <n v="2730"/>
  </r>
  <r>
    <s v="I-1980"/>
    <s v="Osaka"/>
    <s v="Japan"/>
    <s v="APAC"/>
    <d v="2014-02-27T00:00:00"/>
    <x v="1"/>
    <s v="Selwyn Kitching"/>
    <n v="700"/>
    <n v="651"/>
    <n v="7.0000000000000007E-2"/>
    <n v="30"/>
    <n v="19530"/>
  </r>
  <r>
    <s v="I-1981"/>
    <s v="Vienna"/>
    <s v="Austria"/>
    <s v="EMEA"/>
    <d v="2018-01-27T00:00:00"/>
    <x v="0"/>
    <s v="Raymond Denning"/>
    <n v="80"/>
    <n v="70"/>
    <n v="0.125"/>
    <n v="54"/>
    <n v="3780"/>
  </r>
  <r>
    <s v="I-1982"/>
    <s v="San Fransisco"/>
    <s v="USA"/>
    <s v="NA"/>
    <d v="2014-09-20T00:00:00"/>
    <x v="9"/>
    <s v="Saffron Cruse"/>
    <n v="70"/>
    <n v="64"/>
    <n v="8.5699999999999998E-2"/>
    <n v="20"/>
    <n v="1280"/>
  </r>
  <r>
    <s v="I-1983"/>
    <s v="Athens"/>
    <s v="Greece"/>
    <s v="EMEA"/>
    <d v="2018-06-21T00:00:00"/>
    <x v="4"/>
    <s v="Martin Timmins"/>
    <n v="30"/>
    <n v="30"/>
    <n v="0"/>
    <n v="3"/>
    <n v="90"/>
  </r>
  <r>
    <s v="I-1984"/>
    <s v="Bangalore"/>
    <s v="India"/>
    <s v="APAC"/>
    <d v="2014-11-24T00:00:00"/>
    <x v="8"/>
    <s v="Stuart Hunter"/>
    <n v="500"/>
    <n v="490"/>
    <n v="0.02"/>
    <n v="62"/>
    <n v="30380"/>
  </r>
  <r>
    <s v="I-1985"/>
    <s v="Paris"/>
    <s v="France"/>
    <s v="EMEA"/>
    <d v="2017-10-10T00:00:00"/>
    <x v="2"/>
    <s v="Barry Smith"/>
    <n v="150"/>
    <n v="138"/>
    <n v="0.08"/>
    <n v="61"/>
    <n v="8418"/>
  </r>
  <r>
    <s v="I-1986"/>
    <s v="Bogota"/>
    <s v="Colombia"/>
    <s v="LATAM"/>
    <d v="2017-10-04T00:00:00"/>
    <x v="10"/>
    <s v="David Finnie"/>
    <n v="250"/>
    <n v="235"/>
    <n v="0.06"/>
    <n v="75"/>
    <n v="17625"/>
  </r>
  <r>
    <s v="I-1987"/>
    <s v="Shenzhen"/>
    <s v="China"/>
    <s v="APAC"/>
    <d v="2015-04-18T00:00:00"/>
    <x v="8"/>
    <s v="Edward Jenkins"/>
    <n v="500"/>
    <n v="500"/>
    <n v="0"/>
    <n v="97"/>
    <n v="48500"/>
  </r>
  <r>
    <s v="I-1988"/>
    <s v="Tel Aviv"/>
    <s v="Israel"/>
    <s v="EMEA"/>
    <d v="2017-01-29T00:00:00"/>
    <x v="6"/>
    <s v="Frances Weller"/>
    <n v="800"/>
    <n v="616"/>
    <n v="0.23"/>
    <n v="32"/>
    <n v="19712"/>
  </r>
  <r>
    <s v="I-1989"/>
    <s v="Dubai"/>
    <s v="UAE"/>
    <s v="EMEA"/>
    <d v="2016-10-28T00:00:00"/>
    <x v="6"/>
    <s v="Brenda Lightfoot"/>
    <n v="800"/>
    <n v="664"/>
    <n v="0.17"/>
    <n v="58"/>
    <n v="38512"/>
  </r>
  <r>
    <s v="I-1990"/>
    <s v="Jerusalem"/>
    <s v="Israel"/>
    <s v="EMEA"/>
    <d v="2014-03-28T00:00:00"/>
    <x v="8"/>
    <s v="Fiona Johnson"/>
    <n v="500"/>
    <n v="500"/>
    <n v="0"/>
    <n v="39"/>
    <n v="19500"/>
  </r>
  <r>
    <s v="I-1991"/>
    <s v="Dubai"/>
    <s v="UAE"/>
    <s v="EMEA"/>
    <d v="2017-10-11T00:00:00"/>
    <x v="3"/>
    <s v="Roy Connelly"/>
    <n v="50"/>
    <n v="46"/>
    <n v="0.08"/>
    <n v="18"/>
    <n v="828"/>
  </r>
  <r>
    <s v="I-1992"/>
    <s v="Shenzhen"/>
    <s v="China"/>
    <s v="APAC"/>
    <d v="2016-01-16T00:00:00"/>
    <x v="2"/>
    <s v="Caroline Gee"/>
    <n v="150"/>
    <n v="138"/>
    <n v="0.08"/>
    <n v="72"/>
    <n v="9936"/>
  </r>
  <r>
    <s v="I-1993"/>
    <s v="Shanghai"/>
    <s v="China"/>
    <s v="APAC"/>
    <d v="2014-01-31T00:00:00"/>
    <x v="4"/>
    <s v="Michelle Murray"/>
    <n v="30"/>
    <n v="28"/>
    <n v="6.6699999999999995E-2"/>
    <n v="16"/>
    <n v="448"/>
  </r>
  <r>
    <s v="I-1994"/>
    <s v="Buenos Aires"/>
    <s v="Argentina"/>
    <s v="LATAM"/>
    <d v="2016-01-04T00:00:00"/>
    <x v="11"/>
    <s v="Brendon Sykes"/>
    <n v="50"/>
    <n v="49"/>
    <n v="0.02"/>
    <n v="7"/>
    <n v="343"/>
  </r>
  <r>
    <s v="I-1995"/>
    <s v="New York"/>
    <s v="USA"/>
    <s v="NA"/>
    <d v="2018-11-15T00:00:00"/>
    <x v="4"/>
    <s v="Andrew Jones"/>
    <n v="30"/>
    <n v="29"/>
    <n v="3.3300000000000003E-2"/>
    <n v="14"/>
    <n v="406"/>
  </r>
  <r>
    <s v="I-1996"/>
    <s v="Bangalore"/>
    <s v="India"/>
    <s v="APAC"/>
    <d v="2017-07-22T00:00:00"/>
    <x v="10"/>
    <s v="Paul Benton"/>
    <n v="250"/>
    <n v="238"/>
    <n v="4.8000000000000001E-2"/>
    <n v="36"/>
    <n v="8568"/>
  </r>
  <r>
    <s v="I-1997"/>
    <s v="Istanbul"/>
    <s v="Turkey"/>
    <s v="EMEA"/>
    <d v="2018-05-10T00:00:00"/>
    <x v="0"/>
    <s v="Mark Holmes"/>
    <n v="80"/>
    <n v="80"/>
    <n v="0"/>
    <n v="6"/>
    <n v="480"/>
  </r>
  <r>
    <s v="I-1998"/>
    <s v="Paris"/>
    <s v="France"/>
    <s v="EMEA"/>
    <d v="2016-10-25T00:00:00"/>
    <x v="8"/>
    <s v="Christopher Griffith"/>
    <n v="500"/>
    <n v="495"/>
    <n v="0.01"/>
    <n v="80"/>
    <n v="39600"/>
  </r>
  <r>
    <s v="I-1999"/>
    <s v="Bangkok"/>
    <s v="Thailand"/>
    <s v="APAC"/>
    <d v="2015-05-20T00:00:00"/>
    <x v="2"/>
    <s v="Carol Cormack"/>
    <n v="150"/>
    <n v="146"/>
    <n v="2.6700000000000002E-2"/>
    <n v="93"/>
    <n v="13578"/>
  </r>
  <r>
    <s v="I-2000"/>
    <s v="Dublin"/>
    <s v="Ireland"/>
    <s v="EMEA"/>
    <d v="2016-12-05T00:00:00"/>
    <x v="0"/>
    <s v="Andrew Phillips"/>
    <n v="80"/>
    <n v="70"/>
    <n v="0.125"/>
    <n v="92"/>
    <n v="6440"/>
  </r>
  <r>
    <s v="I-2001"/>
    <s v="Moscow"/>
    <s v="Russia"/>
    <s v="EMEA"/>
    <d v="2015-01-22T00:00:00"/>
    <x v="7"/>
    <s v="Rita Hill"/>
    <n v="1000"/>
    <n v="970"/>
    <n v="0.03"/>
    <n v="84"/>
    <n v="81480"/>
  </r>
  <r>
    <s v="I-2002"/>
    <s v="San Fransisco"/>
    <s v="USA"/>
    <s v="NA"/>
    <d v="2014-12-22T00:00:00"/>
    <x v="7"/>
    <s v="Saffron Cruse"/>
    <n v="1000"/>
    <n v="690"/>
    <n v="0.31"/>
    <n v="11"/>
    <n v="7590"/>
  </r>
  <r>
    <s v="I-2003"/>
    <s v="Toronto"/>
    <s v="Canada"/>
    <s v="NA"/>
    <d v="2016-02-12T00:00:00"/>
    <x v="3"/>
    <s v="Alison Storey"/>
    <n v="50"/>
    <n v="43"/>
    <n v="0.14000000000000001"/>
    <n v="18"/>
    <n v="774"/>
  </r>
  <r>
    <s v="I-2004"/>
    <s v="Rome"/>
    <s v="Italy"/>
    <s v="EMEA"/>
    <d v="2014-03-04T00:00:00"/>
    <x v="7"/>
    <s v="Steven Bell"/>
    <n v="1000"/>
    <n v="650"/>
    <n v="0.35"/>
    <n v="9"/>
    <n v="5850"/>
  </r>
  <r>
    <s v="I-2005"/>
    <s v="Paris"/>
    <s v="France"/>
    <s v="EMEA"/>
    <d v="2017-07-13T00:00:00"/>
    <x v="7"/>
    <s v="Rory Bullion"/>
    <n v="1000"/>
    <n v="520"/>
    <n v="0.48"/>
    <n v="34"/>
    <n v="17680"/>
  </r>
  <r>
    <s v="I-2006"/>
    <s v="Moscow"/>
    <s v="Russia"/>
    <s v="EMEA"/>
    <d v="2017-01-10T00:00:00"/>
    <x v="2"/>
    <s v="Zulfiqar Mirza"/>
    <n v="150"/>
    <n v="149"/>
    <n v="6.7000000000000002E-3"/>
    <n v="77"/>
    <n v="11473"/>
  </r>
  <r>
    <s v="I-2007"/>
    <s v="Chicago"/>
    <s v="USA"/>
    <s v="NA"/>
    <d v="2015-01-27T00:00:00"/>
    <x v="1"/>
    <s v="Derek Anderson"/>
    <n v="700"/>
    <n v="665"/>
    <n v="0.05"/>
    <n v="14"/>
    <n v="9310"/>
  </r>
  <r>
    <s v="I-2008"/>
    <s v="San Fransisco"/>
    <s v="USA"/>
    <s v="NA"/>
    <d v="2015-05-18T00:00:00"/>
    <x v="1"/>
    <s v="Gary Acheampong"/>
    <n v="700"/>
    <n v="560"/>
    <n v="0.2"/>
    <n v="69"/>
    <n v="38640"/>
  </r>
  <r>
    <s v="I-2009"/>
    <s v="Guangzhou"/>
    <s v="China"/>
    <s v="APAC"/>
    <d v="2016-09-16T00:00:00"/>
    <x v="3"/>
    <s v="Abdul Amos"/>
    <n v="50"/>
    <n v="44"/>
    <n v="0.12"/>
    <n v="2"/>
    <n v="88"/>
  </r>
  <r>
    <s v="I-2010"/>
    <s v="San Fransisco"/>
    <s v="USA"/>
    <s v="NA"/>
    <d v="2016-02-02T00:00:00"/>
    <x v="7"/>
    <s v="James Scott"/>
    <n v="1000"/>
    <n v="760"/>
    <n v="0.24"/>
    <n v="72"/>
    <n v="54720"/>
  </r>
  <r>
    <s v="I-2011"/>
    <s v="Kansas City"/>
    <s v="USA"/>
    <s v="NA"/>
    <d v="2016-12-03T00:00:00"/>
    <x v="10"/>
    <s v="Nicola Wright"/>
    <n v="250"/>
    <n v="228"/>
    <n v="8.7999999999999995E-2"/>
    <n v="39"/>
    <n v="8892"/>
  </r>
  <r>
    <s v="I-2012"/>
    <s v="Capetown"/>
    <s v="South Africa"/>
    <s v="EMEA"/>
    <d v="2017-07-11T00:00:00"/>
    <x v="10"/>
    <s v="Lucy Downs"/>
    <n v="250"/>
    <n v="248"/>
    <n v="8.0000000000000002E-3"/>
    <n v="17"/>
    <n v="4216"/>
  </r>
  <r>
    <s v="I-2013"/>
    <s v="Bogota"/>
    <s v="Colombia"/>
    <s v="LATAM"/>
    <d v="2014-03-20T00:00:00"/>
    <x v="3"/>
    <s v="Paul Puri"/>
    <n v="50"/>
    <n v="39"/>
    <n v="0.22"/>
    <n v="77"/>
    <n v="3003"/>
  </r>
  <r>
    <s v="I-2014"/>
    <s v="Bucharest"/>
    <s v="Romania"/>
    <s v="EMEA"/>
    <d v="2014-01-23T00:00:00"/>
    <x v="10"/>
    <s v="Kevin Ross"/>
    <n v="250"/>
    <n v="248"/>
    <n v="8.0000000000000002E-3"/>
    <n v="49"/>
    <n v="12152"/>
  </r>
  <r>
    <s v="I-2015"/>
    <s v="Madria"/>
    <s v="Spain"/>
    <s v="EMEA"/>
    <d v="2016-09-17T00:00:00"/>
    <x v="10"/>
    <s v="Paul Long"/>
    <n v="250"/>
    <n v="250"/>
    <n v="0"/>
    <n v="20"/>
    <n v="5000"/>
  </r>
  <r>
    <s v="I-2016"/>
    <s v="Seattle"/>
    <s v="USA"/>
    <s v="NA"/>
    <d v="2017-05-05T00:00:00"/>
    <x v="3"/>
    <s v="John Hetherington"/>
    <n v="50"/>
    <n v="48"/>
    <n v="0.04"/>
    <n v="62"/>
    <n v="2976"/>
  </r>
  <r>
    <s v="I-2017"/>
    <s v="Amsterdam"/>
    <s v="Netherlands"/>
    <s v="EMEA"/>
    <d v="2016-01-20T00:00:00"/>
    <x v="7"/>
    <s v="Ian Christian"/>
    <n v="1000"/>
    <n v="590"/>
    <n v="0.41"/>
    <n v="37"/>
    <n v="21830"/>
  </r>
  <r>
    <s v="I-2018"/>
    <s v="London"/>
    <s v="UK"/>
    <s v="EMEA"/>
    <d v="2017-04-26T00:00:00"/>
    <x v="0"/>
    <s v="Nicola Williams"/>
    <n v="80"/>
    <n v="76"/>
    <n v="0.05"/>
    <n v="11"/>
    <n v="836"/>
  </r>
  <r>
    <s v="I-2019"/>
    <s v="Lima"/>
    <s v="Peru"/>
    <s v="LATAM"/>
    <d v="2014-09-23T00:00:00"/>
    <x v="5"/>
    <s v="Rachel Howard"/>
    <n v="500"/>
    <n v="480"/>
    <n v="0.04"/>
    <n v="87"/>
    <n v="41760"/>
  </r>
  <r>
    <s v="I-2020"/>
    <s v="Rome"/>
    <s v="Italy"/>
    <s v="EMEA"/>
    <d v="2016-02-11T00:00:00"/>
    <x v="6"/>
    <s v="Michael Toy"/>
    <n v="800"/>
    <n v="720"/>
    <n v="0.1"/>
    <n v="20"/>
    <n v="14400"/>
  </r>
  <r>
    <s v="I-2021"/>
    <s v="Bangkok"/>
    <s v="Thailand"/>
    <s v="APAC"/>
    <d v="2018-09-01T00:00:00"/>
    <x v="9"/>
    <s v="Alan Procter"/>
    <n v="70"/>
    <n v="69"/>
    <n v="1.43E-2"/>
    <n v="71"/>
    <n v="4899"/>
  </r>
  <r>
    <s v="I-2022"/>
    <s v="Tel Aviv"/>
    <s v="Israel"/>
    <s v="EMEA"/>
    <d v="2016-12-19T00:00:00"/>
    <x v="9"/>
    <s v="Deanna Wang"/>
    <n v="70"/>
    <n v="60"/>
    <n v="0.1429"/>
    <n v="97"/>
    <n v="5820"/>
  </r>
  <r>
    <s v="I-2023"/>
    <s v="Santiago"/>
    <s v="Chile"/>
    <s v="LATAM"/>
    <d v="2015-03-20T00:00:00"/>
    <x v="3"/>
    <s v="Richard James"/>
    <n v="50"/>
    <n v="44"/>
    <n v="0.12"/>
    <n v="98"/>
    <n v="4312"/>
  </r>
  <r>
    <s v="I-2024"/>
    <s v="Kuala Lumpur"/>
    <s v="Malaysia"/>
    <s v="APAC"/>
    <d v="2018-06-18T00:00:00"/>
    <x v="0"/>
    <s v="Ian Baker"/>
    <n v="80"/>
    <n v="74"/>
    <n v="7.4999999999999997E-2"/>
    <n v="87"/>
    <n v="6438"/>
  </r>
  <r>
    <s v="I-2025"/>
    <s v="Capetown"/>
    <s v="South Africa"/>
    <s v="EMEA"/>
    <d v="2018-02-13T00:00:00"/>
    <x v="9"/>
    <s v="Nicholas Holloway"/>
    <n v="70"/>
    <n v="68"/>
    <n v="2.86E-2"/>
    <n v="23"/>
    <n v="1564"/>
  </r>
  <r>
    <s v="I-2026"/>
    <s v="Dubai"/>
    <s v="UAE"/>
    <s v="EMEA"/>
    <d v="2016-03-19T00:00:00"/>
    <x v="9"/>
    <s v="Rachel Clayton"/>
    <n v="70"/>
    <n v="66"/>
    <n v="5.7099999999999998E-2"/>
    <n v="90"/>
    <n v="5940"/>
  </r>
  <r>
    <s v="I-2027"/>
    <s v="Mexico City"/>
    <s v="Mexico"/>
    <s v="LATAM"/>
    <d v="2017-10-29T00:00:00"/>
    <x v="2"/>
    <s v="Jeremy Morrow"/>
    <n v="150"/>
    <n v="144"/>
    <n v="0.04"/>
    <n v="6"/>
    <n v="864"/>
  </r>
  <r>
    <s v="I-2028"/>
    <s v="Ho Chi Minh City"/>
    <s v="Vietnam"/>
    <s v="APAC"/>
    <d v="2016-12-25T00:00:00"/>
    <x v="9"/>
    <s v="Irene Skiba"/>
    <n v="70"/>
    <n v="65"/>
    <n v="7.1400000000000005E-2"/>
    <n v="98"/>
    <n v="6370"/>
  </r>
  <r>
    <s v="I-2029"/>
    <s v="Guangzhou"/>
    <s v="China"/>
    <s v="APAC"/>
    <d v="2014-04-21T00:00:00"/>
    <x v="7"/>
    <s v="Abdul Amos"/>
    <n v="1000"/>
    <n v="630"/>
    <n v="0.37"/>
    <n v="5"/>
    <n v="3150"/>
  </r>
  <r>
    <s v="I-2030"/>
    <s v="Rome"/>
    <s v="Italy"/>
    <s v="EMEA"/>
    <d v="2015-11-15T00:00:00"/>
    <x v="2"/>
    <s v="Michael Toy"/>
    <n v="150"/>
    <n v="113"/>
    <n v="0.2467"/>
    <n v="84"/>
    <n v="9492"/>
  </r>
  <r>
    <s v="I-2031"/>
    <s v="Amsterdam"/>
    <s v="Netherlands"/>
    <s v="EMEA"/>
    <d v="2015-01-30T00:00:00"/>
    <x v="8"/>
    <s v="Allyson Parker"/>
    <n v="500"/>
    <n v="490"/>
    <n v="0.02"/>
    <n v="82"/>
    <n v="40180"/>
  </r>
  <r>
    <s v="I-2032"/>
    <s v="Seattle"/>
    <s v="USA"/>
    <s v="NA"/>
    <d v="2016-05-21T00:00:00"/>
    <x v="3"/>
    <s v="Derek Harris"/>
    <n v="50"/>
    <n v="46"/>
    <n v="0.08"/>
    <n v="9"/>
    <n v="414"/>
  </r>
  <r>
    <s v="I-2033"/>
    <s v="Cairo"/>
    <s v="Egypt"/>
    <s v="EMEA"/>
    <d v="2016-07-16T00:00:00"/>
    <x v="1"/>
    <s v="Valerie Pereira"/>
    <n v="700"/>
    <n v="672"/>
    <n v="0.04"/>
    <n v="26"/>
    <n v="17472"/>
  </r>
  <r>
    <s v="I-2034"/>
    <s v="Capetown"/>
    <s v="South Africa"/>
    <s v="EMEA"/>
    <d v="2017-05-08T00:00:00"/>
    <x v="11"/>
    <s v="Lucy Downs"/>
    <n v="50"/>
    <n v="48"/>
    <n v="0.04"/>
    <n v="99"/>
    <n v="4752"/>
  </r>
  <r>
    <s v="I-2035"/>
    <s v="Tokyo"/>
    <s v="Japan"/>
    <s v="APAC"/>
    <d v="2014-04-27T00:00:00"/>
    <x v="8"/>
    <s v="Steven Douglas"/>
    <n v="500"/>
    <n v="490"/>
    <n v="0.02"/>
    <n v="67"/>
    <n v="32830"/>
  </r>
  <r>
    <s v="I-2036"/>
    <s v="Bogota"/>
    <s v="Colombia"/>
    <s v="LATAM"/>
    <d v="2015-03-11T00:00:00"/>
    <x v="9"/>
    <s v="Paul Puri"/>
    <n v="70"/>
    <n v="58"/>
    <n v="0.1714"/>
    <n v="89"/>
    <n v="5162"/>
  </r>
  <r>
    <s v="I-2037"/>
    <s v="Warsaw"/>
    <s v="Poland"/>
    <s v="EMEA"/>
    <d v="2016-02-14T00:00:00"/>
    <x v="9"/>
    <s v="Barbara McDevitt"/>
    <n v="70"/>
    <n v="60"/>
    <n v="0.1429"/>
    <n v="62"/>
    <n v="3720"/>
  </r>
  <r>
    <s v="I-2038"/>
    <s v="Buenos Aires"/>
    <s v="Argentina"/>
    <s v="LATAM"/>
    <d v="2014-09-05T00:00:00"/>
    <x v="6"/>
    <s v="Nicola Nathan"/>
    <n v="800"/>
    <n v="688"/>
    <n v="0.14000000000000001"/>
    <n v="62"/>
    <n v="42656"/>
  </r>
  <r>
    <s v="I-2039"/>
    <s v="Paris"/>
    <s v="France"/>
    <s v="EMEA"/>
    <d v="2015-02-26T00:00:00"/>
    <x v="10"/>
    <s v="Rory Bullion"/>
    <n v="250"/>
    <n v="155"/>
    <n v="0.38"/>
    <n v="22"/>
    <n v="3410"/>
  </r>
  <r>
    <s v="I-2040"/>
    <s v="Athens"/>
    <s v="Greece"/>
    <s v="EMEA"/>
    <d v="2014-08-10T00:00:00"/>
    <x v="1"/>
    <s v="Sarah Chadwick"/>
    <n v="700"/>
    <n v="504"/>
    <n v="0.28000000000000003"/>
    <n v="96"/>
    <n v="48384"/>
  </r>
  <r>
    <s v="I-2041"/>
    <s v="Paris"/>
    <s v="France"/>
    <s v="EMEA"/>
    <d v="2014-04-16T00:00:00"/>
    <x v="1"/>
    <s v="Rory Bullion"/>
    <n v="700"/>
    <n v="511"/>
    <n v="0.27"/>
    <n v="51"/>
    <n v="26061"/>
  </r>
  <r>
    <s v="I-2042"/>
    <s v="Sao Paolo"/>
    <s v="Brazil"/>
    <s v="LATAM"/>
    <d v="2018-08-14T00:00:00"/>
    <x v="10"/>
    <s v="Richard Kay"/>
    <n v="250"/>
    <n v="250"/>
    <n v="0"/>
    <n v="74"/>
    <n v="18500"/>
  </r>
  <r>
    <s v="I-2043"/>
    <s v="Madria"/>
    <s v="Spain"/>
    <s v="EMEA"/>
    <d v="2018-05-27T00:00:00"/>
    <x v="3"/>
    <s v="Roy Lloyd"/>
    <n v="50"/>
    <n v="50"/>
    <n v="0"/>
    <n v="83"/>
    <n v="4150"/>
  </r>
  <r>
    <s v="I-2044"/>
    <s v="Riyadh"/>
    <s v="Saudi Arabia"/>
    <s v="EMEA"/>
    <d v="2016-04-14T00:00:00"/>
    <x v="2"/>
    <s v="Victoria Sherwin"/>
    <n v="150"/>
    <n v="135"/>
    <n v="0.1"/>
    <n v="75"/>
    <n v="10125"/>
  </r>
  <r>
    <s v="I-2045"/>
    <s v="Istanbul"/>
    <s v="Turkey"/>
    <s v="EMEA"/>
    <d v="2017-11-11T00:00:00"/>
    <x v="9"/>
    <s v="Ian McCartan"/>
    <n v="70"/>
    <n v="68"/>
    <n v="2.86E-2"/>
    <n v="84"/>
    <n v="5712"/>
  </r>
  <r>
    <s v="I-2046"/>
    <s v="Los Angeles"/>
    <s v="USA"/>
    <s v="NA"/>
    <d v="2015-04-01T00:00:00"/>
    <x v="7"/>
    <s v="Ellen Lillie"/>
    <n v="1000"/>
    <n v="680"/>
    <n v="0.32"/>
    <n v="86"/>
    <n v="58480"/>
  </r>
  <r>
    <s v="I-2047"/>
    <s v="Dublin"/>
    <s v="Ireland"/>
    <s v="EMEA"/>
    <d v="2014-07-30T00:00:00"/>
    <x v="9"/>
    <s v="James Carley"/>
    <n v="70"/>
    <n v="65"/>
    <n v="7.1400000000000005E-2"/>
    <n v="16"/>
    <n v="1040"/>
  </r>
  <r>
    <s v="I-2048"/>
    <s v="Rome"/>
    <s v="Italy"/>
    <s v="EMEA"/>
    <d v="2017-09-28T00:00:00"/>
    <x v="6"/>
    <s v="Michael Toy"/>
    <n v="800"/>
    <n v="488"/>
    <n v="0.39"/>
    <n v="64"/>
    <n v="31232"/>
  </r>
  <r>
    <s v="I-2049"/>
    <s v="Kansas City"/>
    <s v="USA"/>
    <s v="NA"/>
    <d v="2016-03-02T00:00:00"/>
    <x v="4"/>
    <s v="Xun Simms"/>
    <n v="30"/>
    <n v="27"/>
    <n v="0.1"/>
    <n v="65"/>
    <n v="1755"/>
  </r>
  <r>
    <s v="I-2050"/>
    <s v="Lima"/>
    <s v="Peru"/>
    <s v="LATAM"/>
    <d v="2014-08-11T00:00:00"/>
    <x v="6"/>
    <s v="Lloyd Norton"/>
    <n v="800"/>
    <n v="448"/>
    <n v="0.44"/>
    <n v="90"/>
    <n v="40320"/>
  </r>
  <r>
    <s v="I-2051"/>
    <s v="Bogota"/>
    <s v="Colombia"/>
    <s v="LATAM"/>
    <d v="2018-03-23T00:00:00"/>
    <x v="4"/>
    <s v="Ronald Curtis"/>
    <n v="30"/>
    <n v="29"/>
    <n v="3.3300000000000003E-2"/>
    <n v="18"/>
    <n v="522"/>
  </r>
  <r>
    <s v="I-2052"/>
    <s v="Buenos Aires"/>
    <s v="Argentina"/>
    <s v="LATAM"/>
    <d v="2018-05-24T00:00:00"/>
    <x v="1"/>
    <s v="Stuart Brown"/>
    <n v="700"/>
    <n v="651"/>
    <n v="7.0000000000000007E-2"/>
    <n v="45"/>
    <n v="29295"/>
  </r>
  <r>
    <s v="I-2053"/>
    <s v="Bogota"/>
    <s v="Colombia"/>
    <s v="LATAM"/>
    <d v="2016-11-08T00:00:00"/>
    <x v="5"/>
    <s v="Ronald Curtis"/>
    <n v="500"/>
    <n v="470"/>
    <n v="0.06"/>
    <n v="90"/>
    <n v="42300"/>
  </r>
  <r>
    <s v="I-2054"/>
    <s v="Seattle"/>
    <s v="USA"/>
    <s v="NA"/>
    <d v="2018-04-18T00:00:00"/>
    <x v="9"/>
    <s v="Susan Toye"/>
    <n v="70"/>
    <n v="67"/>
    <n v="4.2900000000000001E-2"/>
    <n v="58"/>
    <n v="3886"/>
  </r>
  <r>
    <s v="I-2055"/>
    <s v="Paris"/>
    <s v="France"/>
    <s v="EMEA"/>
    <d v="2018-11-03T00:00:00"/>
    <x v="1"/>
    <s v="Ketan Bryan"/>
    <n v="700"/>
    <n v="637"/>
    <n v="0.09"/>
    <n v="74"/>
    <n v="47138"/>
  </r>
  <r>
    <s v="I-2056"/>
    <s v="Toronto"/>
    <s v="Canada"/>
    <s v="NA"/>
    <d v="2015-05-13T00:00:00"/>
    <x v="7"/>
    <s v="Jordan Andrews"/>
    <n v="1000"/>
    <n v="680"/>
    <n v="0.32"/>
    <n v="55"/>
    <n v="37400"/>
  </r>
  <r>
    <s v="I-2057"/>
    <s v="Seoul"/>
    <s v="South Korea"/>
    <s v="APAC"/>
    <d v="2016-07-04T00:00:00"/>
    <x v="1"/>
    <s v="Mark Brook"/>
    <n v="700"/>
    <n v="693"/>
    <n v="0.01"/>
    <n v="4"/>
    <n v="2772"/>
  </r>
  <r>
    <s v="I-2058"/>
    <s v="Tijuana"/>
    <s v="Mexico"/>
    <s v="LATAM"/>
    <d v="2014-10-20T00:00:00"/>
    <x v="8"/>
    <s v="Paul Salmon"/>
    <n v="500"/>
    <n v="495"/>
    <n v="0.01"/>
    <n v="25"/>
    <n v="12375"/>
  </r>
  <r>
    <s v="I-2059"/>
    <s v="Santiago"/>
    <s v="Chile"/>
    <s v="LATAM"/>
    <d v="2017-04-17T00:00:00"/>
    <x v="3"/>
    <s v="Karen Hopewell"/>
    <n v="50"/>
    <n v="46"/>
    <n v="0.08"/>
    <n v="91"/>
    <n v="4186"/>
  </r>
  <r>
    <s v="I-2060"/>
    <s v="Toronto"/>
    <s v="Canada"/>
    <s v="NA"/>
    <d v="2018-11-06T00:00:00"/>
    <x v="11"/>
    <s v="Alison Storey"/>
    <n v="50"/>
    <n v="49"/>
    <n v="0.02"/>
    <n v="80"/>
    <n v="3920"/>
  </r>
  <r>
    <s v="I-2061"/>
    <s v="Tokyo"/>
    <s v="Japan"/>
    <s v="APAC"/>
    <d v="2017-03-01T00:00:00"/>
    <x v="5"/>
    <s v="Ken Mishra"/>
    <n v="500"/>
    <n v="455"/>
    <n v="0.09"/>
    <n v="91"/>
    <n v="41405"/>
  </r>
  <r>
    <s v="I-2062"/>
    <s v="Riyadh"/>
    <s v="Saudi Arabia"/>
    <s v="EMEA"/>
    <d v="2016-07-26T00:00:00"/>
    <x v="8"/>
    <s v="Daniel Battersby"/>
    <n v="500"/>
    <n v="490"/>
    <n v="0.02"/>
    <n v="66"/>
    <n v="32340"/>
  </r>
  <r>
    <s v="I-2063"/>
    <s v="Toronto"/>
    <s v="Canada"/>
    <s v="NA"/>
    <d v="2016-01-15T00:00:00"/>
    <x v="11"/>
    <s v="Jordan Andrews"/>
    <n v="50"/>
    <n v="47"/>
    <n v="0.06"/>
    <n v="40"/>
    <n v="1880"/>
  </r>
  <r>
    <s v="I-2064"/>
    <s v="Athens"/>
    <s v="Greece"/>
    <s v="EMEA"/>
    <d v="2015-02-04T00:00:00"/>
    <x v="1"/>
    <s v="David Walker"/>
    <n v="700"/>
    <n v="665"/>
    <n v="0.05"/>
    <n v="65"/>
    <n v="43225"/>
  </r>
  <r>
    <s v="I-2065"/>
    <s v="Tijuana"/>
    <s v="Mexico"/>
    <s v="LATAM"/>
    <d v="2018-06-10T00:00:00"/>
    <x v="11"/>
    <s v="Stephen Carlin"/>
    <n v="50"/>
    <n v="43"/>
    <n v="0.14000000000000001"/>
    <n v="29"/>
    <n v="1247"/>
  </r>
  <r>
    <s v="I-2066"/>
    <s v="London"/>
    <s v="UK"/>
    <s v="EMEA"/>
    <d v="2017-07-26T00:00:00"/>
    <x v="10"/>
    <s v="Claire Brooks"/>
    <n v="250"/>
    <n v="243"/>
    <n v="2.8000000000000001E-2"/>
    <n v="22"/>
    <n v="5346"/>
  </r>
  <r>
    <s v="I-2067"/>
    <s v="Berlin"/>
    <s v="Germany"/>
    <s v="EMEA"/>
    <d v="2016-12-03T00:00:00"/>
    <x v="0"/>
    <s v="Natasha Carvalho"/>
    <n v="80"/>
    <n v="79"/>
    <n v="1.2500000000000001E-2"/>
    <n v="5"/>
    <n v="395"/>
  </r>
  <r>
    <s v="I-2068"/>
    <s v="Capetown"/>
    <s v="South Africa"/>
    <s v="EMEA"/>
    <d v="2014-07-15T00:00:00"/>
    <x v="10"/>
    <s v="Marcus Jacob"/>
    <n v="250"/>
    <n v="230"/>
    <n v="0.08"/>
    <n v="16"/>
    <n v="3680"/>
  </r>
  <r>
    <s v="I-2069"/>
    <s v="Toronto"/>
    <s v="Canada"/>
    <s v="NA"/>
    <d v="2017-06-24T00:00:00"/>
    <x v="9"/>
    <s v="James Hammond"/>
    <n v="70"/>
    <n v="67"/>
    <n v="4.2900000000000001E-2"/>
    <n v="78"/>
    <n v="5226"/>
  </r>
  <r>
    <s v="I-2070"/>
    <s v="Tel Aviv"/>
    <s v="Israel"/>
    <s v="EMEA"/>
    <d v="2018-12-27T00:00:00"/>
    <x v="10"/>
    <s v="Rebecca Delo"/>
    <n v="250"/>
    <n v="213"/>
    <n v="0.14799999999999999"/>
    <n v="29"/>
    <n v="6177"/>
  </r>
  <r>
    <s v="I-2071"/>
    <s v="Prague"/>
    <s v="Czech Republic"/>
    <s v="EMEA"/>
    <d v="2018-07-17T00:00:00"/>
    <x v="0"/>
    <s v="Nick Denny"/>
    <n v="80"/>
    <n v="79"/>
    <n v="1.2500000000000001E-2"/>
    <n v="84"/>
    <n v="6636"/>
  </r>
  <r>
    <s v="I-2072"/>
    <s v="Dublin"/>
    <s v="Ireland"/>
    <s v="EMEA"/>
    <d v="2016-11-29T00:00:00"/>
    <x v="7"/>
    <s v="Gwyn Taylor"/>
    <n v="1000"/>
    <n v="700"/>
    <n v="0.3"/>
    <n v="66"/>
    <n v="46200"/>
  </r>
  <r>
    <s v="I-2073"/>
    <s v="Shanghai"/>
    <s v="China"/>
    <s v="APAC"/>
    <d v="2016-03-07T00:00:00"/>
    <x v="5"/>
    <s v="Jonathan Will"/>
    <n v="500"/>
    <n v="445"/>
    <n v="0.11"/>
    <n v="35"/>
    <n v="15575"/>
  </r>
  <r>
    <s v="I-2074"/>
    <s v="Bangalore"/>
    <s v="India"/>
    <s v="APAC"/>
    <d v="2017-04-12T00:00:00"/>
    <x v="11"/>
    <s v="Delia Muhammad"/>
    <n v="50"/>
    <n v="47"/>
    <n v="0.06"/>
    <n v="91"/>
    <n v="4277"/>
  </r>
  <r>
    <s v="I-2075"/>
    <s v="Madria"/>
    <s v="Spain"/>
    <s v="EMEA"/>
    <d v="2014-03-15T00:00:00"/>
    <x v="2"/>
    <s v="Philip Sutherland"/>
    <n v="150"/>
    <n v="131"/>
    <n v="0.12670000000000001"/>
    <n v="86"/>
    <n v="11266"/>
  </r>
  <r>
    <s v="I-2076"/>
    <s v="Madria"/>
    <s v="Spain"/>
    <s v="EMEA"/>
    <d v="2018-03-15T00:00:00"/>
    <x v="1"/>
    <s v="Paul Long"/>
    <n v="700"/>
    <n v="616"/>
    <n v="0.12"/>
    <n v="16"/>
    <n v="9856"/>
  </r>
  <r>
    <s v="I-2077"/>
    <s v="Tokyo"/>
    <s v="Japan"/>
    <s v="APAC"/>
    <d v="2018-11-23T00:00:00"/>
    <x v="3"/>
    <s v="Basil Bell"/>
    <n v="50"/>
    <n v="46"/>
    <n v="0.08"/>
    <n v="55"/>
    <n v="2530"/>
  </r>
  <r>
    <s v="I-2078"/>
    <s v="Seoul"/>
    <s v="South Korea"/>
    <s v="APAC"/>
    <d v="2018-04-23T00:00:00"/>
    <x v="5"/>
    <s v="Steven Wood"/>
    <n v="500"/>
    <n v="480"/>
    <n v="0.04"/>
    <n v="65"/>
    <n v="31200"/>
  </r>
  <r>
    <s v="I-2079"/>
    <s v="Osaka"/>
    <s v="Japan"/>
    <s v="APAC"/>
    <d v="2015-04-01T00:00:00"/>
    <x v="11"/>
    <s v="Tracy Stanley"/>
    <n v="50"/>
    <n v="47"/>
    <n v="0.06"/>
    <n v="83"/>
    <n v="3901"/>
  </r>
  <r>
    <s v="I-2080"/>
    <s v="London"/>
    <s v="UK"/>
    <s v="EMEA"/>
    <d v="2015-07-05T00:00:00"/>
    <x v="2"/>
    <s v="Francis Godden"/>
    <n v="150"/>
    <n v="146"/>
    <n v="2.6700000000000002E-2"/>
    <n v="3"/>
    <n v="438"/>
  </r>
  <r>
    <s v="I-2081"/>
    <s v="Paris"/>
    <s v="France"/>
    <s v="EMEA"/>
    <d v="2016-10-12T00:00:00"/>
    <x v="9"/>
    <s v="Nicole Ford"/>
    <n v="70"/>
    <n v="67"/>
    <n v="4.2900000000000001E-2"/>
    <n v="83"/>
    <n v="5561"/>
  </r>
  <r>
    <s v="I-2082"/>
    <s v="Seoul"/>
    <s v="South Korea"/>
    <s v="APAC"/>
    <d v="2017-12-14T00:00:00"/>
    <x v="8"/>
    <s v="Mark Towey"/>
    <n v="500"/>
    <n v="495"/>
    <n v="0.01"/>
    <n v="63"/>
    <n v="31185"/>
  </r>
  <r>
    <s v="I-2083"/>
    <s v="Ho Chi Minh City"/>
    <s v="Vietnam"/>
    <s v="APAC"/>
    <d v="2014-08-30T00:00:00"/>
    <x v="9"/>
    <s v="Ken Rogerson"/>
    <n v="70"/>
    <n v="57"/>
    <n v="0.1857"/>
    <n v="99"/>
    <n v="5643"/>
  </r>
  <r>
    <s v="I-2084"/>
    <s v="Cairo"/>
    <s v="Egypt"/>
    <s v="EMEA"/>
    <d v="2018-07-09T00:00:00"/>
    <x v="11"/>
    <s v="Basil Bain"/>
    <n v="50"/>
    <n v="47"/>
    <n v="0.06"/>
    <n v="60"/>
    <n v="2820"/>
  </r>
  <r>
    <s v="I-2085"/>
    <s v="Madria"/>
    <s v="Spain"/>
    <s v="EMEA"/>
    <d v="2014-07-01T00:00:00"/>
    <x v="2"/>
    <s v="Howard Jones"/>
    <n v="150"/>
    <n v="125"/>
    <n v="0.16669999999999999"/>
    <n v="60"/>
    <n v="7500"/>
  </r>
  <r>
    <s v="I-2086"/>
    <s v="Sydney"/>
    <s v="Australia"/>
    <s v="APAC"/>
    <d v="2015-11-03T00:00:00"/>
    <x v="3"/>
    <s v="William Martin"/>
    <n v="50"/>
    <n v="34"/>
    <n v="0.32"/>
    <n v="79"/>
    <n v="2686"/>
  </r>
  <r>
    <s v="I-2087"/>
    <s v="Shenzhen"/>
    <s v="China"/>
    <s v="APAC"/>
    <d v="2014-02-03T00:00:00"/>
    <x v="1"/>
    <s v="Alastair Mills"/>
    <n v="700"/>
    <n v="539"/>
    <n v="0.23"/>
    <n v="49"/>
    <n v="26411"/>
  </r>
  <r>
    <s v="I-2088"/>
    <s v="Santiago"/>
    <s v="Chile"/>
    <s v="LATAM"/>
    <d v="2017-01-25T00:00:00"/>
    <x v="1"/>
    <s v="Jason Edmund"/>
    <n v="700"/>
    <n v="693"/>
    <n v="0.01"/>
    <n v="7"/>
    <n v="4851"/>
  </r>
  <r>
    <s v="I-2089"/>
    <s v="Moscow"/>
    <s v="Russia"/>
    <s v="EMEA"/>
    <d v="2018-11-21T00:00:00"/>
    <x v="2"/>
    <s v="Rita Hill"/>
    <n v="150"/>
    <n v="147"/>
    <n v="0.02"/>
    <n v="86"/>
    <n v="12642"/>
  </r>
  <r>
    <s v="I-2090"/>
    <s v="Amsterdam"/>
    <s v="Netherlands"/>
    <s v="EMEA"/>
    <d v="2014-07-03T00:00:00"/>
    <x v="11"/>
    <s v="Julia Ferguson"/>
    <n v="50"/>
    <n v="42"/>
    <n v="0.16"/>
    <n v="89"/>
    <n v="3738"/>
  </r>
  <r>
    <s v="I-2091"/>
    <s v="Istanbul"/>
    <s v="Turkey"/>
    <s v="EMEA"/>
    <d v="2016-10-24T00:00:00"/>
    <x v="11"/>
    <s v="Bryan Mason"/>
    <n v="50"/>
    <n v="44"/>
    <n v="0.12"/>
    <n v="58"/>
    <n v="2552"/>
  </r>
  <r>
    <s v="I-2092"/>
    <s v="Jerusalem"/>
    <s v="Israel"/>
    <s v="EMEA"/>
    <d v="2018-05-04T00:00:00"/>
    <x v="11"/>
    <s v="Susan Carley"/>
    <n v="50"/>
    <n v="49"/>
    <n v="0.02"/>
    <n v="46"/>
    <n v="2254"/>
  </r>
  <r>
    <s v="I-2093"/>
    <s v="Moscow"/>
    <s v="Russia"/>
    <s v="EMEA"/>
    <d v="2018-08-26T00:00:00"/>
    <x v="0"/>
    <s v="Dermot Bailey"/>
    <n v="80"/>
    <n v="78"/>
    <n v="2.5000000000000001E-2"/>
    <n v="27"/>
    <n v="2106"/>
  </r>
  <r>
    <s v="I-2094"/>
    <s v="Chicago"/>
    <s v="USA"/>
    <s v="NA"/>
    <d v="2017-11-19T00:00:00"/>
    <x v="11"/>
    <s v="Heather McGill"/>
    <n v="50"/>
    <n v="48"/>
    <n v="0.04"/>
    <n v="12"/>
    <n v="576"/>
  </r>
  <r>
    <s v="I-2095"/>
    <s v="New York"/>
    <s v="USA"/>
    <s v="NA"/>
    <d v="2018-02-13T00:00:00"/>
    <x v="2"/>
    <s v="Simon Hirst"/>
    <n v="150"/>
    <n v="147"/>
    <n v="0.02"/>
    <n v="58"/>
    <n v="8526"/>
  </r>
  <r>
    <s v="I-2096"/>
    <s v="London"/>
    <s v="UK"/>
    <s v="EMEA"/>
    <d v="2015-08-13T00:00:00"/>
    <x v="7"/>
    <s v="Nicola Williams"/>
    <n v="1000"/>
    <n v="620"/>
    <n v="0.38"/>
    <n v="32"/>
    <n v="19840"/>
  </r>
  <r>
    <s v="I-2097"/>
    <s v="Berlin"/>
    <s v="Germany"/>
    <s v="EMEA"/>
    <d v="2018-02-13T00:00:00"/>
    <x v="8"/>
    <s v="John Gunter"/>
    <n v="500"/>
    <n v="495"/>
    <n v="0.01"/>
    <n v="44"/>
    <n v="21780"/>
  </r>
  <r>
    <s v="I-2098"/>
    <s v="Shanghai"/>
    <s v="China"/>
    <s v="APAC"/>
    <d v="2018-03-30T00:00:00"/>
    <x v="11"/>
    <s v="Jonathan Will"/>
    <n v="50"/>
    <n v="47"/>
    <n v="0.06"/>
    <n v="71"/>
    <n v="3337"/>
  </r>
  <r>
    <s v="I-2099"/>
    <s v="Tokyo"/>
    <s v="Japan"/>
    <s v="APAC"/>
    <d v="2016-07-27T00:00:00"/>
    <x v="6"/>
    <s v="David Gow"/>
    <n v="800"/>
    <n v="744"/>
    <n v="7.0000000000000007E-2"/>
    <n v="56"/>
    <n v="41664"/>
  </r>
  <r>
    <s v="I-2100"/>
    <s v="Tijuana"/>
    <s v="Mexico"/>
    <s v="LATAM"/>
    <d v="2017-08-12T00:00:00"/>
    <x v="5"/>
    <s v="Richard Allnutt"/>
    <n v="500"/>
    <n v="490"/>
    <n v="0.02"/>
    <n v="48"/>
    <n v="23520"/>
  </r>
  <r>
    <s v="I-2101"/>
    <s v="Amsterdam"/>
    <s v="Netherlands"/>
    <s v="EMEA"/>
    <d v="2015-04-18T00:00:00"/>
    <x v="6"/>
    <s v="Donald Barratt"/>
    <n v="800"/>
    <n v="576"/>
    <n v="0.28000000000000003"/>
    <n v="88"/>
    <n v="50688"/>
  </r>
  <r>
    <s v="I-2102"/>
    <s v="Paris"/>
    <s v="France"/>
    <s v="EMEA"/>
    <d v="2018-06-18T00:00:00"/>
    <x v="5"/>
    <s v="Darren Webb"/>
    <n v="500"/>
    <n v="455"/>
    <n v="0.09"/>
    <n v="24"/>
    <n v="10920"/>
  </r>
  <r>
    <s v="I-2103"/>
    <s v="Buenos Aires"/>
    <s v="Argentina"/>
    <s v="LATAM"/>
    <d v="2014-08-07T00:00:00"/>
    <x v="2"/>
    <s v="Ronald Rowlands"/>
    <n v="150"/>
    <n v="135"/>
    <n v="0.1"/>
    <n v="26"/>
    <n v="3510"/>
  </r>
  <r>
    <s v="I-2104"/>
    <s v="Moscow"/>
    <s v="Russia"/>
    <s v="EMEA"/>
    <d v="2018-04-30T00:00:00"/>
    <x v="8"/>
    <s v="Darren Brooks"/>
    <n v="500"/>
    <n v="490"/>
    <n v="0.02"/>
    <n v="86"/>
    <n v="42140"/>
  </r>
  <r>
    <s v="I-2105"/>
    <s v="Kuala Lumpur"/>
    <s v="Malaysia"/>
    <s v="APAC"/>
    <d v="2014-06-08T00:00:00"/>
    <x v="8"/>
    <s v="Valerie Hook"/>
    <n v="500"/>
    <n v="495"/>
    <n v="0.01"/>
    <n v="19"/>
    <n v="9405"/>
  </r>
  <r>
    <s v="I-2106"/>
    <s v="Riyadh"/>
    <s v="Saudi Arabia"/>
    <s v="EMEA"/>
    <d v="2017-05-23T00:00:00"/>
    <x v="11"/>
    <s v="Danny Brooks"/>
    <n v="50"/>
    <n v="45"/>
    <n v="0.1"/>
    <n v="6"/>
    <n v="270"/>
  </r>
  <r>
    <s v="I-2107"/>
    <s v="Mexico City"/>
    <s v="Mexico"/>
    <s v="LATAM"/>
    <d v="2017-09-13T00:00:00"/>
    <x v="4"/>
    <s v="James Anthony"/>
    <n v="30"/>
    <n v="28"/>
    <n v="6.6699999999999995E-2"/>
    <n v="71"/>
    <n v="1988"/>
  </r>
  <r>
    <s v="I-2108"/>
    <s v="Bucharest"/>
    <s v="Romania"/>
    <s v="EMEA"/>
    <d v="2018-02-20T00:00:00"/>
    <x v="6"/>
    <s v="Kevin Ross"/>
    <n v="800"/>
    <n v="472"/>
    <n v="0.41"/>
    <n v="36"/>
    <n v="16992"/>
  </r>
  <r>
    <s v="I-2109"/>
    <s v="Paris"/>
    <s v="France"/>
    <s v="EMEA"/>
    <d v="2017-03-15T00:00:00"/>
    <x v="7"/>
    <s v="Ketan Bryan"/>
    <n v="1000"/>
    <n v="680"/>
    <n v="0.32"/>
    <n v="50"/>
    <n v="34000"/>
  </r>
  <r>
    <s v="I-2110"/>
    <s v="Berlin"/>
    <s v="Germany"/>
    <s v="EMEA"/>
    <d v="2017-02-24T00:00:00"/>
    <x v="2"/>
    <s v="Jacqueline Clamp"/>
    <n v="150"/>
    <n v="150"/>
    <n v="0"/>
    <n v="48"/>
    <n v="7200"/>
  </r>
  <r>
    <s v="I-2111"/>
    <s v="Buenos Aires"/>
    <s v="Argentina"/>
    <s v="LATAM"/>
    <d v="2017-11-17T00:00:00"/>
    <x v="4"/>
    <s v="Ian Grant"/>
    <n v="30"/>
    <n v="28"/>
    <n v="6.6699999999999995E-2"/>
    <n v="10"/>
    <n v="280"/>
  </r>
  <r>
    <s v="I-2112"/>
    <s v="Tijuana"/>
    <s v="Mexico"/>
    <s v="LATAM"/>
    <d v="2017-06-06T00:00:00"/>
    <x v="5"/>
    <s v="Richard Foy"/>
    <n v="500"/>
    <n v="450"/>
    <n v="0.1"/>
    <n v="86"/>
    <n v="38700"/>
  </r>
  <r>
    <s v="I-2113"/>
    <s v="Dublin"/>
    <s v="Ireland"/>
    <s v="EMEA"/>
    <d v="2017-08-12T00:00:00"/>
    <x v="2"/>
    <s v="Gwyn Taylor"/>
    <n v="150"/>
    <n v="149"/>
    <n v="6.7000000000000002E-3"/>
    <n v="50"/>
    <n v="7450"/>
  </r>
  <r>
    <s v="I-2114"/>
    <s v="Tijuana"/>
    <s v="Mexico"/>
    <s v="LATAM"/>
    <d v="2015-08-10T00:00:00"/>
    <x v="0"/>
    <s v="Timothy Younger"/>
    <n v="80"/>
    <n v="53"/>
    <n v="0.33750000000000002"/>
    <n v="34"/>
    <n v="1802"/>
  </r>
  <r>
    <s v="I-2115"/>
    <s v="Moscow"/>
    <s v="Russia"/>
    <s v="EMEA"/>
    <d v="2017-08-14T00:00:00"/>
    <x v="5"/>
    <s v="Alexander Hillier"/>
    <n v="500"/>
    <n v="480"/>
    <n v="0.04"/>
    <n v="66"/>
    <n v="31680"/>
  </r>
  <r>
    <s v="I-2116"/>
    <s v="Sao Paolo"/>
    <s v="Brazil"/>
    <s v="LATAM"/>
    <d v="2016-01-12T00:00:00"/>
    <x v="5"/>
    <s v="Zoe Munday"/>
    <n v="500"/>
    <n v="495"/>
    <n v="0.01"/>
    <n v="56"/>
    <n v="27720"/>
  </r>
  <r>
    <s v="I-2117"/>
    <s v="Moscow"/>
    <s v="Russia"/>
    <s v="EMEA"/>
    <d v="2014-01-03T00:00:00"/>
    <x v="11"/>
    <s v="Diane Batty"/>
    <n v="50"/>
    <n v="48"/>
    <n v="0.04"/>
    <n v="11"/>
    <n v="528"/>
  </r>
  <r>
    <s v="I-2118"/>
    <s v="Bogota"/>
    <s v="Colombia"/>
    <s v="LATAM"/>
    <d v="2014-11-27T00:00:00"/>
    <x v="3"/>
    <s v="Lisa Manning"/>
    <n v="50"/>
    <n v="45"/>
    <n v="0.1"/>
    <n v="43"/>
    <n v="1935"/>
  </r>
  <r>
    <s v="I-2119"/>
    <s v="Buenos Aires"/>
    <s v="Argentina"/>
    <s v="LATAM"/>
    <d v="2016-05-15T00:00:00"/>
    <x v="0"/>
    <s v="Nicola Nathan"/>
    <n v="80"/>
    <n v="74"/>
    <n v="7.4999999999999997E-2"/>
    <n v="16"/>
    <n v="1184"/>
  </r>
  <r>
    <s v="I-2120"/>
    <s v="Rome"/>
    <s v="Italy"/>
    <s v="EMEA"/>
    <d v="2016-04-26T00:00:00"/>
    <x v="6"/>
    <s v="Steven Bell"/>
    <n v="800"/>
    <n v="592"/>
    <n v="0.26"/>
    <n v="15"/>
    <n v="8880"/>
  </r>
  <r>
    <s v="I-2121"/>
    <s v="Jerusalem"/>
    <s v="Israel"/>
    <s v="EMEA"/>
    <d v="2016-12-14T00:00:00"/>
    <x v="0"/>
    <s v="John Bond"/>
    <n v="80"/>
    <n v="74"/>
    <n v="7.4999999999999997E-2"/>
    <n v="86"/>
    <n v="6364"/>
  </r>
  <r>
    <s v="I-2122"/>
    <s v="Berlin"/>
    <s v="Germany"/>
    <s v="EMEA"/>
    <d v="2015-05-19T00:00:00"/>
    <x v="4"/>
    <s v="John Gunter"/>
    <n v="30"/>
    <n v="20"/>
    <n v="0.33329999999999999"/>
    <n v="21"/>
    <n v="420"/>
  </r>
  <r>
    <s v="I-2123"/>
    <s v="Lima"/>
    <s v="Peru"/>
    <s v="LATAM"/>
    <d v="2017-06-01T00:00:00"/>
    <x v="2"/>
    <s v="Christopher Cresswell"/>
    <n v="150"/>
    <n v="138"/>
    <n v="0.08"/>
    <n v="31"/>
    <n v="4278"/>
  </r>
  <r>
    <s v="I-2124"/>
    <s v="Riyadh"/>
    <s v="Saudi Arabia"/>
    <s v="EMEA"/>
    <d v="2018-11-24T00:00:00"/>
    <x v="4"/>
    <s v="Victoria Sherwin"/>
    <n v="30"/>
    <n v="30"/>
    <n v="0"/>
    <n v="23"/>
    <n v="690"/>
  </r>
  <r>
    <s v="I-2125"/>
    <s v="Warsaw"/>
    <s v="Poland"/>
    <s v="EMEA"/>
    <d v="2016-04-01T00:00:00"/>
    <x v="10"/>
    <s v="Anthony Connolly"/>
    <n v="250"/>
    <n v="225"/>
    <n v="0.1"/>
    <n v="47"/>
    <n v="10575"/>
  </r>
  <r>
    <s v="I-2126"/>
    <s v="Moscow"/>
    <s v="Russia"/>
    <s v="EMEA"/>
    <d v="2018-03-10T00:00:00"/>
    <x v="2"/>
    <s v="Zulfiqar Mirza"/>
    <n v="150"/>
    <n v="143"/>
    <n v="4.6699999999999998E-2"/>
    <n v="64"/>
    <n v="9152"/>
  </r>
  <r>
    <s v="I-2127"/>
    <s v="Dublin"/>
    <s v="Ireland"/>
    <s v="EMEA"/>
    <d v="2015-04-01T00:00:00"/>
    <x v="1"/>
    <s v="Robert Harris"/>
    <n v="700"/>
    <n v="679"/>
    <n v="0.03"/>
    <n v="63"/>
    <n v="42777"/>
  </r>
  <r>
    <s v="I-2128"/>
    <s v="Dubai"/>
    <s v="UAE"/>
    <s v="EMEA"/>
    <d v="2014-08-11T00:00:00"/>
    <x v="8"/>
    <s v="Frank Murray"/>
    <n v="500"/>
    <n v="495"/>
    <n v="0.01"/>
    <n v="61"/>
    <n v="30195"/>
  </r>
  <r>
    <s v="I-2129"/>
    <s v="Kansas City"/>
    <s v="USA"/>
    <s v="NA"/>
    <d v="2014-09-17T00:00:00"/>
    <x v="5"/>
    <s v="Ronnette Stocks"/>
    <n v="500"/>
    <n v="400"/>
    <n v="0.2"/>
    <n v="23"/>
    <n v="9200"/>
  </r>
  <r>
    <s v="I-2130"/>
    <s v="Seattle"/>
    <s v="USA"/>
    <s v="NA"/>
    <d v="2018-05-15T00:00:00"/>
    <x v="3"/>
    <s v="Richard Anderson"/>
    <n v="50"/>
    <n v="48"/>
    <n v="0.04"/>
    <n v="35"/>
    <n v="1680"/>
  </r>
  <r>
    <s v="I-2131"/>
    <s v="Tel Aviv"/>
    <s v="Israel"/>
    <s v="EMEA"/>
    <d v="2015-06-17T00:00:00"/>
    <x v="4"/>
    <s v="Steven Green"/>
    <n v="30"/>
    <n v="19"/>
    <n v="0.36670000000000003"/>
    <n v="41"/>
    <n v="779"/>
  </r>
  <r>
    <s v="I-2132"/>
    <s v="Berlin"/>
    <s v="Germany"/>
    <s v="EMEA"/>
    <d v="2014-04-17T00:00:00"/>
    <x v="4"/>
    <s v="Jacqueline Clamp"/>
    <n v="30"/>
    <n v="22"/>
    <n v="0.26669999999999999"/>
    <n v="12"/>
    <n v="264"/>
  </r>
  <r>
    <s v="I-2133"/>
    <s v="Istanbul"/>
    <s v="Turkey"/>
    <s v="EMEA"/>
    <d v="2017-03-07T00:00:00"/>
    <x v="8"/>
    <s v="David Philp"/>
    <n v="500"/>
    <n v="500"/>
    <n v="0"/>
    <n v="88"/>
    <n v="44000"/>
  </r>
  <r>
    <s v="I-2134"/>
    <s v="Kansas City"/>
    <s v="USA"/>
    <s v="NA"/>
    <d v="2017-07-27T00:00:00"/>
    <x v="3"/>
    <s v="Nicola Wright"/>
    <n v="50"/>
    <n v="50"/>
    <n v="0"/>
    <n v="66"/>
    <n v="3300"/>
  </r>
  <r>
    <s v="I-2135"/>
    <s v="Seoul"/>
    <s v="South Korea"/>
    <s v="APAC"/>
    <d v="2014-08-04T00:00:00"/>
    <x v="11"/>
    <s v="Kevin Long"/>
    <n v="50"/>
    <n v="50"/>
    <n v="0"/>
    <n v="84"/>
    <n v="4200"/>
  </r>
  <r>
    <s v="I-2136"/>
    <s v="Los Angeles"/>
    <s v="USA"/>
    <s v="NA"/>
    <d v="2016-12-01T00:00:00"/>
    <x v="7"/>
    <s v="Rita Jenkins"/>
    <n v="1000"/>
    <n v="710"/>
    <n v="0.28999999999999998"/>
    <n v="2"/>
    <n v="1420"/>
  </r>
  <r>
    <s v="I-2137"/>
    <s v="Berlin"/>
    <s v="Germany"/>
    <s v="EMEA"/>
    <d v="2018-11-29T00:00:00"/>
    <x v="0"/>
    <s v="Paul Mannion"/>
    <n v="80"/>
    <n v="74"/>
    <n v="7.4999999999999997E-2"/>
    <n v="57"/>
    <n v="4218"/>
  </r>
  <r>
    <s v="I-2138"/>
    <s v="Tel Aviv"/>
    <s v="Israel"/>
    <s v="EMEA"/>
    <d v="2016-03-28T00:00:00"/>
    <x v="11"/>
    <s v="David Isaacs"/>
    <n v="50"/>
    <n v="50"/>
    <n v="0"/>
    <n v="8"/>
    <n v="400"/>
  </r>
  <r>
    <s v="I-2139"/>
    <s v="Los Angeles"/>
    <s v="USA"/>
    <s v="NA"/>
    <d v="2014-04-16T00:00:00"/>
    <x v="10"/>
    <s v="Heather Beck"/>
    <n v="250"/>
    <n v="208"/>
    <n v="0.16800000000000001"/>
    <n v="78"/>
    <n v="16224"/>
  </r>
  <r>
    <s v="I-2140"/>
    <s v="Osaka"/>
    <s v="Japan"/>
    <s v="APAC"/>
    <d v="2017-03-02T00:00:00"/>
    <x v="11"/>
    <s v="Jill Thompson"/>
    <n v="50"/>
    <n v="46"/>
    <n v="0.08"/>
    <n v="57"/>
    <n v="2622"/>
  </r>
  <r>
    <s v="I-2141"/>
    <s v="Jerusalem"/>
    <s v="Israel"/>
    <s v="EMEA"/>
    <d v="2015-02-11T00:00:00"/>
    <x v="6"/>
    <s v="Barbara Scott"/>
    <n v="800"/>
    <n v="744"/>
    <n v="7.0000000000000007E-2"/>
    <n v="74"/>
    <n v="55056"/>
  </r>
  <r>
    <s v="I-2142"/>
    <s v="Bangkok"/>
    <s v="Thailand"/>
    <s v="APAC"/>
    <d v="2017-04-14T00:00:00"/>
    <x v="0"/>
    <s v="Carol Cormack"/>
    <n v="80"/>
    <n v="76"/>
    <n v="0.05"/>
    <n v="69"/>
    <n v="5244"/>
  </r>
  <r>
    <s v="I-2143"/>
    <s v="Seoul"/>
    <s v="South Korea"/>
    <s v="APAC"/>
    <d v="2017-06-03T00:00:00"/>
    <x v="2"/>
    <s v="Roger Scott"/>
    <n v="150"/>
    <n v="146"/>
    <n v="2.6700000000000002E-2"/>
    <n v="8"/>
    <n v="1168"/>
  </r>
  <r>
    <s v="I-2144"/>
    <s v="Shanghai"/>
    <s v="China"/>
    <s v="APAC"/>
    <d v="2018-11-12T00:00:00"/>
    <x v="5"/>
    <s v="Glenys Raymond"/>
    <n v="500"/>
    <n v="475"/>
    <n v="0.05"/>
    <n v="50"/>
    <n v="23750"/>
  </r>
  <r>
    <s v="I-2145"/>
    <s v="Madria"/>
    <s v="Spain"/>
    <s v="EMEA"/>
    <d v="2016-11-16T00:00:00"/>
    <x v="0"/>
    <s v="Roy Lloyd"/>
    <n v="80"/>
    <n v="68"/>
    <n v="0.15"/>
    <n v="95"/>
    <n v="6460"/>
  </r>
  <r>
    <s v="I-2146"/>
    <s v="Bucharest"/>
    <s v="Romania"/>
    <s v="EMEA"/>
    <d v="2015-08-19T00:00:00"/>
    <x v="8"/>
    <s v="Dell Lockwood"/>
    <n v="500"/>
    <n v="500"/>
    <n v="0"/>
    <n v="43"/>
    <n v="21500"/>
  </r>
  <r>
    <s v="I-2147"/>
    <s v="Vienna"/>
    <s v="Austria"/>
    <s v="EMEA"/>
    <d v="2014-03-02T00:00:00"/>
    <x v="10"/>
    <s v="Baljinder Anderson"/>
    <n v="250"/>
    <n v="243"/>
    <n v="2.8000000000000001E-2"/>
    <n v="92"/>
    <n v="22356"/>
  </r>
  <r>
    <s v="I-2148"/>
    <s v="Sao Paolo"/>
    <s v="Brazil"/>
    <s v="LATAM"/>
    <d v="2016-04-23T00:00:00"/>
    <x v="7"/>
    <s v="Stephen Smith"/>
    <n v="1000"/>
    <n v="500"/>
    <n v="0.5"/>
    <n v="28"/>
    <n v="14000"/>
  </r>
  <r>
    <s v="I-2149"/>
    <s v="Mexico City"/>
    <s v="Mexico"/>
    <s v="LATAM"/>
    <d v="2018-09-12T00:00:00"/>
    <x v="7"/>
    <s v="Catherine Rahman"/>
    <n v="1000"/>
    <n v="700"/>
    <n v="0.3"/>
    <n v="7"/>
    <n v="4900"/>
  </r>
  <r>
    <s v="I-2150"/>
    <s v="Dubai"/>
    <s v="UAE"/>
    <s v="EMEA"/>
    <d v="2018-04-28T00:00:00"/>
    <x v="0"/>
    <s v="Marie Whitfield"/>
    <n v="80"/>
    <n v="58"/>
    <n v="0.27500000000000002"/>
    <n v="43"/>
    <n v="2494"/>
  </r>
  <r>
    <s v="I-2151"/>
    <s v="Amsterdam"/>
    <s v="Netherlands"/>
    <s v="EMEA"/>
    <d v="2015-03-14T00:00:00"/>
    <x v="6"/>
    <s v="Christopher Hurren"/>
    <n v="800"/>
    <n v="664"/>
    <n v="0.17"/>
    <n v="27"/>
    <n v="17928"/>
  </r>
  <r>
    <s v="I-2152"/>
    <s v="London"/>
    <s v="UK"/>
    <s v="EMEA"/>
    <d v="2014-02-11T00:00:00"/>
    <x v="9"/>
    <s v="Claire Brooks"/>
    <n v="70"/>
    <n v="69"/>
    <n v="1.43E-2"/>
    <n v="40"/>
    <n v="2760"/>
  </r>
  <r>
    <s v="I-2153"/>
    <s v="Tijuana"/>
    <s v="Mexico"/>
    <s v="LATAM"/>
    <d v="2014-11-11T00:00:00"/>
    <x v="11"/>
    <s v="Stephen Carlin"/>
    <n v="50"/>
    <n v="50"/>
    <n v="0"/>
    <n v="75"/>
    <n v="3750"/>
  </r>
  <r>
    <s v="I-2154"/>
    <s v="Kuala Lumpur"/>
    <s v="Malaysia"/>
    <s v="APAC"/>
    <d v="2014-02-19T00:00:00"/>
    <x v="0"/>
    <s v="Ian Baker"/>
    <n v="80"/>
    <n v="75"/>
    <n v="6.25E-2"/>
    <n v="44"/>
    <n v="3300"/>
  </r>
  <r>
    <s v="I-2155"/>
    <s v="Moscow"/>
    <s v="Russia"/>
    <s v="EMEA"/>
    <d v="2017-05-20T00:00:00"/>
    <x v="0"/>
    <s v="Diane Batty"/>
    <n v="80"/>
    <n v="76"/>
    <n v="0.05"/>
    <n v="69"/>
    <n v="5244"/>
  </r>
  <r>
    <s v="I-2156"/>
    <s v="Bangalore"/>
    <s v="India"/>
    <s v="APAC"/>
    <d v="2015-05-19T00:00:00"/>
    <x v="10"/>
    <s v="Stuart Hunter"/>
    <n v="250"/>
    <n v="190"/>
    <n v="0.24"/>
    <n v="7"/>
    <n v="1330"/>
  </r>
  <r>
    <s v="I-2157"/>
    <s v="Madria"/>
    <s v="Spain"/>
    <s v="EMEA"/>
    <d v="2017-01-02T00:00:00"/>
    <x v="7"/>
    <s v="Catherine Gagg"/>
    <n v="1000"/>
    <n v="650"/>
    <n v="0.35"/>
    <n v="53"/>
    <n v="34450"/>
  </r>
  <r>
    <s v="I-2158"/>
    <s v="Shanghai"/>
    <s v="China"/>
    <s v="APAC"/>
    <d v="2015-12-08T00:00:00"/>
    <x v="0"/>
    <s v="Wolf Christian"/>
    <n v="80"/>
    <n v="58"/>
    <n v="0.27500000000000002"/>
    <n v="5"/>
    <n v="290"/>
  </r>
  <r>
    <s v="I-2159"/>
    <s v="Shenzhen"/>
    <s v="China"/>
    <s v="APAC"/>
    <d v="2014-01-03T00:00:00"/>
    <x v="10"/>
    <s v="Keith Drage"/>
    <n v="250"/>
    <n v="235"/>
    <n v="0.06"/>
    <n v="21"/>
    <n v="4935"/>
  </r>
  <r>
    <s v="I-2160"/>
    <s v="Dublin"/>
    <s v="Ireland"/>
    <s v="EMEA"/>
    <d v="2016-03-23T00:00:00"/>
    <x v="5"/>
    <s v="Andrew Phillips"/>
    <n v="500"/>
    <n v="440"/>
    <n v="0.12"/>
    <n v="24"/>
    <n v="10560"/>
  </r>
  <r>
    <s v="I-2161"/>
    <s v="Berlin"/>
    <s v="Germany"/>
    <s v="EMEA"/>
    <d v="2017-10-21T00:00:00"/>
    <x v="11"/>
    <s v="Kate Pearce"/>
    <n v="50"/>
    <n v="46"/>
    <n v="0.08"/>
    <n v="42"/>
    <n v="1932"/>
  </r>
  <r>
    <s v="I-2162"/>
    <s v="San Fransisco"/>
    <s v="USA"/>
    <s v="NA"/>
    <d v="2018-06-07T00:00:00"/>
    <x v="9"/>
    <s v="Patricia Sewell"/>
    <n v="70"/>
    <n v="63"/>
    <n v="0.1"/>
    <n v="74"/>
    <n v="4662"/>
  </r>
  <r>
    <s v="I-2163"/>
    <s v="Buenos Aires"/>
    <s v="Argentina"/>
    <s v="LATAM"/>
    <d v="2018-03-14T00:00:00"/>
    <x v="2"/>
    <s v="Naeem Perry"/>
    <n v="150"/>
    <n v="128"/>
    <n v="0.1467"/>
    <n v="48"/>
    <n v="6144"/>
  </r>
  <r>
    <s v="I-2164"/>
    <s v="Bangkok"/>
    <s v="Thailand"/>
    <s v="APAC"/>
    <d v="2016-12-11T00:00:00"/>
    <x v="2"/>
    <s v="Nicole Marshall"/>
    <n v="150"/>
    <n v="150"/>
    <n v="0"/>
    <n v="4"/>
    <n v="600"/>
  </r>
  <r>
    <s v="I-2165"/>
    <s v="Moscow"/>
    <s v="Russia"/>
    <s v="EMEA"/>
    <d v="2017-02-12T00:00:00"/>
    <x v="5"/>
    <s v="Zulfiqar Mirza"/>
    <n v="500"/>
    <n v="485"/>
    <n v="0.03"/>
    <n v="13"/>
    <n v="6305"/>
  </r>
  <r>
    <s v="I-2166"/>
    <s v="Athens"/>
    <s v="Greece"/>
    <s v="EMEA"/>
    <d v="2017-05-26T00:00:00"/>
    <x v="10"/>
    <s v="Sarah Chadwick"/>
    <n v="250"/>
    <n v="230"/>
    <n v="0.08"/>
    <n v="66"/>
    <n v="15180"/>
  </r>
  <r>
    <s v="I-2167"/>
    <s v="Birmingham"/>
    <s v="UK"/>
    <s v="EMEA"/>
    <d v="2016-09-30T00:00:00"/>
    <x v="9"/>
    <s v="Philip Collins"/>
    <n v="70"/>
    <n v="62"/>
    <n v="0.1143"/>
    <n v="100"/>
    <n v="6200"/>
  </r>
  <r>
    <s v="I-2168"/>
    <s v="Bangkok"/>
    <s v="Thailand"/>
    <s v="APAC"/>
    <d v="2017-07-08T00:00:00"/>
    <x v="1"/>
    <s v="Jonathan Pereira"/>
    <n v="700"/>
    <n v="665"/>
    <n v="0.05"/>
    <n v="97"/>
    <n v="64505"/>
  </r>
  <r>
    <s v="I-2169"/>
    <s v="Kansas City"/>
    <s v="USA"/>
    <s v="NA"/>
    <d v="2017-10-30T00:00:00"/>
    <x v="3"/>
    <s v="Nick Gee"/>
    <n v="50"/>
    <n v="50"/>
    <n v="0"/>
    <n v="87"/>
    <n v="4350"/>
  </r>
  <r>
    <s v="I-2170"/>
    <s v="Dublin"/>
    <s v="Ireland"/>
    <s v="EMEA"/>
    <d v="2014-06-05T00:00:00"/>
    <x v="0"/>
    <s v="Robert Harris"/>
    <n v="80"/>
    <n v="56"/>
    <n v="0.3"/>
    <n v="43"/>
    <n v="2408"/>
  </r>
  <r>
    <s v="I-2171"/>
    <s v="Prague"/>
    <s v="Czech Republic"/>
    <s v="EMEA"/>
    <d v="2018-06-30T00:00:00"/>
    <x v="9"/>
    <s v="Stephen Nolan"/>
    <n v="70"/>
    <n v="65"/>
    <n v="7.1400000000000005E-2"/>
    <n v="7"/>
    <n v="455"/>
  </r>
  <r>
    <s v="I-2172"/>
    <s v="Santiago"/>
    <s v="Chile"/>
    <s v="LATAM"/>
    <d v="2016-05-18T00:00:00"/>
    <x v="3"/>
    <s v="Karen Hopewell"/>
    <n v="50"/>
    <n v="43"/>
    <n v="0.14000000000000001"/>
    <n v="38"/>
    <n v="1634"/>
  </r>
  <r>
    <s v="I-2173"/>
    <s v="Delhi"/>
    <s v="India"/>
    <s v="APAC"/>
    <d v="2015-10-11T00:00:00"/>
    <x v="2"/>
    <s v="Roger Silvester"/>
    <n v="150"/>
    <n v="126"/>
    <n v="0.16"/>
    <n v="56"/>
    <n v="7056"/>
  </r>
  <r>
    <s v="I-2174"/>
    <s v="Shanghai"/>
    <s v="China"/>
    <s v="APAC"/>
    <d v="2015-01-31T00:00:00"/>
    <x v="5"/>
    <s v="Paul Power"/>
    <n v="500"/>
    <n v="360"/>
    <n v="0.28000000000000003"/>
    <n v="67"/>
    <n v="24120"/>
  </r>
  <r>
    <s v="I-2175"/>
    <s v="Buenos Aires"/>
    <s v="Argentina"/>
    <s v="LATAM"/>
    <d v="2016-09-09T00:00:00"/>
    <x v="0"/>
    <s v="Nicola Nathan"/>
    <n v="80"/>
    <n v="71"/>
    <n v="0.1125"/>
    <n v="6"/>
    <n v="426"/>
  </r>
  <r>
    <s v="I-2176"/>
    <s v="Kansas City"/>
    <s v="USA"/>
    <s v="NA"/>
    <d v="2014-01-15T00:00:00"/>
    <x v="4"/>
    <s v="Robert Arnold"/>
    <n v="30"/>
    <n v="29"/>
    <n v="3.3300000000000003E-2"/>
    <n v="89"/>
    <n v="2581"/>
  </r>
  <r>
    <s v="I-2177"/>
    <s v="Warsaw"/>
    <s v="Poland"/>
    <s v="EMEA"/>
    <d v="2016-12-29T00:00:00"/>
    <x v="10"/>
    <s v="Alexandra Wright"/>
    <n v="250"/>
    <n v="248"/>
    <n v="8.0000000000000002E-3"/>
    <n v="55"/>
    <n v="13640"/>
  </r>
  <r>
    <s v="I-2178"/>
    <s v="Tokyo"/>
    <s v="Japan"/>
    <s v="APAC"/>
    <d v="2018-10-21T00:00:00"/>
    <x v="4"/>
    <s v="Nicholas Goude"/>
    <n v="30"/>
    <n v="27"/>
    <n v="0.1"/>
    <n v="90"/>
    <n v="2430"/>
  </r>
  <r>
    <s v="I-2179"/>
    <s v="Paris"/>
    <s v="France"/>
    <s v="EMEA"/>
    <d v="2017-08-01T00:00:00"/>
    <x v="9"/>
    <s v="Rory Bullion"/>
    <n v="70"/>
    <n v="66"/>
    <n v="5.7099999999999998E-2"/>
    <n v="3"/>
    <n v="198"/>
  </r>
  <r>
    <s v="I-2180"/>
    <s v="Toronto"/>
    <s v="Canada"/>
    <s v="NA"/>
    <d v="2014-09-22T00:00:00"/>
    <x v="3"/>
    <s v="David Shiner"/>
    <n v="50"/>
    <n v="50"/>
    <n v="0"/>
    <n v="89"/>
    <n v="4450"/>
  </r>
  <r>
    <s v="I-2181"/>
    <s v="Rome"/>
    <s v="Italy"/>
    <s v="EMEA"/>
    <d v="2015-05-10T00:00:00"/>
    <x v="7"/>
    <s v="Michael Toy"/>
    <n v="1000"/>
    <n v="690"/>
    <n v="0.31"/>
    <n v="92"/>
    <n v="63480"/>
  </r>
  <r>
    <s v="I-2182"/>
    <s v="Kansas City"/>
    <s v="USA"/>
    <s v="NA"/>
    <d v="2017-05-25T00:00:00"/>
    <x v="2"/>
    <s v="Ronnette Stocks"/>
    <n v="150"/>
    <n v="150"/>
    <n v="0"/>
    <n v="56"/>
    <n v="8400"/>
  </r>
  <r>
    <s v="I-2183"/>
    <s v="Bangalore"/>
    <s v="India"/>
    <s v="APAC"/>
    <d v="2015-08-11T00:00:00"/>
    <x v="1"/>
    <s v="Paul Rule"/>
    <n v="700"/>
    <n v="560"/>
    <n v="0.2"/>
    <n v="57"/>
    <n v="31920"/>
  </r>
  <r>
    <s v="I-2184"/>
    <s v="Mexico City"/>
    <s v="Mexico"/>
    <s v="LATAM"/>
    <d v="2014-03-18T00:00:00"/>
    <x v="8"/>
    <s v="Malcolm Griffith"/>
    <n v="500"/>
    <n v="495"/>
    <n v="0.01"/>
    <n v="2"/>
    <n v="990"/>
  </r>
  <r>
    <s v="I-2185"/>
    <s v="Chicago"/>
    <s v="USA"/>
    <s v="NA"/>
    <d v="2015-01-16T00:00:00"/>
    <x v="4"/>
    <s v="Amelia Scott"/>
    <n v="30"/>
    <n v="30"/>
    <n v="0"/>
    <n v="83"/>
    <n v="2490"/>
  </r>
  <r>
    <s v="I-2186"/>
    <s v="Sydney"/>
    <s v="Australia"/>
    <s v="APAC"/>
    <d v="2015-12-01T00:00:00"/>
    <x v="2"/>
    <s v="Armand Ahmed"/>
    <n v="150"/>
    <n v="132"/>
    <n v="0.12"/>
    <n v="48"/>
    <n v="6336"/>
  </r>
  <r>
    <s v="I-2187"/>
    <s v="Lima"/>
    <s v="Peru"/>
    <s v="LATAM"/>
    <d v="2014-12-12T00:00:00"/>
    <x v="5"/>
    <s v="Cheryl Glover"/>
    <n v="500"/>
    <n v="425"/>
    <n v="0.15"/>
    <n v="59"/>
    <n v="25075"/>
  </r>
  <r>
    <s v="I-2188"/>
    <s v="Dubai"/>
    <s v="UAE"/>
    <s v="EMEA"/>
    <d v="2017-12-06T00:00:00"/>
    <x v="7"/>
    <s v="George Smith"/>
    <n v="1000"/>
    <n v="790"/>
    <n v="0.21"/>
    <n v="22"/>
    <n v="17380"/>
  </r>
  <r>
    <s v="I-2189"/>
    <s v="Istanbul"/>
    <s v="Turkey"/>
    <s v="EMEA"/>
    <d v="2016-06-14T00:00:00"/>
    <x v="7"/>
    <s v="David Philp"/>
    <n v="1000"/>
    <n v="980"/>
    <n v="0.02"/>
    <n v="64"/>
    <n v="62720"/>
  </r>
  <r>
    <s v="I-2190"/>
    <s v="Tel Aviv"/>
    <s v="Israel"/>
    <s v="EMEA"/>
    <d v="2015-04-08T00:00:00"/>
    <x v="5"/>
    <s v="Maureen Reynolds"/>
    <n v="500"/>
    <n v="345"/>
    <n v="0.31"/>
    <n v="11"/>
    <n v="3795"/>
  </r>
  <r>
    <s v="I-2191"/>
    <s v="Istanbul"/>
    <s v="Turkey"/>
    <s v="EMEA"/>
    <d v="2016-10-25T00:00:00"/>
    <x v="11"/>
    <s v="Mark Sayer"/>
    <n v="50"/>
    <n v="44"/>
    <n v="0.12"/>
    <n v="31"/>
    <n v="1364"/>
  </r>
  <r>
    <s v="I-2192"/>
    <s v="Mexico City"/>
    <s v="Mexico"/>
    <s v="LATAM"/>
    <d v="2018-01-30T00:00:00"/>
    <x v="11"/>
    <s v="Malcolm Griffith"/>
    <n v="50"/>
    <n v="43"/>
    <n v="0.14000000000000001"/>
    <n v="62"/>
    <n v="2666"/>
  </r>
  <r>
    <s v="I-2193"/>
    <s v="Kuala Lumpur"/>
    <s v="Malaysia"/>
    <s v="APAC"/>
    <d v="2018-04-11T00:00:00"/>
    <x v="4"/>
    <s v="Harold Lunn"/>
    <n v="30"/>
    <n v="29"/>
    <n v="3.3300000000000003E-2"/>
    <n v="9"/>
    <n v="261"/>
  </r>
  <r>
    <s v="I-2194"/>
    <s v="Kuala Lumpur"/>
    <s v="Malaysia"/>
    <s v="APAC"/>
    <d v="2017-06-30T00:00:00"/>
    <x v="4"/>
    <s v="Rachel Oliver"/>
    <n v="30"/>
    <n v="29"/>
    <n v="3.3300000000000003E-2"/>
    <n v="15"/>
    <n v="435"/>
  </r>
  <r>
    <s v="I-2195"/>
    <s v="Chicago"/>
    <s v="USA"/>
    <s v="NA"/>
    <d v="2016-09-07T00:00:00"/>
    <x v="1"/>
    <s v="Heather McGill"/>
    <n v="700"/>
    <n v="700"/>
    <n v="0"/>
    <n v="6"/>
    <n v="4200"/>
  </r>
  <r>
    <s v="I-2196"/>
    <s v="London"/>
    <s v="UK"/>
    <s v="EMEA"/>
    <d v="2015-02-09T00:00:00"/>
    <x v="10"/>
    <s v="William Cruse"/>
    <n v="250"/>
    <n v="238"/>
    <n v="4.8000000000000001E-2"/>
    <n v="47"/>
    <n v="11186"/>
  </r>
  <r>
    <s v="I-2197"/>
    <s v="Riyadh"/>
    <s v="Saudi Arabia"/>
    <s v="EMEA"/>
    <d v="2017-01-19T00:00:00"/>
    <x v="5"/>
    <s v="David Adams"/>
    <n v="500"/>
    <n v="485"/>
    <n v="0.03"/>
    <n v="40"/>
    <n v="19400"/>
  </r>
  <r>
    <s v="I-2198"/>
    <s v="New York"/>
    <s v="USA"/>
    <s v="NA"/>
    <d v="2014-05-26T00:00:00"/>
    <x v="6"/>
    <s v="Simon Hirst"/>
    <n v="800"/>
    <n v="456"/>
    <n v="0.43"/>
    <n v="34"/>
    <n v="15504"/>
  </r>
  <r>
    <s v="I-2199"/>
    <s v="Seattle"/>
    <s v="USA"/>
    <s v="NA"/>
    <d v="2017-08-10T00:00:00"/>
    <x v="9"/>
    <s v="Lesleyann Pope"/>
    <n v="70"/>
    <n v="66"/>
    <n v="5.7099999999999998E-2"/>
    <n v="85"/>
    <n v="5610"/>
  </r>
  <r>
    <s v="I-2200"/>
    <s v="London"/>
    <s v="UK"/>
    <s v="EMEA"/>
    <d v="2014-07-11T00:00:00"/>
    <x v="4"/>
    <s v="James Neville"/>
    <n v="30"/>
    <n v="30"/>
    <n v="0"/>
    <n v="6"/>
    <n v="180"/>
  </r>
  <r>
    <s v="I-2201"/>
    <s v="Seoul"/>
    <s v="South Korea"/>
    <s v="APAC"/>
    <d v="2016-11-12T00:00:00"/>
    <x v="4"/>
    <s v="Steven Wood"/>
    <n v="30"/>
    <n v="29"/>
    <n v="3.3300000000000003E-2"/>
    <n v="61"/>
    <n v="1769"/>
  </r>
  <r>
    <s v="I-2202"/>
    <s v="Paris"/>
    <s v="France"/>
    <s v="EMEA"/>
    <d v="2015-07-02T00:00:00"/>
    <x v="9"/>
    <s v="Darren Webb"/>
    <n v="70"/>
    <n v="62"/>
    <n v="0.1143"/>
    <n v="62"/>
    <n v="3844"/>
  </r>
  <r>
    <s v="I-2203"/>
    <s v="Kansas City"/>
    <s v="USA"/>
    <s v="NA"/>
    <d v="2015-07-03T00:00:00"/>
    <x v="8"/>
    <s v="Nick Gee"/>
    <n v="500"/>
    <n v="500"/>
    <n v="0"/>
    <n v="39"/>
    <n v="19500"/>
  </r>
  <r>
    <s v="I-2204"/>
    <s v="Toronto"/>
    <s v="Canada"/>
    <s v="NA"/>
    <d v="2016-07-01T00:00:00"/>
    <x v="11"/>
    <s v="Alison Storey"/>
    <n v="50"/>
    <n v="45"/>
    <n v="0.1"/>
    <n v="23"/>
    <n v="1035"/>
  </r>
  <r>
    <s v="I-2205"/>
    <s v="Madria"/>
    <s v="Spain"/>
    <s v="EMEA"/>
    <d v="2018-03-16T00:00:00"/>
    <x v="1"/>
    <s v="Martin Mishra"/>
    <n v="700"/>
    <n v="623"/>
    <n v="0.11"/>
    <n v="100"/>
    <n v="62300"/>
  </r>
  <r>
    <s v="I-2206"/>
    <s v="Delhi"/>
    <s v="India"/>
    <s v="APAC"/>
    <d v="2017-08-21T00:00:00"/>
    <x v="8"/>
    <s v="Gillian Harris"/>
    <n v="500"/>
    <n v="490"/>
    <n v="0.02"/>
    <n v="44"/>
    <n v="21560"/>
  </r>
  <r>
    <s v="I-2207"/>
    <s v="Prague"/>
    <s v="Czech Republic"/>
    <s v="EMEA"/>
    <d v="2017-06-14T00:00:00"/>
    <x v="11"/>
    <s v="Edward Khan"/>
    <n v="50"/>
    <n v="22"/>
    <n v="0.56000000000000005"/>
    <n v="85"/>
    <n v="1870"/>
  </r>
  <r>
    <s v="I-2208"/>
    <s v="Bogota"/>
    <s v="Colombia"/>
    <s v="LATAM"/>
    <d v="2018-06-08T00:00:00"/>
    <x v="2"/>
    <s v="Philip Mishra"/>
    <n v="150"/>
    <n v="129"/>
    <n v="0.14000000000000001"/>
    <n v="28"/>
    <n v="3612"/>
  </r>
  <r>
    <s v="I-2209"/>
    <s v="Birmingham"/>
    <s v="UK"/>
    <s v="EMEA"/>
    <d v="2014-08-05T00:00:00"/>
    <x v="0"/>
    <s v="Philip Collins"/>
    <n v="80"/>
    <n v="78"/>
    <n v="2.5000000000000001E-2"/>
    <n v="76"/>
    <n v="5928"/>
  </r>
  <r>
    <s v="I-2210"/>
    <s v="Berlin"/>
    <s v="Germany"/>
    <s v="EMEA"/>
    <d v="2014-05-28T00:00:00"/>
    <x v="10"/>
    <s v="Kate Pearce"/>
    <n v="250"/>
    <n v="208"/>
    <n v="0.16800000000000001"/>
    <n v="98"/>
    <n v="20384"/>
  </r>
  <r>
    <s v="I-2211"/>
    <s v="Capetown"/>
    <s v="South Africa"/>
    <s v="EMEA"/>
    <d v="2015-05-23T00:00:00"/>
    <x v="11"/>
    <s v="Marcus Jacob"/>
    <n v="50"/>
    <n v="37"/>
    <n v="0.26"/>
    <n v="27"/>
    <n v="999"/>
  </r>
  <r>
    <s v="I-2212"/>
    <s v="Santiago"/>
    <s v="Chile"/>
    <s v="LATAM"/>
    <d v="2015-01-01T00:00:00"/>
    <x v="2"/>
    <s v="Bruce McPhee"/>
    <n v="150"/>
    <n v="143"/>
    <n v="4.6699999999999998E-2"/>
    <n v="74"/>
    <n v="10582"/>
  </r>
  <r>
    <s v="I-2213"/>
    <s v="Toronto"/>
    <s v="Canada"/>
    <s v="NA"/>
    <d v="2017-05-14T00:00:00"/>
    <x v="11"/>
    <s v="Nick Blacklock"/>
    <n v="50"/>
    <n v="46"/>
    <n v="0.08"/>
    <n v="64"/>
    <n v="2944"/>
  </r>
  <r>
    <s v="I-2214"/>
    <s v="Bogota"/>
    <s v="Colombia"/>
    <s v="LATAM"/>
    <d v="2015-10-24T00:00:00"/>
    <x v="4"/>
    <s v="Margaret Buck"/>
    <n v="30"/>
    <n v="29"/>
    <n v="3.3300000000000003E-2"/>
    <n v="39"/>
    <n v="1131"/>
  </r>
  <r>
    <s v="I-2215"/>
    <s v="Kuala Lumpur"/>
    <s v="Malaysia"/>
    <s v="APAC"/>
    <d v="2018-08-30T00:00:00"/>
    <x v="11"/>
    <s v="Valerie Hook"/>
    <n v="50"/>
    <n v="44"/>
    <n v="0.12"/>
    <n v="97"/>
    <n v="4268"/>
  </r>
  <r>
    <s v="I-2216"/>
    <s v="Athens"/>
    <s v="Greece"/>
    <s v="EMEA"/>
    <d v="2017-09-12T00:00:00"/>
    <x v="4"/>
    <s v="Olivia Reynolds"/>
    <n v="30"/>
    <n v="29"/>
    <n v="3.3300000000000003E-2"/>
    <n v="90"/>
    <n v="2610"/>
  </r>
  <r>
    <s v="I-2217"/>
    <s v="Paris"/>
    <s v="France"/>
    <s v="EMEA"/>
    <d v="2014-04-10T00:00:00"/>
    <x v="6"/>
    <s v="Joanne Sayer"/>
    <n v="800"/>
    <n v="720"/>
    <n v="0.1"/>
    <n v="16"/>
    <n v="11520"/>
  </r>
  <r>
    <s v="I-2218"/>
    <s v="Bogota"/>
    <s v="Colombia"/>
    <s v="LATAM"/>
    <d v="2014-05-10T00:00:00"/>
    <x v="5"/>
    <s v="Sandra Rew"/>
    <n v="500"/>
    <n v="430"/>
    <n v="0.14000000000000001"/>
    <n v="73"/>
    <n v="31390"/>
  </r>
  <r>
    <s v="I-2219"/>
    <s v="Madria"/>
    <s v="Spain"/>
    <s v="EMEA"/>
    <d v="2017-04-04T00:00:00"/>
    <x v="4"/>
    <s v="Penelope Freeland"/>
    <n v="30"/>
    <n v="29"/>
    <n v="3.3300000000000003E-2"/>
    <n v="36"/>
    <n v="1044"/>
  </r>
  <r>
    <s v="I-2220"/>
    <s v="Warsaw"/>
    <s v="Poland"/>
    <s v="EMEA"/>
    <d v="2014-01-26T00:00:00"/>
    <x v="9"/>
    <s v="Alexandra Wright"/>
    <n v="70"/>
    <n v="53"/>
    <n v="0.2429"/>
    <n v="91"/>
    <n v="4823"/>
  </r>
  <r>
    <s v="I-2221"/>
    <s v="Seattle"/>
    <s v="USA"/>
    <s v="NA"/>
    <d v="2014-10-04T00:00:00"/>
    <x v="11"/>
    <s v="Kevin Styles"/>
    <n v="50"/>
    <n v="41"/>
    <n v="0.18"/>
    <n v="20"/>
    <n v="820"/>
  </r>
  <r>
    <s v="I-2222"/>
    <s v="Chicago"/>
    <s v="USA"/>
    <s v="NA"/>
    <d v="2016-10-28T00:00:00"/>
    <x v="6"/>
    <s v="Richard Hughes"/>
    <n v="800"/>
    <n v="600"/>
    <n v="0.25"/>
    <n v="9"/>
    <n v="5400"/>
  </r>
  <r>
    <s v="I-2223"/>
    <s v="Riyadh"/>
    <s v="Saudi Arabia"/>
    <s v="EMEA"/>
    <d v="2016-09-09T00:00:00"/>
    <x v="2"/>
    <s v="Lloyd Barr"/>
    <n v="150"/>
    <n v="143"/>
    <n v="4.6699999999999998E-2"/>
    <n v="87"/>
    <n v="12441"/>
  </r>
  <r>
    <s v="I-2224"/>
    <s v="Tokyo"/>
    <s v="Japan"/>
    <s v="APAC"/>
    <d v="2017-07-25T00:00:00"/>
    <x v="5"/>
    <s v="Basil Bell"/>
    <n v="500"/>
    <n v="480"/>
    <n v="0.04"/>
    <n v="46"/>
    <n v="22080"/>
  </r>
  <r>
    <s v="I-2225"/>
    <s v="Birmingham"/>
    <s v="UK"/>
    <s v="EMEA"/>
    <d v="2018-05-14T00:00:00"/>
    <x v="8"/>
    <s v="Robert Stocks"/>
    <n v="500"/>
    <n v="495"/>
    <n v="0.01"/>
    <n v="49"/>
    <n v="24255"/>
  </r>
  <r>
    <s v="I-2226"/>
    <s v="Bucharest"/>
    <s v="Romania"/>
    <s v="EMEA"/>
    <d v="2014-06-27T00:00:00"/>
    <x v="2"/>
    <s v="Bruce Neville"/>
    <n v="150"/>
    <n v="147"/>
    <n v="0.02"/>
    <n v="64"/>
    <n v="9408"/>
  </r>
  <r>
    <s v="I-2227"/>
    <s v="Berlin"/>
    <s v="Germany"/>
    <s v="EMEA"/>
    <d v="2016-12-11T00:00:00"/>
    <x v="11"/>
    <s v="John Gunter"/>
    <n v="50"/>
    <n v="49"/>
    <n v="0.02"/>
    <n v="78"/>
    <n v="3822"/>
  </r>
  <r>
    <s v="I-2228"/>
    <s v="Warsaw"/>
    <s v="Poland"/>
    <s v="EMEA"/>
    <d v="2016-10-13T00:00:00"/>
    <x v="0"/>
    <s v="Valerie Brown"/>
    <n v="80"/>
    <n v="69"/>
    <n v="0.13750000000000001"/>
    <n v="17"/>
    <n v="1173"/>
  </r>
  <r>
    <s v="I-2229"/>
    <s v="Athens"/>
    <s v="Greece"/>
    <s v="EMEA"/>
    <d v="2016-02-28T00:00:00"/>
    <x v="4"/>
    <s v="Martin Timmins"/>
    <n v="30"/>
    <n v="26"/>
    <n v="0.1333"/>
    <n v="2"/>
    <n v="52"/>
  </r>
  <r>
    <s v="I-2230"/>
    <s v="Paris"/>
    <s v="France"/>
    <s v="EMEA"/>
    <d v="2016-01-24T00:00:00"/>
    <x v="6"/>
    <s v="Philip Tubbs"/>
    <n v="800"/>
    <n v="592"/>
    <n v="0.26"/>
    <n v="39"/>
    <n v="23088"/>
  </r>
  <r>
    <s v="I-2231"/>
    <s v="Shenzhen"/>
    <s v="China"/>
    <s v="APAC"/>
    <d v="2014-05-01T00:00:00"/>
    <x v="1"/>
    <s v="Alastair Mills"/>
    <n v="700"/>
    <n v="560"/>
    <n v="0.2"/>
    <n v="30"/>
    <n v="16800"/>
  </r>
  <r>
    <s v="I-2232"/>
    <s v="Bogota"/>
    <s v="Colombia"/>
    <s v="LATAM"/>
    <d v="2018-09-25T00:00:00"/>
    <x v="11"/>
    <s v="Russell Thorley"/>
    <n v="50"/>
    <n v="45"/>
    <n v="0.1"/>
    <n v="39"/>
    <n v="1755"/>
  </r>
  <r>
    <s v="I-2233"/>
    <s v="Ho Chi Minh City"/>
    <s v="Vietnam"/>
    <s v="APAC"/>
    <d v="2015-03-04T00:00:00"/>
    <x v="9"/>
    <s v="Frank Sewell"/>
    <n v="70"/>
    <n v="67"/>
    <n v="4.2900000000000001E-2"/>
    <n v="73"/>
    <n v="4891"/>
  </r>
  <r>
    <s v="I-2234"/>
    <s v="Tokyo"/>
    <s v="Japan"/>
    <s v="APAC"/>
    <d v="2016-09-07T00:00:00"/>
    <x v="10"/>
    <s v="Alexander Uddin"/>
    <n v="250"/>
    <n v="240"/>
    <n v="0.04"/>
    <n v="48"/>
    <n v="11520"/>
  </r>
  <r>
    <s v="I-2235"/>
    <s v="Lima"/>
    <s v="Peru"/>
    <s v="LATAM"/>
    <d v="2016-09-29T00:00:00"/>
    <x v="3"/>
    <s v="Rachel Howard"/>
    <n v="50"/>
    <n v="46"/>
    <n v="0.08"/>
    <n v="71"/>
    <n v="3266"/>
  </r>
  <r>
    <s v="I-2236"/>
    <s v="Rome"/>
    <s v="Italy"/>
    <s v="EMEA"/>
    <d v="2018-12-02T00:00:00"/>
    <x v="10"/>
    <s v="Steven Bell"/>
    <n v="250"/>
    <n v="240"/>
    <n v="0.04"/>
    <n v="38"/>
    <n v="9120"/>
  </r>
  <r>
    <s v="I-2237"/>
    <s v="Bogota"/>
    <s v="Colombia"/>
    <s v="LATAM"/>
    <d v="2015-01-01T00:00:00"/>
    <x v="10"/>
    <s v="Ronald Curtis"/>
    <n v="250"/>
    <n v="220"/>
    <n v="0.12"/>
    <n v="10"/>
    <n v="2200"/>
  </r>
  <r>
    <s v="I-2238"/>
    <s v="Tel Aviv"/>
    <s v="Israel"/>
    <s v="EMEA"/>
    <d v="2015-09-18T00:00:00"/>
    <x v="3"/>
    <s v="Rebecca Delo"/>
    <n v="50"/>
    <n v="34"/>
    <n v="0.32"/>
    <n v="35"/>
    <n v="1190"/>
  </r>
  <r>
    <s v="I-2239"/>
    <s v="Sao Paolo"/>
    <s v="Brazil"/>
    <s v="LATAM"/>
    <d v="2017-12-13T00:00:00"/>
    <x v="8"/>
    <s v="Elizabeth Holloway"/>
    <n v="500"/>
    <n v="490"/>
    <n v="0.02"/>
    <n v="92"/>
    <n v="45080"/>
  </r>
  <r>
    <s v="I-2240"/>
    <s v="Bangalore"/>
    <s v="India"/>
    <s v="APAC"/>
    <d v="2017-12-01T00:00:00"/>
    <x v="6"/>
    <s v="Stuart Sykes"/>
    <n v="800"/>
    <n v="608"/>
    <n v="0.24"/>
    <n v="100"/>
    <n v="60800"/>
  </r>
  <r>
    <s v="I-2241"/>
    <s v="Seattle"/>
    <s v="USA"/>
    <s v="NA"/>
    <d v="2018-10-24T00:00:00"/>
    <x v="4"/>
    <s v="Harold Green"/>
    <n v="30"/>
    <n v="29"/>
    <n v="3.3300000000000003E-2"/>
    <n v="89"/>
    <n v="2581"/>
  </r>
  <r>
    <s v="I-2242"/>
    <s v="Toronto"/>
    <s v="Canada"/>
    <s v="NA"/>
    <d v="2017-12-25T00:00:00"/>
    <x v="10"/>
    <s v="Robin Hall"/>
    <n v="250"/>
    <n v="235"/>
    <n v="0.06"/>
    <n v="53"/>
    <n v="12455"/>
  </r>
  <r>
    <s v="I-2243"/>
    <s v="Amsterdam"/>
    <s v="Netherlands"/>
    <s v="EMEA"/>
    <d v="2017-06-11T00:00:00"/>
    <x v="5"/>
    <s v="Allyson Rush"/>
    <n v="500"/>
    <n v="465"/>
    <n v="7.0000000000000007E-2"/>
    <n v="43"/>
    <n v="19995"/>
  </r>
  <r>
    <s v="I-2244"/>
    <s v="Buenos Aires"/>
    <s v="Argentina"/>
    <s v="LATAM"/>
    <d v="2016-10-09T00:00:00"/>
    <x v="2"/>
    <s v="Stuart Brown"/>
    <n v="150"/>
    <n v="140"/>
    <n v="6.6699999999999995E-2"/>
    <n v="49"/>
    <n v="6860"/>
  </r>
  <r>
    <s v="I-2245"/>
    <s v="Buenos Aires"/>
    <s v="Argentina"/>
    <s v="LATAM"/>
    <d v="2017-10-06T00:00:00"/>
    <x v="1"/>
    <s v="Kevin Curtis"/>
    <n v="700"/>
    <n v="658"/>
    <n v="0.06"/>
    <n v="30"/>
    <n v="19740"/>
  </r>
  <r>
    <s v="I-2246"/>
    <s v="Sao Paolo"/>
    <s v="Brazil"/>
    <s v="LATAM"/>
    <d v="2014-06-01T00:00:00"/>
    <x v="7"/>
    <s v="Stephen Smith"/>
    <n v="1000"/>
    <n v="600"/>
    <n v="0.4"/>
    <n v="50"/>
    <n v="30000"/>
  </r>
  <r>
    <s v="I-2247"/>
    <s v="Mexico City"/>
    <s v="Mexico"/>
    <s v="LATAM"/>
    <d v="2014-08-21T00:00:00"/>
    <x v="11"/>
    <s v="Phillip Clarke"/>
    <n v="50"/>
    <n v="44"/>
    <n v="0.12"/>
    <n v="21"/>
    <n v="924"/>
  </r>
  <r>
    <s v="I-2248"/>
    <s v="Kansas City"/>
    <s v="USA"/>
    <s v="NA"/>
    <d v="2016-05-21T00:00:00"/>
    <x v="6"/>
    <s v="Douglas Davies"/>
    <n v="800"/>
    <n v="544"/>
    <n v="0.32"/>
    <n v="1"/>
    <n v="544"/>
  </r>
  <r>
    <s v="I-2249"/>
    <s v="New York"/>
    <s v="USA"/>
    <s v="NA"/>
    <d v="2017-11-28T00:00:00"/>
    <x v="9"/>
    <s v="Matthew Crowe"/>
    <n v="70"/>
    <n v="68"/>
    <n v="2.86E-2"/>
    <n v="90"/>
    <n v="6120"/>
  </r>
  <r>
    <s v="I-2250"/>
    <s v="Seoul"/>
    <s v="South Korea"/>
    <s v="APAC"/>
    <d v="2015-07-08T00:00:00"/>
    <x v="3"/>
    <s v="Roger Scott"/>
    <n v="50"/>
    <n v="50"/>
    <n v="0"/>
    <n v="60"/>
    <n v="3000"/>
  </r>
  <r>
    <s v="I-2251"/>
    <s v="Vienna"/>
    <s v="Austria"/>
    <s v="EMEA"/>
    <d v="2018-03-02T00:00:00"/>
    <x v="2"/>
    <s v="Jesus Timmins"/>
    <n v="150"/>
    <n v="135"/>
    <n v="0.1"/>
    <n v="93"/>
    <n v="12555"/>
  </r>
  <r>
    <s v="I-2252"/>
    <s v="London"/>
    <s v="UK"/>
    <s v="EMEA"/>
    <d v="2018-01-23T00:00:00"/>
    <x v="11"/>
    <s v="Ian Borowski"/>
    <n v="50"/>
    <n v="50"/>
    <n v="0"/>
    <n v="72"/>
    <n v="3600"/>
  </r>
  <r>
    <s v="I-2253"/>
    <s v="Delhi"/>
    <s v="India"/>
    <s v="APAC"/>
    <d v="2015-12-09T00:00:00"/>
    <x v="3"/>
    <s v="Noel Burn"/>
    <n v="50"/>
    <n v="33"/>
    <n v="0.34"/>
    <n v="24"/>
    <n v="792"/>
  </r>
  <r>
    <s v="I-2254"/>
    <s v="Kuala Lumpur"/>
    <s v="Malaysia"/>
    <s v="APAC"/>
    <d v="2017-09-30T00:00:00"/>
    <x v="3"/>
    <s v="Stephen MacGregor"/>
    <n v="50"/>
    <n v="46"/>
    <n v="0.08"/>
    <n v="62"/>
    <n v="2852"/>
  </r>
  <r>
    <s v="I-2255"/>
    <s v="Prague"/>
    <s v="Czech Republic"/>
    <s v="EMEA"/>
    <d v="2014-11-24T00:00:00"/>
    <x v="5"/>
    <s v="Christopher Martin"/>
    <n v="500"/>
    <n v="370"/>
    <n v="0.26"/>
    <n v="38"/>
    <n v="14060"/>
  </r>
  <r>
    <s v="I-2256"/>
    <s v="Kuala Lumpur"/>
    <s v="Malaysia"/>
    <s v="APAC"/>
    <d v="2015-03-03T00:00:00"/>
    <x v="1"/>
    <s v="Valerie Hook"/>
    <n v="700"/>
    <n v="448"/>
    <n v="0.36"/>
    <n v="58"/>
    <n v="25984"/>
  </r>
  <r>
    <s v="I-2257"/>
    <s v="Bangalore"/>
    <s v="India"/>
    <s v="APAC"/>
    <d v="2017-12-27T00:00:00"/>
    <x v="3"/>
    <s v="Johanna Mirza"/>
    <n v="50"/>
    <n v="48"/>
    <n v="0.04"/>
    <n v="91"/>
    <n v="4368"/>
  </r>
  <r>
    <s v="I-2258"/>
    <s v="Bogota"/>
    <s v="Colombia"/>
    <s v="LATAM"/>
    <d v="2018-03-19T00:00:00"/>
    <x v="8"/>
    <s v="Russell Thorley"/>
    <n v="500"/>
    <n v="490"/>
    <n v="0.02"/>
    <n v="75"/>
    <n v="36750"/>
  </r>
  <r>
    <s v="I-2259"/>
    <s v="Moscow"/>
    <s v="Russia"/>
    <s v="EMEA"/>
    <d v="2017-05-30T00:00:00"/>
    <x v="11"/>
    <s v="May Wilmot"/>
    <n v="50"/>
    <n v="49"/>
    <n v="0.02"/>
    <n v="79"/>
    <n v="3871"/>
  </r>
  <r>
    <s v="I-2260"/>
    <s v="Seoul"/>
    <s v="South Korea"/>
    <s v="APAC"/>
    <d v="2017-10-29T00:00:00"/>
    <x v="6"/>
    <s v="Steven Wood"/>
    <n v="800"/>
    <n v="616"/>
    <n v="0.23"/>
    <n v="47"/>
    <n v="28952"/>
  </r>
  <r>
    <s v="I-2261"/>
    <s v="Lima"/>
    <s v="Peru"/>
    <s v="LATAM"/>
    <d v="2018-01-14T00:00:00"/>
    <x v="3"/>
    <s v="Christopher Cresswell"/>
    <n v="50"/>
    <n v="46"/>
    <n v="0.08"/>
    <n v="1"/>
    <n v="46"/>
  </r>
  <r>
    <s v="I-2262"/>
    <s v="New York"/>
    <s v="USA"/>
    <s v="NA"/>
    <d v="2015-11-09T00:00:00"/>
    <x v="0"/>
    <s v="Ian Coates"/>
    <n v="80"/>
    <n v="70"/>
    <n v="0.125"/>
    <n v="4"/>
    <n v="280"/>
  </r>
  <r>
    <s v="I-2263"/>
    <s v="Athens"/>
    <s v="Greece"/>
    <s v="EMEA"/>
    <d v="2016-11-13T00:00:00"/>
    <x v="5"/>
    <s v="Denise Harris"/>
    <n v="500"/>
    <n v="490"/>
    <n v="0.02"/>
    <n v="73"/>
    <n v="35770"/>
  </r>
  <r>
    <s v="I-2264"/>
    <s v="Athens"/>
    <s v="Greece"/>
    <s v="EMEA"/>
    <d v="2014-09-09T00:00:00"/>
    <x v="10"/>
    <s v="Aidan Perrott"/>
    <n v="250"/>
    <n v="190"/>
    <n v="0.24"/>
    <n v="69"/>
    <n v="13110"/>
  </r>
  <r>
    <s v="I-2265"/>
    <s v="Capetown"/>
    <s v="South Africa"/>
    <s v="EMEA"/>
    <d v="2018-10-25T00:00:00"/>
    <x v="0"/>
    <s v="Helen Cooke"/>
    <n v="80"/>
    <n v="68"/>
    <n v="0.15"/>
    <n v="40"/>
    <n v="2720"/>
  </r>
  <r>
    <s v="I-2266"/>
    <s v="Kuala Lumpur"/>
    <s v="Malaysia"/>
    <s v="APAC"/>
    <d v="2016-07-13T00:00:00"/>
    <x v="3"/>
    <s v="Anthony Green"/>
    <n v="50"/>
    <n v="46"/>
    <n v="0.08"/>
    <n v="56"/>
    <n v="2576"/>
  </r>
  <r>
    <s v="I-2267"/>
    <s v="Vienna"/>
    <s v="Austria"/>
    <s v="EMEA"/>
    <d v="2014-01-28T00:00:00"/>
    <x v="1"/>
    <s v="Lisa Pepper"/>
    <n v="700"/>
    <n v="574"/>
    <n v="0.18"/>
    <n v="88"/>
    <n v="50512"/>
  </r>
  <r>
    <s v="I-2268"/>
    <s v="Kuala Lumpur"/>
    <s v="Malaysia"/>
    <s v="APAC"/>
    <d v="2017-04-14T00:00:00"/>
    <x v="0"/>
    <s v="Stephen MacGregor"/>
    <n v="80"/>
    <n v="74"/>
    <n v="7.4999999999999997E-2"/>
    <n v="85"/>
    <n v="6290"/>
  </r>
  <r>
    <s v="I-2269"/>
    <s v="Tijuana"/>
    <s v="Mexico"/>
    <s v="LATAM"/>
    <d v="2018-01-12T00:00:00"/>
    <x v="11"/>
    <s v="Stephen Carlin"/>
    <n v="50"/>
    <n v="44"/>
    <n v="0.12"/>
    <n v="16"/>
    <n v="704"/>
  </r>
  <r>
    <s v="I-2270"/>
    <s v="Seoul"/>
    <s v="South Korea"/>
    <s v="APAC"/>
    <d v="2017-08-03T00:00:00"/>
    <x v="4"/>
    <s v="Steven Wood"/>
    <n v="30"/>
    <n v="30"/>
    <n v="0"/>
    <n v="92"/>
    <n v="2760"/>
  </r>
  <r>
    <s v="I-2271"/>
    <s v="Prague"/>
    <s v="Czech Republic"/>
    <s v="EMEA"/>
    <d v="2017-07-18T00:00:00"/>
    <x v="8"/>
    <s v="Maureen Haymes"/>
    <n v="500"/>
    <n v="500"/>
    <n v="0"/>
    <n v="98"/>
    <n v="49000"/>
  </r>
  <r>
    <s v="I-2272"/>
    <s v="New York"/>
    <s v="USA"/>
    <s v="NA"/>
    <d v="2014-03-25T00:00:00"/>
    <x v="3"/>
    <s v="Robert Salisbury"/>
    <n v="50"/>
    <n v="47"/>
    <n v="0.06"/>
    <n v="88"/>
    <n v="4136"/>
  </r>
  <r>
    <s v="I-2273"/>
    <s v="Tel Aviv"/>
    <s v="Israel"/>
    <s v="EMEA"/>
    <d v="2017-04-28T00:00:00"/>
    <x v="3"/>
    <s v="Richard McGrath"/>
    <n v="50"/>
    <n v="46"/>
    <n v="0.08"/>
    <n v="14"/>
    <n v="644"/>
  </r>
  <r>
    <s v="I-2274"/>
    <s v="Kansas City"/>
    <s v="USA"/>
    <s v="NA"/>
    <d v="2016-10-19T00:00:00"/>
    <x v="3"/>
    <s v="Kirsty Amos"/>
    <n v="50"/>
    <n v="44"/>
    <n v="0.12"/>
    <n v="58"/>
    <n v="2552"/>
  </r>
  <r>
    <s v="I-2275"/>
    <s v="Sao Paolo"/>
    <s v="Brazil"/>
    <s v="LATAM"/>
    <d v="2014-09-02T00:00:00"/>
    <x v="5"/>
    <s v="Zoe Munday"/>
    <n v="500"/>
    <n v="355"/>
    <n v="0.28999999999999998"/>
    <n v="97"/>
    <n v="34435"/>
  </r>
  <r>
    <s v="I-2276"/>
    <s v="Kansas City"/>
    <s v="USA"/>
    <s v="NA"/>
    <d v="2018-01-24T00:00:00"/>
    <x v="5"/>
    <s v="Christina Pedley"/>
    <n v="500"/>
    <n v="495"/>
    <n v="0.01"/>
    <n v="54"/>
    <n v="26730"/>
  </r>
  <r>
    <s v="I-2277"/>
    <s v="Buenos Aires"/>
    <s v="Argentina"/>
    <s v="LATAM"/>
    <d v="2015-10-26T00:00:00"/>
    <x v="0"/>
    <s v="Ian Grant"/>
    <n v="80"/>
    <n v="61"/>
    <n v="0.23749999999999999"/>
    <n v="49"/>
    <n v="2989"/>
  </r>
  <r>
    <s v="I-2278"/>
    <s v="Prague"/>
    <s v="Czech Republic"/>
    <s v="EMEA"/>
    <d v="2018-11-20T00:00:00"/>
    <x v="8"/>
    <s v="David Stewart"/>
    <n v="500"/>
    <n v="495"/>
    <n v="0.01"/>
    <n v="72"/>
    <n v="35640"/>
  </r>
  <r>
    <s v="I-2279"/>
    <s v="Riyadh"/>
    <s v="Saudi Arabia"/>
    <s v="EMEA"/>
    <d v="2018-11-30T00:00:00"/>
    <x v="11"/>
    <s v="Gillian Crawley"/>
    <n v="50"/>
    <n v="48"/>
    <n v="0.04"/>
    <n v="39"/>
    <n v="1872"/>
  </r>
  <r>
    <s v="I-2280"/>
    <s v="Amsterdam"/>
    <s v="Netherlands"/>
    <s v="EMEA"/>
    <d v="2018-03-29T00:00:00"/>
    <x v="6"/>
    <s v="Christopher Hurren"/>
    <n v="800"/>
    <n v="520"/>
    <n v="0.35"/>
    <n v="70"/>
    <n v="36400"/>
  </r>
  <r>
    <s v="I-2281"/>
    <s v="Kuala Lumpur"/>
    <s v="Malaysia"/>
    <s v="APAC"/>
    <d v="2014-08-15T00:00:00"/>
    <x v="8"/>
    <s v="Rachel Oliver"/>
    <n v="500"/>
    <n v="490"/>
    <n v="0.02"/>
    <n v="48"/>
    <n v="23520"/>
  </r>
  <r>
    <s v="I-2282"/>
    <s v="Tijuana"/>
    <s v="Mexico"/>
    <s v="LATAM"/>
    <d v="2017-07-16T00:00:00"/>
    <x v="1"/>
    <s v="Gillian Allnutt"/>
    <n v="700"/>
    <n v="637"/>
    <n v="0.09"/>
    <n v="5"/>
    <n v="3185"/>
  </r>
  <r>
    <s v="I-2283"/>
    <s v="Vienna"/>
    <s v="Austria"/>
    <s v="EMEA"/>
    <d v="2014-06-22T00:00:00"/>
    <x v="10"/>
    <s v="Noel Hardy"/>
    <n v="250"/>
    <n v="203"/>
    <n v="0.188"/>
    <n v="19"/>
    <n v="3857"/>
  </r>
  <r>
    <s v="I-2284"/>
    <s v="Tel Aviv"/>
    <s v="Israel"/>
    <s v="EMEA"/>
    <d v="2018-12-18T00:00:00"/>
    <x v="5"/>
    <s v="Thomas Gordon"/>
    <n v="500"/>
    <n v="500"/>
    <n v="0"/>
    <n v="55"/>
    <n v="27500"/>
  </r>
  <r>
    <s v="I-2285"/>
    <s v="Rome"/>
    <s v="Italy"/>
    <s v="EMEA"/>
    <d v="2015-02-18T00:00:00"/>
    <x v="4"/>
    <s v="Andrew Hirst"/>
    <n v="30"/>
    <n v="20"/>
    <n v="0.33329999999999999"/>
    <n v="74"/>
    <n v="1480"/>
  </r>
  <r>
    <s v="I-2286"/>
    <s v="Seattle"/>
    <s v="USA"/>
    <s v="NA"/>
    <d v="2016-04-02T00:00:00"/>
    <x v="8"/>
    <s v="Kevin Styles"/>
    <n v="500"/>
    <n v="500"/>
    <n v="0"/>
    <n v="15"/>
    <n v="7500"/>
  </r>
  <r>
    <s v="I-2287"/>
    <s v="Guangzhou"/>
    <s v="China"/>
    <s v="APAC"/>
    <d v="2015-05-13T00:00:00"/>
    <x v="7"/>
    <s v="Helen Watt"/>
    <n v="1000"/>
    <n v="910"/>
    <n v="0.09"/>
    <n v="57"/>
    <n v="51870"/>
  </r>
  <r>
    <s v="I-2288"/>
    <s v="Warsaw"/>
    <s v="Poland"/>
    <s v="EMEA"/>
    <d v="2016-03-30T00:00:00"/>
    <x v="7"/>
    <s v="Robert Brook"/>
    <n v="1000"/>
    <n v="960"/>
    <n v="0.04"/>
    <n v="67"/>
    <n v="64320"/>
  </r>
  <r>
    <s v="I-2289"/>
    <s v="Kuala Lumpur"/>
    <s v="Malaysia"/>
    <s v="APAC"/>
    <d v="2014-07-02T00:00:00"/>
    <x v="7"/>
    <s v="Harold Lunn"/>
    <n v="1000"/>
    <n v="540"/>
    <n v="0.46"/>
    <n v="16"/>
    <n v="8640"/>
  </r>
  <r>
    <s v="I-2290"/>
    <s v="San Fransisco"/>
    <s v="USA"/>
    <s v="NA"/>
    <d v="2018-04-07T00:00:00"/>
    <x v="3"/>
    <s v="Gary Acheampong"/>
    <n v="50"/>
    <n v="49"/>
    <n v="0.02"/>
    <n v="30"/>
    <n v="1470"/>
  </r>
  <r>
    <s v="I-2291"/>
    <s v="Prague"/>
    <s v="Czech Republic"/>
    <s v="EMEA"/>
    <d v="2017-07-20T00:00:00"/>
    <x v="3"/>
    <s v="Stephen Nolan"/>
    <n v="50"/>
    <n v="47"/>
    <n v="0.06"/>
    <n v="50"/>
    <n v="2350"/>
  </r>
  <r>
    <s v="I-2292"/>
    <s v="Riyadh"/>
    <s v="Saudi Arabia"/>
    <s v="EMEA"/>
    <d v="2015-03-13T00:00:00"/>
    <x v="1"/>
    <s v="Heather Murray"/>
    <n v="700"/>
    <n v="511"/>
    <n v="0.27"/>
    <n v="44"/>
    <n v="22484"/>
  </r>
  <r>
    <s v="I-2293"/>
    <s v="Vienna"/>
    <s v="Austria"/>
    <s v="EMEA"/>
    <d v="2018-10-13T00:00:00"/>
    <x v="6"/>
    <s v="Baljinder Anderson"/>
    <n v="800"/>
    <n v="688"/>
    <n v="0.14000000000000001"/>
    <n v="79"/>
    <n v="54352"/>
  </r>
  <r>
    <s v="I-2294"/>
    <s v="Birmingham"/>
    <s v="UK"/>
    <s v="EMEA"/>
    <d v="2018-08-04T00:00:00"/>
    <x v="6"/>
    <s v="Johanna Collins"/>
    <n v="800"/>
    <n v="648"/>
    <n v="0.19"/>
    <n v="62"/>
    <n v="40176"/>
  </r>
  <r>
    <s v="I-2295"/>
    <s v="Dublin"/>
    <s v="Ireland"/>
    <s v="EMEA"/>
    <d v="2017-05-29T00:00:00"/>
    <x v="4"/>
    <s v="Emma Gibbons"/>
    <n v="30"/>
    <n v="30"/>
    <n v="0"/>
    <n v="47"/>
    <n v="1410"/>
  </r>
  <r>
    <s v="I-2296"/>
    <s v="Buenos Aires"/>
    <s v="Argentina"/>
    <s v="LATAM"/>
    <d v="2014-09-26T00:00:00"/>
    <x v="10"/>
    <s v="Abdul Heywood"/>
    <n v="250"/>
    <n v="230"/>
    <n v="0.08"/>
    <n v="67"/>
    <n v="15410"/>
  </r>
  <r>
    <s v="I-2297"/>
    <s v="Toronto"/>
    <s v="Canada"/>
    <s v="NA"/>
    <d v="2018-11-24T00:00:00"/>
    <x v="11"/>
    <s v="Nick Blacklock"/>
    <n v="50"/>
    <n v="47"/>
    <n v="0.06"/>
    <n v="62"/>
    <n v="2914"/>
  </r>
  <r>
    <s v="I-2298"/>
    <s v="Vienna"/>
    <s v="Austria"/>
    <s v="EMEA"/>
    <d v="2015-05-23T00:00:00"/>
    <x v="4"/>
    <s v="Daniel Henderson"/>
    <n v="30"/>
    <n v="25"/>
    <n v="0.16669999999999999"/>
    <n v="46"/>
    <n v="1150"/>
  </r>
  <r>
    <s v="I-2299"/>
    <s v="Dublin"/>
    <s v="Ireland"/>
    <s v="EMEA"/>
    <d v="2017-10-14T00:00:00"/>
    <x v="9"/>
    <s v="Emma Gibbons"/>
    <n v="70"/>
    <n v="67"/>
    <n v="4.2900000000000001E-2"/>
    <n v="4"/>
    <n v="268"/>
  </r>
  <r>
    <s v="I-2300"/>
    <s v="Warsaw"/>
    <s v="Poland"/>
    <s v="EMEA"/>
    <d v="2018-05-30T00:00:00"/>
    <x v="7"/>
    <s v="James Lam"/>
    <n v="1000"/>
    <n v="940"/>
    <n v="0.06"/>
    <n v="31"/>
    <n v="29140"/>
  </r>
  <r>
    <s v="I-2301"/>
    <s v="Los Angeles"/>
    <s v="USA"/>
    <s v="NA"/>
    <d v="2015-10-24T00:00:00"/>
    <x v="5"/>
    <s v="Anthony Procter"/>
    <n v="500"/>
    <n v="480"/>
    <n v="0.04"/>
    <n v="10"/>
    <n v="4800"/>
  </r>
  <r>
    <s v="I-2302"/>
    <s v="Prague"/>
    <s v="Czech Republic"/>
    <s v="EMEA"/>
    <d v="2018-01-26T00:00:00"/>
    <x v="9"/>
    <s v="Stephen Nolan"/>
    <n v="70"/>
    <n v="68"/>
    <n v="2.86E-2"/>
    <n v="6"/>
    <n v="408"/>
  </r>
  <r>
    <s v="I-2303"/>
    <s v="Capetown"/>
    <s v="South Africa"/>
    <s v="EMEA"/>
    <d v="2018-06-15T00:00:00"/>
    <x v="2"/>
    <s v="Helen Cooke"/>
    <n v="150"/>
    <n v="147"/>
    <n v="0.02"/>
    <n v="84"/>
    <n v="12348"/>
  </r>
  <r>
    <s v="I-2304"/>
    <s v="Warsaw"/>
    <s v="Poland"/>
    <s v="EMEA"/>
    <d v="2017-06-29T00:00:00"/>
    <x v="0"/>
    <s v="David Grey"/>
    <n v="80"/>
    <n v="74"/>
    <n v="7.4999999999999997E-2"/>
    <n v="42"/>
    <n v="3108"/>
  </r>
  <r>
    <s v="I-2305"/>
    <s v="New York"/>
    <s v="USA"/>
    <s v="NA"/>
    <d v="2016-07-29T00:00:00"/>
    <x v="8"/>
    <s v="Sarah Houghton"/>
    <n v="500"/>
    <n v="490"/>
    <n v="0.02"/>
    <n v="80"/>
    <n v="39200"/>
  </r>
  <r>
    <s v="I-2306"/>
    <s v="Bogota"/>
    <s v="Colombia"/>
    <s v="LATAM"/>
    <d v="2016-05-19T00:00:00"/>
    <x v="8"/>
    <s v="Alison Lazar"/>
    <n v="500"/>
    <n v="490"/>
    <n v="0.02"/>
    <n v="76"/>
    <n v="37240"/>
  </r>
  <r>
    <s v="I-2307"/>
    <s v="Seoul"/>
    <s v="South Korea"/>
    <s v="APAC"/>
    <d v="2014-04-02T00:00:00"/>
    <x v="9"/>
    <s v="Martin Birch"/>
    <n v="70"/>
    <n v="70"/>
    <n v="0"/>
    <n v="86"/>
    <n v="6020"/>
  </r>
  <r>
    <s v="I-2308"/>
    <s v="Athens"/>
    <s v="Greece"/>
    <s v="EMEA"/>
    <d v="2014-11-29T00:00:00"/>
    <x v="8"/>
    <s v="Charles Ali"/>
    <n v="500"/>
    <n v="500"/>
    <n v="0"/>
    <n v="63"/>
    <n v="31500"/>
  </r>
  <r>
    <s v="I-2309"/>
    <s v="Ho Chi Minh City"/>
    <s v="Vietnam"/>
    <s v="APAC"/>
    <d v="2015-10-28T00:00:00"/>
    <x v="1"/>
    <s v="Michael Bell"/>
    <n v="700"/>
    <n v="630"/>
    <n v="0.1"/>
    <n v="25"/>
    <n v="15750"/>
  </r>
  <r>
    <s v="I-2310"/>
    <s v="Prague"/>
    <s v="Czech Republic"/>
    <s v="EMEA"/>
    <d v="2015-06-15T00:00:00"/>
    <x v="3"/>
    <s v="Nick Denny"/>
    <n v="50"/>
    <n v="48"/>
    <n v="0.04"/>
    <n v="67"/>
    <n v="3216"/>
  </r>
  <r>
    <s v="I-2311"/>
    <s v="Madria"/>
    <s v="Spain"/>
    <s v="EMEA"/>
    <d v="2018-10-29T00:00:00"/>
    <x v="6"/>
    <s v="Paul Long"/>
    <n v="800"/>
    <n v="736"/>
    <n v="0.08"/>
    <n v="4"/>
    <n v="2944"/>
  </r>
  <r>
    <s v="I-2312"/>
    <s v="Berlin"/>
    <s v="Germany"/>
    <s v="EMEA"/>
    <d v="2017-03-25T00:00:00"/>
    <x v="6"/>
    <s v="John Gunter"/>
    <n v="800"/>
    <n v="784"/>
    <n v="0.02"/>
    <n v="14"/>
    <n v="10976"/>
  </r>
  <r>
    <s v="I-2313"/>
    <s v="Rome"/>
    <s v="Italy"/>
    <s v="EMEA"/>
    <d v="2017-06-26T00:00:00"/>
    <x v="10"/>
    <s v="Golam Reid"/>
    <n v="250"/>
    <n v="230"/>
    <n v="0.08"/>
    <n v="95"/>
    <n v="21850"/>
  </r>
  <r>
    <s v="I-2314"/>
    <s v="Shenzhen"/>
    <s v="China"/>
    <s v="APAC"/>
    <d v="2016-11-01T00:00:00"/>
    <x v="9"/>
    <s v="Russell Reynolds"/>
    <n v="70"/>
    <n v="62"/>
    <n v="0.1143"/>
    <n v="47"/>
    <n v="2914"/>
  </r>
  <r>
    <s v="I-2315"/>
    <s v="Sao Paolo"/>
    <s v="Brazil"/>
    <s v="LATAM"/>
    <d v="2014-07-27T00:00:00"/>
    <x v="10"/>
    <s v="Cheryl Tubbs"/>
    <n v="250"/>
    <n v="193"/>
    <n v="0.22800000000000001"/>
    <n v="51"/>
    <n v="9843"/>
  </r>
  <r>
    <s v="I-2316"/>
    <s v="Ho Chi Minh City"/>
    <s v="Vietnam"/>
    <s v="APAC"/>
    <d v="2015-03-13T00:00:00"/>
    <x v="8"/>
    <s v="Michael Rodgers"/>
    <n v="500"/>
    <n v="495"/>
    <n v="0.01"/>
    <n v="53"/>
    <n v="26235"/>
  </r>
  <r>
    <s v="I-2317"/>
    <s v="Rome"/>
    <s v="Italy"/>
    <s v="EMEA"/>
    <d v="2014-09-01T00:00:00"/>
    <x v="6"/>
    <s v="Steven Bell"/>
    <n v="800"/>
    <n v="784"/>
    <n v="0.02"/>
    <n v="36"/>
    <n v="28224"/>
  </r>
  <r>
    <s v="I-2318"/>
    <s v="Bogota"/>
    <s v="Colombia"/>
    <s v="LATAM"/>
    <d v="2014-12-16T00:00:00"/>
    <x v="0"/>
    <s v="Margaret Buck"/>
    <n v="80"/>
    <n v="60"/>
    <n v="0.25"/>
    <n v="44"/>
    <n v="2640"/>
  </r>
  <r>
    <s v="I-2319"/>
    <s v="Berlin"/>
    <s v="Germany"/>
    <s v="EMEA"/>
    <d v="2017-11-24T00:00:00"/>
    <x v="10"/>
    <s v="David Townsend"/>
    <n v="250"/>
    <n v="235"/>
    <n v="0.06"/>
    <n v="76"/>
    <n v="17860"/>
  </r>
  <r>
    <s v="I-2320"/>
    <s v="Tel Aviv"/>
    <s v="Israel"/>
    <s v="EMEA"/>
    <d v="2015-12-26T00:00:00"/>
    <x v="10"/>
    <s v="Steven Green"/>
    <n v="250"/>
    <n v="228"/>
    <n v="8.7999999999999995E-2"/>
    <n v="70"/>
    <n v="15960"/>
  </r>
  <r>
    <s v="I-2321"/>
    <s v="Paris"/>
    <s v="France"/>
    <s v="EMEA"/>
    <d v="2016-02-25T00:00:00"/>
    <x v="0"/>
    <s v="Rory Bullion"/>
    <n v="80"/>
    <n v="68"/>
    <n v="0.15"/>
    <n v="14"/>
    <n v="952"/>
  </r>
  <r>
    <s v="I-2322"/>
    <s v="Berlin"/>
    <s v="Germany"/>
    <s v="EMEA"/>
    <d v="2015-06-17T00:00:00"/>
    <x v="9"/>
    <s v="John Gunter"/>
    <n v="70"/>
    <n v="64"/>
    <n v="8.5699999999999998E-2"/>
    <n v="10"/>
    <n v="640"/>
  </r>
  <r>
    <s v="I-2323"/>
    <s v="Moscow"/>
    <s v="Russia"/>
    <s v="EMEA"/>
    <d v="2015-02-07T00:00:00"/>
    <x v="6"/>
    <s v="Zulfiqar Mirza"/>
    <n v="800"/>
    <n v="576"/>
    <n v="0.28000000000000003"/>
    <n v="27"/>
    <n v="15552"/>
  </r>
  <r>
    <s v="I-2324"/>
    <s v="London"/>
    <s v="UK"/>
    <s v="EMEA"/>
    <d v="2017-07-01T00:00:00"/>
    <x v="3"/>
    <s v="Nicola Williams"/>
    <n v="50"/>
    <n v="48"/>
    <n v="0.04"/>
    <n v="76"/>
    <n v="3648"/>
  </r>
  <r>
    <s v="I-2325"/>
    <s v="Bucharest"/>
    <s v="Romania"/>
    <s v="EMEA"/>
    <d v="2014-09-25T00:00:00"/>
    <x v="10"/>
    <s v="Constance Tidey"/>
    <n v="250"/>
    <n v="248"/>
    <n v="8.0000000000000002E-3"/>
    <n v="5"/>
    <n v="1240"/>
  </r>
  <r>
    <s v="I-2326"/>
    <s v="Bangalore"/>
    <s v="India"/>
    <s v="APAC"/>
    <d v="2015-12-01T00:00:00"/>
    <x v="1"/>
    <s v="Stuart Sykes"/>
    <n v="700"/>
    <n v="567"/>
    <n v="0.19"/>
    <n v="18"/>
    <n v="10206"/>
  </r>
  <r>
    <s v="I-2327"/>
    <s v="Delhi"/>
    <s v="India"/>
    <s v="APAC"/>
    <d v="2017-06-05T00:00:00"/>
    <x v="6"/>
    <s v="David Johnson"/>
    <n v="800"/>
    <n v="472"/>
    <n v="0.41"/>
    <n v="71"/>
    <n v="33512"/>
  </r>
  <r>
    <s v="I-2328"/>
    <s v="Kuala Lumpur"/>
    <s v="Malaysia"/>
    <s v="APAC"/>
    <d v="2015-06-16T00:00:00"/>
    <x v="1"/>
    <s v="Rachel Oliver"/>
    <n v="700"/>
    <n v="595"/>
    <n v="0.15"/>
    <n v="9"/>
    <n v="5355"/>
  </r>
  <r>
    <s v="I-2329"/>
    <s v="Seoul"/>
    <s v="South Korea"/>
    <s v="APAC"/>
    <d v="2016-03-19T00:00:00"/>
    <x v="4"/>
    <s v="Steven Wood"/>
    <n v="30"/>
    <n v="29"/>
    <n v="3.3300000000000003E-2"/>
    <n v="78"/>
    <n v="2262"/>
  </r>
  <r>
    <s v="I-2330"/>
    <s v="Prague"/>
    <s v="Czech Republic"/>
    <s v="EMEA"/>
    <d v="2014-11-27T00:00:00"/>
    <x v="11"/>
    <s v="Rachel Blane"/>
    <n v="50"/>
    <n v="36"/>
    <n v="0.28000000000000003"/>
    <n v="25"/>
    <n v="900"/>
  </r>
  <r>
    <s v="I-2331"/>
    <s v="Birmingham"/>
    <s v="UK"/>
    <s v="EMEA"/>
    <d v="2015-01-18T00:00:00"/>
    <x v="3"/>
    <s v="Susan Reay"/>
    <n v="50"/>
    <n v="31"/>
    <n v="0.38"/>
    <n v="47"/>
    <n v="1457"/>
  </r>
  <r>
    <s v="I-2332"/>
    <s v="Jerusalem"/>
    <s v="Israel"/>
    <s v="EMEA"/>
    <d v="2016-08-02T00:00:00"/>
    <x v="9"/>
    <s v="William Collins"/>
    <n v="70"/>
    <n v="68"/>
    <n v="2.86E-2"/>
    <n v="96"/>
    <n v="6528"/>
  </r>
  <r>
    <s v="I-2333"/>
    <s v="New York"/>
    <s v="USA"/>
    <s v="NA"/>
    <d v="2017-09-16T00:00:00"/>
    <x v="1"/>
    <s v="Sarah Houghton"/>
    <n v="700"/>
    <n v="672"/>
    <n v="0.04"/>
    <n v="21"/>
    <n v="14112"/>
  </r>
  <r>
    <s v="I-2334"/>
    <s v="Guangzhou"/>
    <s v="China"/>
    <s v="APAC"/>
    <d v="2016-11-24T00:00:00"/>
    <x v="10"/>
    <s v="Abdul Amos"/>
    <n v="250"/>
    <n v="240"/>
    <n v="0.04"/>
    <n v="60"/>
    <n v="14400"/>
  </r>
  <r>
    <s v="I-2335"/>
    <s v="Capetown"/>
    <s v="South Africa"/>
    <s v="EMEA"/>
    <d v="2018-09-30T00:00:00"/>
    <x v="6"/>
    <s v="Margaret Philp"/>
    <n v="800"/>
    <n v="696"/>
    <n v="0.13"/>
    <n v="60"/>
    <n v="41760"/>
  </r>
  <r>
    <s v="I-2336"/>
    <s v="Ho Chi Minh City"/>
    <s v="Vietnam"/>
    <s v="APAC"/>
    <d v="2018-11-12T00:00:00"/>
    <x v="1"/>
    <s v="Rosemary Aziz"/>
    <n v="700"/>
    <n v="602"/>
    <n v="0.14000000000000001"/>
    <n v="62"/>
    <n v="37324"/>
  </r>
  <r>
    <s v="I-2337"/>
    <s v="Madria"/>
    <s v="Spain"/>
    <s v="EMEA"/>
    <d v="2016-02-18T00:00:00"/>
    <x v="3"/>
    <s v="Howard Jones"/>
    <n v="50"/>
    <n v="43"/>
    <n v="0.14000000000000001"/>
    <n v="77"/>
    <n v="3311"/>
  </r>
  <r>
    <s v="I-2338"/>
    <s v="Sao Paolo"/>
    <s v="Brazil"/>
    <s v="LATAM"/>
    <d v="2015-04-26T00:00:00"/>
    <x v="9"/>
    <s v="Elizabeth Holloway"/>
    <n v="70"/>
    <n v="42"/>
    <n v="0.4"/>
    <n v="62"/>
    <n v="2604"/>
  </r>
  <r>
    <s v="I-2339"/>
    <s v="Dublin"/>
    <s v="Ireland"/>
    <s v="EMEA"/>
    <d v="2014-07-01T00:00:00"/>
    <x v="4"/>
    <s v="Emma Gibbons"/>
    <n v="30"/>
    <n v="30"/>
    <n v="0"/>
    <n v="91"/>
    <n v="2730"/>
  </r>
  <r>
    <s v="I-2340"/>
    <s v="Cairo"/>
    <s v="Egypt"/>
    <s v="EMEA"/>
    <d v="2018-01-26T00:00:00"/>
    <x v="1"/>
    <s v="Valerie Pereira"/>
    <n v="700"/>
    <n v="623"/>
    <n v="0.11"/>
    <n v="96"/>
    <n v="59808"/>
  </r>
  <r>
    <s v="I-2341"/>
    <s v="Bangalore"/>
    <s v="India"/>
    <s v="APAC"/>
    <d v="2016-04-28T00:00:00"/>
    <x v="0"/>
    <s v="Paul Benton"/>
    <n v="80"/>
    <n v="76"/>
    <n v="0.05"/>
    <n v="71"/>
    <n v="5396"/>
  </r>
  <r>
    <s v="I-2342"/>
    <s v="Tijuana"/>
    <s v="Mexico"/>
    <s v="LATAM"/>
    <d v="2015-03-14T00:00:00"/>
    <x v="9"/>
    <s v="Richard Foy"/>
    <n v="70"/>
    <n v="45"/>
    <n v="0.35709999999999997"/>
    <n v="64"/>
    <n v="2880"/>
  </r>
  <r>
    <s v="I-2343"/>
    <s v="Guangzhou"/>
    <s v="China"/>
    <s v="APAC"/>
    <d v="2015-06-15T00:00:00"/>
    <x v="6"/>
    <s v="Abdul Amos"/>
    <n v="800"/>
    <n v="720"/>
    <n v="0.1"/>
    <n v="6"/>
    <n v="4320"/>
  </r>
  <r>
    <s v="I-2344"/>
    <s v="Los Angeles"/>
    <s v="USA"/>
    <s v="NA"/>
    <d v="2016-06-18T00:00:00"/>
    <x v="9"/>
    <s v="Christopher Kitching"/>
    <n v="70"/>
    <n v="63"/>
    <n v="0.1"/>
    <n v="42"/>
    <n v="2646"/>
  </r>
  <r>
    <s v="I-2345"/>
    <s v="London"/>
    <s v="UK"/>
    <s v="EMEA"/>
    <d v="2017-01-07T00:00:00"/>
    <x v="2"/>
    <s v="William Cruse"/>
    <n v="150"/>
    <n v="150"/>
    <n v="0"/>
    <n v="7"/>
    <n v="1050"/>
  </r>
  <r>
    <s v="I-2346"/>
    <s v="Jerusalem"/>
    <s v="Israel"/>
    <s v="EMEA"/>
    <d v="2015-10-10T00:00:00"/>
    <x v="8"/>
    <s v="Barbara Scott"/>
    <n v="500"/>
    <n v="490"/>
    <n v="0.02"/>
    <n v="24"/>
    <n v="11760"/>
  </r>
  <r>
    <s v="I-2347"/>
    <s v="Bucharest"/>
    <s v="Romania"/>
    <s v="EMEA"/>
    <d v="2016-10-12T00:00:00"/>
    <x v="5"/>
    <s v="Charles Jago"/>
    <n v="500"/>
    <n v="500"/>
    <n v="0"/>
    <n v="19"/>
    <n v="9500"/>
  </r>
  <r>
    <s v="I-2348"/>
    <s v="Bangalore"/>
    <s v="India"/>
    <s v="APAC"/>
    <d v="2017-08-22T00:00:00"/>
    <x v="10"/>
    <s v="Stuart Hunter"/>
    <n v="250"/>
    <n v="225"/>
    <n v="0.1"/>
    <n v="16"/>
    <n v="3600"/>
  </r>
  <r>
    <s v="I-2349"/>
    <s v="Guangzhou"/>
    <s v="China"/>
    <s v="APAC"/>
    <d v="2015-10-03T00:00:00"/>
    <x v="3"/>
    <s v="Glenys Wright"/>
    <n v="50"/>
    <n v="43"/>
    <n v="0.14000000000000001"/>
    <n v="35"/>
    <n v="1505"/>
  </r>
  <r>
    <s v="I-2350"/>
    <s v="Amsterdam"/>
    <s v="Netherlands"/>
    <s v="EMEA"/>
    <d v="2017-05-09T00:00:00"/>
    <x v="11"/>
    <s v="Allyson Rush"/>
    <n v="50"/>
    <n v="47"/>
    <n v="0.06"/>
    <n v="3"/>
    <n v="141"/>
  </r>
  <r>
    <s v="I-2351"/>
    <s v="Shanghai"/>
    <s v="China"/>
    <s v="APAC"/>
    <d v="2015-07-22T00:00:00"/>
    <x v="7"/>
    <s v="Denise Docherty"/>
    <n v="1000"/>
    <n v="870"/>
    <n v="0.13"/>
    <n v="98"/>
    <n v="85260"/>
  </r>
  <r>
    <s v="I-2352"/>
    <s v="Sydney"/>
    <s v="Australia"/>
    <s v="APAC"/>
    <d v="2017-06-15T00:00:00"/>
    <x v="6"/>
    <s v="Christine Davies"/>
    <n v="800"/>
    <n v="456"/>
    <n v="0.43"/>
    <n v="29"/>
    <n v="13224"/>
  </r>
  <r>
    <s v="I-2353"/>
    <s v="Delhi"/>
    <s v="India"/>
    <s v="APAC"/>
    <d v="2015-06-27T00:00:00"/>
    <x v="1"/>
    <s v="Roger Silvester"/>
    <n v="700"/>
    <n v="525"/>
    <n v="0.25"/>
    <n v="78"/>
    <n v="40950"/>
  </r>
  <r>
    <s v="I-2354"/>
    <s v="Bangalore"/>
    <s v="India"/>
    <s v="APAC"/>
    <d v="2017-08-28T00:00:00"/>
    <x v="9"/>
    <s v="Paul Rule"/>
    <n v="70"/>
    <n v="63"/>
    <n v="0.1"/>
    <n v="3"/>
    <n v="189"/>
  </r>
  <r>
    <s v="I-2355"/>
    <s v="Kansas City"/>
    <s v="USA"/>
    <s v="NA"/>
    <d v="2014-03-17T00:00:00"/>
    <x v="4"/>
    <s v="Nicola Wright"/>
    <n v="30"/>
    <n v="26"/>
    <n v="0.1333"/>
    <n v="38"/>
    <n v="988"/>
  </r>
  <r>
    <s v="I-2356"/>
    <s v="Chicago"/>
    <s v="USA"/>
    <s v="NA"/>
    <d v="2014-05-07T00:00:00"/>
    <x v="5"/>
    <s v="Heather McGill"/>
    <n v="500"/>
    <n v="500"/>
    <n v="0"/>
    <n v="62"/>
    <n v="31000"/>
  </r>
  <r>
    <s v="I-2357"/>
    <s v="Dublin"/>
    <s v="Ireland"/>
    <s v="EMEA"/>
    <d v="2018-07-06T00:00:00"/>
    <x v="4"/>
    <s v="John Curtis"/>
    <n v="30"/>
    <n v="29"/>
    <n v="3.3300000000000003E-2"/>
    <n v="49"/>
    <n v="1421"/>
  </r>
  <r>
    <s v="I-2358"/>
    <s v="Kansas City"/>
    <s v="USA"/>
    <s v="NA"/>
    <d v="2014-05-02T00:00:00"/>
    <x v="4"/>
    <s v="Christina Pedley"/>
    <n v="30"/>
    <n v="23"/>
    <n v="0.23330000000000001"/>
    <n v="56"/>
    <n v="1288"/>
  </r>
  <r>
    <s v="I-2359"/>
    <s v="Kuala Lumpur"/>
    <s v="Malaysia"/>
    <s v="APAC"/>
    <d v="2016-10-12T00:00:00"/>
    <x v="8"/>
    <s v="Harold Lunn"/>
    <n v="500"/>
    <n v="495"/>
    <n v="0.01"/>
    <n v="2"/>
    <n v="990"/>
  </r>
  <r>
    <s v="I-2360"/>
    <s v="Osaka"/>
    <s v="Japan"/>
    <s v="APAC"/>
    <d v="2017-10-11T00:00:00"/>
    <x v="5"/>
    <s v="Colin Patel"/>
    <n v="500"/>
    <n v="480"/>
    <n v="0.04"/>
    <n v="1"/>
    <n v="480"/>
  </r>
  <r>
    <s v="I-2361"/>
    <s v="Prague"/>
    <s v="Czech Republic"/>
    <s v="EMEA"/>
    <d v="2015-03-20T00:00:00"/>
    <x v="7"/>
    <s v="Nick Denny"/>
    <n v="1000"/>
    <n v="930"/>
    <n v="7.0000000000000007E-2"/>
    <n v="65"/>
    <n v="60450"/>
  </r>
  <r>
    <s v="I-2362"/>
    <s v="Athens"/>
    <s v="Greece"/>
    <s v="EMEA"/>
    <d v="2015-07-17T00:00:00"/>
    <x v="2"/>
    <s v="Richard Perrott"/>
    <n v="150"/>
    <n v="110"/>
    <n v="0.26669999999999999"/>
    <n v="70"/>
    <n v="7700"/>
  </r>
  <r>
    <s v="I-2363"/>
    <s v="San Fransisco"/>
    <s v="USA"/>
    <s v="NA"/>
    <d v="2014-05-05T00:00:00"/>
    <x v="7"/>
    <s v="James Stephen"/>
    <n v="1000"/>
    <n v="910"/>
    <n v="0.09"/>
    <n v="56"/>
    <n v="50960"/>
  </r>
  <r>
    <s v="I-2364"/>
    <s v="Tel Aviv"/>
    <s v="Israel"/>
    <s v="EMEA"/>
    <d v="2016-04-08T00:00:00"/>
    <x v="9"/>
    <s v="Richard McGrath"/>
    <n v="70"/>
    <n v="69"/>
    <n v="1.43E-2"/>
    <n v="36"/>
    <n v="2484"/>
  </r>
  <r>
    <s v="I-2365"/>
    <s v="Moscow"/>
    <s v="Russia"/>
    <s v="EMEA"/>
    <d v="2015-01-07T00:00:00"/>
    <x v="1"/>
    <s v="Diane Batty"/>
    <n v="700"/>
    <n v="665"/>
    <n v="0.05"/>
    <n v="80"/>
    <n v="53200"/>
  </r>
  <r>
    <s v="I-2366"/>
    <s v="Riyadh"/>
    <s v="Saudi Arabia"/>
    <s v="EMEA"/>
    <d v="2018-09-13T00:00:00"/>
    <x v="2"/>
    <s v="David Adams"/>
    <n v="150"/>
    <n v="143"/>
    <n v="4.6699999999999998E-2"/>
    <n v="68"/>
    <n v="9724"/>
  </r>
  <r>
    <s v="I-2367"/>
    <s v="Osaka"/>
    <s v="Japan"/>
    <s v="APAC"/>
    <d v="2016-03-25T00:00:00"/>
    <x v="1"/>
    <s v="April Childs"/>
    <n v="700"/>
    <n v="672"/>
    <n v="0.04"/>
    <n v="17"/>
    <n v="11424"/>
  </r>
  <r>
    <s v="I-2368"/>
    <s v="Kansas City"/>
    <s v="USA"/>
    <s v="NA"/>
    <d v="2015-05-14T00:00:00"/>
    <x v="3"/>
    <s v="Nicola Wright"/>
    <n v="50"/>
    <n v="45"/>
    <n v="0.1"/>
    <n v="76"/>
    <n v="3420"/>
  </r>
  <r>
    <s v="I-2369"/>
    <s v="Bucharest"/>
    <s v="Romania"/>
    <s v="EMEA"/>
    <d v="2016-03-31T00:00:00"/>
    <x v="9"/>
    <s v="Geoffrey Shiner"/>
    <n v="70"/>
    <n v="67"/>
    <n v="4.2900000000000001E-2"/>
    <n v="24"/>
    <n v="1608"/>
  </r>
  <r>
    <s v="I-2370"/>
    <s v="Delhi"/>
    <s v="India"/>
    <s v="APAC"/>
    <d v="2015-01-10T00:00:00"/>
    <x v="11"/>
    <s v="Geoffrey Patel"/>
    <n v="50"/>
    <n v="38"/>
    <n v="0.24"/>
    <n v="30"/>
    <n v="1140"/>
  </r>
  <r>
    <s v="I-2371"/>
    <s v="Tijuana"/>
    <s v="Mexico"/>
    <s v="LATAM"/>
    <d v="2015-10-11T00:00:00"/>
    <x v="8"/>
    <s v="Richard Allnutt"/>
    <n v="500"/>
    <n v="495"/>
    <n v="0.01"/>
    <n v="22"/>
    <n v="10890"/>
  </r>
  <r>
    <s v="I-2372"/>
    <s v="Mexico City"/>
    <s v="Mexico"/>
    <s v="LATAM"/>
    <d v="2018-04-19T00:00:00"/>
    <x v="11"/>
    <s v="Paul Smith"/>
    <n v="50"/>
    <n v="43"/>
    <n v="0.14000000000000001"/>
    <n v="57"/>
    <n v="2451"/>
  </r>
  <r>
    <s v="I-2373"/>
    <s v="Capetown"/>
    <s v="South Africa"/>
    <s v="EMEA"/>
    <d v="2018-06-29T00:00:00"/>
    <x v="7"/>
    <s v="Stuart Anderson"/>
    <n v="1000"/>
    <n v="930"/>
    <n v="7.0000000000000007E-2"/>
    <n v="58"/>
    <n v="53940"/>
  </r>
  <r>
    <s v="I-2374"/>
    <s v="Los Angeles"/>
    <s v="USA"/>
    <s v="NA"/>
    <d v="2018-03-17T00:00:00"/>
    <x v="8"/>
    <s v="Ron Goodman"/>
    <n v="500"/>
    <n v="490"/>
    <n v="0.02"/>
    <n v="88"/>
    <n v="43120"/>
  </r>
  <r>
    <s v="I-2375"/>
    <s v="Guangzhou"/>
    <s v="China"/>
    <s v="APAC"/>
    <d v="2018-01-01T00:00:00"/>
    <x v="1"/>
    <s v="Abdul Amos"/>
    <n v="700"/>
    <n v="658"/>
    <n v="0.06"/>
    <n v="98"/>
    <n v="64484"/>
  </r>
  <r>
    <s v="I-2376"/>
    <s v="Kuala Lumpur"/>
    <s v="Malaysia"/>
    <s v="APAC"/>
    <d v="2017-04-20T00:00:00"/>
    <x v="3"/>
    <s v="Anthony Green"/>
    <n v="50"/>
    <n v="47"/>
    <n v="0.06"/>
    <n v="25"/>
    <n v="1175"/>
  </r>
  <r>
    <s v="I-2377"/>
    <s v="Lima"/>
    <s v="Peru"/>
    <s v="LATAM"/>
    <d v="2016-05-26T00:00:00"/>
    <x v="10"/>
    <s v="Jacqueline Swaine"/>
    <n v="250"/>
    <n v="220"/>
    <n v="0.12"/>
    <n v="12"/>
    <n v="2640"/>
  </r>
  <r>
    <s v="I-2378"/>
    <s v="Ho Chi Minh City"/>
    <s v="Vietnam"/>
    <s v="APAC"/>
    <d v="2017-03-12T00:00:00"/>
    <x v="7"/>
    <s v="Susan Dixon"/>
    <n v="1000"/>
    <n v="520"/>
    <n v="0.48"/>
    <n v="15"/>
    <n v="7800"/>
  </r>
  <r>
    <s v="I-2379"/>
    <s v="Riyadh"/>
    <s v="Saudi Arabia"/>
    <s v="EMEA"/>
    <d v="2014-05-28T00:00:00"/>
    <x v="7"/>
    <s v="Danny Brooks"/>
    <n v="1000"/>
    <n v="980"/>
    <n v="0.02"/>
    <n v="53"/>
    <n v="51940"/>
  </r>
  <r>
    <s v="I-2380"/>
    <s v="Sydney"/>
    <s v="Australia"/>
    <s v="APAC"/>
    <d v="2018-07-04T00:00:00"/>
    <x v="8"/>
    <s v="James Ricketts"/>
    <n v="500"/>
    <n v="495"/>
    <n v="0.01"/>
    <n v="10"/>
    <n v="4950"/>
  </r>
  <r>
    <s v="I-2381"/>
    <s v="Sydney"/>
    <s v="Australia"/>
    <s v="APAC"/>
    <d v="2014-06-16T00:00:00"/>
    <x v="1"/>
    <s v="William Martin"/>
    <n v="700"/>
    <n v="546"/>
    <n v="0.22"/>
    <n v="57"/>
    <n v="31122"/>
  </r>
  <r>
    <s v="I-2382"/>
    <s v="Tel Aviv"/>
    <s v="Israel"/>
    <s v="EMEA"/>
    <d v="2017-11-24T00:00:00"/>
    <x v="1"/>
    <s v="Maureen Reynolds"/>
    <n v="700"/>
    <n v="693"/>
    <n v="0.01"/>
    <n v="95"/>
    <n v="65835"/>
  </r>
  <r>
    <s v="I-2383"/>
    <s v="Tokyo"/>
    <s v="Japan"/>
    <s v="APAC"/>
    <d v="2016-02-17T00:00:00"/>
    <x v="3"/>
    <s v="Michelle Hunter"/>
    <n v="50"/>
    <n v="45"/>
    <n v="0.1"/>
    <n v="56"/>
    <n v="2520"/>
  </r>
  <r>
    <s v="I-2384"/>
    <s v="Bangalore"/>
    <s v="India"/>
    <s v="APAC"/>
    <d v="2016-10-11T00:00:00"/>
    <x v="1"/>
    <s v="Paresh Mathews"/>
    <n v="700"/>
    <n v="595"/>
    <n v="0.15"/>
    <n v="95"/>
    <n v="56525"/>
  </r>
  <r>
    <s v="I-2385"/>
    <s v="Dubai"/>
    <s v="UAE"/>
    <s v="EMEA"/>
    <d v="2018-09-13T00:00:00"/>
    <x v="4"/>
    <s v="Rachel Clayton"/>
    <n v="30"/>
    <n v="29"/>
    <n v="3.3300000000000003E-2"/>
    <n v="92"/>
    <n v="2668"/>
  </r>
  <r>
    <s v="I-2386"/>
    <s v="Paris"/>
    <s v="France"/>
    <s v="EMEA"/>
    <d v="2016-02-20T00:00:00"/>
    <x v="4"/>
    <s v="Philip Tubbs"/>
    <n v="30"/>
    <n v="30"/>
    <n v="0"/>
    <n v="90"/>
    <n v="2700"/>
  </r>
  <r>
    <s v="I-2387"/>
    <s v="Delhi"/>
    <s v="India"/>
    <s v="APAC"/>
    <d v="2014-01-21T00:00:00"/>
    <x v="4"/>
    <s v="David Johnson"/>
    <n v="30"/>
    <n v="23"/>
    <n v="0.23330000000000001"/>
    <n v="86"/>
    <n v="1978"/>
  </r>
  <r>
    <s v="I-2388"/>
    <s v="Vienna"/>
    <s v="Austria"/>
    <s v="EMEA"/>
    <d v="2017-07-27T00:00:00"/>
    <x v="0"/>
    <s v="Peter Thompson"/>
    <n v="80"/>
    <n v="73"/>
    <n v="8.7499999999999994E-2"/>
    <n v="53"/>
    <n v="3869"/>
  </r>
  <r>
    <s v="I-2389"/>
    <s v="Amsterdam"/>
    <s v="Netherlands"/>
    <s v="EMEA"/>
    <d v="2015-04-10T00:00:00"/>
    <x v="7"/>
    <s v="David Dorey"/>
    <n v="1000"/>
    <n v="980"/>
    <n v="0.02"/>
    <n v="15"/>
    <n v="14700"/>
  </r>
  <r>
    <s v="I-2390"/>
    <s v="Birmingham"/>
    <s v="UK"/>
    <s v="EMEA"/>
    <d v="2017-02-12T00:00:00"/>
    <x v="2"/>
    <s v="John Whitehead"/>
    <n v="150"/>
    <n v="150"/>
    <n v="0"/>
    <n v="84"/>
    <n v="12600"/>
  </r>
  <r>
    <s v="I-2391"/>
    <s v="Osaka"/>
    <s v="Japan"/>
    <s v="APAC"/>
    <d v="2015-01-27T00:00:00"/>
    <x v="9"/>
    <s v="Neil McAvoy"/>
    <n v="70"/>
    <n v="32"/>
    <n v="0.54290000000000005"/>
    <n v="14"/>
    <n v="448"/>
  </r>
  <r>
    <s v="I-2392"/>
    <s v="Dublin"/>
    <s v="Ireland"/>
    <s v="EMEA"/>
    <d v="2017-07-11T00:00:00"/>
    <x v="1"/>
    <s v="Andrew Phillips"/>
    <n v="700"/>
    <n v="700"/>
    <n v="0"/>
    <n v="8"/>
    <n v="5600"/>
  </r>
  <r>
    <s v="I-2393"/>
    <s v="Capetown"/>
    <s v="South Africa"/>
    <s v="EMEA"/>
    <d v="2018-04-28T00:00:00"/>
    <x v="4"/>
    <s v="Noel Bull"/>
    <n v="30"/>
    <n v="26"/>
    <n v="0.1333"/>
    <n v="70"/>
    <n v="1820"/>
  </r>
  <r>
    <s v="I-2394"/>
    <s v="Sydney"/>
    <s v="Australia"/>
    <s v="APAC"/>
    <d v="2015-07-27T00:00:00"/>
    <x v="6"/>
    <s v="James White"/>
    <n v="800"/>
    <n v="624"/>
    <n v="0.22"/>
    <n v="79"/>
    <n v="49296"/>
  </r>
  <r>
    <s v="I-2395"/>
    <s v="Kansas City"/>
    <s v="USA"/>
    <s v="NA"/>
    <d v="2018-04-26T00:00:00"/>
    <x v="6"/>
    <s v="David Rodrigues"/>
    <n v="800"/>
    <n v="560"/>
    <n v="0.3"/>
    <n v="89"/>
    <n v="49840"/>
  </r>
  <r>
    <s v="I-2396"/>
    <s v="Warsaw"/>
    <s v="Poland"/>
    <s v="EMEA"/>
    <d v="2018-01-15T00:00:00"/>
    <x v="7"/>
    <s v="Robert Brook"/>
    <n v="1000"/>
    <n v="970"/>
    <n v="0.03"/>
    <n v="19"/>
    <n v="18430"/>
  </r>
  <r>
    <s v="I-2397"/>
    <s v="Sao Paolo"/>
    <s v="Brazil"/>
    <s v="LATAM"/>
    <d v="2015-01-02T00:00:00"/>
    <x v="0"/>
    <s v="Zoe Munday"/>
    <n v="80"/>
    <n v="70"/>
    <n v="0.125"/>
    <n v="91"/>
    <n v="6370"/>
  </r>
  <r>
    <s v="I-2398"/>
    <s v="Delhi"/>
    <s v="India"/>
    <s v="APAC"/>
    <d v="2018-02-14T00:00:00"/>
    <x v="6"/>
    <s v="Tessa Morrow"/>
    <n v="800"/>
    <n v="480"/>
    <n v="0.4"/>
    <n v="54"/>
    <n v="25920"/>
  </r>
  <r>
    <s v="I-2399"/>
    <s v="Birmingham"/>
    <s v="UK"/>
    <s v="EMEA"/>
    <d v="2018-04-15T00:00:00"/>
    <x v="5"/>
    <s v="Robert Reed"/>
    <n v="500"/>
    <n v="455"/>
    <n v="0.09"/>
    <n v="90"/>
    <n v="40950"/>
  </r>
  <r>
    <s v="I-2400"/>
    <s v="Tokyo"/>
    <s v="Japan"/>
    <s v="APAC"/>
    <d v="2017-12-10T00:00:00"/>
    <x v="9"/>
    <s v="Pauline Taylor"/>
    <n v="70"/>
    <n v="69"/>
    <n v="1.43E-2"/>
    <n v="81"/>
    <n v="5589"/>
  </r>
  <r>
    <s v="I-2401"/>
    <s v="Sydney"/>
    <s v="Australia"/>
    <s v="APAC"/>
    <d v="2017-09-04T00:00:00"/>
    <x v="9"/>
    <s v="James White"/>
    <n v="70"/>
    <n v="63"/>
    <n v="0.1"/>
    <n v="8"/>
    <n v="504"/>
  </r>
  <r>
    <s v="I-2402"/>
    <s v="Dublin"/>
    <s v="Ireland"/>
    <s v="EMEA"/>
    <d v="2014-01-19T00:00:00"/>
    <x v="3"/>
    <s v="Emma Gibbons"/>
    <n v="50"/>
    <n v="38"/>
    <n v="0.24"/>
    <n v="37"/>
    <n v="1406"/>
  </r>
  <r>
    <s v="I-2403"/>
    <s v="Paris"/>
    <s v="France"/>
    <s v="EMEA"/>
    <d v="2015-08-08T00:00:00"/>
    <x v="10"/>
    <s v="Melanie Fletcher"/>
    <n v="250"/>
    <n v="200"/>
    <n v="0.2"/>
    <n v="36"/>
    <n v="7200"/>
  </r>
  <r>
    <s v="I-2404"/>
    <s v="Osaka"/>
    <s v="Japan"/>
    <s v="APAC"/>
    <d v="2018-04-25T00:00:00"/>
    <x v="9"/>
    <s v="Colin Patel"/>
    <n v="70"/>
    <n v="69"/>
    <n v="1.43E-2"/>
    <n v="31"/>
    <n v="2139"/>
  </r>
  <r>
    <s v="I-2405"/>
    <s v="Tijuana"/>
    <s v="Mexico"/>
    <s v="LATAM"/>
    <d v="2018-11-30T00:00:00"/>
    <x v="4"/>
    <s v="Timothy Younger"/>
    <n v="30"/>
    <n v="26"/>
    <n v="0.1333"/>
    <n v="66"/>
    <n v="1716"/>
  </r>
  <r>
    <s v="I-2406"/>
    <s v="Moscow"/>
    <s v="Russia"/>
    <s v="EMEA"/>
    <d v="2015-05-10T00:00:00"/>
    <x v="4"/>
    <s v="Rita Hill"/>
    <n v="30"/>
    <n v="30"/>
    <n v="0"/>
    <n v="40"/>
    <n v="1200"/>
  </r>
  <r>
    <s v="I-2407"/>
    <s v="Prague"/>
    <s v="Czech Republic"/>
    <s v="EMEA"/>
    <d v="2015-11-15T00:00:00"/>
    <x v="11"/>
    <s v="Andrew Waddell"/>
    <n v="50"/>
    <n v="46"/>
    <n v="0.08"/>
    <n v="4"/>
    <n v="184"/>
  </r>
  <r>
    <s v="I-2408"/>
    <s v="Dublin"/>
    <s v="Ireland"/>
    <s v="EMEA"/>
    <d v="2016-07-02T00:00:00"/>
    <x v="8"/>
    <s v="Andrew Phillips"/>
    <n v="500"/>
    <n v="500"/>
    <n v="0"/>
    <n v="55"/>
    <n v="27500"/>
  </r>
  <r>
    <s v="I-2409"/>
    <s v="Amsterdam"/>
    <s v="Netherlands"/>
    <s v="EMEA"/>
    <d v="2016-01-06T00:00:00"/>
    <x v="1"/>
    <s v="Ian Christian"/>
    <n v="700"/>
    <n v="679"/>
    <n v="0.03"/>
    <n v="16"/>
    <n v="10864"/>
  </r>
  <r>
    <s v="I-2410"/>
    <s v="Capetown"/>
    <s v="South Africa"/>
    <s v="EMEA"/>
    <d v="2016-07-27T00:00:00"/>
    <x v="1"/>
    <s v="Noel Bull"/>
    <n v="700"/>
    <n v="630"/>
    <n v="0.1"/>
    <n v="12"/>
    <n v="7560"/>
  </r>
  <r>
    <s v="I-2411"/>
    <s v="Toronto"/>
    <s v="Canada"/>
    <s v="NA"/>
    <d v="2017-02-27T00:00:00"/>
    <x v="9"/>
    <s v="Michael Patel"/>
    <n v="70"/>
    <n v="65"/>
    <n v="7.1400000000000005E-2"/>
    <n v="1"/>
    <n v="65"/>
  </r>
  <r>
    <s v="I-2412"/>
    <s v="Delhi"/>
    <s v="India"/>
    <s v="APAC"/>
    <d v="2014-12-12T00:00:00"/>
    <x v="8"/>
    <s v="David Johnson"/>
    <n v="500"/>
    <n v="500"/>
    <n v="0"/>
    <n v="3"/>
    <n v="1500"/>
  </r>
  <r>
    <s v="I-2413"/>
    <s v="Dubai"/>
    <s v="UAE"/>
    <s v="EMEA"/>
    <d v="2014-10-11T00:00:00"/>
    <x v="10"/>
    <s v="Roy Connelly"/>
    <n v="250"/>
    <n v="200"/>
    <n v="0.2"/>
    <n v="30"/>
    <n v="6000"/>
  </r>
  <r>
    <s v="I-2414"/>
    <s v="Berlin"/>
    <s v="Germany"/>
    <s v="EMEA"/>
    <d v="2015-08-09T00:00:00"/>
    <x v="8"/>
    <s v="David Townsend"/>
    <n v="500"/>
    <n v="490"/>
    <n v="0.02"/>
    <n v="100"/>
    <n v="49000"/>
  </r>
  <r>
    <s v="I-2415"/>
    <s v="Buenos Aires"/>
    <s v="Argentina"/>
    <s v="LATAM"/>
    <d v="2016-03-24T00:00:00"/>
    <x v="4"/>
    <s v="Abdul Heywood"/>
    <n v="30"/>
    <n v="30"/>
    <n v="0"/>
    <n v="9"/>
    <n v="270"/>
  </r>
  <r>
    <s v="I-2416"/>
    <s v="Seattle"/>
    <s v="USA"/>
    <s v="NA"/>
    <d v="2014-05-13T00:00:00"/>
    <x v="9"/>
    <s v="Heather Donald"/>
    <n v="70"/>
    <n v="55"/>
    <n v="0.21429999999999999"/>
    <n v="10"/>
    <n v="550"/>
  </r>
  <r>
    <s v="I-2417"/>
    <s v="Rome"/>
    <s v="Italy"/>
    <s v="EMEA"/>
    <d v="2015-07-30T00:00:00"/>
    <x v="11"/>
    <s v="Michael Toy"/>
    <n v="50"/>
    <n v="42"/>
    <n v="0.16"/>
    <n v="24"/>
    <n v="1008"/>
  </r>
  <r>
    <s v="I-2418"/>
    <s v="Tokyo"/>
    <s v="Japan"/>
    <s v="APAC"/>
    <d v="2014-11-04T00:00:00"/>
    <x v="4"/>
    <s v="Rose Rowntree"/>
    <n v="30"/>
    <n v="26"/>
    <n v="0.1333"/>
    <n v="44"/>
    <n v="1144"/>
  </r>
  <r>
    <s v="I-2419"/>
    <s v="Madria"/>
    <s v="Spain"/>
    <s v="EMEA"/>
    <d v="2014-05-09T00:00:00"/>
    <x v="9"/>
    <s v="Barrie Murray"/>
    <n v="70"/>
    <n v="53"/>
    <n v="0.2429"/>
    <n v="71"/>
    <n v="3763"/>
  </r>
  <r>
    <s v="I-2420"/>
    <s v="Riyadh"/>
    <s v="Saudi Arabia"/>
    <s v="EMEA"/>
    <d v="2014-02-23T00:00:00"/>
    <x v="8"/>
    <s v="Danny Brooks"/>
    <n v="500"/>
    <n v="490"/>
    <n v="0.02"/>
    <n v="86"/>
    <n v="42140"/>
  </r>
  <r>
    <s v="I-2421"/>
    <s v="Warsaw"/>
    <s v="Poland"/>
    <s v="EMEA"/>
    <d v="2016-04-26T00:00:00"/>
    <x v="4"/>
    <s v="Hin Bragg"/>
    <n v="30"/>
    <n v="26"/>
    <n v="0.1333"/>
    <n v="19"/>
    <n v="494"/>
  </r>
  <r>
    <s v="I-2422"/>
    <s v="Kuala Lumpur"/>
    <s v="Malaysia"/>
    <s v="APAC"/>
    <d v="2015-02-05T00:00:00"/>
    <x v="0"/>
    <s v="Stephen MacGregor"/>
    <n v="80"/>
    <n v="53"/>
    <n v="0.33750000000000002"/>
    <n v="12"/>
    <n v="636"/>
  </r>
  <r>
    <s v="I-2423"/>
    <s v="Santiago"/>
    <s v="Chile"/>
    <s v="LATAM"/>
    <d v="2018-09-29T00:00:00"/>
    <x v="6"/>
    <s v="Bruce McPhee"/>
    <n v="800"/>
    <n v="616"/>
    <n v="0.23"/>
    <n v="43"/>
    <n v="26488"/>
  </r>
  <r>
    <s v="I-2424"/>
    <s v="Toronto"/>
    <s v="Canada"/>
    <s v="NA"/>
    <d v="2016-04-23T00:00:00"/>
    <x v="10"/>
    <s v="James Hammond"/>
    <n v="250"/>
    <n v="225"/>
    <n v="0.1"/>
    <n v="56"/>
    <n v="12600"/>
  </r>
  <r>
    <s v="I-2425"/>
    <s v="Santiago"/>
    <s v="Chile"/>
    <s v="LATAM"/>
    <d v="2015-02-01T00:00:00"/>
    <x v="10"/>
    <s v="Julia Hammond"/>
    <n v="250"/>
    <n v="215"/>
    <n v="0.14000000000000001"/>
    <n v="49"/>
    <n v="10535"/>
  </r>
  <r>
    <s v="I-2426"/>
    <s v="Shenzhen"/>
    <s v="China"/>
    <s v="APAC"/>
    <d v="2014-11-02T00:00:00"/>
    <x v="6"/>
    <s v="Edward Jenkins"/>
    <n v="800"/>
    <n v="712"/>
    <n v="0.11"/>
    <n v="21"/>
    <n v="14952"/>
  </r>
  <r>
    <s v="I-2427"/>
    <s v="Kansas City"/>
    <s v="USA"/>
    <s v="NA"/>
    <d v="2018-06-09T00:00:00"/>
    <x v="3"/>
    <s v="Robert Jenkins"/>
    <n v="50"/>
    <n v="46"/>
    <n v="0.08"/>
    <n v="43"/>
    <n v="1978"/>
  </r>
  <r>
    <s v="I-2428"/>
    <s v="Bogota"/>
    <s v="Colombia"/>
    <s v="LATAM"/>
    <d v="2015-12-27T00:00:00"/>
    <x v="7"/>
    <s v="Paul Puri"/>
    <n v="1000"/>
    <n v="960"/>
    <n v="0.04"/>
    <n v="12"/>
    <n v="11520"/>
  </r>
  <r>
    <s v="I-2429"/>
    <s v="Buenos Aires"/>
    <s v="Argentina"/>
    <s v="LATAM"/>
    <d v="2017-03-07T00:00:00"/>
    <x v="10"/>
    <s v="Lisa Wood"/>
    <n v="250"/>
    <n v="243"/>
    <n v="2.8000000000000001E-2"/>
    <n v="79"/>
    <n v="19197"/>
  </r>
  <r>
    <s v="I-2430"/>
    <s v="Seoul"/>
    <s v="South Korea"/>
    <s v="APAC"/>
    <d v="2015-09-14T00:00:00"/>
    <x v="1"/>
    <s v="Iftikhar Haywood"/>
    <n v="700"/>
    <n v="665"/>
    <n v="0.05"/>
    <n v="9"/>
    <n v="5985"/>
  </r>
  <r>
    <s v="I-2431"/>
    <s v="Bangkok"/>
    <s v="Thailand"/>
    <s v="APAC"/>
    <d v="2018-05-08T00:00:00"/>
    <x v="4"/>
    <s v="Martin Gee"/>
    <n v="30"/>
    <n v="30"/>
    <n v="0"/>
    <n v="94"/>
    <n v="2820"/>
  </r>
  <r>
    <s v="I-2432"/>
    <s v="Sao Paolo"/>
    <s v="Brazil"/>
    <s v="LATAM"/>
    <d v="2015-09-19T00:00:00"/>
    <x v="5"/>
    <s v="Elizabeth Holloway"/>
    <n v="500"/>
    <n v="350"/>
    <n v="0.3"/>
    <n v="75"/>
    <n v="26250"/>
  </r>
  <r>
    <s v="I-2433"/>
    <s v="Delhi"/>
    <s v="India"/>
    <s v="APAC"/>
    <d v="2016-01-21T00:00:00"/>
    <x v="4"/>
    <s v="Gillian Harris"/>
    <n v="30"/>
    <n v="28"/>
    <n v="6.6699999999999995E-2"/>
    <n v="91"/>
    <n v="2548"/>
  </r>
  <r>
    <s v="I-2434"/>
    <s v="Chicago"/>
    <s v="USA"/>
    <s v="NA"/>
    <d v="2016-07-31T00:00:00"/>
    <x v="10"/>
    <s v="Ronald Bettley"/>
    <n v="250"/>
    <n v="245"/>
    <n v="0.02"/>
    <n v="96"/>
    <n v="23520"/>
  </r>
  <r>
    <s v="I-2435"/>
    <s v="Jerusalem"/>
    <s v="Israel"/>
    <s v="EMEA"/>
    <d v="2017-12-26T00:00:00"/>
    <x v="2"/>
    <s v="John Bond"/>
    <n v="150"/>
    <n v="143"/>
    <n v="4.6699999999999998E-2"/>
    <n v="51"/>
    <n v="7293"/>
  </r>
  <r>
    <s v="I-2436"/>
    <s v="Kuala Lumpur"/>
    <s v="Malaysia"/>
    <s v="APAC"/>
    <d v="2018-08-17T00:00:00"/>
    <x v="11"/>
    <s v="Trudi Griffin"/>
    <n v="50"/>
    <n v="49"/>
    <n v="0.02"/>
    <n v="67"/>
    <n v="3283"/>
  </r>
  <r>
    <s v="I-2437"/>
    <s v="Shenzhen"/>
    <s v="China"/>
    <s v="APAC"/>
    <d v="2017-04-13T00:00:00"/>
    <x v="3"/>
    <s v="Fatima James"/>
    <n v="50"/>
    <n v="50"/>
    <n v="0"/>
    <n v="85"/>
    <n v="4250"/>
  </r>
  <r>
    <s v="I-2438"/>
    <s v="Bangkok"/>
    <s v="Thailand"/>
    <s v="APAC"/>
    <d v="2015-12-07T00:00:00"/>
    <x v="7"/>
    <s v="Mary Mitchell"/>
    <n v="1000"/>
    <n v="940"/>
    <n v="0.06"/>
    <n v="55"/>
    <n v="51700"/>
  </r>
  <r>
    <s v="I-2439"/>
    <s v="Berlin"/>
    <s v="Germany"/>
    <s v="EMEA"/>
    <d v="2016-01-04T00:00:00"/>
    <x v="6"/>
    <s v="David Power"/>
    <n v="800"/>
    <n v="480"/>
    <n v="0.4"/>
    <n v="46"/>
    <n v="22080"/>
  </r>
  <r>
    <s v="I-2440"/>
    <s v="Madria"/>
    <s v="Spain"/>
    <s v="EMEA"/>
    <d v="2014-06-04T00:00:00"/>
    <x v="10"/>
    <s v="Paul Long"/>
    <n v="250"/>
    <n v="198"/>
    <n v="0.20799999999999999"/>
    <n v="69"/>
    <n v="13662"/>
  </r>
  <r>
    <s v="I-2441"/>
    <s v="Amsterdam"/>
    <s v="Netherlands"/>
    <s v="EMEA"/>
    <d v="2018-09-02T00:00:00"/>
    <x v="2"/>
    <s v="Ian Christian"/>
    <n v="150"/>
    <n v="131"/>
    <n v="0.12670000000000001"/>
    <n v="66"/>
    <n v="8646"/>
  </r>
  <r>
    <s v="I-2442"/>
    <s v="Bogota"/>
    <s v="Colombia"/>
    <s v="LATAM"/>
    <d v="2017-07-15T00:00:00"/>
    <x v="7"/>
    <s v="David Finnie"/>
    <n v="1000"/>
    <n v="730"/>
    <n v="0.27"/>
    <n v="51"/>
    <n v="37230"/>
  </r>
  <r>
    <s v="I-2443"/>
    <s v="Berlin"/>
    <s v="Germany"/>
    <s v="EMEA"/>
    <d v="2016-11-11T00:00:00"/>
    <x v="6"/>
    <s v="John Gunter"/>
    <n v="800"/>
    <n v="584"/>
    <n v="0.27"/>
    <n v="32"/>
    <n v="18688"/>
  </r>
  <r>
    <s v="I-2444"/>
    <s v="San Fransisco"/>
    <s v="USA"/>
    <s v="NA"/>
    <d v="2018-08-17T00:00:00"/>
    <x v="2"/>
    <s v="Kevin Ahmed"/>
    <n v="150"/>
    <n v="128"/>
    <n v="0.1467"/>
    <n v="61"/>
    <n v="7808"/>
  </r>
  <r>
    <s v="I-2445"/>
    <s v="London"/>
    <s v="UK"/>
    <s v="EMEA"/>
    <d v="2017-11-17T00:00:00"/>
    <x v="7"/>
    <s v="Philip Dewar"/>
    <n v="1000"/>
    <n v="1000"/>
    <n v="0"/>
    <n v="77"/>
    <n v="77000"/>
  </r>
  <r>
    <s v="I-2446"/>
    <s v="Paris"/>
    <s v="France"/>
    <s v="EMEA"/>
    <d v="2017-07-20T00:00:00"/>
    <x v="3"/>
    <s v="Christopher Griffith"/>
    <n v="50"/>
    <n v="47"/>
    <n v="0.06"/>
    <n v="26"/>
    <n v="1222"/>
  </r>
  <r>
    <s v="I-2447"/>
    <s v="Tel Aviv"/>
    <s v="Israel"/>
    <s v="EMEA"/>
    <d v="2018-12-22T00:00:00"/>
    <x v="2"/>
    <s v="Rebecca Delo"/>
    <n v="150"/>
    <n v="144"/>
    <n v="0.04"/>
    <n v="82"/>
    <n v="11808"/>
  </r>
  <r>
    <s v="I-2448"/>
    <s v="Riyadh"/>
    <s v="Saudi Arabia"/>
    <s v="EMEA"/>
    <d v="2014-01-12T00:00:00"/>
    <x v="4"/>
    <s v="Kelly Owen"/>
    <n v="30"/>
    <n v="29"/>
    <n v="3.3300000000000003E-2"/>
    <n v="16"/>
    <n v="464"/>
  </r>
  <r>
    <s v="I-2449"/>
    <s v="Los Angeles"/>
    <s v="USA"/>
    <s v="NA"/>
    <d v="2016-07-12T00:00:00"/>
    <x v="3"/>
    <s v="Colin Matthews"/>
    <n v="50"/>
    <n v="44"/>
    <n v="0.12"/>
    <n v="10"/>
    <n v="440"/>
  </r>
  <r>
    <s v="I-2450"/>
    <s v="Tokyo"/>
    <s v="Japan"/>
    <s v="APAC"/>
    <d v="2014-01-24T00:00:00"/>
    <x v="5"/>
    <s v="Rose Rowntree"/>
    <n v="500"/>
    <n v="350"/>
    <n v="0.3"/>
    <n v="75"/>
    <n v="26250"/>
  </r>
  <r>
    <s v="I-2451"/>
    <s v="Prague"/>
    <s v="Czech Republic"/>
    <s v="EMEA"/>
    <d v="2015-09-11T00:00:00"/>
    <x v="11"/>
    <s v="Terence Mirza"/>
    <n v="50"/>
    <n v="42"/>
    <n v="0.16"/>
    <n v="85"/>
    <n v="3570"/>
  </r>
  <r>
    <s v="I-2452"/>
    <s v="Kuala Lumpur"/>
    <s v="Malaysia"/>
    <s v="APAC"/>
    <d v="2016-11-27T00:00:00"/>
    <x v="10"/>
    <s v="Harold Lunn"/>
    <n v="250"/>
    <n v="220"/>
    <n v="0.12"/>
    <n v="61"/>
    <n v="13420"/>
  </r>
  <r>
    <s v="I-2453"/>
    <s v="Athens"/>
    <s v="Greece"/>
    <s v="EMEA"/>
    <d v="2016-09-17T00:00:00"/>
    <x v="5"/>
    <s v="Gary Roberts"/>
    <n v="500"/>
    <n v="485"/>
    <n v="0.03"/>
    <n v="78"/>
    <n v="37830"/>
  </r>
  <r>
    <s v="I-2454"/>
    <s v="San Fransisco"/>
    <s v="USA"/>
    <s v="NA"/>
    <d v="2018-09-04T00:00:00"/>
    <x v="1"/>
    <s v="James Scott"/>
    <n v="700"/>
    <n v="672"/>
    <n v="0.04"/>
    <n v="95"/>
    <n v="63840"/>
  </r>
  <r>
    <s v="I-2455"/>
    <s v="Prague"/>
    <s v="Czech Republic"/>
    <s v="EMEA"/>
    <d v="2017-05-12T00:00:00"/>
    <x v="1"/>
    <s v="Nick Denny"/>
    <n v="700"/>
    <n v="630"/>
    <n v="0.1"/>
    <n v="65"/>
    <n v="40950"/>
  </r>
  <r>
    <s v="I-2456"/>
    <s v="Sydney"/>
    <s v="Australia"/>
    <s v="APAC"/>
    <d v="2016-10-26T00:00:00"/>
    <x v="6"/>
    <s v="James Ricketts"/>
    <n v="800"/>
    <n v="688"/>
    <n v="0.14000000000000001"/>
    <n v="32"/>
    <n v="22016"/>
  </r>
  <r>
    <s v="I-2457"/>
    <s v="Shanghai"/>
    <s v="China"/>
    <s v="APAC"/>
    <d v="2014-05-25T00:00:00"/>
    <x v="3"/>
    <s v="Christopher Snape"/>
    <n v="50"/>
    <n v="48"/>
    <n v="0.04"/>
    <n v="43"/>
    <n v="2064"/>
  </r>
  <r>
    <s v="I-2458"/>
    <s v="London"/>
    <s v="UK"/>
    <s v="EMEA"/>
    <d v="2017-05-24T00:00:00"/>
    <x v="9"/>
    <s v="Philip Dewar"/>
    <n v="70"/>
    <n v="67"/>
    <n v="4.2900000000000001E-2"/>
    <n v="64"/>
    <n v="4288"/>
  </r>
  <r>
    <s v="I-2459"/>
    <s v="Dublin"/>
    <s v="Ireland"/>
    <s v="EMEA"/>
    <d v="2017-07-02T00:00:00"/>
    <x v="5"/>
    <s v="Robert Harris"/>
    <n v="500"/>
    <n v="470"/>
    <n v="0.06"/>
    <n v="65"/>
    <n v="30550"/>
  </r>
  <r>
    <s v="I-2460"/>
    <s v="Amsterdam"/>
    <s v="Netherlands"/>
    <s v="EMEA"/>
    <d v="2014-09-19T00:00:00"/>
    <x v="10"/>
    <s v="Ian Christian"/>
    <n v="250"/>
    <n v="243"/>
    <n v="2.8000000000000001E-2"/>
    <n v="100"/>
    <n v="24300"/>
  </r>
  <r>
    <s v="I-2461"/>
    <s v="New York"/>
    <s v="USA"/>
    <s v="NA"/>
    <d v="2018-06-28T00:00:00"/>
    <x v="6"/>
    <s v="Richard Nash"/>
    <n v="800"/>
    <n v="552"/>
    <n v="0.31"/>
    <n v="82"/>
    <n v="45264"/>
  </r>
  <r>
    <s v="I-2462"/>
    <s v="Amsterdam"/>
    <s v="Netherlands"/>
    <s v="EMEA"/>
    <d v="2016-10-11T00:00:00"/>
    <x v="8"/>
    <s v="Julia Ferguson"/>
    <n v="500"/>
    <n v="490"/>
    <n v="0.02"/>
    <n v="1"/>
    <n v="490"/>
  </r>
  <r>
    <s v="I-2463"/>
    <s v="Lima"/>
    <s v="Peru"/>
    <s v="LATAM"/>
    <d v="2014-02-20T00:00:00"/>
    <x v="0"/>
    <s v="Kevin Goad"/>
    <n v="80"/>
    <n v="65"/>
    <n v="0.1875"/>
    <n v="83"/>
    <n v="5395"/>
  </r>
  <r>
    <s v="I-2464"/>
    <s v="Vienna"/>
    <s v="Austria"/>
    <s v="EMEA"/>
    <d v="2016-04-15T00:00:00"/>
    <x v="11"/>
    <s v="Lisa Pepper"/>
    <n v="50"/>
    <n v="43"/>
    <n v="0.14000000000000001"/>
    <n v="26"/>
    <n v="1118"/>
  </r>
  <r>
    <s v="I-2465"/>
    <s v="New York"/>
    <s v="USA"/>
    <s v="NA"/>
    <d v="2018-03-31T00:00:00"/>
    <x v="6"/>
    <s v="Sarah Houghton"/>
    <n v="800"/>
    <n v="616"/>
    <n v="0.23"/>
    <n v="64"/>
    <n v="39424"/>
  </r>
  <r>
    <s v="I-2466"/>
    <s v="Buenos Aires"/>
    <s v="Argentina"/>
    <s v="LATAM"/>
    <d v="2016-03-02T00:00:00"/>
    <x v="8"/>
    <s v="Kevin Curtis"/>
    <n v="500"/>
    <n v="490"/>
    <n v="0.02"/>
    <n v="38"/>
    <n v="18620"/>
  </r>
  <r>
    <s v="I-2467"/>
    <s v="Delhi"/>
    <s v="India"/>
    <s v="APAC"/>
    <d v="2018-05-22T00:00:00"/>
    <x v="4"/>
    <s v="Tessa Morrow"/>
    <n v="30"/>
    <n v="26"/>
    <n v="0.1333"/>
    <n v="53"/>
    <n v="1378"/>
  </r>
  <r>
    <s v="I-2468"/>
    <s v="Paris"/>
    <s v="France"/>
    <s v="EMEA"/>
    <d v="2018-10-09T00:00:00"/>
    <x v="11"/>
    <s v="Darren Webb"/>
    <n v="50"/>
    <n v="48"/>
    <n v="0.04"/>
    <n v="54"/>
    <n v="2592"/>
  </r>
  <r>
    <s v="I-2469"/>
    <s v="Delhi"/>
    <s v="India"/>
    <s v="APAC"/>
    <d v="2014-02-20T00:00:00"/>
    <x v="6"/>
    <s v="David Johnson"/>
    <n v="800"/>
    <n v="608"/>
    <n v="0.24"/>
    <n v="82"/>
    <n v="49856"/>
  </r>
  <r>
    <s v="I-2470"/>
    <s v="Shanghai"/>
    <s v="China"/>
    <s v="APAC"/>
    <d v="2016-04-27T00:00:00"/>
    <x v="7"/>
    <s v="Wolf Christian"/>
    <n v="1000"/>
    <n v="680"/>
    <n v="0.32"/>
    <n v="96"/>
    <n v="65280"/>
  </r>
  <r>
    <s v="I-2471"/>
    <s v="Seattle"/>
    <s v="USA"/>
    <s v="NA"/>
    <d v="2015-06-30T00:00:00"/>
    <x v="8"/>
    <s v="Kevin Styles"/>
    <n v="500"/>
    <n v="500"/>
    <n v="0"/>
    <n v="43"/>
    <n v="21500"/>
  </r>
  <r>
    <s v="I-2472"/>
    <s v="Riyadh"/>
    <s v="Saudi Arabia"/>
    <s v="EMEA"/>
    <d v="2015-09-21T00:00:00"/>
    <x v="1"/>
    <s v="Gillian Crawley"/>
    <n v="700"/>
    <n v="462"/>
    <n v="0.34"/>
    <n v="82"/>
    <n v="37884"/>
  </r>
  <r>
    <s v="I-2473"/>
    <s v="Capetown"/>
    <s v="South Africa"/>
    <s v="EMEA"/>
    <d v="2015-04-20T00:00:00"/>
    <x v="0"/>
    <s v="Margaret Philp"/>
    <n v="80"/>
    <n v="69"/>
    <n v="0.13750000000000001"/>
    <n v="50"/>
    <n v="3450"/>
  </r>
  <r>
    <s v="I-2474"/>
    <s v="Dublin"/>
    <s v="Ireland"/>
    <s v="EMEA"/>
    <d v="2015-04-27T00:00:00"/>
    <x v="9"/>
    <s v="James Carley"/>
    <n v="70"/>
    <n v="47"/>
    <n v="0.3286"/>
    <n v="11"/>
    <n v="517"/>
  </r>
  <r>
    <s v="I-2475"/>
    <s v="Moscow"/>
    <s v="Russia"/>
    <s v="EMEA"/>
    <d v="2016-05-22T00:00:00"/>
    <x v="5"/>
    <s v="Dermot Bailey"/>
    <n v="500"/>
    <n v="490"/>
    <n v="0.02"/>
    <n v="66"/>
    <n v="32340"/>
  </r>
  <r>
    <s v="I-2476"/>
    <s v="Bangkok"/>
    <s v="Thailand"/>
    <s v="APAC"/>
    <d v="2017-06-28T00:00:00"/>
    <x v="8"/>
    <s v="Stephen Burch"/>
    <n v="500"/>
    <n v="490"/>
    <n v="0.02"/>
    <n v="69"/>
    <n v="33810"/>
  </r>
  <r>
    <s v="I-2477"/>
    <s v="Osaka"/>
    <s v="Japan"/>
    <s v="APAC"/>
    <d v="2018-03-30T00:00:00"/>
    <x v="0"/>
    <s v="Tracy Stanley"/>
    <n v="80"/>
    <n v="80"/>
    <n v="0"/>
    <n v="80"/>
    <n v="6400"/>
  </r>
  <r>
    <s v="I-2478"/>
    <s v="Berlin"/>
    <s v="Germany"/>
    <s v="EMEA"/>
    <d v="2017-04-24T00:00:00"/>
    <x v="0"/>
    <s v="Jacqueline Clamp"/>
    <n v="80"/>
    <n v="76"/>
    <n v="0.05"/>
    <n v="18"/>
    <n v="1368"/>
  </r>
  <r>
    <s v="I-2479"/>
    <s v="Madria"/>
    <s v="Spain"/>
    <s v="EMEA"/>
    <d v="2018-03-04T00:00:00"/>
    <x v="1"/>
    <s v="Zhan Whitfield"/>
    <n v="700"/>
    <n v="686"/>
    <n v="0.02"/>
    <n v="53"/>
    <n v="36358"/>
  </r>
  <r>
    <s v="I-2480"/>
    <s v="Amsterdam"/>
    <s v="Netherlands"/>
    <s v="EMEA"/>
    <d v="2014-04-18T00:00:00"/>
    <x v="10"/>
    <s v="David Dorey"/>
    <n v="250"/>
    <n v="223"/>
    <n v="0.108"/>
    <n v="31"/>
    <n v="6913"/>
  </r>
  <r>
    <s v="I-2481"/>
    <s v="Osaka"/>
    <s v="Japan"/>
    <s v="APAC"/>
    <d v="2015-08-03T00:00:00"/>
    <x v="10"/>
    <s v="Jill Thompson"/>
    <n v="250"/>
    <n v="180"/>
    <n v="0.28000000000000003"/>
    <n v="83"/>
    <n v="14940"/>
  </r>
  <r>
    <s v="I-2482"/>
    <s v="Bogota"/>
    <s v="Colombia"/>
    <s v="LATAM"/>
    <d v="2016-08-11T00:00:00"/>
    <x v="2"/>
    <s v="Gary Percival"/>
    <n v="150"/>
    <n v="146"/>
    <n v="2.6700000000000002E-2"/>
    <n v="1"/>
    <n v="146"/>
  </r>
  <r>
    <s v="I-2483"/>
    <s v="Bogota"/>
    <s v="Colombia"/>
    <s v="LATAM"/>
    <d v="2016-05-18T00:00:00"/>
    <x v="10"/>
    <s v="Sandra Rew"/>
    <n v="250"/>
    <n v="235"/>
    <n v="0.06"/>
    <n v="36"/>
    <n v="8460"/>
  </r>
  <r>
    <s v="I-2484"/>
    <s v="Athens"/>
    <s v="Greece"/>
    <s v="EMEA"/>
    <d v="2018-11-10T00:00:00"/>
    <x v="6"/>
    <s v="Charles Ali"/>
    <n v="800"/>
    <n v="440"/>
    <n v="0.45"/>
    <n v="6"/>
    <n v="2640"/>
  </r>
  <r>
    <s v="I-2485"/>
    <s v="Bangalore"/>
    <s v="India"/>
    <s v="APAC"/>
    <d v="2015-11-26T00:00:00"/>
    <x v="4"/>
    <s v="Stuart Sykes"/>
    <n v="30"/>
    <n v="28"/>
    <n v="6.6699999999999995E-2"/>
    <n v="38"/>
    <n v="1064"/>
  </r>
  <r>
    <s v="I-2486"/>
    <s v="Sao Paolo"/>
    <s v="Brazil"/>
    <s v="LATAM"/>
    <d v="2016-04-05T00:00:00"/>
    <x v="10"/>
    <s v="Gary Reynolds"/>
    <n v="250"/>
    <n v="213"/>
    <n v="0.14799999999999999"/>
    <n v="10"/>
    <n v="2130"/>
  </r>
  <r>
    <s v="I-2487"/>
    <s v="Seattle"/>
    <s v="USA"/>
    <s v="NA"/>
    <d v="2017-07-16T00:00:00"/>
    <x v="1"/>
    <s v="Kate Nash"/>
    <n v="700"/>
    <n v="665"/>
    <n v="0.05"/>
    <n v="19"/>
    <n v="12635"/>
  </r>
  <r>
    <s v="I-2488"/>
    <s v="Bangalore"/>
    <s v="India"/>
    <s v="APAC"/>
    <d v="2017-04-21T00:00:00"/>
    <x v="8"/>
    <s v="Johanna Mirza"/>
    <n v="500"/>
    <n v="495"/>
    <n v="0.01"/>
    <n v="70"/>
    <n v="34650"/>
  </r>
  <r>
    <s v="I-2489"/>
    <s v="Capetown"/>
    <s v="South Africa"/>
    <s v="EMEA"/>
    <d v="2014-03-15T00:00:00"/>
    <x v="9"/>
    <s v="Nicholas Holloway"/>
    <n v="70"/>
    <n v="67"/>
    <n v="4.2900000000000001E-2"/>
    <n v="13"/>
    <n v="871"/>
  </r>
  <r>
    <s v="I-2490"/>
    <s v="Vienna"/>
    <s v="Austria"/>
    <s v="EMEA"/>
    <d v="2014-08-10T00:00:00"/>
    <x v="8"/>
    <s v="Paul Munday"/>
    <n v="500"/>
    <n v="490"/>
    <n v="0.02"/>
    <n v="33"/>
    <n v="16170"/>
  </r>
  <r>
    <s v="I-2491"/>
    <s v="New York"/>
    <s v="USA"/>
    <s v="NA"/>
    <d v="2014-07-27T00:00:00"/>
    <x v="8"/>
    <s v="Stephen Cohen"/>
    <n v="500"/>
    <n v="495"/>
    <n v="0.01"/>
    <n v="66"/>
    <n v="32670"/>
  </r>
  <r>
    <s v="I-2492"/>
    <s v="New York"/>
    <s v="USA"/>
    <s v="NA"/>
    <d v="2018-12-05T00:00:00"/>
    <x v="1"/>
    <s v="Matthew Crowe"/>
    <n v="700"/>
    <n v="700"/>
    <n v="0"/>
    <n v="85"/>
    <n v="59500"/>
  </r>
  <r>
    <s v="I-2493"/>
    <s v="Riyadh"/>
    <s v="Saudi Arabia"/>
    <s v="EMEA"/>
    <d v="2018-04-26T00:00:00"/>
    <x v="11"/>
    <s v="Heather Murray"/>
    <n v="50"/>
    <n v="43"/>
    <n v="0.14000000000000001"/>
    <n v="86"/>
    <n v="3698"/>
  </r>
  <r>
    <s v="I-2494"/>
    <s v="Toronto"/>
    <s v="Canada"/>
    <s v="NA"/>
    <d v="2015-07-26T00:00:00"/>
    <x v="6"/>
    <s v="Michael Patel"/>
    <n v="800"/>
    <n v="616"/>
    <n v="0.23"/>
    <n v="49"/>
    <n v="30184"/>
  </r>
  <r>
    <s v="I-2495"/>
    <s v="Kansas City"/>
    <s v="USA"/>
    <s v="NA"/>
    <d v="2018-06-20T00:00:00"/>
    <x v="10"/>
    <s v="David Rodrigues"/>
    <n v="250"/>
    <n v="245"/>
    <n v="0.02"/>
    <n v="93"/>
    <n v="22785"/>
  </r>
  <r>
    <s v="I-2496"/>
    <s v="Tel Aviv"/>
    <s v="Israel"/>
    <s v="EMEA"/>
    <d v="2018-06-13T00:00:00"/>
    <x v="10"/>
    <s v="Deanna Wang"/>
    <n v="250"/>
    <n v="223"/>
    <n v="0.108"/>
    <n v="87"/>
    <n v="19401"/>
  </r>
  <r>
    <s v="I-2497"/>
    <s v="Amsterdam"/>
    <s v="Netherlands"/>
    <s v="EMEA"/>
    <d v="2018-07-14T00:00:00"/>
    <x v="0"/>
    <s v="Ian Christian"/>
    <n v="80"/>
    <n v="73"/>
    <n v="8.7499999999999994E-2"/>
    <n v="42"/>
    <n v="3066"/>
  </r>
  <r>
    <s v="I-2498"/>
    <s v="Capetown"/>
    <s v="South Africa"/>
    <s v="EMEA"/>
    <d v="2014-05-15T00:00:00"/>
    <x v="9"/>
    <s v="Nicholas Holloway"/>
    <n v="70"/>
    <n v="67"/>
    <n v="4.2900000000000001E-2"/>
    <n v="77"/>
    <n v="5159"/>
  </r>
  <r>
    <s v="I-2499"/>
    <s v="Prague"/>
    <s v="Czech Republic"/>
    <s v="EMEA"/>
    <d v="2014-02-10T00:00:00"/>
    <x v="4"/>
    <s v="Edward Khan"/>
    <n v="30"/>
    <n v="30"/>
    <n v="0"/>
    <n v="96"/>
    <n v="2880"/>
  </r>
  <r>
    <s v="I-2500"/>
    <s v="Kansas City"/>
    <s v="USA"/>
    <s v="NA"/>
    <d v="2016-01-03T00:00:00"/>
    <x v="11"/>
    <s v="Douglas Davies"/>
    <n v="50"/>
    <n v="49"/>
    <n v="0.02"/>
    <n v="94"/>
    <n v="4606"/>
  </r>
  <r>
    <s v="I-2501"/>
    <s v="Cairo"/>
    <s v="Egypt"/>
    <s v="EMEA"/>
    <d v="2014-10-27T00:00:00"/>
    <x v="8"/>
    <s v="Basil Bain"/>
    <n v="500"/>
    <n v="495"/>
    <n v="0.01"/>
    <n v="81"/>
    <n v="40095"/>
  </r>
  <r>
    <s v="I-2502"/>
    <s v="London"/>
    <s v="UK"/>
    <s v="EMEA"/>
    <d v="2017-09-14T00:00:00"/>
    <x v="5"/>
    <s v="James Neville"/>
    <n v="500"/>
    <n v="485"/>
    <n v="0.03"/>
    <n v="14"/>
    <n v="6790"/>
  </r>
  <r>
    <s v="I-2503"/>
    <s v="San Fransisco"/>
    <s v="USA"/>
    <s v="NA"/>
    <d v="2015-01-29T00:00:00"/>
    <x v="2"/>
    <s v="Shelley Lock"/>
    <n v="150"/>
    <n v="116"/>
    <n v="0.22670000000000001"/>
    <n v="65"/>
    <n v="7540"/>
  </r>
  <r>
    <s v="I-2504"/>
    <s v="Toronto"/>
    <s v="Canada"/>
    <s v="NA"/>
    <d v="2015-08-26T00:00:00"/>
    <x v="1"/>
    <s v="Kyle Anderson"/>
    <n v="700"/>
    <n v="658"/>
    <n v="0.06"/>
    <n v="95"/>
    <n v="62510"/>
  </r>
  <r>
    <s v="I-2505"/>
    <s v="Riyadh"/>
    <s v="Saudi Arabia"/>
    <s v="EMEA"/>
    <d v="2016-04-17T00:00:00"/>
    <x v="4"/>
    <s v="Lloyd Barr"/>
    <n v="30"/>
    <n v="27"/>
    <n v="0.1"/>
    <n v="60"/>
    <n v="1620"/>
  </r>
  <r>
    <s v="I-2506"/>
    <s v="Moscow"/>
    <s v="Russia"/>
    <s v="EMEA"/>
    <d v="2014-04-28T00:00:00"/>
    <x v="6"/>
    <s v="Darren Brooks"/>
    <n v="800"/>
    <n v="608"/>
    <n v="0.24"/>
    <n v="23"/>
    <n v="13984"/>
  </r>
  <r>
    <s v="I-2507"/>
    <s v="Guangzhou"/>
    <s v="China"/>
    <s v="APAC"/>
    <d v="2016-04-05T00:00:00"/>
    <x v="3"/>
    <s v="Glenys Wright"/>
    <n v="50"/>
    <n v="49"/>
    <n v="0.02"/>
    <n v="7"/>
    <n v="343"/>
  </r>
  <r>
    <s v="I-2508"/>
    <s v="Bogota"/>
    <s v="Colombia"/>
    <s v="LATAM"/>
    <d v="2016-10-09T00:00:00"/>
    <x v="0"/>
    <s v="Alison Lazar"/>
    <n v="80"/>
    <n v="69"/>
    <n v="0.13750000000000001"/>
    <n v="68"/>
    <n v="4692"/>
  </r>
  <r>
    <s v="I-2509"/>
    <s v="Kuala Lumpur"/>
    <s v="Malaysia"/>
    <s v="APAC"/>
    <d v="2015-01-04T00:00:00"/>
    <x v="9"/>
    <s v="Stephen MacGregor"/>
    <n v="70"/>
    <n v="64"/>
    <n v="8.5699999999999998E-2"/>
    <n v="80"/>
    <n v="5120"/>
  </r>
  <r>
    <s v="I-2510"/>
    <s v="Riyadh"/>
    <s v="Saudi Arabia"/>
    <s v="EMEA"/>
    <d v="2018-09-25T00:00:00"/>
    <x v="4"/>
    <s v="Victoria Sherwin"/>
    <n v="30"/>
    <n v="27"/>
    <n v="0.1"/>
    <n v="58"/>
    <n v="1566"/>
  </r>
  <r>
    <s v="I-2511"/>
    <s v="Prague"/>
    <s v="Czech Republic"/>
    <s v="EMEA"/>
    <d v="2014-08-20T00:00:00"/>
    <x v="5"/>
    <s v="Andrew Waddell"/>
    <n v="500"/>
    <n v="500"/>
    <n v="0"/>
    <n v="51"/>
    <n v="25500"/>
  </r>
  <r>
    <s v="I-2512"/>
    <s v="Cairo"/>
    <s v="Egypt"/>
    <s v="EMEA"/>
    <d v="2014-10-06T00:00:00"/>
    <x v="0"/>
    <s v="David Amos"/>
    <n v="80"/>
    <n v="60"/>
    <n v="0.25"/>
    <n v="3"/>
    <n v="180"/>
  </r>
  <r>
    <s v="I-2513"/>
    <s v="Tel Aviv"/>
    <s v="Israel"/>
    <s v="EMEA"/>
    <d v="2018-10-31T00:00:00"/>
    <x v="1"/>
    <s v="Jacob Percival"/>
    <n v="700"/>
    <n v="637"/>
    <n v="0.09"/>
    <n v="40"/>
    <n v="25480"/>
  </r>
  <r>
    <s v="I-2514"/>
    <s v="Tokyo"/>
    <s v="Japan"/>
    <s v="APAC"/>
    <d v="2014-02-18T00:00:00"/>
    <x v="10"/>
    <s v="Pauline Taylor"/>
    <n v="250"/>
    <n v="178"/>
    <n v="0.28799999999999998"/>
    <n v="7"/>
    <n v="1246"/>
  </r>
  <r>
    <s v="I-2515"/>
    <s v="Warsaw"/>
    <s v="Poland"/>
    <s v="EMEA"/>
    <d v="2015-11-24T00:00:00"/>
    <x v="8"/>
    <s v="Hin Bragg"/>
    <n v="500"/>
    <n v="500"/>
    <n v="0"/>
    <n v="84"/>
    <n v="42000"/>
  </r>
  <r>
    <s v="I-2516"/>
    <s v="Jerusalem"/>
    <s v="Israel"/>
    <s v="EMEA"/>
    <d v="2017-01-09T00:00:00"/>
    <x v="3"/>
    <s v="Barbara Scott"/>
    <n v="50"/>
    <n v="47"/>
    <n v="0.06"/>
    <n v="91"/>
    <n v="4277"/>
  </r>
  <r>
    <s v="I-2517"/>
    <s v="Capetown"/>
    <s v="South Africa"/>
    <s v="EMEA"/>
    <d v="2014-10-23T00:00:00"/>
    <x v="5"/>
    <s v="Marcus Jacob"/>
    <n v="500"/>
    <n v="405"/>
    <n v="0.19"/>
    <n v="47"/>
    <n v="19035"/>
  </r>
  <r>
    <s v="I-2518"/>
    <s v="Rome"/>
    <s v="Italy"/>
    <s v="EMEA"/>
    <d v="2017-12-03T00:00:00"/>
    <x v="10"/>
    <s v="Golam Reid"/>
    <n v="250"/>
    <n v="245"/>
    <n v="0.02"/>
    <n v="14"/>
    <n v="3430"/>
  </r>
  <r>
    <s v="I-2519"/>
    <s v="Bucharest"/>
    <s v="Romania"/>
    <s v="EMEA"/>
    <d v="2018-03-25T00:00:00"/>
    <x v="0"/>
    <s v="Alan Grant"/>
    <n v="80"/>
    <n v="78"/>
    <n v="2.5000000000000001E-2"/>
    <n v="89"/>
    <n v="6942"/>
  </r>
  <r>
    <s v="I-2520"/>
    <s v="Bogota"/>
    <s v="Colombia"/>
    <s v="LATAM"/>
    <d v="2015-06-18T00:00:00"/>
    <x v="5"/>
    <s v="Philip Mishra"/>
    <n v="500"/>
    <n v="345"/>
    <n v="0.31"/>
    <n v="100"/>
    <n v="34500"/>
  </r>
  <r>
    <s v="I-2521"/>
    <s v="Bogota"/>
    <s v="Colombia"/>
    <s v="LATAM"/>
    <d v="2018-09-17T00:00:00"/>
    <x v="7"/>
    <s v="Basil Nolan"/>
    <n v="1000"/>
    <n v="590"/>
    <n v="0.41"/>
    <n v="38"/>
    <n v="22420"/>
  </r>
  <r>
    <s v="I-2522"/>
    <s v="Paris"/>
    <s v="France"/>
    <s v="EMEA"/>
    <d v="2015-08-29T00:00:00"/>
    <x v="10"/>
    <s v="Joanne Sayer"/>
    <n v="250"/>
    <n v="238"/>
    <n v="4.8000000000000001E-2"/>
    <n v="88"/>
    <n v="20944"/>
  </r>
  <r>
    <s v="I-2523"/>
    <s v="Paris"/>
    <s v="France"/>
    <s v="EMEA"/>
    <d v="2017-10-17T00:00:00"/>
    <x v="1"/>
    <s v="Ketan Bryan"/>
    <n v="700"/>
    <n v="672"/>
    <n v="0.04"/>
    <n v="91"/>
    <n v="61152"/>
  </r>
  <r>
    <s v="I-2524"/>
    <s v="Paris"/>
    <s v="France"/>
    <s v="EMEA"/>
    <d v="2017-08-15T00:00:00"/>
    <x v="8"/>
    <s v="Darren Webb"/>
    <n v="500"/>
    <n v="500"/>
    <n v="0"/>
    <n v="38"/>
    <n v="19000"/>
  </r>
  <r>
    <s v="I-2525"/>
    <s v="Sydney"/>
    <s v="Australia"/>
    <s v="APAC"/>
    <d v="2016-01-19T00:00:00"/>
    <x v="8"/>
    <s v="Robert Faulkner"/>
    <n v="500"/>
    <n v="495"/>
    <n v="0.01"/>
    <n v="39"/>
    <n v="19305"/>
  </r>
  <r>
    <s v="I-2526"/>
    <s v="Seoul"/>
    <s v="South Korea"/>
    <s v="APAC"/>
    <d v="2014-01-28T00:00:00"/>
    <x v="4"/>
    <s v="Steven Wood"/>
    <n v="30"/>
    <n v="29"/>
    <n v="3.3300000000000003E-2"/>
    <n v="80"/>
    <n v="2320"/>
  </r>
  <r>
    <s v="I-2527"/>
    <s v="Sydney"/>
    <s v="Australia"/>
    <s v="APAC"/>
    <d v="2015-06-24T00:00:00"/>
    <x v="0"/>
    <s v="James White"/>
    <n v="80"/>
    <n v="55"/>
    <n v="0.3125"/>
    <n v="59"/>
    <n v="3245"/>
  </r>
  <r>
    <s v="I-2528"/>
    <s v="Delhi"/>
    <s v="India"/>
    <s v="APAC"/>
    <d v="2015-02-17T00:00:00"/>
    <x v="6"/>
    <s v="Glen Campbell"/>
    <n v="800"/>
    <n v="608"/>
    <n v="0.24"/>
    <n v="29"/>
    <n v="17632"/>
  </r>
  <r>
    <s v="I-2529"/>
    <s v="Kansas City"/>
    <s v="USA"/>
    <s v="NA"/>
    <d v="2015-05-10T00:00:00"/>
    <x v="4"/>
    <s v="Robert Jenkins"/>
    <n v="30"/>
    <n v="22"/>
    <n v="0.26669999999999999"/>
    <n v="26"/>
    <n v="572"/>
  </r>
  <r>
    <s v="I-2530"/>
    <s v="Shenzhen"/>
    <s v="China"/>
    <s v="APAC"/>
    <d v="2014-04-27T00:00:00"/>
    <x v="0"/>
    <s v="Caroline Gee"/>
    <n v="80"/>
    <n v="69"/>
    <n v="0.13750000000000001"/>
    <n v="31"/>
    <n v="2139"/>
  </r>
  <r>
    <s v="I-2531"/>
    <s v="Bangalore"/>
    <s v="India"/>
    <s v="APAC"/>
    <d v="2016-01-12T00:00:00"/>
    <x v="1"/>
    <s v="Stuart Sykes"/>
    <n v="700"/>
    <n v="665"/>
    <n v="0.05"/>
    <n v="80"/>
    <n v="53200"/>
  </r>
  <r>
    <s v="I-2532"/>
    <s v="Istanbul"/>
    <s v="Turkey"/>
    <s v="EMEA"/>
    <d v="2017-03-23T00:00:00"/>
    <x v="4"/>
    <s v="Anthony Rothery"/>
    <n v="30"/>
    <n v="28"/>
    <n v="6.6699999999999995E-2"/>
    <n v="1"/>
    <n v="28"/>
  </r>
  <r>
    <s v="I-2533"/>
    <s v="Seattle"/>
    <s v="USA"/>
    <s v="NA"/>
    <d v="2018-03-14T00:00:00"/>
    <x v="6"/>
    <s v="Harold Green"/>
    <n v="800"/>
    <n v="464"/>
    <n v="0.42"/>
    <n v="86"/>
    <n v="39904"/>
  </r>
  <r>
    <s v="I-2534"/>
    <s v="Seattle"/>
    <s v="USA"/>
    <s v="NA"/>
    <d v="2017-09-03T00:00:00"/>
    <x v="6"/>
    <s v="Derek Harris"/>
    <n v="800"/>
    <n v="584"/>
    <n v="0.27"/>
    <n v="90"/>
    <n v="52560"/>
  </r>
  <r>
    <s v="I-2535"/>
    <s v="Rome"/>
    <s v="Italy"/>
    <s v="EMEA"/>
    <d v="2017-06-30T00:00:00"/>
    <x v="1"/>
    <s v="Richard Batty"/>
    <n v="700"/>
    <n v="686"/>
    <n v="0.02"/>
    <n v="49"/>
    <n v="33614"/>
  </r>
  <r>
    <s v="I-2536"/>
    <s v="Sydney"/>
    <s v="Australia"/>
    <s v="APAC"/>
    <d v="2018-07-07T00:00:00"/>
    <x v="10"/>
    <s v="Robert Faulkner"/>
    <n v="250"/>
    <n v="213"/>
    <n v="0.14799999999999999"/>
    <n v="75"/>
    <n v="15975"/>
  </r>
  <r>
    <s v="I-2537"/>
    <s v="Kansas City"/>
    <s v="USA"/>
    <s v="NA"/>
    <d v="2017-12-08T00:00:00"/>
    <x v="5"/>
    <s v="Christina Pedley"/>
    <n v="500"/>
    <n v="470"/>
    <n v="0.06"/>
    <n v="31"/>
    <n v="14570"/>
  </r>
  <r>
    <s v="I-2538"/>
    <s v="Capetown"/>
    <s v="South Africa"/>
    <s v="EMEA"/>
    <d v="2014-05-11T00:00:00"/>
    <x v="6"/>
    <s v="Stuart Anderson"/>
    <n v="800"/>
    <n v="664"/>
    <n v="0.17"/>
    <n v="31"/>
    <n v="20584"/>
  </r>
  <r>
    <s v="I-2539"/>
    <s v="Kuala Lumpur"/>
    <s v="Malaysia"/>
    <s v="APAC"/>
    <d v="2014-02-11T00:00:00"/>
    <x v="8"/>
    <s v="Stephen MacGregor"/>
    <n v="500"/>
    <n v="495"/>
    <n v="0.01"/>
    <n v="86"/>
    <n v="42570"/>
  </r>
  <r>
    <s v="I-2540"/>
    <s v="Shenzhen"/>
    <s v="China"/>
    <s v="APAC"/>
    <d v="2016-09-03T00:00:00"/>
    <x v="0"/>
    <s v="Russell Reynolds"/>
    <n v="80"/>
    <n v="72"/>
    <n v="0.1"/>
    <n v="8"/>
    <n v="576"/>
  </r>
  <r>
    <s v="I-2541"/>
    <s v="Tokyo"/>
    <s v="Japan"/>
    <s v="APAC"/>
    <d v="2018-09-01T00:00:00"/>
    <x v="9"/>
    <s v="Nicholas Goude"/>
    <n v="70"/>
    <n v="65"/>
    <n v="7.1400000000000005E-2"/>
    <n v="8"/>
    <n v="520"/>
  </r>
  <r>
    <s v="I-2542"/>
    <s v="Ho Chi Minh City"/>
    <s v="Vietnam"/>
    <s v="APAC"/>
    <d v="2015-05-13T00:00:00"/>
    <x v="10"/>
    <s v="Frank Sewell"/>
    <n v="250"/>
    <n v="163"/>
    <n v="0.34799999999999998"/>
    <n v="73"/>
    <n v="11899"/>
  </r>
  <r>
    <s v="I-2543"/>
    <s v="Capetown"/>
    <s v="South Africa"/>
    <s v="EMEA"/>
    <d v="2018-12-12T00:00:00"/>
    <x v="8"/>
    <s v="Helen Cooke"/>
    <n v="500"/>
    <n v="500"/>
    <n v="0"/>
    <n v="24"/>
    <n v="12000"/>
  </r>
  <r>
    <s v="I-2544"/>
    <s v="Guangzhou"/>
    <s v="China"/>
    <s v="APAC"/>
    <d v="2015-02-06T00:00:00"/>
    <x v="1"/>
    <s v="Donald Higgs"/>
    <n v="700"/>
    <n v="448"/>
    <n v="0.36"/>
    <n v="46"/>
    <n v="20608"/>
  </r>
  <r>
    <s v="I-2545"/>
    <s v="Tel Aviv"/>
    <s v="Israel"/>
    <s v="EMEA"/>
    <d v="2018-03-25T00:00:00"/>
    <x v="6"/>
    <s v="Frances Weller"/>
    <n v="800"/>
    <n v="496"/>
    <n v="0.38"/>
    <n v="97"/>
    <n v="48112"/>
  </r>
  <r>
    <s v="I-2546"/>
    <s v="Jerusalem"/>
    <s v="Israel"/>
    <s v="EMEA"/>
    <d v="2018-12-30T00:00:00"/>
    <x v="4"/>
    <s v="William Collins"/>
    <n v="30"/>
    <n v="30"/>
    <n v="0"/>
    <n v="88"/>
    <n v="2640"/>
  </r>
  <r>
    <s v="I-2547"/>
    <s v="Chicago"/>
    <s v="USA"/>
    <s v="NA"/>
    <d v="2017-05-22T00:00:00"/>
    <x v="10"/>
    <s v="Ronald Bettley"/>
    <n v="250"/>
    <n v="245"/>
    <n v="0.02"/>
    <n v="14"/>
    <n v="3430"/>
  </r>
  <r>
    <s v="I-2548"/>
    <s v="Toronto"/>
    <s v="Canada"/>
    <s v="NA"/>
    <d v="2017-06-09T00:00:00"/>
    <x v="6"/>
    <s v="Nick Blacklock"/>
    <n v="800"/>
    <n v="576"/>
    <n v="0.28000000000000003"/>
    <n v="64"/>
    <n v="36864"/>
  </r>
  <r>
    <s v="I-2549"/>
    <s v="Santiago"/>
    <s v="Chile"/>
    <s v="LATAM"/>
    <d v="2016-06-17T00:00:00"/>
    <x v="11"/>
    <s v="Jason Edmund"/>
    <n v="50"/>
    <n v="47"/>
    <n v="0.06"/>
    <n v="13"/>
    <n v="611"/>
  </r>
  <r>
    <s v="I-2550"/>
    <s v="Santiago"/>
    <s v="Chile"/>
    <s v="LATAM"/>
    <d v="2018-09-29T00:00:00"/>
    <x v="9"/>
    <s v="Bruce McPhee"/>
    <n v="70"/>
    <n v="66"/>
    <n v="5.7099999999999998E-2"/>
    <n v="20"/>
    <n v="1320"/>
  </r>
  <r>
    <s v="I-2551"/>
    <s v="London"/>
    <s v="UK"/>
    <s v="EMEA"/>
    <d v="2016-06-11T00:00:00"/>
    <x v="5"/>
    <s v="William Cruse"/>
    <n v="500"/>
    <n v="485"/>
    <n v="0.03"/>
    <n v="94"/>
    <n v="45590"/>
  </r>
  <r>
    <s v="I-2552"/>
    <s v="Seoul"/>
    <s v="South Korea"/>
    <s v="APAC"/>
    <d v="2017-06-03T00:00:00"/>
    <x v="5"/>
    <s v="Roger Scott"/>
    <n v="500"/>
    <n v="495"/>
    <n v="0.01"/>
    <n v="56"/>
    <n v="27720"/>
  </r>
  <r>
    <s v="I-2553"/>
    <s v="Dubai"/>
    <s v="UAE"/>
    <s v="EMEA"/>
    <d v="2017-09-16T00:00:00"/>
    <x v="11"/>
    <s v="Nicholas Timbrell"/>
    <n v="50"/>
    <n v="49"/>
    <n v="0.02"/>
    <n v="74"/>
    <n v="3626"/>
  </r>
  <r>
    <s v="I-2554"/>
    <s v="Tel Aviv"/>
    <s v="Israel"/>
    <s v="EMEA"/>
    <d v="2018-04-16T00:00:00"/>
    <x v="10"/>
    <s v="Deanna Wang"/>
    <n v="250"/>
    <n v="223"/>
    <n v="0.108"/>
    <n v="99"/>
    <n v="22077"/>
  </r>
  <r>
    <s v="I-2555"/>
    <s v="Tijuana"/>
    <s v="Mexico"/>
    <s v="LATAM"/>
    <d v="2018-11-01T00:00:00"/>
    <x v="3"/>
    <s v="Gillian Allnutt"/>
    <n v="50"/>
    <n v="43"/>
    <n v="0.14000000000000001"/>
    <n v="95"/>
    <n v="4085"/>
  </r>
  <r>
    <s v="I-2556"/>
    <s v="Bogota"/>
    <s v="Colombia"/>
    <s v="LATAM"/>
    <d v="2016-11-04T00:00:00"/>
    <x v="4"/>
    <s v="Alison Lazar"/>
    <n v="30"/>
    <n v="30"/>
    <n v="0"/>
    <n v="68"/>
    <n v="2040"/>
  </r>
  <r>
    <s v="I-2557"/>
    <s v="Lima"/>
    <s v="Peru"/>
    <s v="LATAM"/>
    <d v="2017-01-05T00:00:00"/>
    <x v="1"/>
    <s v="Peter Jago"/>
    <n v="700"/>
    <n v="686"/>
    <n v="0.02"/>
    <n v="30"/>
    <n v="20580"/>
  </r>
  <r>
    <s v="I-2558"/>
    <s v="Vienna"/>
    <s v="Austria"/>
    <s v="EMEA"/>
    <d v="2014-03-16T00:00:00"/>
    <x v="4"/>
    <s v="Jesus Timmins"/>
    <n v="30"/>
    <n v="24"/>
    <n v="0.2"/>
    <n v="11"/>
    <n v="264"/>
  </r>
  <r>
    <s v="I-2559"/>
    <s v="Toronto"/>
    <s v="Canada"/>
    <s v="NA"/>
    <d v="2017-06-29T00:00:00"/>
    <x v="10"/>
    <s v="Alison Storey"/>
    <n v="250"/>
    <n v="243"/>
    <n v="2.8000000000000001E-2"/>
    <n v="100"/>
    <n v="24300"/>
  </r>
  <r>
    <s v="I-2560"/>
    <s v="Vienna"/>
    <s v="Austria"/>
    <s v="EMEA"/>
    <d v="2014-05-15T00:00:00"/>
    <x v="2"/>
    <s v="Paul Drage"/>
    <n v="150"/>
    <n v="140"/>
    <n v="6.6699999999999995E-2"/>
    <n v="28"/>
    <n v="3920"/>
  </r>
  <r>
    <s v="I-2561"/>
    <s v="Buenos Aires"/>
    <s v="Argentina"/>
    <s v="LATAM"/>
    <d v="2014-08-30T00:00:00"/>
    <x v="2"/>
    <s v="Stuart Brown"/>
    <n v="150"/>
    <n v="125"/>
    <n v="0.16669999999999999"/>
    <n v="33"/>
    <n v="4125"/>
  </r>
  <r>
    <s v="I-2562"/>
    <s v="Cairo"/>
    <s v="Egypt"/>
    <s v="EMEA"/>
    <d v="2015-12-19T00:00:00"/>
    <x v="7"/>
    <s v="John Barnett"/>
    <n v="1000"/>
    <n v="950"/>
    <n v="0.05"/>
    <n v="99"/>
    <n v="94050"/>
  </r>
  <r>
    <s v="I-2563"/>
    <s v="Los Angeles"/>
    <s v="USA"/>
    <s v="NA"/>
    <d v="2017-08-15T00:00:00"/>
    <x v="2"/>
    <s v="Colin Matthews"/>
    <n v="150"/>
    <n v="141"/>
    <n v="0.06"/>
    <n v="5"/>
    <n v="705"/>
  </r>
  <r>
    <s v="I-2564"/>
    <s v="Prague"/>
    <s v="Czech Republic"/>
    <s v="EMEA"/>
    <d v="2015-06-16T00:00:00"/>
    <x v="2"/>
    <s v="Pauline Pluck"/>
    <n v="150"/>
    <n v="114"/>
    <n v="0.24"/>
    <n v="56"/>
    <n v="6384"/>
  </r>
  <r>
    <s v="I-2565"/>
    <s v="Osaka"/>
    <s v="Japan"/>
    <s v="APAC"/>
    <d v="2017-08-19T00:00:00"/>
    <x v="10"/>
    <s v="Selwyn Kitching"/>
    <n v="250"/>
    <n v="230"/>
    <n v="0.08"/>
    <n v="58"/>
    <n v="13340"/>
  </r>
  <r>
    <s v="I-2566"/>
    <s v="Seattle"/>
    <s v="USA"/>
    <s v="NA"/>
    <d v="2014-07-05T00:00:00"/>
    <x v="11"/>
    <s v="Harold Green"/>
    <n v="50"/>
    <n v="41"/>
    <n v="0.18"/>
    <n v="61"/>
    <n v="2501"/>
  </r>
  <r>
    <s v="I-2567"/>
    <s v="Los Angeles"/>
    <s v="USA"/>
    <s v="NA"/>
    <d v="2015-03-30T00:00:00"/>
    <x v="6"/>
    <s v="Chandrakant Atkins"/>
    <n v="800"/>
    <n v="792"/>
    <n v="0.01"/>
    <n v="3"/>
    <n v="2376"/>
  </r>
  <r>
    <s v="I-2568"/>
    <s v="Buenos Aires"/>
    <s v="Argentina"/>
    <s v="LATAM"/>
    <d v="2014-12-03T00:00:00"/>
    <x v="0"/>
    <s v="Abdul Heywood"/>
    <n v="80"/>
    <n v="64"/>
    <n v="0.2"/>
    <n v="9"/>
    <n v="576"/>
  </r>
  <r>
    <s v="I-2569"/>
    <s v="San Fransisco"/>
    <s v="USA"/>
    <s v="NA"/>
    <d v="2014-10-16T00:00:00"/>
    <x v="0"/>
    <s v="Arthur Carley"/>
    <n v="80"/>
    <n v="62"/>
    <n v="0.22500000000000001"/>
    <n v="42"/>
    <n v="2604"/>
  </r>
  <r>
    <s v="I-2570"/>
    <s v="Sao Paolo"/>
    <s v="Brazil"/>
    <s v="LATAM"/>
    <d v="2015-02-05T00:00:00"/>
    <x v="8"/>
    <s v="Zoe Munday"/>
    <n v="500"/>
    <n v="495"/>
    <n v="0.01"/>
    <n v="47"/>
    <n v="23265"/>
  </r>
  <r>
    <s v="I-2571"/>
    <s v="Istanbul"/>
    <s v="Turkey"/>
    <s v="EMEA"/>
    <d v="2015-02-27T00:00:00"/>
    <x v="8"/>
    <s v="Francis Hall"/>
    <n v="500"/>
    <n v="500"/>
    <n v="0"/>
    <n v="50"/>
    <n v="25000"/>
  </r>
  <r>
    <s v="I-2572"/>
    <s v="Seoul"/>
    <s v="South Korea"/>
    <s v="APAC"/>
    <d v="2014-08-04T00:00:00"/>
    <x v="5"/>
    <s v="Roger Scott"/>
    <n v="500"/>
    <n v="495"/>
    <n v="0.01"/>
    <n v="65"/>
    <n v="32175"/>
  </r>
  <r>
    <s v="I-2573"/>
    <s v="Warsaw"/>
    <s v="Poland"/>
    <s v="EMEA"/>
    <d v="2014-12-11T00:00:00"/>
    <x v="10"/>
    <s v="Alexandra Wright"/>
    <n v="250"/>
    <n v="248"/>
    <n v="8.0000000000000002E-3"/>
    <n v="19"/>
    <n v="4712"/>
  </r>
  <r>
    <s v="I-2574"/>
    <s v="Bangalore"/>
    <s v="India"/>
    <s v="APAC"/>
    <d v="2018-10-05T00:00:00"/>
    <x v="6"/>
    <s v="Paul Benton"/>
    <n v="800"/>
    <n v="712"/>
    <n v="0.11"/>
    <n v="37"/>
    <n v="26344"/>
  </r>
  <r>
    <s v="I-2575"/>
    <s v="Bangkok"/>
    <s v="Thailand"/>
    <s v="APAC"/>
    <d v="2017-09-26T00:00:00"/>
    <x v="3"/>
    <s v="Olive Foster"/>
    <n v="50"/>
    <n v="50"/>
    <n v="0"/>
    <n v="26"/>
    <n v="1300"/>
  </r>
  <r>
    <s v="I-2576"/>
    <s v="Berlin"/>
    <s v="Germany"/>
    <s v="EMEA"/>
    <d v="2014-02-16T00:00:00"/>
    <x v="5"/>
    <s v="Paul Sherwin"/>
    <n v="500"/>
    <n v="485"/>
    <n v="0.03"/>
    <n v="24"/>
    <n v="11640"/>
  </r>
  <r>
    <s v="I-2577"/>
    <s v="Rome"/>
    <s v="Italy"/>
    <s v="EMEA"/>
    <d v="2016-10-04T00:00:00"/>
    <x v="8"/>
    <s v="Richard Batty"/>
    <n v="500"/>
    <n v="500"/>
    <n v="0"/>
    <n v="5"/>
    <n v="2500"/>
  </r>
  <r>
    <s v="I-2578"/>
    <s v="Kuala Lumpur"/>
    <s v="Malaysia"/>
    <s v="APAC"/>
    <d v="2018-03-04T00:00:00"/>
    <x v="9"/>
    <s v="Valerie Hook"/>
    <n v="70"/>
    <n v="69"/>
    <n v="1.43E-2"/>
    <n v="55"/>
    <n v="3795"/>
  </r>
  <r>
    <s v="I-2579"/>
    <s v="Moscow"/>
    <s v="Russia"/>
    <s v="EMEA"/>
    <d v="2016-03-10T00:00:00"/>
    <x v="0"/>
    <s v="Zulfiqar Mirza"/>
    <n v="80"/>
    <n v="77"/>
    <n v="3.7499999999999999E-2"/>
    <n v="10"/>
    <n v="770"/>
  </r>
  <r>
    <s v="I-2580"/>
    <s v="Santiago"/>
    <s v="Chile"/>
    <s v="LATAM"/>
    <d v="2016-05-03T00:00:00"/>
    <x v="0"/>
    <s v="Karen Hopewell"/>
    <n v="80"/>
    <n v="76"/>
    <n v="0.05"/>
    <n v="42"/>
    <n v="3192"/>
  </r>
  <r>
    <s v="I-2581"/>
    <s v="Dublin"/>
    <s v="Ireland"/>
    <s v="EMEA"/>
    <d v="2016-06-17T00:00:00"/>
    <x v="9"/>
    <s v="Emma Gibbons"/>
    <n v="70"/>
    <n v="65"/>
    <n v="7.1400000000000005E-2"/>
    <n v="31"/>
    <n v="2015"/>
  </r>
  <r>
    <s v="I-2582"/>
    <s v="Lima"/>
    <s v="Peru"/>
    <s v="LATAM"/>
    <d v="2014-03-20T00:00:00"/>
    <x v="3"/>
    <s v="Michael Wood"/>
    <n v="50"/>
    <n v="37"/>
    <n v="0.26"/>
    <n v="52"/>
    <n v="1924"/>
  </r>
  <r>
    <s v="I-2583"/>
    <s v="Mexico City"/>
    <s v="Mexico"/>
    <s v="LATAM"/>
    <d v="2017-06-12T00:00:00"/>
    <x v="8"/>
    <s v="Malcolm Griffith"/>
    <n v="500"/>
    <n v="500"/>
    <n v="0"/>
    <n v="35"/>
    <n v="17500"/>
  </r>
  <r>
    <s v="I-2584"/>
    <s v="Ho Chi Minh City"/>
    <s v="Vietnam"/>
    <s v="APAC"/>
    <d v="2017-01-05T00:00:00"/>
    <x v="3"/>
    <s v="Austin Parsons"/>
    <n v="50"/>
    <n v="50"/>
    <n v="0"/>
    <n v="94"/>
    <n v="4700"/>
  </r>
  <r>
    <s v="I-2585"/>
    <s v="Los Angeles"/>
    <s v="USA"/>
    <s v="NA"/>
    <d v="2018-06-14T00:00:00"/>
    <x v="0"/>
    <s v="Chandrakant Atkins"/>
    <n v="80"/>
    <n v="73"/>
    <n v="8.7499999999999994E-2"/>
    <n v="68"/>
    <n v="4964"/>
  </r>
  <r>
    <s v="I-2586"/>
    <s v="Santiago"/>
    <s v="Chile"/>
    <s v="LATAM"/>
    <d v="2017-01-02T00:00:00"/>
    <x v="1"/>
    <s v="Julia Hurren"/>
    <n v="700"/>
    <n v="637"/>
    <n v="0.09"/>
    <n v="66"/>
    <n v="42042"/>
  </r>
  <r>
    <s v="I-2587"/>
    <s v="Chicago"/>
    <s v="USA"/>
    <s v="NA"/>
    <d v="2018-09-09T00:00:00"/>
    <x v="10"/>
    <s v="Amelia Scott"/>
    <n v="250"/>
    <n v="248"/>
    <n v="8.0000000000000002E-3"/>
    <n v="49"/>
    <n v="12152"/>
  </r>
  <r>
    <s v="I-2588"/>
    <s v="Tijuana"/>
    <s v="Mexico"/>
    <s v="LATAM"/>
    <d v="2015-12-20T00:00:00"/>
    <x v="5"/>
    <s v="Gillian Allnutt"/>
    <n v="500"/>
    <n v="475"/>
    <n v="0.05"/>
    <n v="15"/>
    <n v="7125"/>
  </r>
  <r>
    <s v="I-2589"/>
    <s v="Tijuana"/>
    <s v="Mexico"/>
    <s v="LATAM"/>
    <d v="2014-11-13T00:00:00"/>
    <x v="11"/>
    <s v="Stephen Carlin"/>
    <n v="50"/>
    <n v="40"/>
    <n v="0.2"/>
    <n v="43"/>
    <n v="1720"/>
  </r>
  <r>
    <s v="I-2590"/>
    <s v="Shenzhen"/>
    <s v="China"/>
    <s v="APAC"/>
    <d v="2014-11-15T00:00:00"/>
    <x v="6"/>
    <s v="Gary Shaw"/>
    <n v="800"/>
    <n v="504"/>
    <n v="0.37"/>
    <n v="86"/>
    <n v="43344"/>
  </r>
  <r>
    <s v="I-2591"/>
    <s v="Warsaw"/>
    <s v="Poland"/>
    <s v="EMEA"/>
    <d v="2018-02-17T00:00:00"/>
    <x v="6"/>
    <s v="Alexandra Wright"/>
    <n v="800"/>
    <n v="664"/>
    <n v="0.17"/>
    <n v="56"/>
    <n v="37184"/>
  </r>
  <r>
    <s v="I-2592"/>
    <s v="Bucharest"/>
    <s v="Romania"/>
    <s v="EMEA"/>
    <d v="2017-04-23T00:00:00"/>
    <x v="5"/>
    <s v="Bruce Neville"/>
    <n v="500"/>
    <n v="500"/>
    <n v="0"/>
    <n v="50"/>
    <n v="25000"/>
  </r>
  <r>
    <s v="I-2593"/>
    <s v="Osaka"/>
    <s v="Japan"/>
    <s v="APAC"/>
    <d v="2018-02-23T00:00:00"/>
    <x v="10"/>
    <s v="Denise Clark"/>
    <n v="250"/>
    <n v="250"/>
    <n v="0"/>
    <n v="18"/>
    <n v="4500"/>
  </r>
  <r>
    <s v="I-2594"/>
    <s v="Seoul"/>
    <s v="South Korea"/>
    <s v="APAC"/>
    <d v="2016-08-10T00:00:00"/>
    <x v="4"/>
    <s v="Kevin Long"/>
    <n v="30"/>
    <n v="30"/>
    <n v="0"/>
    <n v="99"/>
    <n v="2970"/>
  </r>
  <r>
    <s v="I-2595"/>
    <s v="Vancouver"/>
    <s v="Canada"/>
    <s v="NA"/>
    <d v="2015-10-18T00:00:00"/>
    <x v="6"/>
    <s v="Ram Thomas"/>
    <n v="800"/>
    <n v="632"/>
    <n v="0.21"/>
    <n v="85"/>
    <n v="53720"/>
  </r>
  <r>
    <s v="I-2596"/>
    <s v="Shenzhen"/>
    <s v="China"/>
    <s v="APAC"/>
    <d v="2018-06-11T00:00:00"/>
    <x v="11"/>
    <s v="Roger Rust"/>
    <n v="50"/>
    <n v="50"/>
    <n v="0"/>
    <n v="28"/>
    <n v="1400"/>
  </r>
  <r>
    <s v="I-2597"/>
    <s v="Los Angeles"/>
    <s v="USA"/>
    <s v="NA"/>
    <d v="2018-01-06T00:00:00"/>
    <x v="8"/>
    <s v="Colin Matthews"/>
    <n v="500"/>
    <n v="500"/>
    <n v="0"/>
    <n v="96"/>
    <n v="48000"/>
  </r>
  <r>
    <s v="I-2598"/>
    <s v="Chicago"/>
    <s v="USA"/>
    <s v="NA"/>
    <d v="2016-02-25T00:00:00"/>
    <x v="8"/>
    <s v="Paul Collier"/>
    <n v="500"/>
    <n v="495"/>
    <n v="0.01"/>
    <n v="16"/>
    <n v="7920"/>
  </r>
  <r>
    <s v="I-2599"/>
    <s v="Sao Paolo"/>
    <s v="Brazil"/>
    <s v="LATAM"/>
    <d v="2014-04-20T00:00:00"/>
    <x v="5"/>
    <s v="Cheryl Tubbs"/>
    <n v="500"/>
    <n v="485"/>
    <n v="0.03"/>
    <n v="67"/>
    <n v="32495"/>
  </r>
  <r>
    <s v="I-2600"/>
    <s v="Vienna"/>
    <s v="Austria"/>
    <s v="EMEA"/>
    <d v="2014-12-19T00:00:00"/>
    <x v="4"/>
    <s v="Daniel Henderson"/>
    <n v="30"/>
    <n v="23"/>
    <n v="0.23330000000000001"/>
    <n v="32"/>
    <n v="736"/>
  </r>
  <r>
    <s v="I-2601"/>
    <s v="Santiago"/>
    <s v="Chile"/>
    <s v="LATAM"/>
    <d v="2014-03-15T00:00:00"/>
    <x v="11"/>
    <s v="Bruce McPhee"/>
    <n v="50"/>
    <n v="50"/>
    <n v="0"/>
    <n v="51"/>
    <n v="2550"/>
  </r>
  <r>
    <s v="I-2602"/>
    <s v="London"/>
    <s v="UK"/>
    <s v="EMEA"/>
    <d v="2016-06-07T00:00:00"/>
    <x v="11"/>
    <s v="Francis Godden"/>
    <n v="50"/>
    <n v="48"/>
    <n v="0.04"/>
    <n v="56"/>
    <n v="2688"/>
  </r>
  <r>
    <s v="I-2603"/>
    <s v="Warsaw"/>
    <s v="Poland"/>
    <s v="EMEA"/>
    <d v="2015-08-26T00:00:00"/>
    <x v="10"/>
    <s v="Hin Bragg"/>
    <n v="250"/>
    <n v="160"/>
    <n v="0.36"/>
    <n v="51"/>
    <n v="8160"/>
  </r>
  <r>
    <s v="I-2604"/>
    <s v="Rome"/>
    <s v="Italy"/>
    <s v="EMEA"/>
    <d v="2017-03-24T00:00:00"/>
    <x v="2"/>
    <s v="Golam Reid"/>
    <n v="150"/>
    <n v="140"/>
    <n v="6.6699999999999995E-2"/>
    <n v="95"/>
    <n v="13300"/>
  </r>
  <r>
    <s v="I-2605"/>
    <s v="Jerusalem"/>
    <s v="Israel"/>
    <s v="EMEA"/>
    <d v="2015-10-05T00:00:00"/>
    <x v="11"/>
    <s v="Harold Charters"/>
    <n v="50"/>
    <n v="42"/>
    <n v="0.16"/>
    <n v="2"/>
    <n v="84"/>
  </r>
  <r>
    <s v="I-2606"/>
    <s v="Vancouver"/>
    <s v="Canada"/>
    <s v="NA"/>
    <d v="2016-04-12T00:00:00"/>
    <x v="4"/>
    <s v="Helen Kenny"/>
    <n v="30"/>
    <n v="29"/>
    <n v="3.3300000000000003E-2"/>
    <n v="39"/>
    <n v="1131"/>
  </r>
  <r>
    <s v="I-2607"/>
    <s v="Seoul"/>
    <s v="South Korea"/>
    <s v="APAC"/>
    <d v="2014-06-15T00:00:00"/>
    <x v="7"/>
    <s v="Leonard Green"/>
    <n v="1000"/>
    <n v="580"/>
    <n v="0.42"/>
    <n v="7"/>
    <n v="4060"/>
  </r>
  <r>
    <s v="I-2608"/>
    <s v="Tokyo"/>
    <s v="Japan"/>
    <s v="APAC"/>
    <d v="2014-11-20T00:00:00"/>
    <x v="7"/>
    <s v="David Gow"/>
    <n v="1000"/>
    <n v="880"/>
    <n v="0.12"/>
    <n v="56"/>
    <n v="49280"/>
  </r>
  <r>
    <s v="I-2609"/>
    <s v="Dublin"/>
    <s v="Ireland"/>
    <s v="EMEA"/>
    <d v="2014-08-06T00:00:00"/>
    <x v="9"/>
    <s v="Gwyn Taylor"/>
    <n v="70"/>
    <n v="52"/>
    <n v="0.2571"/>
    <n v="2"/>
    <n v="104"/>
  </r>
  <r>
    <s v="I-2610"/>
    <s v="Dubai"/>
    <s v="UAE"/>
    <s v="EMEA"/>
    <d v="2015-01-18T00:00:00"/>
    <x v="11"/>
    <s v="Tom Clark"/>
    <n v="50"/>
    <n v="37"/>
    <n v="0.26"/>
    <n v="37"/>
    <n v="1369"/>
  </r>
  <r>
    <s v="I-2611"/>
    <s v="Mexico City"/>
    <s v="Mexico"/>
    <s v="LATAM"/>
    <d v="2014-08-08T00:00:00"/>
    <x v="3"/>
    <s v="Phillip Clarke"/>
    <n v="50"/>
    <n v="50"/>
    <n v="0"/>
    <n v="16"/>
    <n v="800"/>
  </r>
  <r>
    <s v="I-2612"/>
    <s v="Rochester"/>
    <s v="USA"/>
    <s v="NA"/>
    <d v="2017-11-09T00:00:00"/>
    <x v="9"/>
    <s v="Michael Lauder"/>
    <n v="70"/>
    <n v="67"/>
    <n v="4.2900000000000001E-2"/>
    <n v="12"/>
    <n v="804"/>
  </r>
  <r>
    <s v="I-2613"/>
    <s v="Chicago"/>
    <s v="USA"/>
    <s v="NA"/>
    <d v="2015-09-22T00:00:00"/>
    <x v="3"/>
    <s v="Amelia Scott"/>
    <n v="50"/>
    <n v="50"/>
    <n v="0"/>
    <n v="51"/>
    <n v="2550"/>
  </r>
  <r>
    <s v="I-2614"/>
    <s v="Osaka"/>
    <s v="Japan"/>
    <s v="APAC"/>
    <d v="2016-11-24T00:00:00"/>
    <x v="9"/>
    <s v="Selwyn Kitching"/>
    <n v="70"/>
    <n v="66"/>
    <n v="5.7099999999999998E-2"/>
    <n v="91"/>
    <n v="6006"/>
  </r>
  <r>
    <s v="I-2615"/>
    <s v="Dubai"/>
    <s v="UAE"/>
    <s v="EMEA"/>
    <d v="2015-12-12T00:00:00"/>
    <x v="11"/>
    <s v="David Romero"/>
    <n v="50"/>
    <n v="42"/>
    <n v="0.16"/>
    <n v="7"/>
    <n v="294"/>
  </r>
  <r>
    <s v="I-2616"/>
    <s v="Santiago"/>
    <s v="Chile"/>
    <s v="LATAM"/>
    <d v="2018-07-08T00:00:00"/>
    <x v="0"/>
    <s v="Karen Hopewell"/>
    <n v="80"/>
    <n v="78"/>
    <n v="2.5000000000000001E-2"/>
    <n v="88"/>
    <n v="6864"/>
  </r>
  <r>
    <s v="I-2617"/>
    <s v="Bucharest"/>
    <s v="Romania"/>
    <s v="EMEA"/>
    <d v="2017-01-01T00:00:00"/>
    <x v="7"/>
    <s v="Nicola Hewitt"/>
    <n v="1000"/>
    <n v="690"/>
    <n v="0.31"/>
    <n v="99"/>
    <n v="68310"/>
  </r>
  <r>
    <s v="I-2618"/>
    <s v="Osaka"/>
    <s v="Japan"/>
    <s v="APAC"/>
    <d v="2014-09-29T00:00:00"/>
    <x v="2"/>
    <s v="Colin Patel"/>
    <n v="150"/>
    <n v="138"/>
    <n v="0.08"/>
    <n v="95"/>
    <n v="13110"/>
  </r>
  <r>
    <s v="I-2619"/>
    <s v="Kansas City"/>
    <s v="USA"/>
    <s v="NA"/>
    <d v="2017-04-28T00:00:00"/>
    <x v="9"/>
    <s v="Robert Arnold"/>
    <n v="70"/>
    <n v="68"/>
    <n v="2.86E-2"/>
    <n v="28"/>
    <n v="1904"/>
  </r>
  <r>
    <s v="I-2620"/>
    <s v="Rochester"/>
    <s v="USA"/>
    <s v="NA"/>
    <d v="2014-06-29T00:00:00"/>
    <x v="8"/>
    <s v="Christopher Grey"/>
    <n v="500"/>
    <n v="490"/>
    <n v="0.02"/>
    <n v="42"/>
    <n v="20580"/>
  </r>
  <r>
    <s v="I-2621"/>
    <s v="Warsaw"/>
    <s v="Poland"/>
    <s v="EMEA"/>
    <d v="2015-02-10T00:00:00"/>
    <x v="4"/>
    <s v="Barbara McDevitt"/>
    <n v="30"/>
    <n v="25"/>
    <n v="0.16669999999999999"/>
    <n v="4"/>
    <n v="100"/>
  </r>
  <r>
    <s v="I-2622"/>
    <s v="Warsaw"/>
    <s v="Poland"/>
    <s v="EMEA"/>
    <d v="2018-06-28T00:00:00"/>
    <x v="6"/>
    <s v="Hin Bragg"/>
    <n v="800"/>
    <n v="576"/>
    <n v="0.28000000000000003"/>
    <n v="42"/>
    <n v="24192"/>
  </r>
  <r>
    <s v="I-2623"/>
    <s v="Kuala Lumpur"/>
    <s v="Malaysia"/>
    <s v="APAC"/>
    <d v="2018-05-25T00:00:00"/>
    <x v="3"/>
    <s v="Valerie Hook"/>
    <n v="50"/>
    <n v="48"/>
    <n v="0.04"/>
    <n v="56"/>
    <n v="2688"/>
  </r>
  <r>
    <s v="I-2624"/>
    <s v="Vienna"/>
    <s v="Austria"/>
    <s v="EMEA"/>
    <d v="2016-05-04T00:00:00"/>
    <x v="10"/>
    <s v="Gillian Rodrigues"/>
    <n v="250"/>
    <n v="233"/>
    <n v="6.8000000000000005E-2"/>
    <n v="36"/>
    <n v="8388"/>
  </r>
  <r>
    <s v="I-2625"/>
    <s v="Bangalore"/>
    <s v="India"/>
    <s v="APAC"/>
    <d v="2016-09-20T00:00:00"/>
    <x v="10"/>
    <s v="Colin Lima"/>
    <n v="250"/>
    <n v="230"/>
    <n v="0.08"/>
    <n v="68"/>
    <n v="15640"/>
  </r>
  <r>
    <s v="I-2626"/>
    <s v="Moscow"/>
    <s v="Russia"/>
    <s v="EMEA"/>
    <d v="2014-05-12T00:00:00"/>
    <x v="1"/>
    <s v="Dermot Bailey"/>
    <n v="700"/>
    <n v="679"/>
    <n v="0.03"/>
    <n v="2"/>
    <n v="1358"/>
  </r>
  <r>
    <s v="I-2627"/>
    <s v="Amsterdam"/>
    <s v="Netherlands"/>
    <s v="EMEA"/>
    <d v="2018-11-18T00:00:00"/>
    <x v="3"/>
    <s v="Allyson Parker"/>
    <n v="50"/>
    <n v="44"/>
    <n v="0.12"/>
    <n v="32"/>
    <n v="1408"/>
  </r>
  <r>
    <s v="I-2628"/>
    <s v="Jerusalem"/>
    <s v="Israel"/>
    <s v="EMEA"/>
    <d v="2017-02-20T00:00:00"/>
    <x v="4"/>
    <s v="Isla Parsons"/>
    <n v="30"/>
    <n v="29"/>
    <n v="3.3300000000000003E-2"/>
    <n v="58"/>
    <n v="1682"/>
  </r>
  <r>
    <s v="I-2629"/>
    <s v="Tel Aviv"/>
    <s v="Israel"/>
    <s v="EMEA"/>
    <d v="2015-03-12T00:00:00"/>
    <x v="1"/>
    <s v="David Isaacs"/>
    <n v="700"/>
    <n v="462"/>
    <n v="0.34"/>
    <n v="30"/>
    <n v="13860"/>
  </r>
  <r>
    <s v="I-2630"/>
    <s v="Delhi"/>
    <s v="India"/>
    <s v="APAC"/>
    <d v="2017-04-27T00:00:00"/>
    <x v="7"/>
    <s v="David Johnson"/>
    <n v="1000"/>
    <n v="860"/>
    <n v="0.14000000000000001"/>
    <n v="53"/>
    <n v="45580"/>
  </r>
  <r>
    <s v="I-2631"/>
    <s v="Sao Paolo"/>
    <s v="Brazil"/>
    <s v="LATAM"/>
    <d v="2014-07-16T00:00:00"/>
    <x v="11"/>
    <s v="Gary Reynolds"/>
    <n v="50"/>
    <n v="37"/>
    <n v="0.26"/>
    <n v="27"/>
    <n v="999"/>
  </r>
  <r>
    <s v="I-2632"/>
    <s v="Warsaw"/>
    <s v="Poland"/>
    <s v="EMEA"/>
    <d v="2015-11-17T00:00:00"/>
    <x v="10"/>
    <s v="James Lam"/>
    <n v="250"/>
    <n v="173"/>
    <n v="0.308"/>
    <n v="87"/>
    <n v="15051"/>
  </r>
  <r>
    <s v="I-2633"/>
    <s v="Dubai"/>
    <s v="UAE"/>
    <s v="EMEA"/>
    <d v="2017-08-05T00:00:00"/>
    <x v="1"/>
    <s v="David Romero"/>
    <n v="700"/>
    <n v="637"/>
    <n v="0.09"/>
    <n v="42"/>
    <n v="26754"/>
  </r>
  <r>
    <s v="I-2634"/>
    <s v="Rochester"/>
    <s v="USA"/>
    <s v="NA"/>
    <d v="2015-03-22T00:00:00"/>
    <x v="9"/>
    <s v="Michael Lauder"/>
    <n v="70"/>
    <n v="48"/>
    <n v="0.31430000000000002"/>
    <n v="23"/>
    <n v="1104"/>
  </r>
  <r>
    <s v="I-2635"/>
    <s v="Toronto"/>
    <s v="Canada"/>
    <s v="NA"/>
    <d v="2015-04-29T00:00:00"/>
    <x v="9"/>
    <s v="Alison Storey"/>
    <n v="70"/>
    <n v="43"/>
    <n v="0.38569999999999999"/>
    <n v="43"/>
    <n v="1849"/>
  </r>
  <r>
    <s v="I-2636"/>
    <s v="Shenzhen"/>
    <s v="China"/>
    <s v="APAC"/>
    <d v="2015-10-03T00:00:00"/>
    <x v="4"/>
    <s v="Fatima James"/>
    <n v="30"/>
    <n v="21"/>
    <n v="0.3"/>
    <n v="66"/>
    <n v="1386"/>
  </r>
  <r>
    <s v="I-2637"/>
    <s v="Amsterdam"/>
    <s v="Netherlands"/>
    <s v="EMEA"/>
    <d v="2014-08-13T00:00:00"/>
    <x v="2"/>
    <s v="Donald Barratt"/>
    <n v="150"/>
    <n v="107"/>
    <n v="0.28670000000000001"/>
    <n v="60"/>
    <n v="6420"/>
  </r>
  <r>
    <s v="I-2638"/>
    <s v="Bogota"/>
    <s v="Colombia"/>
    <s v="LATAM"/>
    <d v="2014-11-03T00:00:00"/>
    <x v="3"/>
    <s v="Basil Nolan"/>
    <n v="50"/>
    <n v="48"/>
    <n v="0.04"/>
    <n v="11"/>
    <n v="528"/>
  </r>
  <r>
    <s v="I-2639"/>
    <s v="Vancouver"/>
    <s v="Canada"/>
    <s v="NA"/>
    <d v="2017-12-03T00:00:00"/>
    <x v="11"/>
    <s v="Margaret McGregor"/>
    <n v="50"/>
    <n v="45"/>
    <n v="0.1"/>
    <n v="49"/>
    <n v="2205"/>
  </r>
  <r>
    <s v="I-2640"/>
    <s v="Sydney"/>
    <s v="Australia"/>
    <s v="APAC"/>
    <d v="2016-05-09T00:00:00"/>
    <x v="9"/>
    <s v="William Martin"/>
    <n v="70"/>
    <n v="68"/>
    <n v="2.86E-2"/>
    <n v="68"/>
    <n v="4624"/>
  </r>
  <r>
    <s v="I-2641"/>
    <s v="Kansas City"/>
    <s v="USA"/>
    <s v="NA"/>
    <d v="2014-10-15T00:00:00"/>
    <x v="3"/>
    <s v="Robert Arnold"/>
    <n v="50"/>
    <n v="45"/>
    <n v="0.1"/>
    <n v="21"/>
    <n v="945"/>
  </r>
  <r>
    <s v="I-2642"/>
    <s v="Rochester"/>
    <s v="USA"/>
    <s v="NA"/>
    <d v="2018-07-23T00:00:00"/>
    <x v="3"/>
    <s v="Michael Lauder"/>
    <n v="50"/>
    <n v="48"/>
    <n v="0.04"/>
    <n v="69"/>
    <n v="3312"/>
  </r>
  <r>
    <s v="I-2643"/>
    <s v="Bucharest"/>
    <s v="Romania"/>
    <s v="EMEA"/>
    <d v="2014-08-15T00:00:00"/>
    <x v="6"/>
    <s v="Nicola Hewitt"/>
    <n v="800"/>
    <n v="704"/>
    <n v="0.12"/>
    <n v="94"/>
    <n v="66176"/>
  </r>
  <r>
    <s v="I-2644"/>
    <s v="Bogota"/>
    <s v="Colombia"/>
    <s v="LATAM"/>
    <d v="2017-08-18T00:00:00"/>
    <x v="0"/>
    <s v="Russell Thorley"/>
    <n v="80"/>
    <n v="80"/>
    <n v="0"/>
    <n v="26"/>
    <n v="2080"/>
  </r>
  <r>
    <s v="I-2645"/>
    <s v="Dublin"/>
    <s v="Ireland"/>
    <s v="EMEA"/>
    <d v="2014-08-20T00:00:00"/>
    <x v="4"/>
    <s v="Gwyn Taylor"/>
    <n v="30"/>
    <n v="30"/>
    <n v="0"/>
    <n v="19"/>
    <n v="570"/>
  </r>
  <r>
    <s v="I-2646"/>
    <s v="Rome"/>
    <s v="Italy"/>
    <s v="EMEA"/>
    <d v="2015-01-23T00:00:00"/>
    <x v="10"/>
    <s v="Michael Toy"/>
    <n v="250"/>
    <n v="160"/>
    <n v="0.36"/>
    <n v="17"/>
    <n v="2720"/>
  </r>
  <r>
    <s v="I-2647"/>
    <s v="Dublin"/>
    <s v="Ireland"/>
    <s v="EMEA"/>
    <d v="2015-11-22T00:00:00"/>
    <x v="11"/>
    <s v="James Carley"/>
    <n v="50"/>
    <n v="43"/>
    <n v="0.14000000000000001"/>
    <n v="42"/>
    <n v="1806"/>
  </r>
  <r>
    <s v="I-2648"/>
    <s v="Dublin"/>
    <s v="Ireland"/>
    <s v="EMEA"/>
    <d v="2018-03-22T00:00:00"/>
    <x v="8"/>
    <s v="James Carley"/>
    <n v="500"/>
    <n v="495"/>
    <n v="0.01"/>
    <n v="34"/>
    <n v="16830"/>
  </r>
  <r>
    <s v="I-2649"/>
    <s v="Madria"/>
    <s v="Spain"/>
    <s v="EMEA"/>
    <d v="2018-07-29T00:00:00"/>
    <x v="4"/>
    <s v="Pauline Gagg"/>
    <n v="30"/>
    <n v="27"/>
    <n v="0.1"/>
    <n v="16"/>
    <n v="432"/>
  </r>
  <r>
    <s v="I-2650"/>
    <s v="Dubai"/>
    <s v="UAE"/>
    <s v="EMEA"/>
    <d v="2015-10-17T00:00:00"/>
    <x v="0"/>
    <s v="George Smith"/>
    <n v="80"/>
    <n v="61"/>
    <n v="0.23749999999999999"/>
    <n v="93"/>
    <n v="5673"/>
  </r>
  <r>
    <s v="I-2651"/>
    <s v="San Fransisco"/>
    <s v="USA"/>
    <s v="NA"/>
    <d v="2016-04-28T00:00:00"/>
    <x v="7"/>
    <s v="James Bard"/>
    <n v="1000"/>
    <n v="990"/>
    <n v="0.01"/>
    <n v="7"/>
    <n v="6930"/>
  </r>
  <r>
    <s v="I-2652"/>
    <s v="New York"/>
    <s v="USA"/>
    <s v="NA"/>
    <d v="2017-09-18T00:00:00"/>
    <x v="3"/>
    <s v="Robert Salisbury"/>
    <n v="50"/>
    <n v="45"/>
    <n v="0.1"/>
    <n v="26"/>
    <n v="1170"/>
  </r>
  <r>
    <s v="I-2653"/>
    <s v="Vancouver"/>
    <s v="Canada"/>
    <s v="NA"/>
    <d v="2016-11-15T00:00:00"/>
    <x v="10"/>
    <s v="Christopher Kille"/>
    <n v="250"/>
    <n v="243"/>
    <n v="2.8000000000000001E-2"/>
    <n v="64"/>
    <n v="15552"/>
  </r>
  <r>
    <s v="I-2654"/>
    <s v="Paris"/>
    <s v="France"/>
    <s v="EMEA"/>
    <d v="2015-09-10T00:00:00"/>
    <x v="0"/>
    <s v="Ketan Bryan"/>
    <n v="80"/>
    <n v="53"/>
    <n v="0.33750000000000002"/>
    <n v="6"/>
    <n v="318"/>
  </r>
  <r>
    <s v="I-2655"/>
    <s v="Sao Paolo"/>
    <s v="Brazil"/>
    <s v="LATAM"/>
    <d v="2014-01-02T00:00:00"/>
    <x v="7"/>
    <s v="Stephen Smith"/>
    <n v="1000"/>
    <n v="590"/>
    <n v="0.41"/>
    <n v="53"/>
    <n v="31270"/>
  </r>
  <r>
    <s v="I-2656"/>
    <s v="Bangalore"/>
    <s v="India"/>
    <s v="APAC"/>
    <d v="2018-05-21T00:00:00"/>
    <x v="2"/>
    <s v="Stuart Sykes"/>
    <n v="150"/>
    <n v="138"/>
    <n v="0.08"/>
    <n v="47"/>
    <n v="6486"/>
  </r>
  <r>
    <s v="I-2657"/>
    <s v="Houston"/>
    <s v="USA"/>
    <s v="NA"/>
    <d v="2015-03-12T00:00:00"/>
    <x v="1"/>
    <s v="David Salmon"/>
    <n v="700"/>
    <n v="560"/>
    <n v="0.2"/>
    <n v="19"/>
    <n v="10640"/>
  </r>
  <r>
    <s v="I-2658"/>
    <s v="Rochester"/>
    <s v="USA"/>
    <s v="NA"/>
    <d v="2014-08-29T00:00:00"/>
    <x v="6"/>
    <s v="Christopher Grey"/>
    <n v="800"/>
    <n v="512"/>
    <n v="0.36"/>
    <n v="36"/>
    <n v="18432"/>
  </r>
  <r>
    <s v="I-2659"/>
    <s v="Bucharest"/>
    <s v="Romania"/>
    <s v="EMEA"/>
    <d v="2017-05-03T00:00:00"/>
    <x v="4"/>
    <s v="Bruce Neville"/>
    <n v="30"/>
    <n v="29"/>
    <n v="3.3300000000000003E-2"/>
    <n v="7"/>
    <n v="203"/>
  </r>
  <r>
    <s v="I-2660"/>
    <s v="Bangkok"/>
    <s v="Thailand"/>
    <s v="APAC"/>
    <d v="2016-02-26T00:00:00"/>
    <x v="2"/>
    <s v="Carol Cormack"/>
    <n v="150"/>
    <n v="144"/>
    <n v="0.04"/>
    <n v="28"/>
    <n v="4032"/>
  </r>
  <r>
    <s v="I-2661"/>
    <s v="Tijuana"/>
    <s v="Mexico"/>
    <s v="LATAM"/>
    <d v="2018-08-15T00:00:00"/>
    <x v="9"/>
    <s v="Paul Skiba"/>
    <n v="70"/>
    <n v="70"/>
    <n v="0"/>
    <n v="2"/>
    <n v="140"/>
  </r>
  <r>
    <s v="I-2662"/>
    <s v="Vienna"/>
    <s v="Austria"/>
    <s v="EMEA"/>
    <d v="2017-12-09T00:00:00"/>
    <x v="5"/>
    <s v="Daniel Henderson"/>
    <n v="500"/>
    <n v="470"/>
    <n v="0.06"/>
    <n v="8"/>
    <n v="3760"/>
  </r>
  <r>
    <s v="I-2663"/>
    <s v="Tokyo"/>
    <s v="Japan"/>
    <s v="APAC"/>
    <d v="2017-07-12T00:00:00"/>
    <x v="5"/>
    <s v="Nicholas Goude"/>
    <n v="500"/>
    <n v="480"/>
    <n v="0.04"/>
    <n v="9"/>
    <n v="4320"/>
  </r>
  <r>
    <s v="I-2664"/>
    <s v="Shanghai"/>
    <s v="China"/>
    <s v="APAC"/>
    <d v="2016-12-22T00:00:00"/>
    <x v="5"/>
    <s v="Jonathan Will"/>
    <n v="500"/>
    <n v="435"/>
    <n v="0.13"/>
    <n v="99"/>
    <n v="43065"/>
  </r>
  <r>
    <s v="I-2665"/>
    <s v="Athens"/>
    <s v="Greece"/>
    <s v="EMEA"/>
    <d v="2015-10-14T00:00:00"/>
    <x v="4"/>
    <s v="David Walker"/>
    <n v="30"/>
    <n v="27"/>
    <n v="0.1"/>
    <n v="25"/>
    <n v="675"/>
  </r>
  <r>
    <s v="I-2666"/>
    <s v="Kuala Lumpur"/>
    <s v="Malaysia"/>
    <s v="APAC"/>
    <d v="2016-08-27T00:00:00"/>
    <x v="7"/>
    <s v="Anthony Green"/>
    <n v="1000"/>
    <n v="930"/>
    <n v="7.0000000000000007E-2"/>
    <n v="23"/>
    <n v="21390"/>
  </r>
  <r>
    <s v="I-2667"/>
    <s v="Bucharest"/>
    <s v="Romania"/>
    <s v="EMEA"/>
    <d v="2015-02-25T00:00:00"/>
    <x v="9"/>
    <s v="Richard Rowe"/>
    <n v="70"/>
    <n v="68"/>
    <n v="2.86E-2"/>
    <n v="23"/>
    <n v="1564"/>
  </r>
  <r>
    <s v="I-2668"/>
    <s v="Cairo"/>
    <s v="Egypt"/>
    <s v="EMEA"/>
    <d v="2017-03-26T00:00:00"/>
    <x v="5"/>
    <s v="Marek Kwiatkowski"/>
    <n v="500"/>
    <n v="460"/>
    <n v="0.08"/>
    <n v="21"/>
    <n v="9660"/>
  </r>
  <r>
    <s v="I-2669"/>
    <s v="Prague"/>
    <s v="Czech Republic"/>
    <s v="EMEA"/>
    <d v="2015-09-30T00:00:00"/>
    <x v="10"/>
    <s v="Nick Denny"/>
    <n v="250"/>
    <n v="158"/>
    <n v="0.36799999999999999"/>
    <n v="56"/>
    <n v="8848"/>
  </r>
  <r>
    <s v="I-2670"/>
    <s v="Kansas City"/>
    <s v="USA"/>
    <s v="NA"/>
    <d v="2014-08-16T00:00:00"/>
    <x v="1"/>
    <s v="Nicola Wright"/>
    <n v="700"/>
    <n v="658"/>
    <n v="0.06"/>
    <n v="90"/>
    <n v="59220"/>
  </r>
  <r>
    <s v="I-2671"/>
    <s v="Vienna"/>
    <s v="Austria"/>
    <s v="EMEA"/>
    <d v="2014-04-05T00:00:00"/>
    <x v="10"/>
    <s v="Janet Ward"/>
    <n v="250"/>
    <n v="178"/>
    <n v="0.28799999999999998"/>
    <n v="13"/>
    <n v="2314"/>
  </r>
  <r>
    <s v="I-2672"/>
    <s v="Seoul"/>
    <s v="South Korea"/>
    <s v="APAC"/>
    <d v="2015-05-22T00:00:00"/>
    <x v="10"/>
    <s v="Leonard Green"/>
    <n v="250"/>
    <n v="240"/>
    <n v="0.04"/>
    <n v="39"/>
    <n v="9360"/>
  </r>
  <r>
    <s v="I-2673"/>
    <s v="Buenos Aires"/>
    <s v="Argentina"/>
    <s v="LATAM"/>
    <d v="2017-01-08T00:00:00"/>
    <x v="10"/>
    <s v="Stuart Brown"/>
    <n v="250"/>
    <n v="243"/>
    <n v="2.8000000000000001E-2"/>
    <n v="90"/>
    <n v="21870"/>
  </r>
  <r>
    <s v="I-2674"/>
    <s v="Delhi"/>
    <s v="India"/>
    <s v="APAC"/>
    <d v="2016-03-06T00:00:00"/>
    <x v="7"/>
    <s v="Tessa Morrow"/>
    <n v="1000"/>
    <n v="810"/>
    <n v="0.19"/>
    <n v="13"/>
    <n v="10530"/>
  </r>
  <r>
    <s v="I-2675"/>
    <s v="Bangalore"/>
    <s v="India"/>
    <s v="APAC"/>
    <d v="2017-04-04T00:00:00"/>
    <x v="7"/>
    <s v="Johanna Mirza"/>
    <n v="1000"/>
    <n v="700"/>
    <n v="0.3"/>
    <n v="14"/>
    <n v="9800"/>
  </r>
  <r>
    <s v="I-2676"/>
    <s v="Amsterdam"/>
    <s v="Netherlands"/>
    <s v="EMEA"/>
    <d v="2016-03-02T00:00:00"/>
    <x v="4"/>
    <s v="Allyson Parker"/>
    <n v="30"/>
    <n v="29"/>
    <n v="3.3300000000000003E-2"/>
    <n v="23"/>
    <n v="667"/>
  </r>
  <r>
    <s v="I-2677"/>
    <s v="Prague"/>
    <s v="Czech Republic"/>
    <s v="EMEA"/>
    <d v="2014-02-11T00:00:00"/>
    <x v="7"/>
    <s v="Edward Khan"/>
    <n v="1000"/>
    <n v="910"/>
    <n v="0.09"/>
    <n v="99"/>
    <n v="90090"/>
  </r>
  <r>
    <s v="I-2678"/>
    <s v="Tijuana"/>
    <s v="Mexico"/>
    <s v="LATAM"/>
    <d v="2016-09-27T00:00:00"/>
    <x v="6"/>
    <s v="Emily Brierley"/>
    <n v="800"/>
    <n v="448"/>
    <n v="0.44"/>
    <n v="23"/>
    <n v="10304"/>
  </r>
  <r>
    <s v="I-2679"/>
    <s v="Rome"/>
    <s v="Italy"/>
    <s v="EMEA"/>
    <d v="2016-06-24T00:00:00"/>
    <x v="0"/>
    <s v="Andrew Hirst"/>
    <n v="80"/>
    <n v="72"/>
    <n v="0.1"/>
    <n v="99"/>
    <n v="7128"/>
  </r>
  <r>
    <s v="I-2680"/>
    <s v="Guangzhou"/>
    <s v="China"/>
    <s v="APAC"/>
    <d v="2015-11-02T00:00:00"/>
    <x v="4"/>
    <s v="Abdul Amos"/>
    <n v="30"/>
    <n v="23"/>
    <n v="0.23330000000000001"/>
    <n v="26"/>
    <n v="598"/>
  </r>
  <r>
    <s v="I-2681"/>
    <s v="Mexico City"/>
    <s v="Mexico"/>
    <s v="LATAM"/>
    <d v="2017-01-15T00:00:00"/>
    <x v="4"/>
    <s v="Paul Smith"/>
    <n v="30"/>
    <n v="30"/>
    <n v="0"/>
    <n v="83"/>
    <n v="2490"/>
  </r>
  <r>
    <s v="I-2682"/>
    <s v="Paris"/>
    <s v="France"/>
    <s v="EMEA"/>
    <d v="2018-04-15T00:00:00"/>
    <x v="4"/>
    <s v="Christopher Griffith"/>
    <n v="30"/>
    <n v="28"/>
    <n v="6.6699999999999995E-2"/>
    <n v="92"/>
    <n v="2576"/>
  </r>
  <r>
    <s v="I-2683"/>
    <s v="Delhi"/>
    <s v="India"/>
    <s v="APAC"/>
    <d v="2014-08-03T00:00:00"/>
    <x v="10"/>
    <s v="Glen Campbell"/>
    <n v="250"/>
    <n v="220"/>
    <n v="0.12"/>
    <n v="8"/>
    <n v="1760"/>
  </r>
  <r>
    <s v="I-2684"/>
    <s v="Shanghai"/>
    <s v="China"/>
    <s v="APAC"/>
    <d v="2014-05-13T00:00:00"/>
    <x v="10"/>
    <s v="Jonathan Will"/>
    <n v="250"/>
    <n v="250"/>
    <n v="0"/>
    <n v="51"/>
    <n v="12750"/>
  </r>
  <r>
    <s v="I-2685"/>
    <s v="Tijuana"/>
    <s v="Mexico"/>
    <s v="LATAM"/>
    <d v="2016-09-19T00:00:00"/>
    <x v="8"/>
    <s v="Emily Brierley"/>
    <n v="500"/>
    <n v="490"/>
    <n v="0.02"/>
    <n v="37"/>
    <n v="18130"/>
  </r>
  <r>
    <s v="I-2686"/>
    <s v="Los Angeles"/>
    <s v="USA"/>
    <s v="NA"/>
    <d v="2018-06-16T00:00:00"/>
    <x v="1"/>
    <s v="Colin Matthews"/>
    <n v="700"/>
    <n v="637"/>
    <n v="0.09"/>
    <n v="70"/>
    <n v="44590"/>
  </r>
  <r>
    <s v="I-2687"/>
    <s v="Shanghai"/>
    <s v="China"/>
    <s v="APAC"/>
    <d v="2017-07-30T00:00:00"/>
    <x v="1"/>
    <s v="Michelle Murray"/>
    <n v="700"/>
    <n v="679"/>
    <n v="0.03"/>
    <n v="59"/>
    <n v="40061"/>
  </r>
  <r>
    <s v="I-2688"/>
    <s v="Rochester"/>
    <s v="USA"/>
    <s v="NA"/>
    <d v="2016-11-15T00:00:00"/>
    <x v="4"/>
    <s v="Christopher Grey"/>
    <n v="30"/>
    <n v="28"/>
    <n v="6.6699999999999995E-2"/>
    <n v="81"/>
    <n v="2268"/>
  </r>
  <r>
    <s v="I-2689"/>
    <s v="Tel Aviv"/>
    <s v="Israel"/>
    <s v="EMEA"/>
    <d v="2016-11-21T00:00:00"/>
    <x v="0"/>
    <s v="Thomas Gordon"/>
    <n v="80"/>
    <n v="70"/>
    <n v="0.125"/>
    <n v="57"/>
    <n v="3990"/>
  </r>
  <r>
    <s v="I-2690"/>
    <s v="San Fransisco"/>
    <s v="USA"/>
    <s v="NA"/>
    <d v="2014-02-06T00:00:00"/>
    <x v="4"/>
    <s v="James Bard"/>
    <n v="30"/>
    <n v="26"/>
    <n v="0.1333"/>
    <n v="12"/>
    <n v="312"/>
  </r>
  <r>
    <s v="I-2691"/>
    <s v="Shanghai"/>
    <s v="China"/>
    <s v="APAC"/>
    <d v="2018-05-10T00:00:00"/>
    <x v="11"/>
    <s v="Glenys Raymond"/>
    <n v="50"/>
    <n v="47"/>
    <n v="0.06"/>
    <n v="77"/>
    <n v="3619"/>
  </r>
  <r>
    <s v="I-2692"/>
    <s v="Ho Chi Minh City"/>
    <s v="Vietnam"/>
    <s v="APAC"/>
    <d v="2017-03-20T00:00:00"/>
    <x v="11"/>
    <s v="Frank Sewell"/>
    <n v="50"/>
    <n v="45"/>
    <n v="0.1"/>
    <n v="1"/>
    <n v="45"/>
  </r>
  <r>
    <s v="I-2693"/>
    <s v="Rochester"/>
    <s v="USA"/>
    <s v="NA"/>
    <d v="2018-07-01T00:00:00"/>
    <x v="9"/>
    <s v="Helen Deignan"/>
    <n v="70"/>
    <n v="69"/>
    <n v="1.43E-2"/>
    <n v="87"/>
    <n v="6003"/>
  </r>
  <r>
    <s v="I-2694"/>
    <s v="Moscow"/>
    <s v="Russia"/>
    <s v="EMEA"/>
    <d v="2018-09-12T00:00:00"/>
    <x v="6"/>
    <s v="Alexander Hillier"/>
    <n v="800"/>
    <n v="640"/>
    <n v="0.2"/>
    <n v="56"/>
    <n v="35840"/>
  </r>
  <r>
    <s v="I-2695"/>
    <s v="Jerusalem"/>
    <s v="Israel"/>
    <s v="EMEA"/>
    <d v="2016-06-15T00:00:00"/>
    <x v="6"/>
    <s v="Barbara Scott"/>
    <n v="800"/>
    <n v="744"/>
    <n v="7.0000000000000007E-2"/>
    <n v="78"/>
    <n v="58032"/>
  </r>
  <r>
    <s v="I-2696"/>
    <s v="Istanbul"/>
    <s v="Turkey"/>
    <s v="EMEA"/>
    <d v="2014-10-19T00:00:00"/>
    <x v="0"/>
    <s v="Mark Sayer"/>
    <n v="80"/>
    <n v="74"/>
    <n v="7.4999999999999997E-2"/>
    <n v="3"/>
    <n v="222"/>
  </r>
  <r>
    <s v="I-2697"/>
    <s v="Amsterdam"/>
    <s v="Netherlands"/>
    <s v="EMEA"/>
    <d v="2018-05-10T00:00:00"/>
    <x v="2"/>
    <s v="Allyson Rush"/>
    <n v="150"/>
    <n v="128"/>
    <n v="0.1467"/>
    <n v="89"/>
    <n v="11392"/>
  </r>
  <r>
    <s v="I-2698"/>
    <s v="Tijuana"/>
    <s v="Mexico"/>
    <s v="LATAM"/>
    <d v="2018-12-09T00:00:00"/>
    <x v="11"/>
    <s v="Rosemary Hatcher"/>
    <n v="50"/>
    <n v="45"/>
    <n v="0.1"/>
    <n v="37"/>
    <n v="1665"/>
  </r>
  <r>
    <s v="I-2699"/>
    <s v="Birmingham"/>
    <s v="UK"/>
    <s v="EMEA"/>
    <d v="2018-04-02T00:00:00"/>
    <x v="6"/>
    <s v="Susan Reay"/>
    <n v="800"/>
    <n v="664"/>
    <n v="0.17"/>
    <n v="59"/>
    <n v="39176"/>
  </r>
  <r>
    <s v="I-2700"/>
    <s v="Chicago"/>
    <s v="USA"/>
    <s v="NA"/>
    <d v="2015-06-13T00:00:00"/>
    <x v="10"/>
    <s v="Nicholas Knight"/>
    <n v="250"/>
    <n v="243"/>
    <n v="2.8000000000000001E-2"/>
    <n v="52"/>
    <n v="12636"/>
  </r>
  <r>
    <s v="I-2701"/>
    <s v="Sao Paolo"/>
    <s v="Brazil"/>
    <s v="LATAM"/>
    <d v="2016-11-30T00:00:00"/>
    <x v="9"/>
    <s v="Cheryl Tubbs"/>
    <n v="70"/>
    <n v="69"/>
    <n v="1.43E-2"/>
    <n v="13"/>
    <n v="897"/>
  </r>
  <r>
    <s v="I-2702"/>
    <s v="Seoul"/>
    <s v="South Korea"/>
    <s v="APAC"/>
    <d v="2014-12-12T00:00:00"/>
    <x v="5"/>
    <s v="Suzanna Davies"/>
    <n v="500"/>
    <n v="495"/>
    <n v="0.01"/>
    <n v="63"/>
    <n v="31185"/>
  </r>
  <r>
    <s v="I-2703"/>
    <s v="Berlin"/>
    <s v="Germany"/>
    <s v="EMEA"/>
    <d v="2018-02-17T00:00:00"/>
    <x v="6"/>
    <s v="Kate Pearce"/>
    <n v="800"/>
    <n v="440"/>
    <n v="0.45"/>
    <n v="59"/>
    <n v="25960"/>
  </r>
  <r>
    <s v="I-2704"/>
    <s v="Birmingham"/>
    <s v="UK"/>
    <s v="EMEA"/>
    <d v="2018-10-03T00:00:00"/>
    <x v="11"/>
    <s v="Stephen Muhammad"/>
    <n v="50"/>
    <n v="44"/>
    <n v="0.12"/>
    <n v="36"/>
    <n v="1584"/>
  </r>
  <r>
    <s v="I-2705"/>
    <s v="Delhi"/>
    <s v="India"/>
    <s v="APAC"/>
    <d v="2018-01-29T00:00:00"/>
    <x v="7"/>
    <s v="Russell Wood"/>
    <n v="1000"/>
    <n v="790"/>
    <n v="0.21"/>
    <n v="62"/>
    <n v="48980"/>
  </r>
  <r>
    <s v="I-2706"/>
    <s v="Sao Paolo"/>
    <s v="Brazil"/>
    <s v="LATAM"/>
    <d v="2016-09-03T00:00:00"/>
    <x v="1"/>
    <s v="Elizabeth Holloway"/>
    <n v="700"/>
    <n v="609"/>
    <n v="0.13"/>
    <n v="14"/>
    <n v="8526"/>
  </r>
  <r>
    <s v="I-2707"/>
    <s v="Birmingham"/>
    <s v="UK"/>
    <s v="EMEA"/>
    <d v="2016-09-17T00:00:00"/>
    <x v="5"/>
    <s v="Robert Stocks"/>
    <n v="500"/>
    <n v="425"/>
    <n v="0.15"/>
    <n v="67"/>
    <n v="28475"/>
  </r>
  <r>
    <s v="I-2708"/>
    <s v="Berlin"/>
    <s v="Germany"/>
    <s v="EMEA"/>
    <d v="2015-06-17T00:00:00"/>
    <x v="9"/>
    <s v="John Gunter"/>
    <n v="70"/>
    <n v="45"/>
    <n v="0.35709999999999997"/>
    <n v="84"/>
    <n v="3780"/>
  </r>
  <r>
    <s v="I-2709"/>
    <s v="Warsaw"/>
    <s v="Poland"/>
    <s v="EMEA"/>
    <d v="2017-07-31T00:00:00"/>
    <x v="4"/>
    <s v="Robert Brook"/>
    <n v="30"/>
    <n v="25"/>
    <n v="0.16669999999999999"/>
    <n v="41"/>
    <n v="1025"/>
  </r>
  <r>
    <s v="I-2710"/>
    <s v="Warsaw"/>
    <s v="Poland"/>
    <s v="EMEA"/>
    <d v="2015-02-04T00:00:00"/>
    <x v="1"/>
    <s v="Hin Bragg"/>
    <n v="700"/>
    <n v="476"/>
    <n v="0.32"/>
    <n v="40"/>
    <n v="19040"/>
  </r>
  <r>
    <s v="I-2711"/>
    <s v="Tijuana"/>
    <s v="Mexico"/>
    <s v="LATAM"/>
    <d v="2016-08-16T00:00:00"/>
    <x v="11"/>
    <s v="Gillian Allnutt"/>
    <n v="50"/>
    <n v="43"/>
    <n v="0.14000000000000001"/>
    <n v="59"/>
    <n v="2537"/>
  </r>
  <r>
    <s v="I-2712"/>
    <s v="Birmingham"/>
    <s v="UK"/>
    <s v="EMEA"/>
    <d v="2018-09-18T00:00:00"/>
    <x v="7"/>
    <s v="Susan Goude"/>
    <n v="1000"/>
    <n v="930"/>
    <n v="7.0000000000000007E-2"/>
    <n v="10"/>
    <n v="9300"/>
  </r>
  <r>
    <s v="I-2713"/>
    <s v="Tijuana"/>
    <s v="Mexico"/>
    <s v="LATAM"/>
    <d v="2014-10-18T00:00:00"/>
    <x v="3"/>
    <s v="Richard Allnutt"/>
    <n v="50"/>
    <n v="43"/>
    <n v="0.14000000000000001"/>
    <n v="65"/>
    <n v="2795"/>
  </r>
  <r>
    <s v="I-2714"/>
    <s v="Dublin"/>
    <s v="Ireland"/>
    <s v="EMEA"/>
    <d v="2015-07-08T00:00:00"/>
    <x v="3"/>
    <s v="Emma Gibbons"/>
    <n v="50"/>
    <n v="34"/>
    <n v="0.32"/>
    <n v="15"/>
    <n v="510"/>
  </r>
  <r>
    <s v="I-2715"/>
    <s v="Los Angeles"/>
    <s v="USA"/>
    <s v="NA"/>
    <d v="2014-06-07T00:00:00"/>
    <x v="3"/>
    <s v="Christopher Kitching"/>
    <n v="50"/>
    <n v="46"/>
    <n v="0.08"/>
    <n v="57"/>
    <n v="2622"/>
  </r>
  <r>
    <s v="I-2716"/>
    <s v="Sao Paolo"/>
    <s v="Brazil"/>
    <s v="LATAM"/>
    <d v="2015-05-13T00:00:00"/>
    <x v="5"/>
    <s v="Gary Reynolds"/>
    <n v="500"/>
    <n v="355"/>
    <n v="0.28999999999999998"/>
    <n v="98"/>
    <n v="34790"/>
  </r>
  <r>
    <s v="I-2717"/>
    <s v="Istanbul"/>
    <s v="Turkey"/>
    <s v="EMEA"/>
    <d v="2015-11-10T00:00:00"/>
    <x v="3"/>
    <s v="Chloe Lyons"/>
    <n v="50"/>
    <n v="40"/>
    <n v="0.2"/>
    <n v="3"/>
    <n v="120"/>
  </r>
  <r>
    <s v="I-2718"/>
    <s v="Riyadh"/>
    <s v="Saudi Arabia"/>
    <s v="EMEA"/>
    <d v="2016-04-25T00:00:00"/>
    <x v="5"/>
    <s v="Danny Brooks"/>
    <n v="500"/>
    <n v="450"/>
    <n v="0.1"/>
    <n v="2"/>
    <n v="900"/>
  </r>
  <r>
    <s v="I-2719"/>
    <s v="Houston"/>
    <s v="USA"/>
    <s v="NA"/>
    <d v="2017-05-24T00:00:00"/>
    <x v="11"/>
    <s v="Rachel Snape"/>
    <n v="50"/>
    <n v="47"/>
    <n v="0.06"/>
    <n v="37"/>
    <n v="1739"/>
  </r>
  <r>
    <s v="I-2720"/>
    <s v="Athens"/>
    <s v="Greece"/>
    <s v="EMEA"/>
    <d v="2018-06-21T00:00:00"/>
    <x v="6"/>
    <s v="Sarah Chadwick"/>
    <n v="800"/>
    <n v="456"/>
    <n v="0.43"/>
    <n v="28"/>
    <n v="12768"/>
  </r>
  <r>
    <s v="I-2721"/>
    <s v="Capetown"/>
    <s v="South Africa"/>
    <s v="EMEA"/>
    <d v="2017-05-18T00:00:00"/>
    <x v="4"/>
    <s v="Stuart Anderson"/>
    <n v="30"/>
    <n v="28"/>
    <n v="6.6699999999999995E-2"/>
    <n v="14"/>
    <n v="392"/>
  </r>
  <r>
    <s v="I-2722"/>
    <s v="New York"/>
    <s v="USA"/>
    <s v="NA"/>
    <d v="2014-03-24T00:00:00"/>
    <x v="4"/>
    <s v="John Bull"/>
    <n v="30"/>
    <n v="26"/>
    <n v="0.1333"/>
    <n v="5"/>
    <n v="130"/>
  </r>
  <r>
    <s v="I-2723"/>
    <s v="Madria"/>
    <s v="Spain"/>
    <s v="EMEA"/>
    <d v="2014-05-05T00:00:00"/>
    <x v="0"/>
    <s v="Paul Long"/>
    <n v="80"/>
    <n v="56"/>
    <n v="0.3"/>
    <n v="11"/>
    <n v="616"/>
  </r>
  <r>
    <s v="I-2724"/>
    <s v="London"/>
    <s v="UK"/>
    <s v="EMEA"/>
    <d v="2017-10-10T00:00:00"/>
    <x v="8"/>
    <s v="Francis Godden"/>
    <n v="500"/>
    <n v="490"/>
    <n v="0.02"/>
    <n v="45"/>
    <n v="22050"/>
  </r>
  <r>
    <s v="I-2725"/>
    <s v="Los Angeles"/>
    <s v="USA"/>
    <s v="NA"/>
    <d v="2018-09-16T00:00:00"/>
    <x v="8"/>
    <s v="Rita Jenkins"/>
    <n v="500"/>
    <n v="490"/>
    <n v="0.02"/>
    <n v="95"/>
    <n v="46550"/>
  </r>
  <r>
    <s v="I-2726"/>
    <s v="Tokyo"/>
    <s v="Japan"/>
    <s v="APAC"/>
    <d v="2016-01-24T00:00:00"/>
    <x v="9"/>
    <s v="Pauline Taylor"/>
    <n v="70"/>
    <n v="61"/>
    <n v="0.12859999999999999"/>
    <n v="7"/>
    <n v="427"/>
  </r>
  <r>
    <s v="I-2727"/>
    <s v="Vancouver"/>
    <s v="Canada"/>
    <s v="NA"/>
    <d v="2015-09-01T00:00:00"/>
    <x v="10"/>
    <s v="Christopher Kille"/>
    <n v="250"/>
    <n v="220"/>
    <n v="0.12"/>
    <n v="8"/>
    <n v="1760"/>
  </r>
  <r>
    <s v="I-2728"/>
    <s v="Santiago"/>
    <s v="Chile"/>
    <s v="LATAM"/>
    <d v="2016-02-28T00:00:00"/>
    <x v="9"/>
    <s v="Julia Hammond"/>
    <n v="70"/>
    <n v="67"/>
    <n v="4.2900000000000001E-2"/>
    <n v="41"/>
    <n v="2747"/>
  </r>
  <r>
    <s v="I-2729"/>
    <s v="New York"/>
    <s v="USA"/>
    <s v="NA"/>
    <d v="2017-06-05T00:00:00"/>
    <x v="8"/>
    <s v="Sarah Houghton"/>
    <n v="500"/>
    <n v="495"/>
    <n v="0.01"/>
    <n v="86"/>
    <n v="42570"/>
  </r>
  <r>
    <s v="I-2730"/>
    <s v="Shenzhen"/>
    <s v="China"/>
    <s v="APAC"/>
    <d v="2014-04-10T00:00:00"/>
    <x v="5"/>
    <s v="Keith Drage"/>
    <n v="500"/>
    <n v="190"/>
    <n v="0.62"/>
    <n v="75"/>
    <n v="14250"/>
  </r>
  <r>
    <s v="I-2731"/>
    <s v="Delhi"/>
    <s v="India"/>
    <s v="APAC"/>
    <d v="2016-05-04T00:00:00"/>
    <x v="1"/>
    <s v="Gillian Harris"/>
    <n v="700"/>
    <n v="686"/>
    <n v="0.02"/>
    <n v="67"/>
    <n v="45962"/>
  </r>
  <r>
    <s v="I-2732"/>
    <s v="London"/>
    <s v="UK"/>
    <s v="EMEA"/>
    <d v="2017-03-01T00:00:00"/>
    <x v="10"/>
    <s v="Philip Dewar"/>
    <n v="250"/>
    <n v="240"/>
    <n v="0.04"/>
    <n v="70"/>
    <n v="16800"/>
  </r>
  <r>
    <s v="I-2733"/>
    <s v="Mexico City"/>
    <s v="Mexico"/>
    <s v="LATAM"/>
    <d v="2014-11-21T00:00:00"/>
    <x v="7"/>
    <s v="Jacqueline Green"/>
    <n v="1000"/>
    <n v="600"/>
    <n v="0.4"/>
    <n v="46"/>
    <n v="27600"/>
  </r>
  <r>
    <s v="I-2734"/>
    <s v="Sao Paolo"/>
    <s v="Brazil"/>
    <s v="LATAM"/>
    <d v="2014-04-01T00:00:00"/>
    <x v="3"/>
    <s v="Stephen Smith"/>
    <n v="50"/>
    <n v="41"/>
    <n v="0.18"/>
    <n v="54"/>
    <n v="2214"/>
  </r>
  <r>
    <s v="I-2735"/>
    <s v="Buenos Aires"/>
    <s v="Argentina"/>
    <s v="LATAM"/>
    <d v="2015-04-29T00:00:00"/>
    <x v="10"/>
    <s v="Naeem Perry"/>
    <n v="250"/>
    <n v="230"/>
    <n v="0.08"/>
    <n v="72"/>
    <n v="16560"/>
  </r>
  <r>
    <s v="I-2736"/>
    <s v="Jerusalem"/>
    <s v="Israel"/>
    <s v="EMEA"/>
    <d v="2014-02-26T00:00:00"/>
    <x v="5"/>
    <s v="Neil Tubbs"/>
    <n v="500"/>
    <n v="380"/>
    <n v="0.24"/>
    <n v="27"/>
    <n v="10260"/>
  </r>
  <r>
    <s v="I-2737"/>
    <s v="Houston"/>
    <s v="USA"/>
    <s v="NA"/>
    <d v="2016-10-24T00:00:00"/>
    <x v="11"/>
    <s v="Iftikhar Styles"/>
    <n v="50"/>
    <n v="49"/>
    <n v="0.02"/>
    <n v="91"/>
    <n v="4459"/>
  </r>
  <r>
    <s v="I-2738"/>
    <s v="Bangalore"/>
    <s v="India"/>
    <s v="APAC"/>
    <d v="2018-09-27T00:00:00"/>
    <x v="4"/>
    <s v="Colin Lima"/>
    <n v="30"/>
    <n v="26"/>
    <n v="0.1333"/>
    <n v="4"/>
    <n v="104"/>
  </r>
  <r>
    <s v="I-2739"/>
    <s v="Los Angeles"/>
    <s v="USA"/>
    <s v="NA"/>
    <d v="2017-10-07T00:00:00"/>
    <x v="2"/>
    <s v="Heather Beck"/>
    <n v="150"/>
    <n v="141"/>
    <n v="0.06"/>
    <n v="25"/>
    <n v="3525"/>
  </r>
  <r>
    <s v="I-2740"/>
    <s v="Vienna"/>
    <s v="Austria"/>
    <s v="EMEA"/>
    <d v="2017-11-03T00:00:00"/>
    <x v="7"/>
    <s v="Paul Drage"/>
    <n v="1000"/>
    <n v="960"/>
    <n v="0.04"/>
    <n v="34"/>
    <n v="32640"/>
  </r>
  <r>
    <s v="I-2741"/>
    <s v="Ho Chi Minh City"/>
    <s v="Vietnam"/>
    <s v="APAC"/>
    <d v="2016-03-04T00:00:00"/>
    <x v="11"/>
    <s v="Douglas Bond"/>
    <n v="50"/>
    <n v="48"/>
    <n v="0.04"/>
    <n v="37"/>
    <n v="1776"/>
  </r>
  <r>
    <s v="I-2742"/>
    <s v="Shanghai"/>
    <s v="China"/>
    <s v="APAC"/>
    <d v="2014-02-05T00:00:00"/>
    <x v="4"/>
    <s v="Richard Clayton"/>
    <n v="30"/>
    <n v="26"/>
    <n v="0.1333"/>
    <n v="41"/>
    <n v="1066"/>
  </r>
  <r>
    <s v="I-2743"/>
    <s v="Seattle"/>
    <s v="USA"/>
    <s v="NA"/>
    <d v="2016-03-09T00:00:00"/>
    <x v="2"/>
    <s v="Derek Harris"/>
    <n v="150"/>
    <n v="128"/>
    <n v="0.1467"/>
    <n v="10"/>
    <n v="1280"/>
  </r>
  <r>
    <s v="I-2744"/>
    <s v="Kansas City"/>
    <s v="USA"/>
    <s v="NA"/>
    <d v="2016-08-31T00:00:00"/>
    <x v="4"/>
    <s v="David Rodrigues"/>
    <n v="30"/>
    <n v="30"/>
    <n v="0"/>
    <n v="2"/>
    <n v="60"/>
  </r>
  <r>
    <s v="I-2745"/>
    <s v="Istanbul"/>
    <s v="Turkey"/>
    <s v="EMEA"/>
    <d v="2018-01-15T00:00:00"/>
    <x v="11"/>
    <s v="Ian McCartan"/>
    <n v="50"/>
    <n v="45"/>
    <n v="0.1"/>
    <n v="28"/>
    <n v="1260"/>
  </r>
  <r>
    <s v="I-2746"/>
    <s v="Delhi"/>
    <s v="India"/>
    <s v="APAC"/>
    <d v="2018-05-19T00:00:00"/>
    <x v="5"/>
    <s v="Francis Hughes"/>
    <n v="500"/>
    <n v="445"/>
    <n v="0.11"/>
    <n v="72"/>
    <n v="32040"/>
  </r>
  <r>
    <s v="I-2747"/>
    <s v="Capetown"/>
    <s v="South Africa"/>
    <s v="EMEA"/>
    <d v="2017-01-01T00:00:00"/>
    <x v="10"/>
    <s v="Helen Cooke"/>
    <n v="250"/>
    <n v="228"/>
    <n v="8.7999999999999995E-2"/>
    <n v="3"/>
    <n v="684"/>
  </r>
  <r>
    <s v="I-2748"/>
    <s v="Kuala Lumpur"/>
    <s v="Malaysia"/>
    <s v="APAC"/>
    <d v="2015-09-21T00:00:00"/>
    <x v="9"/>
    <s v="Anthony Green"/>
    <n v="70"/>
    <n v="47"/>
    <n v="0.3286"/>
    <n v="83"/>
    <n v="3901"/>
  </r>
  <r>
    <s v="I-2749"/>
    <s v="Kuala Lumpur"/>
    <s v="Malaysia"/>
    <s v="APAC"/>
    <d v="2015-01-18T00:00:00"/>
    <x v="11"/>
    <s v="Anthony Green"/>
    <n v="50"/>
    <n v="36"/>
    <n v="0.28000000000000003"/>
    <n v="38"/>
    <n v="1368"/>
  </r>
  <r>
    <s v="I-2750"/>
    <s v="Madria"/>
    <s v="Spain"/>
    <s v="EMEA"/>
    <d v="2016-07-01T00:00:00"/>
    <x v="8"/>
    <s v="Barrie Murray"/>
    <n v="500"/>
    <n v="500"/>
    <n v="0"/>
    <n v="35"/>
    <n v="17500"/>
  </r>
  <r>
    <s v="I-2751"/>
    <s v="Delhi"/>
    <s v="India"/>
    <s v="APAC"/>
    <d v="2016-05-17T00:00:00"/>
    <x v="9"/>
    <s v="Noel Burn"/>
    <n v="70"/>
    <n v="68"/>
    <n v="2.86E-2"/>
    <n v="24"/>
    <n v="1632"/>
  </r>
  <r>
    <s v="I-2752"/>
    <s v="Cairo"/>
    <s v="Egypt"/>
    <s v="EMEA"/>
    <d v="2015-02-15T00:00:00"/>
    <x v="1"/>
    <s v="Robert Payne"/>
    <n v="700"/>
    <n v="567"/>
    <n v="0.19"/>
    <n v="29"/>
    <n v="16443"/>
  </r>
  <r>
    <s v="I-2753"/>
    <s v="Los Angeles"/>
    <s v="USA"/>
    <s v="NA"/>
    <d v="2017-01-22T00:00:00"/>
    <x v="4"/>
    <s v="Rita Jenkins"/>
    <n v="30"/>
    <n v="29"/>
    <n v="3.3300000000000003E-2"/>
    <n v="26"/>
    <n v="754"/>
  </r>
  <r>
    <s v="I-2754"/>
    <s v="Sao Paolo"/>
    <s v="Brazil"/>
    <s v="LATAM"/>
    <d v="2015-11-12T00:00:00"/>
    <x v="0"/>
    <s v="Stephen Smith"/>
    <n v="80"/>
    <n v="52"/>
    <n v="0.35"/>
    <n v="41"/>
    <n v="2132"/>
  </r>
  <r>
    <s v="I-2755"/>
    <s v="Santiago"/>
    <s v="Chile"/>
    <s v="LATAM"/>
    <d v="2016-05-23T00:00:00"/>
    <x v="5"/>
    <s v="Ram Mathews"/>
    <n v="500"/>
    <n v="440"/>
    <n v="0.12"/>
    <n v="15"/>
    <n v="6600"/>
  </r>
  <r>
    <s v="I-2756"/>
    <s v="Osaka"/>
    <s v="Japan"/>
    <s v="APAC"/>
    <d v="2014-07-07T00:00:00"/>
    <x v="1"/>
    <s v="Stephen Brown"/>
    <n v="700"/>
    <n v="147"/>
    <n v="0.79"/>
    <n v="10"/>
    <n v="1470"/>
  </r>
  <r>
    <s v="I-2757"/>
    <s v="Toronto"/>
    <s v="Canada"/>
    <s v="NA"/>
    <d v="2015-03-31T00:00:00"/>
    <x v="5"/>
    <s v="Jordan Andrews"/>
    <n v="500"/>
    <n v="400"/>
    <n v="0.2"/>
    <n v="78"/>
    <n v="31200"/>
  </r>
  <r>
    <s v="I-2758"/>
    <s v="Santiago"/>
    <s v="Chile"/>
    <s v="LATAM"/>
    <d v="2016-02-24T00:00:00"/>
    <x v="2"/>
    <s v="Bruce McPhee"/>
    <n v="150"/>
    <n v="140"/>
    <n v="6.6699999999999995E-2"/>
    <n v="34"/>
    <n v="4760"/>
  </r>
  <r>
    <s v="I-2759"/>
    <s v="Santiago"/>
    <s v="Chile"/>
    <s v="LATAM"/>
    <d v="2016-11-07T00:00:00"/>
    <x v="5"/>
    <s v="Jason Edmund"/>
    <n v="500"/>
    <n v="450"/>
    <n v="0.1"/>
    <n v="31"/>
    <n v="13950"/>
  </r>
  <r>
    <s v="I-2760"/>
    <s v="Mexico City"/>
    <s v="Mexico"/>
    <s v="LATAM"/>
    <d v="2017-03-08T00:00:00"/>
    <x v="1"/>
    <s v="Jacqueline Green"/>
    <n v="700"/>
    <n v="679"/>
    <n v="0.03"/>
    <n v="1"/>
    <n v="679"/>
  </r>
  <r>
    <s v="I-2761"/>
    <s v="Kansas City"/>
    <s v="USA"/>
    <s v="NA"/>
    <d v="2017-10-06T00:00:00"/>
    <x v="9"/>
    <s v="David Rodrigues"/>
    <n v="70"/>
    <n v="69"/>
    <n v="1.43E-2"/>
    <n v="77"/>
    <n v="5313"/>
  </r>
  <r>
    <s v="I-2762"/>
    <s v="Sydney"/>
    <s v="Australia"/>
    <s v="APAC"/>
    <d v="2015-01-09T00:00:00"/>
    <x v="8"/>
    <s v="William Martin"/>
    <n v="500"/>
    <n v="495"/>
    <n v="0.01"/>
    <n v="61"/>
    <n v="30195"/>
  </r>
  <r>
    <s v="I-2763"/>
    <s v="Capetown"/>
    <s v="South Africa"/>
    <s v="EMEA"/>
    <d v="2018-02-24T00:00:00"/>
    <x v="5"/>
    <s v="Lucy Downs"/>
    <n v="500"/>
    <n v="455"/>
    <n v="0.09"/>
    <n v="25"/>
    <n v="11375"/>
  </r>
  <r>
    <s v="I-2764"/>
    <s v="Toronto"/>
    <s v="Canada"/>
    <s v="NA"/>
    <d v="2014-12-14T00:00:00"/>
    <x v="9"/>
    <s v="Stephen James"/>
    <n v="70"/>
    <n v="56"/>
    <n v="0.2"/>
    <n v="24"/>
    <n v="1344"/>
  </r>
  <r>
    <s v="I-2765"/>
    <s v="Riyadh"/>
    <s v="Saudi Arabia"/>
    <s v="EMEA"/>
    <d v="2016-10-25T00:00:00"/>
    <x v="9"/>
    <s v="Daniel Battersby"/>
    <n v="70"/>
    <n v="62"/>
    <n v="0.1143"/>
    <n v="10"/>
    <n v="620"/>
  </r>
  <r>
    <s v="I-2766"/>
    <s v="New York"/>
    <s v="USA"/>
    <s v="NA"/>
    <d v="2018-01-16T00:00:00"/>
    <x v="2"/>
    <s v="Robert Salisbury"/>
    <n v="150"/>
    <n v="128"/>
    <n v="0.1467"/>
    <n v="79"/>
    <n v="10112"/>
  </r>
  <r>
    <s v="I-2767"/>
    <s v="Vancouver"/>
    <s v="Canada"/>
    <s v="NA"/>
    <d v="2018-01-08T00:00:00"/>
    <x v="2"/>
    <s v="Brian Clarke"/>
    <n v="150"/>
    <n v="131"/>
    <n v="0.12670000000000001"/>
    <n v="83"/>
    <n v="10873"/>
  </r>
  <r>
    <s v="I-2768"/>
    <s v="San Fransisco"/>
    <s v="USA"/>
    <s v="NA"/>
    <d v="2018-02-03T00:00:00"/>
    <x v="4"/>
    <s v="James Bard"/>
    <n v="30"/>
    <n v="30"/>
    <n v="0"/>
    <n v="49"/>
    <n v="1470"/>
  </r>
  <r>
    <s v="I-2769"/>
    <s v="Sao Paolo"/>
    <s v="Brazil"/>
    <s v="LATAM"/>
    <d v="2015-07-22T00:00:00"/>
    <x v="5"/>
    <s v="Elizabeth Holloway"/>
    <n v="500"/>
    <n v="460"/>
    <n v="0.08"/>
    <n v="25"/>
    <n v="11500"/>
  </r>
  <r>
    <s v="I-2770"/>
    <s v="Kuala Lumpur"/>
    <s v="Malaysia"/>
    <s v="APAC"/>
    <d v="2015-04-21T00:00:00"/>
    <x v="2"/>
    <s v="Stephen MacGregor"/>
    <n v="150"/>
    <n v="120"/>
    <n v="0.2"/>
    <n v="21"/>
    <n v="2520"/>
  </r>
  <r>
    <s v="I-2771"/>
    <s v="San Fransisco"/>
    <s v="USA"/>
    <s v="NA"/>
    <d v="2018-09-10T00:00:00"/>
    <x v="6"/>
    <s v="Arthur Carley"/>
    <n v="800"/>
    <n v="544"/>
    <n v="0.32"/>
    <n v="15"/>
    <n v="8160"/>
  </r>
  <r>
    <s v="I-2772"/>
    <s v="Madria"/>
    <s v="Spain"/>
    <s v="EMEA"/>
    <d v="2015-08-05T00:00:00"/>
    <x v="2"/>
    <s v="Catherine Gagg"/>
    <n v="150"/>
    <n v="132"/>
    <n v="0.12"/>
    <n v="29"/>
    <n v="3828"/>
  </r>
  <r>
    <s v="I-2773"/>
    <s v="Jerusalem"/>
    <s v="Israel"/>
    <s v="EMEA"/>
    <d v="2016-12-22T00:00:00"/>
    <x v="5"/>
    <s v="Neil Tubbs"/>
    <n v="500"/>
    <n v="435"/>
    <n v="0.13"/>
    <n v="25"/>
    <n v="10875"/>
  </r>
  <r>
    <s v="I-2774"/>
    <s v="Vancouver"/>
    <s v="Canada"/>
    <s v="NA"/>
    <d v="2015-12-05T00:00:00"/>
    <x v="6"/>
    <s v="Savita Simpson"/>
    <n v="800"/>
    <n v="448"/>
    <n v="0.44"/>
    <n v="37"/>
    <n v="16576"/>
  </r>
  <r>
    <s v="I-2775"/>
    <s v="Kansas City"/>
    <s v="USA"/>
    <s v="NA"/>
    <d v="2018-07-19T00:00:00"/>
    <x v="8"/>
    <s v="Nick Gee"/>
    <n v="500"/>
    <n v="500"/>
    <n v="0"/>
    <n v="53"/>
    <n v="26500"/>
  </r>
  <r>
    <s v="I-2776"/>
    <s v="Mexico City"/>
    <s v="Mexico"/>
    <s v="LATAM"/>
    <d v="2017-05-20T00:00:00"/>
    <x v="11"/>
    <s v="Phillip Clarke"/>
    <n v="50"/>
    <n v="47"/>
    <n v="0.06"/>
    <n v="16"/>
    <n v="752"/>
  </r>
  <r>
    <s v="I-2777"/>
    <s v="San Fransisco"/>
    <s v="USA"/>
    <s v="NA"/>
    <d v="2017-04-22T00:00:00"/>
    <x v="3"/>
    <s v="James Scott"/>
    <n v="50"/>
    <n v="46"/>
    <n v="0.08"/>
    <n v="21"/>
    <n v="966"/>
  </r>
  <r>
    <s v="I-2778"/>
    <s v="Tijuana"/>
    <s v="Mexico"/>
    <s v="LATAM"/>
    <d v="2014-08-18T00:00:00"/>
    <x v="2"/>
    <s v="Richard Foy"/>
    <n v="150"/>
    <n v="126"/>
    <n v="0.16"/>
    <n v="58"/>
    <n v="7308"/>
  </r>
  <r>
    <s v="I-2779"/>
    <s v="Amsterdam"/>
    <s v="Netherlands"/>
    <s v="EMEA"/>
    <d v="2014-05-09T00:00:00"/>
    <x v="4"/>
    <s v="Julia Ferguson"/>
    <n v="30"/>
    <n v="23"/>
    <n v="0.23330000000000001"/>
    <n v="46"/>
    <n v="1058"/>
  </r>
  <r>
    <s v="I-2780"/>
    <s v="Buenos Aires"/>
    <s v="Argentina"/>
    <s v="LATAM"/>
    <d v="2015-07-08T00:00:00"/>
    <x v="10"/>
    <s v="Paul Martin"/>
    <n v="250"/>
    <n v="230"/>
    <n v="0.08"/>
    <n v="16"/>
    <n v="3680"/>
  </r>
  <r>
    <s v="I-2781"/>
    <s v="Madria"/>
    <s v="Spain"/>
    <s v="EMEA"/>
    <d v="2014-04-18T00:00:00"/>
    <x v="4"/>
    <s v="Barrie Murray"/>
    <n v="30"/>
    <n v="29"/>
    <n v="3.3300000000000003E-2"/>
    <n v="37"/>
    <n v="1073"/>
  </r>
  <r>
    <s v="I-2782"/>
    <s v="Birmingham"/>
    <s v="UK"/>
    <s v="EMEA"/>
    <d v="2014-12-04T00:00:00"/>
    <x v="4"/>
    <s v="Stephen Muhammad"/>
    <n v="30"/>
    <n v="24"/>
    <n v="0.2"/>
    <n v="16"/>
    <n v="384"/>
  </r>
  <r>
    <s v="I-2783"/>
    <s v="Tokyo"/>
    <s v="Japan"/>
    <s v="APAC"/>
    <d v="2018-12-22T00:00:00"/>
    <x v="5"/>
    <s v="Pauline Pope"/>
    <n v="500"/>
    <n v="490"/>
    <n v="0.02"/>
    <n v="49"/>
    <n v="24010"/>
  </r>
  <r>
    <s v="I-2784"/>
    <s v="Dubai"/>
    <s v="UAE"/>
    <s v="EMEA"/>
    <d v="2018-12-05T00:00:00"/>
    <x v="3"/>
    <s v="Ernie Dyer"/>
    <n v="50"/>
    <n v="47"/>
    <n v="0.06"/>
    <n v="57"/>
    <n v="2679"/>
  </r>
  <r>
    <s v="I-2785"/>
    <s v="Delhi"/>
    <s v="India"/>
    <s v="APAC"/>
    <d v="2018-06-06T00:00:00"/>
    <x v="7"/>
    <s v="Gillian Harris"/>
    <n v="1000"/>
    <n v="740"/>
    <n v="0.26"/>
    <n v="20"/>
    <n v="14800"/>
  </r>
  <r>
    <s v="I-2786"/>
    <s v="Seattle"/>
    <s v="USA"/>
    <s v="NA"/>
    <d v="2018-10-14T00:00:00"/>
    <x v="11"/>
    <s v="Lesleyann Pope"/>
    <n v="50"/>
    <n v="45"/>
    <n v="0.1"/>
    <n v="71"/>
    <n v="3195"/>
  </r>
  <r>
    <s v="I-2787"/>
    <s v="Houston"/>
    <s v="USA"/>
    <s v="NA"/>
    <d v="2018-05-13T00:00:00"/>
    <x v="1"/>
    <s v="Paul Faulkner"/>
    <n v="700"/>
    <n v="658"/>
    <n v="0.06"/>
    <n v="8"/>
    <n v="5264"/>
  </r>
  <r>
    <s v="I-2788"/>
    <s v="New York"/>
    <s v="USA"/>
    <s v="NA"/>
    <d v="2014-02-06T00:00:00"/>
    <x v="4"/>
    <s v="Stephen Cohen"/>
    <n v="30"/>
    <n v="26"/>
    <n v="0.1333"/>
    <n v="1"/>
    <n v="26"/>
  </r>
  <r>
    <s v="I-2789"/>
    <s v="Sydney"/>
    <s v="Australia"/>
    <s v="APAC"/>
    <d v="2016-05-02T00:00:00"/>
    <x v="8"/>
    <s v="William Martin"/>
    <n v="500"/>
    <n v="500"/>
    <n v="0"/>
    <n v="60"/>
    <n v="30000"/>
  </r>
  <r>
    <s v="I-2790"/>
    <s v="Moscow"/>
    <s v="Russia"/>
    <s v="EMEA"/>
    <d v="2018-11-15T00:00:00"/>
    <x v="6"/>
    <s v="Darren Brooks"/>
    <n v="800"/>
    <n v="480"/>
    <n v="0.4"/>
    <n v="87"/>
    <n v="41760"/>
  </r>
  <r>
    <s v="I-2791"/>
    <s v="Bogota"/>
    <s v="Colombia"/>
    <s v="LATAM"/>
    <d v="2015-07-31T00:00:00"/>
    <x v="4"/>
    <s v="Basil Nolan"/>
    <n v="30"/>
    <n v="21"/>
    <n v="0.3"/>
    <n v="26"/>
    <n v="546"/>
  </r>
  <r>
    <s v="I-2792"/>
    <s v="Bangalore"/>
    <s v="India"/>
    <s v="APAC"/>
    <d v="2016-07-11T00:00:00"/>
    <x v="0"/>
    <s v="Stuart Hunter"/>
    <n v="80"/>
    <n v="79"/>
    <n v="1.2500000000000001E-2"/>
    <n v="75"/>
    <n v="5925"/>
  </r>
  <r>
    <s v="I-2793"/>
    <s v="Capetown"/>
    <s v="South Africa"/>
    <s v="EMEA"/>
    <d v="2015-04-07T00:00:00"/>
    <x v="2"/>
    <s v="Lucy Downs"/>
    <n v="150"/>
    <n v="149"/>
    <n v="6.7000000000000002E-3"/>
    <n v="37"/>
    <n v="5513"/>
  </r>
  <r>
    <s v="I-2794"/>
    <s v="Moscow"/>
    <s v="Russia"/>
    <s v="EMEA"/>
    <d v="2015-09-05T00:00:00"/>
    <x v="1"/>
    <s v="Zulfiqar Mirza"/>
    <n v="700"/>
    <n v="700"/>
    <n v="0"/>
    <n v="4"/>
    <n v="2800"/>
  </r>
  <r>
    <s v="I-2795"/>
    <s v="Tijuana"/>
    <s v="Mexico"/>
    <s v="LATAM"/>
    <d v="2018-05-28T00:00:00"/>
    <x v="7"/>
    <s v="Kevin McLauchlin"/>
    <n v="1000"/>
    <n v="920"/>
    <n v="0.08"/>
    <n v="69"/>
    <n v="63480"/>
  </r>
  <r>
    <s v="I-2796"/>
    <s v="Kuala Lumpur"/>
    <s v="Malaysia"/>
    <s v="APAC"/>
    <d v="2015-10-04T00:00:00"/>
    <x v="11"/>
    <s v="Stephen MacGregor"/>
    <n v="50"/>
    <n v="40"/>
    <n v="0.2"/>
    <n v="57"/>
    <n v="2280"/>
  </r>
  <r>
    <s v="I-2797"/>
    <s v="Madria"/>
    <s v="Spain"/>
    <s v="EMEA"/>
    <d v="2015-03-01T00:00:00"/>
    <x v="6"/>
    <s v="Martin Mishra"/>
    <n v="800"/>
    <n v="784"/>
    <n v="0.02"/>
    <n v="17"/>
    <n v="13328"/>
  </r>
  <r>
    <s v="I-2798"/>
    <s v="Delhi"/>
    <s v="India"/>
    <s v="APAC"/>
    <d v="2014-10-25T00:00:00"/>
    <x v="6"/>
    <s v="Glen Campbell"/>
    <n v="800"/>
    <n v="488"/>
    <n v="0.39"/>
    <n v="30"/>
    <n v="14640"/>
  </r>
  <r>
    <s v="I-2799"/>
    <s v="Los Angeles"/>
    <s v="USA"/>
    <s v="NA"/>
    <d v="2016-05-15T00:00:00"/>
    <x v="5"/>
    <s v="Christopher Kitching"/>
    <n v="500"/>
    <n v="450"/>
    <n v="0.1"/>
    <n v="1"/>
    <n v="450"/>
  </r>
  <r>
    <s v="I-2800"/>
    <s v="Cairo"/>
    <s v="Egypt"/>
    <s v="EMEA"/>
    <d v="2018-02-04T00:00:00"/>
    <x v="4"/>
    <s v="Robert Payne"/>
    <n v="30"/>
    <n v="29"/>
    <n v="3.3300000000000003E-2"/>
    <n v="65"/>
    <n v="1885"/>
  </r>
  <r>
    <s v="I-2801"/>
    <s v="Sydney"/>
    <s v="Australia"/>
    <s v="APAC"/>
    <d v="2017-11-24T00:00:00"/>
    <x v="8"/>
    <s v="Susan Luker"/>
    <n v="500"/>
    <n v="490"/>
    <n v="0.02"/>
    <n v="93"/>
    <n v="45570"/>
  </r>
  <r>
    <s v="I-2802"/>
    <s v="Delhi"/>
    <s v="India"/>
    <s v="APAC"/>
    <d v="2018-07-10T00:00:00"/>
    <x v="10"/>
    <s v="Tessa Morrow"/>
    <n v="250"/>
    <n v="240"/>
    <n v="0.04"/>
    <n v="12"/>
    <n v="2880"/>
  </r>
  <r>
    <s v="I-2803"/>
    <s v="Santiago"/>
    <s v="Chile"/>
    <s v="LATAM"/>
    <d v="2018-12-17T00:00:00"/>
    <x v="4"/>
    <s v="Richard James"/>
    <n v="30"/>
    <n v="29"/>
    <n v="3.3300000000000003E-2"/>
    <n v="54"/>
    <n v="1566"/>
  </r>
  <r>
    <s v="I-2804"/>
    <s v="Tel Aviv"/>
    <s v="Israel"/>
    <s v="EMEA"/>
    <d v="2016-05-04T00:00:00"/>
    <x v="10"/>
    <s v="Richard McGrath"/>
    <n v="250"/>
    <n v="240"/>
    <n v="0.04"/>
    <n v="80"/>
    <n v="19200"/>
  </r>
  <r>
    <s v="I-2805"/>
    <s v="Bucharest"/>
    <s v="Romania"/>
    <s v="EMEA"/>
    <d v="2014-03-31T00:00:00"/>
    <x v="7"/>
    <s v="Nicola Hewitt"/>
    <n v="1000"/>
    <n v="670"/>
    <n v="0.33"/>
    <n v="19"/>
    <n v="12730"/>
  </r>
  <r>
    <s v="I-2806"/>
    <s v="Bangalore"/>
    <s v="India"/>
    <s v="APAC"/>
    <d v="2017-07-12T00:00:00"/>
    <x v="6"/>
    <s v="Paul Rule"/>
    <n v="800"/>
    <n v="448"/>
    <n v="0.44"/>
    <n v="56"/>
    <n v="25088"/>
  </r>
  <r>
    <s v="I-2807"/>
    <s v="Istanbul"/>
    <s v="Turkey"/>
    <s v="EMEA"/>
    <d v="2015-09-17T00:00:00"/>
    <x v="3"/>
    <s v="Chloe Lyons"/>
    <n v="50"/>
    <n v="31"/>
    <n v="0.38"/>
    <n v="5"/>
    <n v="155"/>
  </r>
  <r>
    <s v="I-2808"/>
    <s v="Kuala Lumpur"/>
    <s v="Malaysia"/>
    <s v="APAC"/>
    <d v="2017-06-01T00:00:00"/>
    <x v="3"/>
    <s v="Stephen MacGregor"/>
    <n v="50"/>
    <n v="46"/>
    <n v="0.08"/>
    <n v="59"/>
    <n v="2714"/>
  </r>
  <r>
    <s v="I-2809"/>
    <s v="Seoul"/>
    <s v="South Korea"/>
    <s v="APAC"/>
    <d v="2015-08-20T00:00:00"/>
    <x v="11"/>
    <s v="Iftikhar Haywood"/>
    <n v="50"/>
    <n v="49"/>
    <n v="0.02"/>
    <n v="7"/>
    <n v="343"/>
  </r>
  <r>
    <s v="I-2810"/>
    <s v="Riyadh"/>
    <s v="Saudi Arabia"/>
    <s v="EMEA"/>
    <d v="2017-08-19T00:00:00"/>
    <x v="9"/>
    <s v="David Adams"/>
    <n v="70"/>
    <n v="63"/>
    <n v="0.1"/>
    <n v="19"/>
    <n v="1197"/>
  </r>
  <r>
    <s v="I-2811"/>
    <s v="Capetown"/>
    <s v="South Africa"/>
    <s v="EMEA"/>
    <d v="2017-04-29T00:00:00"/>
    <x v="1"/>
    <s v="Stuart Anderson"/>
    <n v="700"/>
    <n v="686"/>
    <n v="0.02"/>
    <n v="97"/>
    <n v="66542"/>
  </r>
  <r>
    <s v="I-2812"/>
    <s v="Toronto"/>
    <s v="Canada"/>
    <s v="NA"/>
    <d v="2018-05-09T00:00:00"/>
    <x v="5"/>
    <s v="David Shiner"/>
    <n v="500"/>
    <n v="425"/>
    <n v="0.15"/>
    <n v="40"/>
    <n v="17000"/>
  </r>
  <r>
    <s v="I-2813"/>
    <s v="Sydney"/>
    <s v="Australia"/>
    <s v="APAC"/>
    <d v="2016-06-14T00:00:00"/>
    <x v="6"/>
    <s v="James Ricketts"/>
    <n v="800"/>
    <n v="784"/>
    <n v="0.02"/>
    <n v="96"/>
    <n v="75264"/>
  </r>
  <r>
    <s v="I-2814"/>
    <s v="Bogota"/>
    <s v="Colombia"/>
    <s v="LATAM"/>
    <d v="2015-03-16T00:00:00"/>
    <x v="11"/>
    <s v="Russell Thorley"/>
    <n v="50"/>
    <n v="43"/>
    <n v="0.14000000000000001"/>
    <n v="37"/>
    <n v="1591"/>
  </r>
  <r>
    <s v="I-2815"/>
    <s v="Bogota"/>
    <s v="Colombia"/>
    <s v="LATAM"/>
    <d v="2017-11-24T00:00:00"/>
    <x v="0"/>
    <s v="Lisa Manning"/>
    <n v="80"/>
    <n v="74"/>
    <n v="7.4999999999999997E-2"/>
    <n v="86"/>
    <n v="6364"/>
  </r>
  <r>
    <s v="I-2816"/>
    <s v="Riyadh"/>
    <s v="Saudi Arabia"/>
    <s v="EMEA"/>
    <d v="2015-07-04T00:00:00"/>
    <x v="3"/>
    <s v="Lloyd Barr"/>
    <n v="50"/>
    <n v="46"/>
    <n v="0.08"/>
    <n v="100"/>
    <n v="4600"/>
  </r>
  <r>
    <s v="I-2817"/>
    <s v="Birmingham"/>
    <s v="UK"/>
    <s v="EMEA"/>
    <d v="2014-02-12T00:00:00"/>
    <x v="10"/>
    <s v="Robert James"/>
    <n v="250"/>
    <n v="223"/>
    <n v="0.108"/>
    <n v="61"/>
    <n v="13603"/>
  </r>
  <r>
    <s v="I-2818"/>
    <s v="Dublin"/>
    <s v="Ireland"/>
    <s v="EMEA"/>
    <d v="2015-12-29T00:00:00"/>
    <x v="10"/>
    <s v="Robert Harris"/>
    <n v="250"/>
    <n v="225"/>
    <n v="0.1"/>
    <n v="15"/>
    <n v="3375"/>
  </r>
  <r>
    <s v="I-2819"/>
    <s v="Paris"/>
    <s v="France"/>
    <s v="EMEA"/>
    <d v="2017-06-08T00:00:00"/>
    <x v="9"/>
    <s v="Melanie Fletcher"/>
    <n v="70"/>
    <n v="69"/>
    <n v="1.43E-2"/>
    <n v="8"/>
    <n v="552"/>
  </r>
  <r>
    <s v="I-2820"/>
    <s v="Sao Paolo"/>
    <s v="Brazil"/>
    <s v="LATAM"/>
    <d v="2017-05-30T00:00:00"/>
    <x v="8"/>
    <s v="Elizabeth Holloway"/>
    <n v="500"/>
    <n v="490"/>
    <n v="0.02"/>
    <n v="24"/>
    <n v="11760"/>
  </r>
  <r>
    <s v="I-2821"/>
    <s v="Kuala Lumpur"/>
    <s v="Malaysia"/>
    <s v="APAC"/>
    <d v="2018-04-13T00:00:00"/>
    <x v="10"/>
    <s v="Anthony Green"/>
    <n v="250"/>
    <n v="220"/>
    <n v="0.12"/>
    <n v="54"/>
    <n v="11880"/>
  </r>
  <r>
    <s v="I-2822"/>
    <s v="Sydney"/>
    <s v="Australia"/>
    <s v="APAC"/>
    <d v="2015-02-09T00:00:00"/>
    <x v="11"/>
    <s v="Jeremy Percival"/>
    <n v="50"/>
    <n v="33"/>
    <n v="0.34"/>
    <n v="44"/>
    <n v="1452"/>
  </r>
  <r>
    <s v="I-2823"/>
    <s v="Kuala Lumpur"/>
    <s v="Malaysia"/>
    <s v="APAC"/>
    <d v="2015-05-28T00:00:00"/>
    <x v="9"/>
    <s v="Trudi Griffin"/>
    <n v="70"/>
    <n v="46"/>
    <n v="0.34289999999999998"/>
    <n v="46"/>
    <n v="2116"/>
  </r>
  <r>
    <s v="I-2824"/>
    <s v="Shanghai"/>
    <s v="China"/>
    <s v="APAC"/>
    <d v="2015-01-23T00:00:00"/>
    <x v="4"/>
    <s v="Timothy Fraser"/>
    <n v="30"/>
    <n v="20"/>
    <n v="0.33329999999999999"/>
    <n v="49"/>
    <n v="980"/>
  </r>
  <r>
    <s v="I-2825"/>
    <s v="Seattle"/>
    <s v="USA"/>
    <s v="NA"/>
    <d v="2018-05-07T00:00:00"/>
    <x v="8"/>
    <s v="Alan Davie"/>
    <n v="500"/>
    <n v="500"/>
    <n v="0"/>
    <n v="10"/>
    <n v="5000"/>
  </r>
  <r>
    <s v="I-2826"/>
    <s v="Los Angeles"/>
    <s v="USA"/>
    <s v="NA"/>
    <d v="2018-09-12T00:00:00"/>
    <x v="8"/>
    <s v="Rita Jenkins"/>
    <n v="500"/>
    <n v="500"/>
    <n v="0"/>
    <n v="82"/>
    <n v="41000"/>
  </r>
  <r>
    <s v="I-2827"/>
    <s v="San Fransisco"/>
    <s v="USA"/>
    <s v="NA"/>
    <d v="2014-02-17T00:00:00"/>
    <x v="5"/>
    <s v="Richard Dewar"/>
    <n v="500"/>
    <n v="350"/>
    <n v="0.3"/>
    <n v="69"/>
    <n v="24150"/>
  </r>
  <r>
    <s v="I-2828"/>
    <s v="Toronto"/>
    <s v="Canada"/>
    <s v="NA"/>
    <d v="2014-04-02T00:00:00"/>
    <x v="8"/>
    <s v="Jordan Andrews"/>
    <n v="500"/>
    <n v="500"/>
    <n v="0"/>
    <n v="30"/>
    <n v="15000"/>
  </r>
  <r>
    <s v="I-2829"/>
    <s v="Tel Aviv"/>
    <s v="Israel"/>
    <s v="EMEA"/>
    <d v="2018-08-14T00:00:00"/>
    <x v="4"/>
    <s v="Deanna Wang"/>
    <n v="30"/>
    <n v="29"/>
    <n v="3.3300000000000003E-2"/>
    <n v="13"/>
    <n v="377"/>
  </r>
  <r>
    <s v="I-2830"/>
    <s v="Dubai"/>
    <s v="UAE"/>
    <s v="EMEA"/>
    <d v="2014-03-12T00:00:00"/>
    <x v="5"/>
    <s v="Brenda Lightfoot"/>
    <n v="500"/>
    <n v="300"/>
    <n v="0.4"/>
    <n v="91"/>
    <n v="27300"/>
  </r>
  <r>
    <s v="I-2831"/>
    <s v="Shenzhen"/>
    <s v="China"/>
    <s v="APAC"/>
    <d v="2017-07-29T00:00:00"/>
    <x v="9"/>
    <s v="Alastair Mills"/>
    <n v="70"/>
    <n v="67"/>
    <n v="4.2900000000000001E-2"/>
    <n v="67"/>
    <n v="4489"/>
  </r>
  <r>
    <s v="I-2832"/>
    <s v="Tokyo"/>
    <s v="Japan"/>
    <s v="APAC"/>
    <d v="2016-04-02T00:00:00"/>
    <x v="9"/>
    <s v="Basil Bell"/>
    <n v="70"/>
    <n v="61"/>
    <n v="0.12859999999999999"/>
    <n v="29"/>
    <n v="1769"/>
  </r>
  <r>
    <s v="I-2833"/>
    <s v="Birmingham"/>
    <s v="UK"/>
    <s v="EMEA"/>
    <d v="2017-12-05T00:00:00"/>
    <x v="2"/>
    <s v="Philip Collins"/>
    <n v="150"/>
    <n v="140"/>
    <n v="6.6699999999999995E-2"/>
    <n v="1"/>
    <n v="140"/>
  </r>
  <r>
    <s v="I-2834"/>
    <s v="Delhi"/>
    <s v="India"/>
    <s v="APAC"/>
    <d v="2016-05-28T00:00:00"/>
    <x v="1"/>
    <s v="Francis Hughes"/>
    <n v="700"/>
    <n v="602"/>
    <n v="0.14000000000000001"/>
    <n v="8"/>
    <n v="4816"/>
  </r>
  <r>
    <s v="I-2835"/>
    <s v="Vancouver"/>
    <s v="Canada"/>
    <s v="NA"/>
    <d v="2018-08-31T00:00:00"/>
    <x v="0"/>
    <s v="Margaret McGregor"/>
    <n v="80"/>
    <n v="74"/>
    <n v="7.4999999999999997E-2"/>
    <n v="93"/>
    <n v="6882"/>
  </r>
  <r>
    <s v="I-2836"/>
    <s v="Tijuana"/>
    <s v="Mexico"/>
    <s v="LATAM"/>
    <d v="2018-10-26T00:00:00"/>
    <x v="1"/>
    <s v="Richard Foy"/>
    <n v="700"/>
    <n v="623"/>
    <n v="0.11"/>
    <n v="26"/>
    <n v="16198"/>
  </r>
  <r>
    <s v="I-2837"/>
    <s v="Ho Chi Minh City"/>
    <s v="Vietnam"/>
    <s v="APAC"/>
    <d v="2014-12-08T00:00:00"/>
    <x v="5"/>
    <s v="Sophie Petersen"/>
    <n v="500"/>
    <n v="365"/>
    <n v="0.27"/>
    <n v="77"/>
    <n v="28105"/>
  </r>
  <r>
    <s v="I-2838"/>
    <s v="Shanghai"/>
    <s v="China"/>
    <s v="APAC"/>
    <d v="2014-08-16T00:00:00"/>
    <x v="10"/>
    <s v="Christopher Snape"/>
    <n v="250"/>
    <n v="193"/>
    <n v="0.22800000000000001"/>
    <n v="16"/>
    <n v="3088"/>
  </r>
  <r>
    <s v="I-2839"/>
    <s v="Houston"/>
    <s v="USA"/>
    <s v="NA"/>
    <d v="2014-06-10T00:00:00"/>
    <x v="3"/>
    <s v="Peter Carley"/>
    <n v="50"/>
    <n v="50"/>
    <n v="0"/>
    <n v="6"/>
    <n v="300"/>
  </r>
  <r>
    <s v="I-2840"/>
    <s v="Houston"/>
    <s v="USA"/>
    <s v="NA"/>
    <d v="2016-02-26T00:00:00"/>
    <x v="1"/>
    <s v="David Salmon"/>
    <n v="700"/>
    <n v="644"/>
    <n v="0.08"/>
    <n v="56"/>
    <n v="36064"/>
  </r>
  <r>
    <s v="I-2841"/>
    <s v="Berlin"/>
    <s v="Germany"/>
    <s v="EMEA"/>
    <d v="2017-12-07T00:00:00"/>
    <x v="1"/>
    <s v="Paul Mannion"/>
    <n v="700"/>
    <n v="686"/>
    <n v="0.02"/>
    <n v="63"/>
    <n v="43218"/>
  </r>
  <r>
    <s v="I-2842"/>
    <s v="Tijuana"/>
    <s v="Mexico"/>
    <s v="LATAM"/>
    <d v="2018-09-23T00:00:00"/>
    <x v="10"/>
    <s v="Timothy Younger"/>
    <n v="250"/>
    <n v="220"/>
    <n v="0.12"/>
    <n v="33"/>
    <n v="7260"/>
  </r>
  <r>
    <s v="I-2843"/>
    <s v="Bangkok"/>
    <s v="Thailand"/>
    <s v="APAC"/>
    <d v="2014-03-09T00:00:00"/>
    <x v="6"/>
    <s v="Martin Gee"/>
    <n v="800"/>
    <n v="688"/>
    <n v="0.14000000000000001"/>
    <n v="28"/>
    <n v="19264"/>
  </r>
  <r>
    <s v="I-2844"/>
    <s v="Berlin"/>
    <s v="Germany"/>
    <s v="EMEA"/>
    <d v="2015-07-17T00:00:00"/>
    <x v="8"/>
    <s v="Jacqueline Clamp"/>
    <n v="500"/>
    <n v="490"/>
    <n v="0.02"/>
    <n v="71"/>
    <n v="34790"/>
  </r>
  <r>
    <s v="I-2845"/>
    <s v="Sao Paolo"/>
    <s v="Brazil"/>
    <s v="LATAM"/>
    <d v="2018-09-03T00:00:00"/>
    <x v="2"/>
    <s v="Zoe Munday"/>
    <n v="150"/>
    <n v="144"/>
    <n v="0.04"/>
    <n v="63"/>
    <n v="9072"/>
  </r>
  <r>
    <s v="I-2846"/>
    <s v="Los Angeles"/>
    <s v="USA"/>
    <s v="NA"/>
    <d v="2014-06-27T00:00:00"/>
    <x v="1"/>
    <s v="Paul Hirst"/>
    <n v="700"/>
    <n v="525"/>
    <n v="0.25"/>
    <n v="12"/>
    <n v="6300"/>
  </r>
  <r>
    <s v="I-2847"/>
    <s v="Tel Aviv"/>
    <s v="Israel"/>
    <s v="EMEA"/>
    <d v="2014-02-20T00:00:00"/>
    <x v="8"/>
    <s v="John Verma"/>
    <n v="500"/>
    <n v="490"/>
    <n v="0.02"/>
    <n v="88"/>
    <n v="43120"/>
  </r>
  <r>
    <s v="I-2848"/>
    <s v="Vienna"/>
    <s v="Austria"/>
    <s v="EMEA"/>
    <d v="2017-06-05T00:00:00"/>
    <x v="2"/>
    <s v="Janet Ward"/>
    <n v="150"/>
    <n v="144"/>
    <n v="0.04"/>
    <n v="14"/>
    <n v="2016"/>
  </r>
  <r>
    <s v="I-2849"/>
    <s v="Riyadh"/>
    <s v="Saudi Arabia"/>
    <s v="EMEA"/>
    <d v="2017-04-22T00:00:00"/>
    <x v="6"/>
    <s v="Victoria Sherwin"/>
    <n v="800"/>
    <n v="456"/>
    <n v="0.43"/>
    <n v="12"/>
    <n v="5472"/>
  </r>
  <r>
    <s v="I-2850"/>
    <s v="Athens"/>
    <s v="Greece"/>
    <s v="EMEA"/>
    <d v="2016-01-20T00:00:00"/>
    <x v="5"/>
    <s v="Martin Timmins"/>
    <n v="500"/>
    <n v="465"/>
    <n v="7.0000000000000007E-2"/>
    <n v="95"/>
    <n v="44175"/>
  </r>
  <r>
    <s v="I-2851"/>
    <s v="Rome"/>
    <s v="Italy"/>
    <s v="EMEA"/>
    <d v="2015-03-15T00:00:00"/>
    <x v="8"/>
    <s v="Michael Toy"/>
    <n v="500"/>
    <n v="495"/>
    <n v="0.01"/>
    <n v="74"/>
    <n v="36630"/>
  </r>
  <r>
    <s v="I-2852"/>
    <s v="Moscow"/>
    <s v="Russia"/>
    <s v="EMEA"/>
    <d v="2015-04-26T00:00:00"/>
    <x v="3"/>
    <s v="Dermot Bailey"/>
    <n v="50"/>
    <n v="49"/>
    <n v="0.02"/>
    <n v="81"/>
    <n v="3969"/>
  </r>
  <r>
    <s v="I-2853"/>
    <s v="Vancouver"/>
    <s v="Canada"/>
    <s v="NA"/>
    <d v="2016-12-21T00:00:00"/>
    <x v="0"/>
    <s v="Elaine Ricketts"/>
    <n v="80"/>
    <n v="78"/>
    <n v="2.5000000000000001E-2"/>
    <n v="54"/>
    <n v="4212"/>
  </r>
  <r>
    <s v="I-2854"/>
    <s v="Bogota"/>
    <s v="Colombia"/>
    <s v="LATAM"/>
    <d v="2014-09-06T00:00:00"/>
    <x v="9"/>
    <s v="Ronald Curtis"/>
    <n v="70"/>
    <n v="52"/>
    <n v="0.2571"/>
    <n v="29"/>
    <n v="1508"/>
  </r>
  <r>
    <s v="I-2855"/>
    <s v="Kuala Lumpur"/>
    <s v="Malaysia"/>
    <s v="APAC"/>
    <d v="2017-06-25T00:00:00"/>
    <x v="2"/>
    <s v="Harold Lunn"/>
    <n v="150"/>
    <n v="144"/>
    <n v="0.04"/>
    <n v="14"/>
    <n v="2016"/>
  </r>
  <r>
    <s v="I-2856"/>
    <s v="Athens"/>
    <s v="Greece"/>
    <s v="EMEA"/>
    <d v="2016-11-08T00:00:00"/>
    <x v="7"/>
    <s v="David Walker"/>
    <n v="1000"/>
    <n v="560"/>
    <n v="0.44"/>
    <n v="38"/>
    <n v="21280"/>
  </r>
  <r>
    <s v="I-2857"/>
    <s v="Bucharest"/>
    <s v="Romania"/>
    <s v="EMEA"/>
    <d v="2018-01-29T00:00:00"/>
    <x v="5"/>
    <s v="Geoffrey Shiner"/>
    <n v="500"/>
    <n v="490"/>
    <n v="0.02"/>
    <n v="43"/>
    <n v="21070"/>
  </r>
  <r>
    <s v="I-2858"/>
    <s v="Bangalore"/>
    <s v="India"/>
    <s v="APAC"/>
    <d v="2018-12-31T00:00:00"/>
    <x v="0"/>
    <s v="Stuart Hunter"/>
    <n v="80"/>
    <n v="76"/>
    <n v="0.05"/>
    <n v="50"/>
    <n v="3800"/>
  </r>
  <r>
    <s v="I-2859"/>
    <s v="Madria"/>
    <s v="Spain"/>
    <s v="EMEA"/>
    <d v="2017-10-17T00:00:00"/>
    <x v="11"/>
    <s v="Paul Long"/>
    <n v="50"/>
    <n v="45"/>
    <n v="0.1"/>
    <n v="21"/>
    <n v="945"/>
  </r>
  <r>
    <s v="I-2860"/>
    <s v="Capetown"/>
    <s v="South Africa"/>
    <s v="EMEA"/>
    <d v="2016-05-20T00:00:00"/>
    <x v="1"/>
    <s v="Margaret Philp"/>
    <n v="700"/>
    <n v="630"/>
    <n v="0.1"/>
    <n v="60"/>
    <n v="37800"/>
  </r>
  <r>
    <s v="I-2861"/>
    <s v="Kansas City"/>
    <s v="USA"/>
    <s v="NA"/>
    <d v="2018-02-04T00:00:00"/>
    <x v="3"/>
    <s v="Douglas Davies"/>
    <n v="50"/>
    <n v="45"/>
    <n v="0.1"/>
    <n v="39"/>
    <n v="1755"/>
  </r>
  <r>
    <s v="I-2862"/>
    <s v="Warsaw"/>
    <s v="Poland"/>
    <s v="EMEA"/>
    <d v="2018-08-17T00:00:00"/>
    <x v="8"/>
    <s v="Valerie Brown"/>
    <n v="500"/>
    <n v="500"/>
    <n v="0"/>
    <n v="9"/>
    <n v="4500"/>
  </r>
  <r>
    <s v="I-2863"/>
    <s v="Seattle"/>
    <s v="USA"/>
    <s v="NA"/>
    <d v="2018-08-30T00:00:00"/>
    <x v="3"/>
    <s v="Kevin Styles"/>
    <n v="50"/>
    <n v="46"/>
    <n v="0.08"/>
    <n v="47"/>
    <n v="2162"/>
  </r>
  <r>
    <s v="I-2864"/>
    <s v="Bangkok"/>
    <s v="Thailand"/>
    <s v="APAC"/>
    <d v="2014-08-18T00:00:00"/>
    <x v="8"/>
    <s v="Andi Liu"/>
    <n v="500"/>
    <n v="490"/>
    <n v="0.02"/>
    <n v="12"/>
    <n v="5880"/>
  </r>
  <r>
    <s v="I-2865"/>
    <s v="Chicago"/>
    <s v="USA"/>
    <s v="NA"/>
    <d v="2014-01-08T00:00:00"/>
    <x v="1"/>
    <s v="Amelia Scott"/>
    <n v="700"/>
    <n v="686"/>
    <n v="0.02"/>
    <n v="35"/>
    <n v="24010"/>
  </r>
  <r>
    <s v="I-2866"/>
    <s v="Los Angeles"/>
    <s v="USA"/>
    <s v="NA"/>
    <d v="2015-07-19T00:00:00"/>
    <x v="4"/>
    <s v="Ron Goodman"/>
    <n v="30"/>
    <n v="25"/>
    <n v="0.16669999999999999"/>
    <n v="44"/>
    <n v="1100"/>
  </r>
  <r>
    <s v="I-2867"/>
    <s v="New York"/>
    <s v="USA"/>
    <s v="NA"/>
    <d v="2015-12-28T00:00:00"/>
    <x v="7"/>
    <s v="Stephen Cohen"/>
    <n v="1000"/>
    <n v="600"/>
    <n v="0.4"/>
    <n v="60"/>
    <n v="36000"/>
  </r>
  <r>
    <s v="I-2868"/>
    <s v="Shanghai"/>
    <s v="China"/>
    <s v="APAC"/>
    <d v="2016-10-25T00:00:00"/>
    <x v="9"/>
    <s v="Timothy Fraser"/>
    <n v="70"/>
    <n v="63"/>
    <n v="0.1"/>
    <n v="36"/>
    <n v="2268"/>
  </r>
  <r>
    <s v="I-2869"/>
    <s v="Riyadh"/>
    <s v="Saudi Arabia"/>
    <s v="EMEA"/>
    <d v="2014-09-09T00:00:00"/>
    <x v="10"/>
    <s v="Lloyd Barr"/>
    <n v="250"/>
    <n v="245"/>
    <n v="0.02"/>
    <n v="67"/>
    <n v="16415"/>
  </r>
  <r>
    <s v="I-2870"/>
    <s v="Tokyo"/>
    <s v="Japan"/>
    <s v="APAC"/>
    <d v="2016-01-16T00:00:00"/>
    <x v="0"/>
    <s v="David Gow"/>
    <n v="80"/>
    <n v="74"/>
    <n v="7.4999999999999997E-2"/>
    <n v="59"/>
    <n v="4366"/>
  </r>
  <r>
    <s v="I-2871"/>
    <s v="Athens"/>
    <s v="Greece"/>
    <s v="EMEA"/>
    <d v="2017-08-01T00:00:00"/>
    <x v="5"/>
    <s v="Martin Timmins"/>
    <n v="500"/>
    <n v="465"/>
    <n v="7.0000000000000007E-2"/>
    <n v="32"/>
    <n v="14880"/>
  </r>
  <r>
    <s v="I-2872"/>
    <s v="Capetown"/>
    <s v="South Africa"/>
    <s v="EMEA"/>
    <d v="2015-09-22T00:00:00"/>
    <x v="2"/>
    <s v="Margaret Philp"/>
    <n v="150"/>
    <n v="110"/>
    <n v="0.26669999999999999"/>
    <n v="62"/>
    <n v="6820"/>
  </r>
  <r>
    <s v="I-2873"/>
    <s v="Cairo"/>
    <s v="Egypt"/>
    <s v="EMEA"/>
    <d v="2018-06-14T00:00:00"/>
    <x v="8"/>
    <s v="Robert Payne"/>
    <n v="500"/>
    <n v="500"/>
    <n v="0"/>
    <n v="88"/>
    <n v="44000"/>
  </r>
  <r>
    <s v="I-2874"/>
    <s v="Los Angeles"/>
    <s v="USA"/>
    <s v="NA"/>
    <d v="2016-01-04T00:00:00"/>
    <x v="1"/>
    <s v="Ron Goodman"/>
    <n v="700"/>
    <n v="700"/>
    <n v="0"/>
    <n v="92"/>
    <n v="64400"/>
  </r>
  <r>
    <s v="I-2875"/>
    <s v="Paris"/>
    <s v="France"/>
    <s v="EMEA"/>
    <d v="2018-06-06T00:00:00"/>
    <x v="11"/>
    <s v="Joanne Sayer"/>
    <n v="50"/>
    <n v="50"/>
    <n v="0"/>
    <n v="47"/>
    <n v="2350"/>
  </r>
  <r>
    <s v="I-2876"/>
    <s v="Shanghai"/>
    <s v="China"/>
    <s v="APAC"/>
    <d v="2014-07-04T00:00:00"/>
    <x v="8"/>
    <s v="Denise Docherty"/>
    <n v="500"/>
    <n v="490"/>
    <n v="0.02"/>
    <n v="27"/>
    <n v="13230"/>
  </r>
  <r>
    <s v="I-2877"/>
    <s v="Istanbul"/>
    <s v="Turkey"/>
    <s v="EMEA"/>
    <d v="2016-10-01T00:00:00"/>
    <x v="7"/>
    <s v="Cordia Alston"/>
    <n v="1000"/>
    <n v="920"/>
    <n v="0.08"/>
    <n v="26"/>
    <n v="23920"/>
  </r>
  <r>
    <s v="I-2878"/>
    <s v="Athens"/>
    <s v="Greece"/>
    <s v="EMEA"/>
    <d v="2016-06-17T00:00:00"/>
    <x v="8"/>
    <s v="Richard Perrott"/>
    <n v="500"/>
    <n v="500"/>
    <n v="0"/>
    <n v="78"/>
    <n v="39000"/>
  </r>
  <r>
    <s v="I-2879"/>
    <s v="Dubai"/>
    <s v="UAE"/>
    <s v="EMEA"/>
    <d v="2017-11-06T00:00:00"/>
    <x v="4"/>
    <s v="David Romero"/>
    <n v="30"/>
    <n v="30"/>
    <n v="0"/>
    <n v="77"/>
    <n v="2310"/>
  </r>
  <r>
    <s v="I-2880"/>
    <s v="Prague"/>
    <s v="Czech Republic"/>
    <s v="EMEA"/>
    <d v="2016-11-01T00:00:00"/>
    <x v="0"/>
    <s v="Alison Hallows"/>
    <n v="80"/>
    <n v="77"/>
    <n v="3.7499999999999999E-2"/>
    <n v="29"/>
    <n v="2233"/>
  </r>
  <r>
    <s v="I-2881"/>
    <s v="Birmingham"/>
    <s v="UK"/>
    <s v="EMEA"/>
    <d v="2015-12-21T00:00:00"/>
    <x v="7"/>
    <s v="Philip Collins"/>
    <n v="1000"/>
    <n v="920"/>
    <n v="0.08"/>
    <n v="55"/>
    <n v="50600"/>
  </r>
  <r>
    <s v="I-2882"/>
    <s v="Madria"/>
    <s v="Spain"/>
    <s v="EMEA"/>
    <d v="2016-06-28T00:00:00"/>
    <x v="0"/>
    <s v="Penelope Freeland"/>
    <n v="80"/>
    <n v="76"/>
    <n v="0.05"/>
    <n v="25"/>
    <n v="1900"/>
  </r>
  <r>
    <s v="I-2883"/>
    <s v="Osaka"/>
    <s v="Japan"/>
    <s v="APAC"/>
    <d v="2016-12-09T00:00:00"/>
    <x v="7"/>
    <s v="Paul Atkins"/>
    <n v="1000"/>
    <n v="740"/>
    <n v="0.26"/>
    <n v="51"/>
    <n v="37740"/>
  </r>
  <r>
    <s v="I-2884"/>
    <s v="Sydney"/>
    <s v="Australia"/>
    <s v="APAC"/>
    <d v="2017-04-28T00:00:00"/>
    <x v="0"/>
    <s v="Armand Ahmed"/>
    <n v="80"/>
    <n v="80"/>
    <n v="0"/>
    <n v="25"/>
    <n v="2000"/>
  </r>
  <r>
    <s v="I-2885"/>
    <s v="Birmingham"/>
    <s v="UK"/>
    <s v="EMEA"/>
    <d v="2014-01-31T00:00:00"/>
    <x v="0"/>
    <s v="Stephen Muhammad"/>
    <n v="80"/>
    <n v="61"/>
    <n v="0.23749999999999999"/>
    <n v="59"/>
    <n v="3599"/>
  </r>
  <r>
    <s v="I-2886"/>
    <s v="Tel Aviv"/>
    <s v="Israel"/>
    <s v="EMEA"/>
    <d v="2015-11-04T00:00:00"/>
    <x v="7"/>
    <s v="Frances Weller"/>
    <n v="1000"/>
    <n v="610"/>
    <n v="0.39"/>
    <n v="96"/>
    <n v="58560"/>
  </r>
  <r>
    <s v="I-2887"/>
    <s v="Bangalore"/>
    <s v="India"/>
    <s v="APAC"/>
    <d v="2016-03-08T00:00:00"/>
    <x v="4"/>
    <s v="Francis Walsh"/>
    <n v="30"/>
    <n v="30"/>
    <n v="0"/>
    <n v="15"/>
    <n v="450"/>
  </r>
  <r>
    <s v="I-2888"/>
    <s v="New York"/>
    <s v="USA"/>
    <s v="NA"/>
    <d v="2014-11-05T00:00:00"/>
    <x v="5"/>
    <s v="George Stevenson"/>
    <n v="500"/>
    <n v="390"/>
    <n v="0.22"/>
    <n v="80"/>
    <n v="31200"/>
  </r>
  <r>
    <s v="I-2889"/>
    <s v="Guangzhou"/>
    <s v="China"/>
    <s v="APAC"/>
    <d v="2016-03-01T00:00:00"/>
    <x v="0"/>
    <s v="Barbara Langdon"/>
    <n v="80"/>
    <n v="70"/>
    <n v="0.125"/>
    <n v="72"/>
    <n v="5040"/>
  </r>
  <r>
    <s v="I-2890"/>
    <s v="Rome"/>
    <s v="Italy"/>
    <s v="EMEA"/>
    <d v="2014-06-06T00:00:00"/>
    <x v="5"/>
    <s v="Audrey Kane"/>
    <n v="500"/>
    <n v="420"/>
    <n v="0.16"/>
    <n v="48"/>
    <n v="20160"/>
  </r>
  <r>
    <s v="I-2891"/>
    <s v="Prague"/>
    <s v="Czech Republic"/>
    <s v="EMEA"/>
    <d v="2017-10-05T00:00:00"/>
    <x v="9"/>
    <s v="Nick Denny"/>
    <n v="70"/>
    <n v="63"/>
    <n v="0.1"/>
    <n v="29"/>
    <n v="1827"/>
  </r>
  <r>
    <s v="I-2892"/>
    <s v="Shanghai"/>
    <s v="China"/>
    <s v="APAC"/>
    <d v="2015-06-25T00:00:00"/>
    <x v="0"/>
    <s v="Christopher Snape"/>
    <n v="80"/>
    <n v="62"/>
    <n v="0.22500000000000001"/>
    <n v="79"/>
    <n v="4898"/>
  </r>
  <r>
    <s v="I-2893"/>
    <s v="Jerusalem"/>
    <s v="Israel"/>
    <s v="EMEA"/>
    <d v="2014-08-11T00:00:00"/>
    <x v="11"/>
    <s v="Harold Charters"/>
    <n v="50"/>
    <n v="49"/>
    <n v="0.02"/>
    <n v="57"/>
    <n v="2793"/>
  </r>
  <r>
    <s v="I-2894"/>
    <s v="Birmingham"/>
    <s v="UK"/>
    <s v="EMEA"/>
    <d v="2014-08-17T00:00:00"/>
    <x v="6"/>
    <s v="Robert Reed"/>
    <n v="800"/>
    <n v="592"/>
    <n v="0.26"/>
    <n v="85"/>
    <n v="50320"/>
  </r>
  <r>
    <s v="I-2895"/>
    <s v="Shanghai"/>
    <s v="China"/>
    <s v="APAC"/>
    <d v="2016-11-05T00:00:00"/>
    <x v="2"/>
    <s v="Jonathan Will"/>
    <n v="150"/>
    <n v="149"/>
    <n v="6.7000000000000002E-3"/>
    <n v="100"/>
    <n v="14900"/>
  </r>
  <r>
    <s v="I-2896"/>
    <s v="Buenos Aires"/>
    <s v="Argentina"/>
    <s v="LATAM"/>
    <d v="2016-07-11T00:00:00"/>
    <x v="7"/>
    <s v="Roy Cooper"/>
    <n v="1000"/>
    <n v="900"/>
    <n v="0.1"/>
    <n v="63"/>
    <n v="56700"/>
  </r>
  <r>
    <s v="I-2897"/>
    <s v="Toronto"/>
    <s v="Canada"/>
    <s v="NA"/>
    <d v="2015-05-15T00:00:00"/>
    <x v="1"/>
    <s v="James Hammond"/>
    <n v="700"/>
    <n v="651"/>
    <n v="7.0000000000000007E-2"/>
    <n v="99"/>
    <n v="64449"/>
  </r>
  <r>
    <s v="I-2898"/>
    <s v="Chicago"/>
    <s v="USA"/>
    <s v="NA"/>
    <d v="2017-05-12T00:00:00"/>
    <x v="3"/>
    <s v="Paul Collier"/>
    <n v="50"/>
    <n v="48"/>
    <n v="0.04"/>
    <n v="90"/>
    <n v="4320"/>
  </r>
  <r>
    <s v="I-2899"/>
    <s v="Delhi"/>
    <s v="India"/>
    <s v="APAC"/>
    <d v="2017-05-18T00:00:00"/>
    <x v="6"/>
    <s v="Steven Batty"/>
    <n v="800"/>
    <n v="592"/>
    <n v="0.26"/>
    <n v="27"/>
    <n v="15984"/>
  </r>
  <r>
    <s v="I-2900"/>
    <s v="Kansas City"/>
    <s v="USA"/>
    <s v="NA"/>
    <d v="2018-02-19T00:00:00"/>
    <x v="2"/>
    <s v="Ronnette Stocks"/>
    <n v="150"/>
    <n v="137"/>
    <n v="8.6699999999999999E-2"/>
    <n v="99"/>
    <n v="13563"/>
  </r>
  <r>
    <s v="I-2901"/>
    <s v="Paris"/>
    <s v="France"/>
    <s v="EMEA"/>
    <d v="2017-01-25T00:00:00"/>
    <x v="5"/>
    <s v="Darren Webb"/>
    <n v="500"/>
    <n v="475"/>
    <n v="0.05"/>
    <n v="65"/>
    <n v="30875"/>
  </r>
  <r>
    <s v="I-2902"/>
    <s v="Prague"/>
    <s v="Czech Republic"/>
    <s v="EMEA"/>
    <d v="2015-12-24T00:00:00"/>
    <x v="2"/>
    <s v="Pauline Pluck"/>
    <n v="150"/>
    <n v="105"/>
    <n v="0.3"/>
    <n v="77"/>
    <n v="8085"/>
  </r>
  <r>
    <s v="I-2903"/>
    <s v="Madria"/>
    <s v="Spain"/>
    <s v="EMEA"/>
    <d v="2016-09-17T00:00:00"/>
    <x v="1"/>
    <s v="Penelope Freeland"/>
    <n v="700"/>
    <n v="602"/>
    <n v="0.14000000000000001"/>
    <n v="86"/>
    <n v="51772"/>
  </r>
  <r>
    <s v="I-2904"/>
    <s v="Osaka"/>
    <s v="Japan"/>
    <s v="APAC"/>
    <d v="2015-09-20T00:00:00"/>
    <x v="6"/>
    <s v="Stephen Brown"/>
    <n v="800"/>
    <n v="672"/>
    <n v="0.16"/>
    <n v="59"/>
    <n v="39648"/>
  </r>
  <r>
    <s v="I-2905"/>
    <s v="Mexico City"/>
    <s v="Mexico"/>
    <s v="LATAM"/>
    <d v="2018-10-11T00:00:00"/>
    <x v="4"/>
    <s v="Paul Smith"/>
    <n v="30"/>
    <n v="28"/>
    <n v="6.6699999999999995E-2"/>
    <n v="37"/>
    <n v="1036"/>
  </r>
  <r>
    <s v="I-2906"/>
    <s v="Lima"/>
    <s v="Peru"/>
    <s v="LATAM"/>
    <d v="2015-07-17T00:00:00"/>
    <x v="1"/>
    <s v="Lloyd Norton"/>
    <n v="700"/>
    <n v="420"/>
    <n v="0.4"/>
    <n v="31"/>
    <n v="13020"/>
  </r>
  <r>
    <s v="I-2907"/>
    <s v="Chicago"/>
    <s v="USA"/>
    <s v="NA"/>
    <d v="2018-07-15T00:00:00"/>
    <x v="4"/>
    <s v="Amelia Scott"/>
    <n v="30"/>
    <n v="29"/>
    <n v="3.3300000000000003E-2"/>
    <n v="52"/>
    <n v="1508"/>
  </r>
  <r>
    <s v="I-2908"/>
    <s v="Vienna"/>
    <s v="Austria"/>
    <s v="EMEA"/>
    <d v="2015-11-10T00:00:00"/>
    <x v="1"/>
    <s v="Daniel Henderson"/>
    <n v="700"/>
    <n v="616"/>
    <n v="0.12"/>
    <n v="36"/>
    <n v="22176"/>
  </r>
  <r>
    <s v="I-2909"/>
    <s v="Santiago"/>
    <s v="Chile"/>
    <s v="LATAM"/>
    <d v="2018-01-21T00:00:00"/>
    <x v="1"/>
    <s v="Bruce McPhee"/>
    <n v="700"/>
    <n v="602"/>
    <n v="0.14000000000000001"/>
    <n v="11"/>
    <n v="6622"/>
  </r>
  <r>
    <s v="I-2910"/>
    <s v="Jerusalem"/>
    <s v="Israel"/>
    <s v="EMEA"/>
    <d v="2015-05-02T00:00:00"/>
    <x v="6"/>
    <s v="Neil Tubbs"/>
    <n v="800"/>
    <n v="704"/>
    <n v="0.12"/>
    <n v="74"/>
    <n v="52096"/>
  </r>
  <r>
    <s v="I-2911"/>
    <s v="Buenos Aires"/>
    <s v="Argentina"/>
    <s v="LATAM"/>
    <d v="2016-07-05T00:00:00"/>
    <x v="8"/>
    <s v="Ian Grant"/>
    <n v="500"/>
    <n v="500"/>
    <n v="0"/>
    <n v="96"/>
    <n v="48000"/>
  </r>
  <r>
    <s v="I-2912"/>
    <s v="Bogota"/>
    <s v="Colombia"/>
    <s v="LATAM"/>
    <d v="2017-11-13T00:00:00"/>
    <x v="2"/>
    <s v="Russell Thorley"/>
    <n v="150"/>
    <n v="147"/>
    <n v="0.02"/>
    <n v="100"/>
    <n v="14700"/>
  </r>
  <r>
    <s v="I-2913"/>
    <s v="Toronto"/>
    <s v="Canada"/>
    <s v="NA"/>
    <d v="2018-05-25T00:00:00"/>
    <x v="4"/>
    <s v="Michael Patel"/>
    <n v="30"/>
    <n v="29"/>
    <n v="3.3300000000000003E-2"/>
    <n v="86"/>
    <n v="2494"/>
  </r>
  <r>
    <s v="I-2914"/>
    <s v="Shanghai"/>
    <s v="China"/>
    <s v="APAC"/>
    <d v="2014-07-17T00:00:00"/>
    <x v="5"/>
    <s v="Christopher Snape"/>
    <n v="500"/>
    <n v="455"/>
    <n v="0.09"/>
    <n v="76"/>
    <n v="34580"/>
  </r>
  <r>
    <s v="I-2915"/>
    <s v="Kuala Lumpur"/>
    <s v="Malaysia"/>
    <s v="APAC"/>
    <d v="2015-10-31T00:00:00"/>
    <x v="10"/>
    <s v="Trudi Griffin"/>
    <n v="250"/>
    <n v="250"/>
    <n v="0"/>
    <n v="95"/>
    <n v="23750"/>
  </r>
  <r>
    <s v="I-2916"/>
    <s v="Moscow"/>
    <s v="Russia"/>
    <s v="EMEA"/>
    <d v="2017-02-21T00:00:00"/>
    <x v="6"/>
    <s v="Rita Hill"/>
    <n v="800"/>
    <n v="688"/>
    <n v="0.14000000000000001"/>
    <n v="81"/>
    <n v="55728"/>
  </r>
  <r>
    <s v="I-2917"/>
    <s v="Sao Paolo"/>
    <s v="Brazil"/>
    <s v="LATAM"/>
    <d v="2016-01-12T00:00:00"/>
    <x v="3"/>
    <s v="Cheryl Tubbs"/>
    <n v="50"/>
    <n v="44"/>
    <n v="0.12"/>
    <n v="9"/>
    <n v="396"/>
  </r>
  <r>
    <s v="I-2918"/>
    <s v="Guangzhou"/>
    <s v="China"/>
    <s v="APAC"/>
    <d v="2017-09-05T00:00:00"/>
    <x v="8"/>
    <s v="Donald Higgs"/>
    <n v="500"/>
    <n v="495"/>
    <n v="0.01"/>
    <n v="26"/>
    <n v="12870"/>
  </r>
  <r>
    <s v="I-2919"/>
    <s v="Birmingham"/>
    <s v="UK"/>
    <s v="EMEA"/>
    <d v="2017-08-06T00:00:00"/>
    <x v="4"/>
    <s v="Gustavo Taiwo"/>
    <n v="30"/>
    <n v="30"/>
    <n v="0"/>
    <n v="72"/>
    <n v="2160"/>
  </r>
  <r>
    <s v="I-2920"/>
    <s v="Seoul"/>
    <s v="South Korea"/>
    <s v="APAC"/>
    <d v="2014-12-11T00:00:00"/>
    <x v="7"/>
    <s v="Martin Birch"/>
    <n v="1000"/>
    <n v="670"/>
    <n v="0.33"/>
    <n v="23"/>
    <n v="15410"/>
  </r>
  <r>
    <s v="I-2921"/>
    <s v="Lima"/>
    <s v="Peru"/>
    <s v="LATAM"/>
    <d v="2017-06-16T00:00:00"/>
    <x v="6"/>
    <s v="Janet Ford"/>
    <n v="800"/>
    <n v="664"/>
    <n v="0.17"/>
    <n v="84"/>
    <n v="55776"/>
  </r>
  <r>
    <s v="I-2922"/>
    <s v="Shenzhen"/>
    <s v="China"/>
    <s v="APAC"/>
    <d v="2014-07-05T00:00:00"/>
    <x v="11"/>
    <s v="Alastair Mills"/>
    <n v="50"/>
    <n v="40"/>
    <n v="0.2"/>
    <n v="37"/>
    <n v="1480"/>
  </r>
  <r>
    <s v="I-2923"/>
    <s v="London"/>
    <s v="UK"/>
    <s v="EMEA"/>
    <d v="2017-09-09T00:00:00"/>
    <x v="7"/>
    <s v="Francis Godden"/>
    <n v="1000"/>
    <n v="890"/>
    <n v="0.11"/>
    <n v="83"/>
    <n v="73870"/>
  </r>
  <r>
    <s v="I-2924"/>
    <s v="Prague"/>
    <s v="Czech Republic"/>
    <s v="EMEA"/>
    <d v="2015-11-13T00:00:00"/>
    <x v="4"/>
    <s v="David Stewart"/>
    <n v="30"/>
    <n v="20"/>
    <n v="0.33329999999999999"/>
    <n v="13"/>
    <n v="260"/>
  </r>
  <r>
    <s v="I-2925"/>
    <s v="Mexico City"/>
    <s v="Mexico"/>
    <s v="LATAM"/>
    <d v="2016-01-14T00:00:00"/>
    <x v="10"/>
    <s v="Malcolm Griffith"/>
    <n v="250"/>
    <n v="245"/>
    <n v="0.02"/>
    <n v="22"/>
    <n v="5390"/>
  </r>
  <r>
    <s v="I-2926"/>
    <s v="Dublin"/>
    <s v="Ireland"/>
    <s v="EMEA"/>
    <d v="2014-12-14T00:00:00"/>
    <x v="3"/>
    <s v="Andrew Phillips"/>
    <n v="50"/>
    <n v="47"/>
    <n v="0.06"/>
    <n v="90"/>
    <n v="4230"/>
  </r>
  <r>
    <s v="I-2927"/>
    <s v="Mexico City"/>
    <s v="Mexico"/>
    <s v="LATAM"/>
    <d v="2016-02-14T00:00:00"/>
    <x v="0"/>
    <s v="Eric Walker"/>
    <n v="80"/>
    <n v="73"/>
    <n v="8.7499999999999994E-2"/>
    <n v="90"/>
    <n v="6570"/>
  </r>
  <r>
    <s v="I-2928"/>
    <s v="Capetown"/>
    <s v="South Africa"/>
    <s v="EMEA"/>
    <d v="2014-08-12T00:00:00"/>
    <x v="8"/>
    <s v="Marcus Jacob"/>
    <n v="500"/>
    <n v="490"/>
    <n v="0.02"/>
    <n v="69"/>
    <n v="33810"/>
  </r>
  <r>
    <s v="I-2929"/>
    <s v="Dublin"/>
    <s v="Ireland"/>
    <s v="EMEA"/>
    <d v="2018-07-16T00:00:00"/>
    <x v="6"/>
    <s v="Alison Younger"/>
    <n v="800"/>
    <n v="712"/>
    <n v="0.11"/>
    <n v="2"/>
    <n v="1424"/>
  </r>
  <r>
    <s v="I-2930"/>
    <s v="Tijuana"/>
    <s v="Mexico"/>
    <s v="LATAM"/>
    <d v="2014-09-19T00:00:00"/>
    <x v="7"/>
    <s v="Emily Brierley"/>
    <n v="1000"/>
    <n v="920"/>
    <n v="0.08"/>
    <n v="7"/>
    <n v="6440"/>
  </r>
  <r>
    <s v="I-2931"/>
    <s v="Bogota"/>
    <s v="Colombia"/>
    <s v="LATAM"/>
    <d v="2015-07-11T00:00:00"/>
    <x v="8"/>
    <s v="David Finnie"/>
    <n v="500"/>
    <n v="495"/>
    <n v="0.01"/>
    <n v="95"/>
    <n v="47025"/>
  </r>
  <r>
    <s v="I-2932"/>
    <s v="Tijuana"/>
    <s v="Mexico"/>
    <s v="LATAM"/>
    <d v="2018-11-09T00:00:00"/>
    <x v="3"/>
    <s v="Paul Skiba"/>
    <n v="50"/>
    <n v="45"/>
    <n v="0.1"/>
    <n v="62"/>
    <n v="2790"/>
  </r>
  <r>
    <s v="I-2933"/>
    <s v="Capetown"/>
    <s v="South Africa"/>
    <s v="EMEA"/>
    <d v="2017-11-28T00:00:00"/>
    <x v="8"/>
    <s v="Lucy Downs"/>
    <n v="500"/>
    <n v="490"/>
    <n v="0.02"/>
    <n v="81"/>
    <n v="39690"/>
  </r>
  <r>
    <s v="I-2934"/>
    <s v="Bucharest"/>
    <s v="Romania"/>
    <s v="EMEA"/>
    <d v="2016-06-24T00:00:00"/>
    <x v="10"/>
    <s v="Geoffrey Shiner"/>
    <n v="250"/>
    <n v="238"/>
    <n v="4.8000000000000001E-2"/>
    <n v="35"/>
    <n v="8330"/>
  </r>
  <r>
    <s v="I-2935"/>
    <s v="Dublin"/>
    <s v="Ireland"/>
    <s v="EMEA"/>
    <d v="2017-10-12T00:00:00"/>
    <x v="7"/>
    <s v="Robert Harris"/>
    <n v="1000"/>
    <n v="670"/>
    <n v="0.33"/>
    <n v="74"/>
    <n v="49580"/>
  </r>
  <r>
    <s v="I-2936"/>
    <s v="Delhi"/>
    <s v="India"/>
    <s v="APAC"/>
    <d v="2018-12-19T00:00:00"/>
    <x v="0"/>
    <s v="David Johnson"/>
    <n v="80"/>
    <n v="72"/>
    <n v="0.1"/>
    <n v="3"/>
    <n v="216"/>
  </r>
  <r>
    <s v="I-2937"/>
    <s v="Warsaw"/>
    <s v="Poland"/>
    <s v="EMEA"/>
    <d v="2015-10-28T00:00:00"/>
    <x v="5"/>
    <s v="James Lam"/>
    <n v="500"/>
    <n v="310"/>
    <n v="0.38"/>
    <n v="19"/>
    <n v="5890"/>
  </r>
  <r>
    <s v="I-2938"/>
    <s v="Kuala Lumpur"/>
    <s v="Malaysia"/>
    <s v="APAC"/>
    <d v="2015-08-07T00:00:00"/>
    <x v="0"/>
    <s v="Trudi Griffin"/>
    <n v="80"/>
    <n v="80"/>
    <n v="0"/>
    <n v="100"/>
    <n v="8000"/>
  </r>
  <r>
    <s v="I-2939"/>
    <s v="Santiago"/>
    <s v="Chile"/>
    <s v="LATAM"/>
    <d v="2015-03-03T00:00:00"/>
    <x v="9"/>
    <s v="Ram Mathews"/>
    <n v="70"/>
    <n v="57"/>
    <n v="0.1857"/>
    <n v="83"/>
    <n v="4731"/>
  </r>
  <r>
    <s v="I-2940"/>
    <s v="San Fransisco"/>
    <s v="USA"/>
    <s v="NA"/>
    <d v="2014-11-18T00:00:00"/>
    <x v="3"/>
    <s v="John Osborne"/>
    <n v="50"/>
    <n v="48"/>
    <n v="0.04"/>
    <n v="97"/>
    <n v="4656"/>
  </r>
  <r>
    <s v="I-2941"/>
    <s v="Capetown"/>
    <s v="South Africa"/>
    <s v="EMEA"/>
    <d v="2014-09-18T00:00:00"/>
    <x v="2"/>
    <s v="Marcus Jacob"/>
    <n v="150"/>
    <n v="128"/>
    <n v="0.1467"/>
    <n v="37"/>
    <n v="4736"/>
  </r>
  <r>
    <s v="I-2942"/>
    <s v="Buenos Aires"/>
    <s v="Argentina"/>
    <s v="LATAM"/>
    <d v="2017-03-04T00:00:00"/>
    <x v="8"/>
    <s v="Paul Martin"/>
    <n v="500"/>
    <n v="490"/>
    <n v="0.02"/>
    <n v="72"/>
    <n v="35280"/>
  </r>
  <r>
    <s v="I-2943"/>
    <s v="Capetown"/>
    <s v="South Africa"/>
    <s v="EMEA"/>
    <d v="2014-03-11T00:00:00"/>
    <x v="2"/>
    <s v="Marcus Jacob"/>
    <n v="150"/>
    <n v="120"/>
    <n v="0.2"/>
    <n v="29"/>
    <n v="3480"/>
  </r>
  <r>
    <s v="I-2944"/>
    <s v="Moscow"/>
    <s v="Russia"/>
    <s v="EMEA"/>
    <d v="2015-08-27T00:00:00"/>
    <x v="1"/>
    <s v="Dermot Bailey"/>
    <n v="700"/>
    <n v="665"/>
    <n v="0.05"/>
    <n v="63"/>
    <n v="41895"/>
  </r>
  <r>
    <s v="I-2945"/>
    <s v="Riyadh"/>
    <s v="Saudi Arabia"/>
    <s v="EMEA"/>
    <d v="2014-06-12T00:00:00"/>
    <x v="6"/>
    <s v="Victoria Sherwin"/>
    <n v="800"/>
    <n v="480"/>
    <n v="0.4"/>
    <n v="36"/>
    <n v="17280"/>
  </r>
  <r>
    <s v="I-2946"/>
    <s v="Prague"/>
    <s v="Czech Republic"/>
    <s v="EMEA"/>
    <d v="2014-05-06T00:00:00"/>
    <x v="9"/>
    <s v="David Stewart"/>
    <n v="70"/>
    <n v="67"/>
    <n v="4.2900000000000001E-2"/>
    <n v="95"/>
    <n v="6365"/>
  </r>
  <r>
    <s v="I-2947"/>
    <s v="Kuala Lumpur"/>
    <s v="Malaysia"/>
    <s v="APAC"/>
    <d v="2016-10-15T00:00:00"/>
    <x v="7"/>
    <s v="Harold Lunn"/>
    <n v="1000"/>
    <n v="680"/>
    <n v="0.32"/>
    <n v="53"/>
    <n v="36040"/>
  </r>
  <r>
    <s v="I-2948"/>
    <s v="Berlin"/>
    <s v="Germany"/>
    <s v="EMEA"/>
    <d v="2015-05-22T00:00:00"/>
    <x v="0"/>
    <s v="David Power"/>
    <n v="80"/>
    <n v="57"/>
    <n v="0.28749999999999998"/>
    <n v="88"/>
    <n v="5016"/>
  </r>
  <r>
    <s v="I-2949"/>
    <s v="Amsterdam"/>
    <s v="Netherlands"/>
    <s v="EMEA"/>
    <d v="2015-02-23T00:00:00"/>
    <x v="9"/>
    <s v="Allyson Rush"/>
    <n v="70"/>
    <n v="69"/>
    <n v="1.43E-2"/>
    <n v="53"/>
    <n v="3657"/>
  </r>
  <r>
    <s v="I-2950"/>
    <s v="Ho Chi Minh City"/>
    <s v="Vietnam"/>
    <s v="APAC"/>
    <d v="2018-09-22T00:00:00"/>
    <x v="4"/>
    <s v="Michael Bell"/>
    <n v="30"/>
    <n v="29"/>
    <n v="3.3300000000000003E-2"/>
    <n v="57"/>
    <n v="1653"/>
  </r>
  <r>
    <s v="I-2951"/>
    <s v="Osaka"/>
    <s v="Japan"/>
    <s v="APAC"/>
    <d v="2016-06-23T00:00:00"/>
    <x v="1"/>
    <s v="Peter Walker"/>
    <n v="700"/>
    <n v="665"/>
    <n v="0.05"/>
    <n v="23"/>
    <n v="15295"/>
  </r>
  <r>
    <s v="I-2952"/>
    <s v="Berlin"/>
    <s v="Germany"/>
    <s v="EMEA"/>
    <d v="2016-12-07T00:00:00"/>
    <x v="10"/>
    <s v="David Power"/>
    <n v="250"/>
    <n v="235"/>
    <n v="0.06"/>
    <n v="36"/>
    <n v="8460"/>
  </r>
  <r>
    <s v="I-2953"/>
    <s v="Kansas City"/>
    <s v="USA"/>
    <s v="NA"/>
    <d v="2018-09-04T00:00:00"/>
    <x v="10"/>
    <s v="Ronnette Stocks"/>
    <n v="250"/>
    <n v="218"/>
    <n v="0.128"/>
    <n v="75"/>
    <n v="16350"/>
  </r>
  <r>
    <s v="I-2954"/>
    <s v="Santiago"/>
    <s v="Chile"/>
    <s v="LATAM"/>
    <d v="2015-07-14T00:00:00"/>
    <x v="6"/>
    <s v="Richard James"/>
    <n v="800"/>
    <n v="616"/>
    <n v="0.23"/>
    <n v="60"/>
    <n v="36960"/>
  </r>
  <r>
    <s v="I-2955"/>
    <s v="Guangzhou"/>
    <s v="China"/>
    <s v="APAC"/>
    <d v="2014-04-30T00:00:00"/>
    <x v="5"/>
    <s v="Donald Higgs"/>
    <n v="500"/>
    <n v="395"/>
    <n v="0.21"/>
    <n v="83"/>
    <n v="32785"/>
  </r>
  <r>
    <s v="I-2956"/>
    <s v="Bangkok"/>
    <s v="Thailand"/>
    <s v="APAC"/>
    <d v="2018-12-25T00:00:00"/>
    <x v="9"/>
    <s v="Nicole Marshall"/>
    <n v="70"/>
    <n v="69"/>
    <n v="1.43E-2"/>
    <n v="4"/>
    <n v="276"/>
  </r>
  <r>
    <s v="I-2957"/>
    <s v="Shanghai"/>
    <s v="China"/>
    <s v="APAC"/>
    <d v="2015-10-27T00:00:00"/>
    <x v="1"/>
    <s v="Glenys Raymond"/>
    <n v="700"/>
    <n v="609"/>
    <n v="0.13"/>
    <n v="36"/>
    <n v="21924"/>
  </r>
  <r>
    <s v="I-2958"/>
    <s v="Cairo"/>
    <s v="Egypt"/>
    <s v="EMEA"/>
    <d v="2015-10-21T00:00:00"/>
    <x v="5"/>
    <s v="John Barnett"/>
    <n v="500"/>
    <n v="455"/>
    <n v="0.09"/>
    <n v="72"/>
    <n v="32760"/>
  </r>
  <r>
    <s v="I-2959"/>
    <s v="Shanghai"/>
    <s v="China"/>
    <s v="APAC"/>
    <d v="2018-04-10T00:00:00"/>
    <x v="0"/>
    <s v="Sharon Hubble"/>
    <n v="80"/>
    <n v="73"/>
    <n v="8.7499999999999994E-2"/>
    <n v="63"/>
    <n v="4599"/>
  </r>
  <r>
    <s v="I-2960"/>
    <s v="Seoul"/>
    <s v="South Korea"/>
    <s v="APAC"/>
    <d v="2015-10-02T00:00:00"/>
    <x v="4"/>
    <s v="Kevin Long"/>
    <n v="30"/>
    <n v="29"/>
    <n v="3.3300000000000003E-2"/>
    <n v="95"/>
    <n v="2755"/>
  </r>
  <r>
    <s v="I-2961"/>
    <s v="Riyadh"/>
    <s v="Saudi Arabia"/>
    <s v="EMEA"/>
    <d v="2014-04-27T00:00:00"/>
    <x v="5"/>
    <s v="Kelly Owen"/>
    <n v="500"/>
    <n v="385"/>
    <n v="0.23"/>
    <n v="48"/>
    <n v="18480"/>
  </r>
  <r>
    <s v="I-2962"/>
    <s v="Paris"/>
    <s v="France"/>
    <s v="EMEA"/>
    <d v="2016-02-05T00:00:00"/>
    <x v="6"/>
    <s v="Rory Bullion"/>
    <n v="800"/>
    <n v="768"/>
    <n v="0.04"/>
    <n v="51"/>
    <n v="39168"/>
  </r>
  <r>
    <s v="I-2963"/>
    <s v="Houston"/>
    <s v="USA"/>
    <s v="NA"/>
    <d v="2015-05-08T00:00:00"/>
    <x v="9"/>
    <s v="Rita Schaffer"/>
    <n v="70"/>
    <n v="53"/>
    <n v="0.2429"/>
    <n v="52"/>
    <n v="2756"/>
  </r>
  <r>
    <s v="I-2964"/>
    <s v="Bucharest"/>
    <s v="Romania"/>
    <s v="EMEA"/>
    <d v="2017-10-04T00:00:00"/>
    <x v="10"/>
    <s v="Jacqueline Todd"/>
    <n v="250"/>
    <n v="248"/>
    <n v="8.0000000000000002E-3"/>
    <n v="65"/>
    <n v="16120"/>
  </r>
  <r>
    <s v="I-2965"/>
    <s v="Berlin"/>
    <s v="Germany"/>
    <s v="EMEA"/>
    <d v="2018-01-25T00:00:00"/>
    <x v="10"/>
    <s v="David Townsend"/>
    <n v="250"/>
    <n v="213"/>
    <n v="0.14799999999999999"/>
    <n v="45"/>
    <n v="9585"/>
  </r>
  <r>
    <s v="I-2966"/>
    <s v="Buenos Aires"/>
    <s v="Argentina"/>
    <s v="LATAM"/>
    <d v="2014-03-11T00:00:00"/>
    <x v="11"/>
    <s v="Ronald Rowlands"/>
    <n v="50"/>
    <n v="36"/>
    <n v="0.28000000000000003"/>
    <n v="85"/>
    <n v="3060"/>
  </r>
  <r>
    <s v="I-2967"/>
    <s v="Kansas City"/>
    <s v="USA"/>
    <s v="NA"/>
    <d v="2015-01-08T00:00:00"/>
    <x v="9"/>
    <s v="Douglas Davies"/>
    <n v="70"/>
    <n v="66"/>
    <n v="5.7099999999999998E-2"/>
    <n v="15"/>
    <n v="990"/>
  </r>
  <r>
    <s v="I-2968"/>
    <s v="Dublin"/>
    <s v="Ireland"/>
    <s v="EMEA"/>
    <d v="2016-11-09T00:00:00"/>
    <x v="5"/>
    <s v="Andrew Phillips"/>
    <n v="500"/>
    <n v="445"/>
    <n v="0.11"/>
    <n v="62"/>
    <n v="27590"/>
  </r>
  <r>
    <s v="I-2969"/>
    <s v="Athens"/>
    <s v="Greece"/>
    <s v="EMEA"/>
    <d v="2015-05-31T00:00:00"/>
    <x v="3"/>
    <s v="Mark Lawton"/>
    <n v="50"/>
    <n v="30"/>
    <n v="0.4"/>
    <n v="9"/>
    <n v="270"/>
  </r>
  <r>
    <s v="I-2970"/>
    <s v="Santiago"/>
    <s v="Chile"/>
    <s v="LATAM"/>
    <d v="2014-04-01T00:00:00"/>
    <x v="10"/>
    <s v="Richard James"/>
    <n v="250"/>
    <n v="243"/>
    <n v="2.8000000000000001E-2"/>
    <n v="6"/>
    <n v="1458"/>
  </r>
  <r>
    <s v="I-2971"/>
    <s v="Guangzhou"/>
    <s v="China"/>
    <s v="APAC"/>
    <d v="2015-03-15T00:00:00"/>
    <x v="3"/>
    <s v="Barbara Langdon"/>
    <n v="50"/>
    <n v="45"/>
    <n v="0.1"/>
    <n v="83"/>
    <n v="3735"/>
  </r>
  <r>
    <s v="I-2972"/>
    <s v="Amsterdam"/>
    <s v="Netherlands"/>
    <s v="EMEA"/>
    <d v="2017-12-12T00:00:00"/>
    <x v="11"/>
    <s v="David Dorey"/>
    <n v="50"/>
    <n v="50"/>
    <n v="0"/>
    <n v="99"/>
    <n v="4950"/>
  </r>
  <r>
    <s v="I-2973"/>
    <s v="Madria"/>
    <s v="Spain"/>
    <s v="EMEA"/>
    <d v="2018-04-26T00:00:00"/>
    <x v="10"/>
    <s v="Roy Lloyd"/>
    <n v="250"/>
    <n v="220"/>
    <n v="0.12"/>
    <n v="58"/>
    <n v="12760"/>
  </r>
  <r>
    <s v="I-2974"/>
    <s v="Tel Aviv"/>
    <s v="Israel"/>
    <s v="EMEA"/>
    <d v="2017-07-18T00:00:00"/>
    <x v="5"/>
    <s v="Rebecca Delo"/>
    <n v="500"/>
    <n v="450"/>
    <n v="0.1"/>
    <n v="90"/>
    <n v="40500"/>
  </r>
  <r>
    <s v="I-2975"/>
    <s v="Bangkok"/>
    <s v="Thailand"/>
    <s v="APAC"/>
    <d v="2018-04-12T00:00:00"/>
    <x v="3"/>
    <s v="Jonathan Pereira"/>
    <n v="50"/>
    <n v="48"/>
    <n v="0.04"/>
    <n v="50"/>
    <n v="2400"/>
  </r>
  <r>
    <s v="I-2976"/>
    <s v="Guangzhou"/>
    <s v="China"/>
    <s v="APAC"/>
    <d v="2016-08-20T00:00:00"/>
    <x v="0"/>
    <s v="Abdul Amos"/>
    <n v="80"/>
    <n v="78"/>
    <n v="2.5000000000000001E-2"/>
    <n v="70"/>
    <n v="5460"/>
  </r>
  <r>
    <s v="I-2977"/>
    <s v="Moscow"/>
    <s v="Russia"/>
    <s v="EMEA"/>
    <d v="2016-11-25T00:00:00"/>
    <x v="2"/>
    <s v="Diane Batty"/>
    <n v="150"/>
    <n v="149"/>
    <n v="6.7000000000000002E-3"/>
    <n v="73"/>
    <n v="10877"/>
  </r>
  <r>
    <s v="I-2978"/>
    <s v="Sydney"/>
    <s v="Australia"/>
    <s v="APAC"/>
    <d v="2016-11-26T00:00:00"/>
    <x v="6"/>
    <s v="William Martin"/>
    <n v="800"/>
    <n v="592"/>
    <n v="0.26"/>
    <n v="68"/>
    <n v="40256"/>
  </r>
  <r>
    <s v="I-2979"/>
    <s v="Paris"/>
    <s v="France"/>
    <s v="EMEA"/>
    <d v="2016-01-08T00:00:00"/>
    <x v="6"/>
    <s v="Nicole Ford"/>
    <n v="800"/>
    <n v="800"/>
    <n v="0"/>
    <n v="19"/>
    <n v="15200"/>
  </r>
  <r>
    <s v="I-2980"/>
    <s v="Buenos Aires"/>
    <s v="Argentina"/>
    <s v="LATAM"/>
    <d v="2016-07-18T00:00:00"/>
    <x v="9"/>
    <s v="Simon Snape"/>
    <n v="70"/>
    <n v="63"/>
    <n v="0.1"/>
    <n v="86"/>
    <n v="5418"/>
  </r>
  <r>
    <s v="I-2981"/>
    <s v="Seattle"/>
    <s v="USA"/>
    <s v="NA"/>
    <d v="2014-11-06T00:00:00"/>
    <x v="1"/>
    <s v="Kevin Styles"/>
    <n v="700"/>
    <n v="651"/>
    <n v="7.0000000000000007E-2"/>
    <n v="69"/>
    <n v="44919"/>
  </r>
  <r>
    <s v="I-2982"/>
    <s v="Seattle"/>
    <s v="USA"/>
    <s v="NA"/>
    <d v="2015-12-11T00:00:00"/>
    <x v="0"/>
    <s v="Richard Anderson"/>
    <n v="80"/>
    <n v="54"/>
    <n v="0.32500000000000001"/>
    <n v="33"/>
    <n v="1782"/>
  </r>
  <r>
    <s v="I-2983"/>
    <s v="Tijuana"/>
    <s v="Mexico"/>
    <s v="LATAM"/>
    <d v="2016-01-06T00:00:00"/>
    <x v="11"/>
    <s v="Kevin McLauchlin"/>
    <n v="50"/>
    <n v="50"/>
    <n v="0"/>
    <n v="66"/>
    <n v="3300"/>
  </r>
  <r>
    <s v="I-2984"/>
    <s v="Osaka"/>
    <s v="Japan"/>
    <s v="APAC"/>
    <d v="2015-01-06T00:00:00"/>
    <x v="5"/>
    <s v="Kenneth Walter"/>
    <n v="500"/>
    <n v="320"/>
    <n v="0.36"/>
    <n v="71"/>
    <n v="22720"/>
  </r>
  <r>
    <s v="I-2985"/>
    <s v="Paris"/>
    <s v="France"/>
    <s v="EMEA"/>
    <d v="2018-02-12T00:00:00"/>
    <x v="3"/>
    <s v="Ketan Bryan"/>
    <n v="50"/>
    <n v="43"/>
    <n v="0.14000000000000001"/>
    <n v="10"/>
    <n v="430"/>
  </r>
  <r>
    <s v="I-2986"/>
    <s v="Seoul"/>
    <s v="South Korea"/>
    <s v="APAC"/>
    <d v="2017-01-27T00:00:00"/>
    <x v="0"/>
    <s v="Mark Brook"/>
    <n v="80"/>
    <n v="78"/>
    <n v="2.5000000000000001E-2"/>
    <n v="17"/>
    <n v="1326"/>
  </r>
  <r>
    <s v="I-2987"/>
    <s v="London"/>
    <s v="UK"/>
    <s v="EMEA"/>
    <d v="2015-07-02T00:00:00"/>
    <x v="10"/>
    <s v="Claire Brooks"/>
    <n v="250"/>
    <n v="248"/>
    <n v="8.0000000000000002E-3"/>
    <n v="6"/>
    <n v="1488"/>
  </r>
  <r>
    <s v="I-2988"/>
    <s v="Lima"/>
    <s v="Peru"/>
    <s v="LATAM"/>
    <d v="2017-06-01T00:00:00"/>
    <x v="4"/>
    <s v="Kevin Goad"/>
    <n v="30"/>
    <n v="27"/>
    <n v="0.1"/>
    <n v="64"/>
    <n v="1728"/>
  </r>
  <r>
    <s v="I-2989"/>
    <s v="Vienna"/>
    <s v="Austria"/>
    <s v="EMEA"/>
    <d v="2018-03-04T00:00:00"/>
    <x v="8"/>
    <s v="Paul Drage"/>
    <n v="500"/>
    <n v="495"/>
    <n v="0.01"/>
    <n v="44"/>
    <n v="21780"/>
  </r>
  <r>
    <s v="I-2990"/>
    <s v="Osaka"/>
    <s v="Japan"/>
    <s v="APAC"/>
    <d v="2018-12-02T00:00:00"/>
    <x v="6"/>
    <s v="Neil McAvoy"/>
    <n v="800"/>
    <n v="480"/>
    <n v="0.4"/>
    <n v="14"/>
    <n v="6720"/>
  </r>
  <r>
    <s v="I-2991"/>
    <s v="New York"/>
    <s v="USA"/>
    <s v="NA"/>
    <d v="2016-01-03T00:00:00"/>
    <x v="10"/>
    <s v="Stephen Cohen"/>
    <n v="250"/>
    <n v="215"/>
    <n v="0.14000000000000001"/>
    <n v="18"/>
    <n v="3870"/>
  </r>
  <r>
    <s v="I-2992"/>
    <s v="Capetown"/>
    <s v="South Africa"/>
    <s v="EMEA"/>
    <d v="2015-01-10T00:00:00"/>
    <x v="5"/>
    <s v="Lucy Downs"/>
    <n v="500"/>
    <n v="420"/>
    <n v="0.16"/>
    <n v="64"/>
    <n v="26880"/>
  </r>
  <r>
    <s v="I-2993"/>
    <s v="Bucharest"/>
    <s v="Romania"/>
    <s v="EMEA"/>
    <d v="2014-02-12T00:00:00"/>
    <x v="6"/>
    <s v="Dell Lockwood"/>
    <n v="800"/>
    <n v="648"/>
    <n v="0.19"/>
    <n v="46"/>
    <n v="29808"/>
  </r>
  <r>
    <s v="I-2994"/>
    <s v="Tel Aviv"/>
    <s v="Israel"/>
    <s v="EMEA"/>
    <d v="2017-10-11T00:00:00"/>
    <x v="3"/>
    <s v="Frances Weller"/>
    <n v="50"/>
    <n v="49"/>
    <n v="0.02"/>
    <n v="64"/>
    <n v="3136"/>
  </r>
  <r>
    <s v="I-2995"/>
    <s v="Riyadh"/>
    <s v="Saudi Arabia"/>
    <s v="EMEA"/>
    <d v="2018-08-27T00:00:00"/>
    <x v="5"/>
    <s v="Gillian Crawley"/>
    <n v="500"/>
    <n v="465"/>
    <n v="7.0000000000000007E-2"/>
    <n v="45"/>
    <n v="20925"/>
  </r>
  <r>
    <s v="I-2996"/>
    <s v="Mexico City"/>
    <s v="Mexico"/>
    <s v="LATAM"/>
    <d v="2014-02-13T00:00:00"/>
    <x v="10"/>
    <s v="Jacqueline Green"/>
    <n v="250"/>
    <n v="215"/>
    <n v="0.14000000000000001"/>
    <n v="37"/>
    <n v="7955"/>
  </r>
  <r>
    <s v="I-2997"/>
    <s v="Jerusalem"/>
    <s v="Israel"/>
    <s v="EMEA"/>
    <d v="2016-06-23T00:00:00"/>
    <x v="2"/>
    <s v="John Bond"/>
    <n v="150"/>
    <n v="149"/>
    <n v="6.7000000000000002E-3"/>
    <n v="89"/>
    <n v="13261"/>
  </r>
  <r>
    <s v="I-2998"/>
    <s v="Guangzhou"/>
    <s v="China"/>
    <s v="APAC"/>
    <d v="2014-11-24T00:00:00"/>
    <x v="11"/>
    <s v="Carl Snape"/>
    <n v="50"/>
    <n v="38"/>
    <n v="0.24"/>
    <n v="52"/>
    <n v="1976"/>
  </r>
  <r>
    <s v="I-2999"/>
    <s v="Ho Chi Minh City"/>
    <s v="Vietnam"/>
    <s v="APAC"/>
    <d v="2017-09-20T00:00:00"/>
    <x v="7"/>
    <s v="Austin Parsons"/>
    <n v="1000"/>
    <n v="670"/>
    <n v="0.33"/>
    <n v="97"/>
    <n v="64990"/>
  </r>
  <r>
    <s v="I-3000"/>
    <s v="Ho Chi Minh City"/>
    <s v="Vietnam"/>
    <s v="APAC"/>
    <d v="2018-12-06T00:00:00"/>
    <x v="7"/>
    <s v="Sophie Petersen"/>
    <n v="1000"/>
    <n v="590"/>
    <n v="0.41"/>
    <n v="50"/>
    <n v="29500"/>
  </r>
  <r>
    <s v="I-3001"/>
    <s v="Kuala Lumpur"/>
    <s v="Malaysia"/>
    <s v="APAC"/>
    <d v="2014-10-13T00:00:00"/>
    <x v="11"/>
    <s v="Stephen MacGregor"/>
    <n v="50"/>
    <n v="49"/>
    <n v="0.02"/>
    <n v="48"/>
    <n v="2352"/>
  </r>
  <r>
    <s v="I-3002"/>
    <s v="New York"/>
    <s v="USA"/>
    <s v="NA"/>
    <d v="2015-12-16T00:00:00"/>
    <x v="4"/>
    <s v="Ian Coates"/>
    <n v="30"/>
    <n v="20"/>
    <n v="0.33329999999999999"/>
    <n v="85"/>
    <n v="1700"/>
  </r>
  <r>
    <s v="I-3003"/>
    <s v="Paris"/>
    <s v="France"/>
    <s v="EMEA"/>
    <d v="2014-08-17T00:00:00"/>
    <x v="5"/>
    <s v="Philip Tubbs"/>
    <n v="500"/>
    <n v="450"/>
    <n v="0.1"/>
    <n v="26"/>
    <n v="11700"/>
  </r>
  <r>
    <s v="I-3004"/>
    <s v="Cairo"/>
    <s v="Egypt"/>
    <s v="EMEA"/>
    <d v="2018-12-08T00:00:00"/>
    <x v="8"/>
    <s v="David Amos"/>
    <n v="500"/>
    <n v="490"/>
    <n v="0.02"/>
    <n v="35"/>
    <n v="17150"/>
  </r>
  <r>
    <s v="I-3005"/>
    <s v="Warsaw"/>
    <s v="Poland"/>
    <s v="EMEA"/>
    <d v="2016-12-21T00:00:00"/>
    <x v="10"/>
    <s v="Gary Mistry"/>
    <n v="250"/>
    <n v="103"/>
    <n v="0.58799999999999997"/>
    <n v="3"/>
    <n v="309"/>
  </r>
  <r>
    <s v="I-3006"/>
    <s v="Paris"/>
    <s v="France"/>
    <s v="EMEA"/>
    <d v="2016-09-18T00:00:00"/>
    <x v="4"/>
    <s v="Philip Tubbs"/>
    <n v="30"/>
    <n v="26"/>
    <n v="0.1333"/>
    <n v="32"/>
    <n v="832"/>
  </r>
  <r>
    <s v="I-3007"/>
    <s v="Bangalore"/>
    <s v="India"/>
    <s v="APAC"/>
    <d v="2017-09-06T00:00:00"/>
    <x v="7"/>
    <s v="Stuart Sykes"/>
    <n v="1000"/>
    <n v="570"/>
    <n v="0.43"/>
    <n v="96"/>
    <n v="54720"/>
  </r>
  <r>
    <s v="I-3008"/>
    <s v="Dublin"/>
    <s v="Ireland"/>
    <s v="EMEA"/>
    <d v="2014-02-21T00:00:00"/>
    <x v="3"/>
    <s v="Gwyn Taylor"/>
    <n v="50"/>
    <n v="50"/>
    <n v="0"/>
    <n v="64"/>
    <n v="3200"/>
  </r>
  <r>
    <s v="I-3009"/>
    <s v="Kansas City"/>
    <s v="USA"/>
    <s v="NA"/>
    <d v="2016-04-23T00:00:00"/>
    <x v="0"/>
    <s v="Christina Pedley"/>
    <n v="80"/>
    <n v="79"/>
    <n v="1.2500000000000001E-2"/>
    <n v="62"/>
    <n v="4898"/>
  </r>
  <r>
    <s v="I-3010"/>
    <s v="Rome"/>
    <s v="Italy"/>
    <s v="EMEA"/>
    <d v="2015-06-23T00:00:00"/>
    <x v="4"/>
    <s v="Michael Toy"/>
    <n v="30"/>
    <n v="27"/>
    <n v="0.1"/>
    <n v="3"/>
    <n v="81"/>
  </r>
  <r>
    <s v="I-3011"/>
    <s v="Bogota"/>
    <s v="Colombia"/>
    <s v="LATAM"/>
    <d v="2014-11-19T00:00:00"/>
    <x v="7"/>
    <s v="Alison Lazar"/>
    <n v="1000"/>
    <n v="800"/>
    <n v="0.2"/>
    <n v="24"/>
    <n v="19200"/>
  </r>
  <r>
    <s v="I-3012"/>
    <s v="Warsaw"/>
    <s v="Poland"/>
    <s v="EMEA"/>
    <d v="2016-02-11T00:00:00"/>
    <x v="3"/>
    <s v="Hin Bragg"/>
    <n v="50"/>
    <n v="46"/>
    <n v="0.08"/>
    <n v="93"/>
    <n v="4278"/>
  </r>
  <r>
    <s v="I-3013"/>
    <s v="Kansas City"/>
    <s v="USA"/>
    <s v="NA"/>
    <d v="2015-03-11T00:00:00"/>
    <x v="6"/>
    <s v="Douglas Davies"/>
    <n v="800"/>
    <n v="440"/>
    <n v="0.45"/>
    <n v="33"/>
    <n v="14520"/>
  </r>
  <r>
    <s v="I-3014"/>
    <s v="Toronto"/>
    <s v="Canada"/>
    <s v="NA"/>
    <d v="2014-09-05T00:00:00"/>
    <x v="0"/>
    <s v="Nick Blacklock"/>
    <n v="80"/>
    <n v="71"/>
    <n v="0.1125"/>
    <n v="19"/>
    <n v="1349"/>
  </r>
  <r>
    <s v="I-3015"/>
    <s v="Kansas City"/>
    <s v="USA"/>
    <s v="NA"/>
    <d v="2016-02-20T00:00:00"/>
    <x v="6"/>
    <s v="Ronnette Stocks"/>
    <n v="800"/>
    <n v="512"/>
    <n v="0.36"/>
    <n v="98"/>
    <n v="50176"/>
  </r>
  <r>
    <s v="I-3016"/>
    <s v="Lima"/>
    <s v="Peru"/>
    <s v="LATAM"/>
    <d v="2014-05-03T00:00:00"/>
    <x v="0"/>
    <s v="William Lant"/>
    <n v="80"/>
    <n v="77"/>
    <n v="3.7499999999999999E-2"/>
    <n v="41"/>
    <n v="3157"/>
  </r>
  <r>
    <s v="I-3017"/>
    <s v="Kuala Lumpur"/>
    <s v="Malaysia"/>
    <s v="APAC"/>
    <d v="2014-08-06T00:00:00"/>
    <x v="8"/>
    <s v="Trudi Griffin"/>
    <n v="500"/>
    <n v="490"/>
    <n v="0.02"/>
    <n v="40"/>
    <n v="19600"/>
  </r>
  <r>
    <s v="I-3018"/>
    <s v="London"/>
    <s v="UK"/>
    <s v="EMEA"/>
    <d v="2015-11-25T00:00:00"/>
    <x v="7"/>
    <s v="Francis Godden"/>
    <n v="1000"/>
    <n v="920"/>
    <n v="0.08"/>
    <n v="55"/>
    <n v="50600"/>
  </r>
  <r>
    <s v="I-3019"/>
    <s v="Riyadh"/>
    <s v="Saudi Arabia"/>
    <s v="EMEA"/>
    <d v="2017-04-24T00:00:00"/>
    <x v="7"/>
    <s v="Kelly Owen"/>
    <n v="1000"/>
    <n v="740"/>
    <n v="0.26"/>
    <n v="92"/>
    <n v="68080"/>
  </r>
  <r>
    <s v="I-3020"/>
    <s v="Prague"/>
    <s v="Czech Republic"/>
    <s v="EMEA"/>
    <d v="2017-06-26T00:00:00"/>
    <x v="5"/>
    <s v="Terence Mirza"/>
    <n v="500"/>
    <n v="450"/>
    <n v="0.1"/>
    <n v="57"/>
    <n v="25650"/>
  </r>
  <r>
    <s v="I-3021"/>
    <s v="Shanghai"/>
    <s v="China"/>
    <s v="APAC"/>
    <d v="2018-11-07T00:00:00"/>
    <x v="4"/>
    <s v="Timothy Fraser"/>
    <n v="30"/>
    <n v="30"/>
    <n v="0"/>
    <n v="68"/>
    <n v="2040"/>
  </r>
  <r>
    <s v="I-3022"/>
    <s v="Jerusalem"/>
    <s v="Israel"/>
    <s v="EMEA"/>
    <d v="2015-07-25T00:00:00"/>
    <x v="9"/>
    <s v="Harold Charters"/>
    <n v="70"/>
    <n v="56"/>
    <n v="0.2"/>
    <n v="29"/>
    <n v="1624"/>
  </r>
  <r>
    <s v="I-3023"/>
    <s v="Vancouver"/>
    <s v="Canada"/>
    <s v="NA"/>
    <d v="2017-04-08T00:00:00"/>
    <x v="7"/>
    <s v="Brian Clarke"/>
    <n v="1000"/>
    <n v="560"/>
    <n v="0.44"/>
    <n v="54"/>
    <n v="30240"/>
  </r>
  <r>
    <s v="I-3024"/>
    <s v="Jerusalem"/>
    <s v="Israel"/>
    <s v="EMEA"/>
    <d v="2014-01-15T00:00:00"/>
    <x v="11"/>
    <s v="John Bond"/>
    <n v="50"/>
    <n v="48"/>
    <n v="0.04"/>
    <n v="64"/>
    <n v="3072"/>
  </r>
  <r>
    <s v="I-3025"/>
    <s v="Ho Chi Minh City"/>
    <s v="Vietnam"/>
    <s v="APAC"/>
    <d v="2018-09-11T00:00:00"/>
    <x v="5"/>
    <s v="Austin Parsons"/>
    <n v="500"/>
    <n v="490"/>
    <n v="0.02"/>
    <n v="71"/>
    <n v="34790"/>
  </r>
  <r>
    <s v="I-3026"/>
    <s v="London"/>
    <s v="UK"/>
    <s v="EMEA"/>
    <d v="2014-04-27T00:00:00"/>
    <x v="8"/>
    <s v="Philip Dewar"/>
    <n v="500"/>
    <n v="500"/>
    <n v="0"/>
    <n v="42"/>
    <n v="21000"/>
  </r>
  <r>
    <s v="I-3027"/>
    <s v="New York"/>
    <s v="USA"/>
    <s v="NA"/>
    <d v="2015-03-14T00:00:00"/>
    <x v="8"/>
    <s v="Robert Salisbury"/>
    <n v="500"/>
    <n v="490"/>
    <n v="0.02"/>
    <n v="98"/>
    <n v="48020"/>
  </r>
  <r>
    <s v="I-3028"/>
    <s v="Rochester"/>
    <s v="USA"/>
    <s v="NA"/>
    <d v="2015-10-11T00:00:00"/>
    <x v="2"/>
    <s v="Richard Bard"/>
    <n v="150"/>
    <n v="101"/>
    <n v="0.32669999999999999"/>
    <n v="16"/>
    <n v="1616"/>
  </r>
  <r>
    <s v="I-3029"/>
    <s v="Tijuana"/>
    <s v="Mexico"/>
    <s v="LATAM"/>
    <d v="2016-12-04T00:00:00"/>
    <x v="9"/>
    <s v="Kevin McLauchlin"/>
    <n v="70"/>
    <n v="69"/>
    <n v="1.43E-2"/>
    <n v="19"/>
    <n v="1311"/>
  </r>
  <r>
    <s v="I-3030"/>
    <s v="Los Angeles"/>
    <s v="USA"/>
    <s v="NA"/>
    <d v="2016-05-21T00:00:00"/>
    <x v="6"/>
    <s v="Heather Beck"/>
    <n v="800"/>
    <n v="696"/>
    <n v="0.13"/>
    <n v="84"/>
    <n v="58464"/>
  </r>
  <r>
    <s v="I-3031"/>
    <s v="Moscow"/>
    <s v="Russia"/>
    <s v="EMEA"/>
    <d v="2018-04-04T00:00:00"/>
    <x v="9"/>
    <s v="Darren Brooks"/>
    <n v="70"/>
    <n v="69"/>
    <n v="1.43E-2"/>
    <n v="36"/>
    <n v="2484"/>
  </r>
  <r>
    <s v="I-3032"/>
    <s v="Sydney"/>
    <s v="Australia"/>
    <s v="APAC"/>
    <d v="2017-11-30T00:00:00"/>
    <x v="6"/>
    <s v="Stephen Neville"/>
    <n v="800"/>
    <n v="520"/>
    <n v="0.35"/>
    <n v="74"/>
    <n v="38480"/>
  </r>
  <r>
    <s v="I-3033"/>
    <s v="Tel Aviv"/>
    <s v="Israel"/>
    <s v="EMEA"/>
    <d v="2016-06-21T00:00:00"/>
    <x v="11"/>
    <s v="David Isaacs"/>
    <n v="50"/>
    <n v="44"/>
    <n v="0.12"/>
    <n v="14"/>
    <n v="616"/>
  </r>
  <r>
    <s v="I-3034"/>
    <s v="Seoul"/>
    <s v="South Korea"/>
    <s v="APAC"/>
    <d v="2015-03-05T00:00:00"/>
    <x v="0"/>
    <s v="Steven Wood"/>
    <n v="80"/>
    <n v="77"/>
    <n v="3.7499999999999999E-2"/>
    <n v="83"/>
    <n v="6391"/>
  </r>
  <r>
    <s v="I-3035"/>
    <s v="Osaka"/>
    <s v="Japan"/>
    <s v="APAC"/>
    <d v="2015-11-12T00:00:00"/>
    <x v="1"/>
    <s v="Jill Thompson"/>
    <n v="700"/>
    <n v="455"/>
    <n v="0.35"/>
    <n v="54"/>
    <n v="24570"/>
  </r>
  <r>
    <s v="I-3036"/>
    <s v="Lima"/>
    <s v="Peru"/>
    <s v="LATAM"/>
    <d v="2018-06-19T00:00:00"/>
    <x v="5"/>
    <s v="Michael Wood"/>
    <n v="500"/>
    <n v="485"/>
    <n v="0.03"/>
    <n v="32"/>
    <n v="15520"/>
  </r>
  <r>
    <s v="I-3037"/>
    <s v="Shenzhen"/>
    <s v="China"/>
    <s v="APAC"/>
    <d v="2018-07-28T00:00:00"/>
    <x v="8"/>
    <s v="Fatima James"/>
    <n v="500"/>
    <n v="500"/>
    <n v="0"/>
    <n v="21"/>
    <n v="10500"/>
  </r>
  <r>
    <s v="I-3038"/>
    <s v="Los Angeles"/>
    <s v="USA"/>
    <s v="NA"/>
    <d v="2014-07-22T00:00:00"/>
    <x v="2"/>
    <s v="Colin Matthews"/>
    <n v="150"/>
    <n v="119"/>
    <n v="0.20669999999999999"/>
    <n v="55"/>
    <n v="6545"/>
  </r>
  <r>
    <s v="I-3039"/>
    <s v="Lima"/>
    <s v="Peru"/>
    <s v="LATAM"/>
    <d v="2015-12-22T00:00:00"/>
    <x v="9"/>
    <s v="Kevin Goad"/>
    <n v="70"/>
    <n v="60"/>
    <n v="0.1429"/>
    <n v="51"/>
    <n v="3060"/>
  </r>
  <r>
    <s v="I-3040"/>
    <s v="Sydney"/>
    <s v="Australia"/>
    <s v="APAC"/>
    <d v="2018-10-19T00:00:00"/>
    <x v="11"/>
    <s v="James Ricketts"/>
    <n v="50"/>
    <n v="45"/>
    <n v="0.1"/>
    <n v="92"/>
    <n v="4140"/>
  </r>
  <r>
    <s v="I-3041"/>
    <s v="Moscow"/>
    <s v="Russia"/>
    <s v="EMEA"/>
    <d v="2017-07-20T00:00:00"/>
    <x v="6"/>
    <s v="Alexander Hillier"/>
    <n v="800"/>
    <n v="744"/>
    <n v="7.0000000000000007E-2"/>
    <n v="96"/>
    <n v="71424"/>
  </r>
  <r>
    <s v="I-3042"/>
    <s v="Houston"/>
    <s v="USA"/>
    <s v="NA"/>
    <d v="2017-07-28T00:00:00"/>
    <x v="5"/>
    <s v="Rachel Snape"/>
    <n v="500"/>
    <n v="470"/>
    <n v="0.06"/>
    <n v="75"/>
    <n v="35250"/>
  </r>
  <r>
    <s v="I-3043"/>
    <s v="Tijuana"/>
    <s v="Mexico"/>
    <s v="LATAM"/>
    <d v="2018-04-05T00:00:00"/>
    <x v="9"/>
    <s v="Richard Allnutt"/>
    <n v="70"/>
    <n v="61"/>
    <n v="0.12859999999999999"/>
    <n v="31"/>
    <n v="1891"/>
  </r>
  <r>
    <s v="I-3044"/>
    <s v="Osaka"/>
    <s v="Japan"/>
    <s v="APAC"/>
    <d v="2015-05-27T00:00:00"/>
    <x v="1"/>
    <s v="Paul Atkins"/>
    <n v="700"/>
    <n v="546"/>
    <n v="0.22"/>
    <n v="82"/>
    <n v="44772"/>
  </r>
  <r>
    <s v="I-3045"/>
    <s v="Sydney"/>
    <s v="Australia"/>
    <s v="APAC"/>
    <d v="2014-04-26T00:00:00"/>
    <x v="8"/>
    <s v="Christine Davies"/>
    <n v="500"/>
    <n v="495"/>
    <n v="0.01"/>
    <n v="40"/>
    <n v="19800"/>
  </r>
  <r>
    <s v="I-3046"/>
    <s v="Mexico City"/>
    <s v="Mexico"/>
    <s v="LATAM"/>
    <d v="2016-02-17T00:00:00"/>
    <x v="6"/>
    <s v="Brendon Dyer"/>
    <n v="800"/>
    <n v="592"/>
    <n v="0.26"/>
    <n v="70"/>
    <n v="41440"/>
  </r>
  <r>
    <s v="I-3047"/>
    <s v="Dublin"/>
    <s v="Ireland"/>
    <s v="EMEA"/>
    <d v="2015-06-11T00:00:00"/>
    <x v="0"/>
    <s v="John Curtis"/>
    <n v="80"/>
    <n v="64"/>
    <n v="0.2"/>
    <n v="10"/>
    <n v="640"/>
  </r>
  <r>
    <s v="I-3048"/>
    <s v="Shanghai"/>
    <s v="China"/>
    <s v="APAC"/>
    <d v="2014-11-22T00:00:00"/>
    <x v="1"/>
    <s v="Denise Docherty"/>
    <n v="700"/>
    <n v="693"/>
    <n v="0.01"/>
    <n v="61"/>
    <n v="42273"/>
  </r>
  <r>
    <s v="I-3049"/>
    <s v="Rome"/>
    <s v="Italy"/>
    <s v="EMEA"/>
    <d v="2015-12-02T00:00:00"/>
    <x v="11"/>
    <s v="Andrew Hirst"/>
    <n v="50"/>
    <n v="38"/>
    <n v="0.24"/>
    <n v="19"/>
    <n v="722"/>
  </r>
  <r>
    <s v="I-3050"/>
    <s v="Mexico City"/>
    <s v="Mexico"/>
    <s v="LATAM"/>
    <d v="2015-05-02T00:00:00"/>
    <x v="2"/>
    <s v="John Ali"/>
    <n v="150"/>
    <n v="140"/>
    <n v="6.6699999999999995E-2"/>
    <n v="19"/>
    <n v="2660"/>
  </r>
  <r>
    <s v="I-3051"/>
    <s v="Jerusalem"/>
    <s v="Israel"/>
    <s v="EMEA"/>
    <d v="2014-06-21T00:00:00"/>
    <x v="4"/>
    <s v="John Bond"/>
    <n v="30"/>
    <n v="24"/>
    <n v="0.2"/>
    <n v="60"/>
    <n v="1440"/>
  </r>
  <r>
    <s v="I-3052"/>
    <s v="Sao Paolo"/>
    <s v="Brazil"/>
    <s v="LATAM"/>
    <d v="2017-10-26T00:00:00"/>
    <x v="0"/>
    <s v="Zoe Munday"/>
    <n v="80"/>
    <n v="74"/>
    <n v="7.4999999999999997E-2"/>
    <n v="27"/>
    <n v="1998"/>
  </r>
  <r>
    <s v="I-3053"/>
    <s v="Dubai"/>
    <s v="UAE"/>
    <s v="EMEA"/>
    <d v="2016-02-21T00:00:00"/>
    <x v="9"/>
    <s v="David Romero"/>
    <n v="70"/>
    <n v="62"/>
    <n v="0.1143"/>
    <n v="41"/>
    <n v="2542"/>
  </r>
  <r>
    <s v="I-3054"/>
    <s v="Delhi"/>
    <s v="India"/>
    <s v="APAC"/>
    <d v="2014-08-29T00:00:00"/>
    <x v="0"/>
    <s v="Glen Campbell"/>
    <n v="80"/>
    <n v="76"/>
    <n v="0.05"/>
    <n v="1"/>
    <n v="76"/>
  </r>
  <r>
    <s v="I-3055"/>
    <s v="Los Angeles"/>
    <s v="USA"/>
    <s v="NA"/>
    <d v="2018-11-20T00:00:00"/>
    <x v="3"/>
    <s v="Maxine Stockdale"/>
    <n v="50"/>
    <n v="45"/>
    <n v="0.1"/>
    <n v="55"/>
    <n v="2475"/>
  </r>
  <r>
    <s v="I-3056"/>
    <s v="Rochester"/>
    <s v="USA"/>
    <s v="NA"/>
    <d v="2018-05-13T00:00:00"/>
    <x v="7"/>
    <s v="Christopher Grey"/>
    <n v="1000"/>
    <n v="670"/>
    <n v="0.33"/>
    <n v="36"/>
    <n v="24120"/>
  </r>
  <r>
    <s v="I-3057"/>
    <s v="Amsterdam"/>
    <s v="Netherlands"/>
    <s v="EMEA"/>
    <d v="2018-09-07T00:00:00"/>
    <x v="9"/>
    <s v="David Dorey"/>
    <n v="70"/>
    <n v="67"/>
    <n v="4.2900000000000001E-2"/>
    <n v="100"/>
    <n v="6700"/>
  </r>
  <r>
    <s v="I-3058"/>
    <s v="Rochester"/>
    <s v="USA"/>
    <s v="NA"/>
    <d v="2017-09-19T00:00:00"/>
    <x v="3"/>
    <s v="Michael Lauder"/>
    <n v="50"/>
    <n v="46"/>
    <n v="0.08"/>
    <n v="61"/>
    <n v="2806"/>
  </r>
  <r>
    <s v="I-3059"/>
    <s v="Osaka"/>
    <s v="Japan"/>
    <s v="APAC"/>
    <d v="2018-08-30T00:00:00"/>
    <x v="6"/>
    <s v="Alice Canning"/>
    <n v="800"/>
    <n v="752"/>
    <n v="0.06"/>
    <n v="44"/>
    <n v="33088"/>
  </r>
  <r>
    <s v="I-3060"/>
    <s v="Santiago"/>
    <s v="Chile"/>
    <s v="LATAM"/>
    <d v="2018-04-19T00:00:00"/>
    <x v="8"/>
    <s v="Jason Edmund"/>
    <n v="500"/>
    <n v="490"/>
    <n v="0.02"/>
    <n v="100"/>
    <n v="49000"/>
  </r>
  <r>
    <s v="I-3061"/>
    <s v="Istanbul"/>
    <s v="Turkey"/>
    <s v="EMEA"/>
    <d v="2016-10-30T00:00:00"/>
    <x v="2"/>
    <s v="Ian McCartan"/>
    <n v="150"/>
    <n v="147"/>
    <n v="0.02"/>
    <n v="61"/>
    <n v="8967"/>
  </r>
  <r>
    <s v="I-3062"/>
    <s v="Prague"/>
    <s v="Czech Republic"/>
    <s v="EMEA"/>
    <d v="2015-10-24T00:00:00"/>
    <x v="8"/>
    <s v="Terence Mirza"/>
    <n v="500"/>
    <n v="495"/>
    <n v="0.01"/>
    <n v="48"/>
    <n v="23760"/>
  </r>
  <r>
    <s v="I-3063"/>
    <s v="Jerusalem"/>
    <s v="Israel"/>
    <s v="EMEA"/>
    <d v="2017-06-01T00:00:00"/>
    <x v="8"/>
    <s v="Barbara Scott"/>
    <n v="500"/>
    <n v="500"/>
    <n v="0"/>
    <n v="39"/>
    <n v="19500"/>
  </r>
  <r>
    <s v="I-3064"/>
    <s v="Vienna"/>
    <s v="Austria"/>
    <s v="EMEA"/>
    <d v="2016-02-26T00:00:00"/>
    <x v="7"/>
    <s v="Paul Drage"/>
    <n v="1000"/>
    <n v="680"/>
    <n v="0.32"/>
    <n v="28"/>
    <n v="19040"/>
  </r>
  <r>
    <s v="I-3065"/>
    <s v="Houston"/>
    <s v="USA"/>
    <s v="NA"/>
    <d v="2018-11-09T00:00:00"/>
    <x v="4"/>
    <s v="Rachel Snape"/>
    <n v="30"/>
    <n v="27"/>
    <n v="0.1"/>
    <n v="25"/>
    <n v="675"/>
  </r>
  <r>
    <s v="I-3066"/>
    <s v="Mexico City"/>
    <s v="Mexico"/>
    <s v="LATAM"/>
    <d v="2018-10-24T00:00:00"/>
    <x v="11"/>
    <s v="Brendon Dyer"/>
    <n v="50"/>
    <n v="44"/>
    <n v="0.12"/>
    <n v="66"/>
    <n v="2904"/>
  </r>
  <r>
    <s v="I-3067"/>
    <s v="Chicago"/>
    <s v="USA"/>
    <s v="NA"/>
    <d v="2018-04-13T00:00:00"/>
    <x v="0"/>
    <s v="Amelia Scott"/>
    <n v="80"/>
    <n v="80"/>
    <n v="0"/>
    <n v="66"/>
    <n v="5280"/>
  </r>
  <r>
    <s v="I-3068"/>
    <s v="Rome"/>
    <s v="Italy"/>
    <s v="EMEA"/>
    <d v="2014-01-21T00:00:00"/>
    <x v="5"/>
    <s v="Audrey Kane"/>
    <n v="500"/>
    <n v="360"/>
    <n v="0.28000000000000003"/>
    <n v="49"/>
    <n v="17640"/>
  </r>
  <r>
    <s v="I-3069"/>
    <s v="Rochester"/>
    <s v="USA"/>
    <s v="NA"/>
    <d v="2014-08-08T00:00:00"/>
    <x v="6"/>
    <s v="Christopher Grey"/>
    <n v="800"/>
    <n v="656"/>
    <n v="0.18"/>
    <n v="59"/>
    <n v="38704"/>
  </r>
  <r>
    <s v="I-3070"/>
    <s v="Houston"/>
    <s v="USA"/>
    <s v="NA"/>
    <d v="2016-05-17T00:00:00"/>
    <x v="10"/>
    <s v="David Salmon"/>
    <n v="250"/>
    <n v="248"/>
    <n v="8.0000000000000002E-3"/>
    <n v="10"/>
    <n v="2480"/>
  </r>
  <r>
    <s v="I-3071"/>
    <s v="Lima"/>
    <s v="Peru"/>
    <s v="LATAM"/>
    <d v="2016-09-21T00:00:00"/>
    <x v="11"/>
    <s v="William Lant"/>
    <n v="50"/>
    <n v="49"/>
    <n v="0.02"/>
    <n v="37"/>
    <n v="1813"/>
  </r>
  <r>
    <s v="I-3072"/>
    <s v="Moscow"/>
    <s v="Russia"/>
    <s v="EMEA"/>
    <d v="2016-09-07T00:00:00"/>
    <x v="5"/>
    <s v="Zulfiqar Mirza"/>
    <n v="500"/>
    <n v="480"/>
    <n v="0.04"/>
    <n v="25"/>
    <n v="12000"/>
  </r>
  <r>
    <s v="I-3073"/>
    <s v="Tokyo"/>
    <s v="Japan"/>
    <s v="APAC"/>
    <d v="2014-01-03T00:00:00"/>
    <x v="7"/>
    <s v="Alexander Uddin"/>
    <n v="1000"/>
    <n v="620"/>
    <n v="0.38"/>
    <n v="1"/>
    <n v="620"/>
  </r>
  <r>
    <s v="I-3074"/>
    <s v="Toronto"/>
    <s v="Canada"/>
    <s v="NA"/>
    <d v="2015-08-06T00:00:00"/>
    <x v="10"/>
    <s v="David Shiner"/>
    <n v="250"/>
    <n v="190"/>
    <n v="0.24"/>
    <n v="76"/>
    <n v="14440"/>
  </r>
  <r>
    <s v="I-3075"/>
    <s v="London"/>
    <s v="UK"/>
    <s v="EMEA"/>
    <d v="2017-05-20T00:00:00"/>
    <x v="6"/>
    <s v="Francis Godden"/>
    <n v="800"/>
    <n v="680"/>
    <n v="0.15"/>
    <n v="29"/>
    <n v="19720"/>
  </r>
  <r>
    <s v="I-3076"/>
    <s v="Delhi"/>
    <s v="India"/>
    <s v="APAC"/>
    <d v="2018-09-05T00:00:00"/>
    <x v="5"/>
    <s v="Tessa Morrow"/>
    <n v="500"/>
    <n v="480"/>
    <n v="0.04"/>
    <n v="38"/>
    <n v="18240"/>
  </r>
  <r>
    <s v="I-3077"/>
    <s v="Santiago"/>
    <s v="Chile"/>
    <s v="LATAM"/>
    <d v="2018-12-16T00:00:00"/>
    <x v="11"/>
    <s v="Julia Hammond"/>
    <n v="50"/>
    <n v="49"/>
    <n v="0.02"/>
    <n v="60"/>
    <n v="2940"/>
  </r>
  <r>
    <s v="I-3078"/>
    <s v="Dubai"/>
    <s v="UAE"/>
    <s v="EMEA"/>
    <d v="2015-02-19T00:00:00"/>
    <x v="0"/>
    <s v="Brenda Lightfoot"/>
    <n v="80"/>
    <n v="58"/>
    <n v="0.27500000000000002"/>
    <n v="43"/>
    <n v="2494"/>
  </r>
  <r>
    <s v="I-3079"/>
    <s v="Chicago"/>
    <s v="USA"/>
    <s v="NA"/>
    <d v="2016-05-01T00:00:00"/>
    <x v="5"/>
    <s v="Robert Polhill"/>
    <n v="500"/>
    <n v="500"/>
    <n v="0"/>
    <n v="15"/>
    <n v="7500"/>
  </r>
  <r>
    <s v="I-3080"/>
    <s v="Tel Aviv"/>
    <s v="Israel"/>
    <s v="EMEA"/>
    <d v="2014-10-14T00:00:00"/>
    <x v="1"/>
    <s v="Frances Weller"/>
    <n v="700"/>
    <n v="574"/>
    <n v="0.18"/>
    <n v="76"/>
    <n v="43624"/>
  </r>
  <r>
    <s v="I-3081"/>
    <s v="Madria"/>
    <s v="Spain"/>
    <s v="EMEA"/>
    <d v="2018-02-01T00:00:00"/>
    <x v="3"/>
    <s v="Howard Jones"/>
    <n v="50"/>
    <n v="47"/>
    <n v="0.06"/>
    <n v="83"/>
    <n v="3901"/>
  </r>
  <r>
    <s v="I-3082"/>
    <s v="Guangzhou"/>
    <s v="China"/>
    <s v="APAC"/>
    <d v="2018-12-02T00:00:00"/>
    <x v="4"/>
    <s v="Helen Watt"/>
    <n v="30"/>
    <n v="26"/>
    <n v="0.1333"/>
    <n v="51"/>
    <n v="1326"/>
  </r>
  <r>
    <s v="I-3083"/>
    <s v="Sydney"/>
    <s v="Australia"/>
    <s v="APAC"/>
    <d v="2014-11-22T00:00:00"/>
    <x v="4"/>
    <s v="James Ricketts"/>
    <n v="30"/>
    <n v="22"/>
    <n v="0.26669999999999999"/>
    <n v="100"/>
    <n v="2200"/>
  </r>
  <r>
    <s v="I-3084"/>
    <s v="Capetown"/>
    <s v="South Africa"/>
    <s v="EMEA"/>
    <d v="2015-10-02T00:00:00"/>
    <x v="1"/>
    <s v="Stuart Anderson"/>
    <n v="700"/>
    <n v="679"/>
    <n v="0.03"/>
    <n v="20"/>
    <n v="13580"/>
  </r>
  <r>
    <s v="I-3085"/>
    <s v="Vienna"/>
    <s v="Austria"/>
    <s v="EMEA"/>
    <d v="2014-10-08T00:00:00"/>
    <x v="7"/>
    <s v="Marie Hewitt"/>
    <n v="1000"/>
    <n v="850"/>
    <n v="0.15"/>
    <n v="6"/>
    <n v="5100"/>
  </r>
  <r>
    <s v="I-3086"/>
    <s v="Bangalore"/>
    <s v="India"/>
    <s v="APAC"/>
    <d v="2018-06-23T00:00:00"/>
    <x v="8"/>
    <s v="Stuart Hunter"/>
    <n v="500"/>
    <n v="490"/>
    <n v="0.02"/>
    <n v="73"/>
    <n v="35770"/>
  </r>
  <r>
    <s v="I-3087"/>
    <s v="Capetown"/>
    <s v="South Africa"/>
    <s v="EMEA"/>
    <d v="2016-08-06T00:00:00"/>
    <x v="9"/>
    <s v="Nicholas Holloway"/>
    <n v="70"/>
    <n v="70"/>
    <n v="0"/>
    <n v="73"/>
    <n v="5110"/>
  </r>
  <r>
    <s v="I-3088"/>
    <s v="Delhi"/>
    <s v="India"/>
    <s v="APAC"/>
    <d v="2014-06-18T00:00:00"/>
    <x v="5"/>
    <s v="Roy Johnson"/>
    <n v="500"/>
    <n v="455"/>
    <n v="0.09"/>
    <n v="11"/>
    <n v="5005"/>
  </r>
  <r>
    <s v="I-3089"/>
    <s v="Paris"/>
    <s v="France"/>
    <s v="EMEA"/>
    <d v="2014-07-23T00:00:00"/>
    <x v="4"/>
    <s v="Darren Webb"/>
    <n v="30"/>
    <n v="26"/>
    <n v="0.1333"/>
    <n v="68"/>
    <n v="1768"/>
  </r>
  <r>
    <s v="I-3090"/>
    <s v="Bangkok"/>
    <s v="Thailand"/>
    <s v="APAC"/>
    <d v="2017-01-09T00:00:00"/>
    <x v="9"/>
    <s v="Olive Foster"/>
    <n v="70"/>
    <n v="69"/>
    <n v="1.43E-2"/>
    <n v="11"/>
    <n v="759"/>
  </r>
  <r>
    <s v="I-3091"/>
    <s v="Sydney"/>
    <s v="Australia"/>
    <s v="APAC"/>
    <d v="2018-11-08T00:00:00"/>
    <x v="0"/>
    <s v="Stephen Neville"/>
    <n v="80"/>
    <n v="69"/>
    <n v="0.13750000000000001"/>
    <n v="46"/>
    <n v="3174"/>
  </r>
  <r>
    <s v="I-3092"/>
    <s v="Capetown"/>
    <s v="South Africa"/>
    <s v="EMEA"/>
    <d v="2017-07-18T00:00:00"/>
    <x v="2"/>
    <s v="Noel Bull"/>
    <n v="150"/>
    <n v="141"/>
    <n v="0.06"/>
    <n v="48"/>
    <n v="6768"/>
  </r>
  <r>
    <s v="I-3093"/>
    <s v="Los Angeles"/>
    <s v="USA"/>
    <s v="NA"/>
    <d v="2015-07-26T00:00:00"/>
    <x v="11"/>
    <s v="Christopher Kitching"/>
    <n v="50"/>
    <n v="36"/>
    <n v="0.28000000000000003"/>
    <n v="54"/>
    <n v="1944"/>
  </r>
  <r>
    <s v="I-3094"/>
    <s v="Madria"/>
    <s v="Spain"/>
    <s v="EMEA"/>
    <d v="2014-12-03T00:00:00"/>
    <x v="6"/>
    <s v="Philip Sutherland"/>
    <n v="800"/>
    <n v="608"/>
    <n v="0.24"/>
    <n v="88"/>
    <n v="53504"/>
  </r>
  <r>
    <s v="I-3095"/>
    <s v="Rome"/>
    <s v="Italy"/>
    <s v="EMEA"/>
    <d v="2014-05-06T00:00:00"/>
    <x v="8"/>
    <s v="Elaine Whitfield"/>
    <n v="500"/>
    <n v="495"/>
    <n v="0.01"/>
    <n v="42"/>
    <n v="20790"/>
  </r>
  <r>
    <s v="I-3096"/>
    <s v="Birmingham"/>
    <s v="UK"/>
    <s v="EMEA"/>
    <d v="2015-09-25T00:00:00"/>
    <x v="2"/>
    <s v="Philip Collins"/>
    <n v="150"/>
    <n v="126"/>
    <n v="0.16"/>
    <n v="16"/>
    <n v="2016"/>
  </r>
  <r>
    <s v="I-3097"/>
    <s v="Shenzhen"/>
    <s v="China"/>
    <s v="APAC"/>
    <d v="2018-02-08T00:00:00"/>
    <x v="3"/>
    <s v="Alastair Mills"/>
    <n v="50"/>
    <n v="17"/>
    <n v="0.66"/>
    <n v="44"/>
    <n v="748"/>
  </r>
  <r>
    <s v="I-3098"/>
    <s v="Istanbul"/>
    <s v="Turkey"/>
    <s v="EMEA"/>
    <d v="2017-11-05T00:00:00"/>
    <x v="4"/>
    <s v="Richard Barr"/>
    <n v="30"/>
    <n v="28"/>
    <n v="6.6699999999999995E-2"/>
    <n v="47"/>
    <n v="1316"/>
  </r>
  <r>
    <s v="I-3099"/>
    <s v="Seattle"/>
    <s v="USA"/>
    <s v="NA"/>
    <d v="2016-02-16T00:00:00"/>
    <x v="7"/>
    <s v="Derek Harris"/>
    <n v="1000"/>
    <n v="810"/>
    <n v="0.19"/>
    <n v="87"/>
    <n v="70470"/>
  </r>
  <r>
    <s v="I-3100"/>
    <s v="Shanghai"/>
    <s v="China"/>
    <s v="APAC"/>
    <d v="2014-10-27T00:00:00"/>
    <x v="1"/>
    <s v="Sharon Hubble"/>
    <n v="700"/>
    <n v="700"/>
    <n v="0"/>
    <n v="34"/>
    <n v="23800"/>
  </r>
  <r>
    <s v="I-3101"/>
    <s v="San Fransisco"/>
    <s v="USA"/>
    <s v="NA"/>
    <d v="2018-09-17T00:00:00"/>
    <x v="3"/>
    <s v="Gillan Clark"/>
    <n v="50"/>
    <n v="48"/>
    <n v="0.04"/>
    <n v="69"/>
    <n v="3312"/>
  </r>
  <r>
    <s v="I-3102"/>
    <s v="Houston"/>
    <s v="USA"/>
    <s v="NA"/>
    <d v="2016-08-14T00:00:00"/>
    <x v="11"/>
    <s v="David Salmon"/>
    <n v="50"/>
    <n v="43"/>
    <n v="0.14000000000000001"/>
    <n v="25"/>
    <n v="1075"/>
  </r>
  <r>
    <s v="I-3103"/>
    <s v="Buenos Aires"/>
    <s v="Argentina"/>
    <s v="LATAM"/>
    <d v="2015-08-15T00:00:00"/>
    <x v="6"/>
    <s v="Stuart Brown"/>
    <n v="800"/>
    <n v="504"/>
    <n v="0.37"/>
    <n v="88"/>
    <n v="44352"/>
  </r>
  <r>
    <s v="I-3104"/>
    <s v="Seoul"/>
    <s v="South Korea"/>
    <s v="APAC"/>
    <d v="2018-04-10T00:00:00"/>
    <x v="0"/>
    <s v="Suzanna Davies"/>
    <n v="80"/>
    <n v="76"/>
    <n v="0.05"/>
    <n v="36"/>
    <n v="2736"/>
  </r>
  <r>
    <s v="I-3105"/>
    <s v="Bangkok"/>
    <s v="Thailand"/>
    <s v="APAC"/>
    <d v="2015-07-18T00:00:00"/>
    <x v="4"/>
    <s v="Martin Gee"/>
    <n v="30"/>
    <n v="29"/>
    <n v="3.3300000000000003E-2"/>
    <n v="70"/>
    <n v="2030"/>
  </r>
  <r>
    <s v="I-3106"/>
    <s v="Tokyo"/>
    <s v="Japan"/>
    <s v="APAC"/>
    <d v="2015-03-20T00:00:00"/>
    <x v="1"/>
    <s v="Tony Milner"/>
    <n v="700"/>
    <n v="644"/>
    <n v="0.08"/>
    <n v="92"/>
    <n v="59248"/>
  </r>
  <r>
    <s v="I-3107"/>
    <s v="Kansas City"/>
    <s v="USA"/>
    <s v="NA"/>
    <d v="2018-12-30T00:00:00"/>
    <x v="9"/>
    <s v="Christina Pedley"/>
    <n v="70"/>
    <n v="69"/>
    <n v="1.43E-2"/>
    <n v="29"/>
    <n v="2001"/>
  </r>
  <r>
    <s v="I-3108"/>
    <s v="Seoul"/>
    <s v="South Korea"/>
    <s v="APAC"/>
    <d v="2018-03-09T00:00:00"/>
    <x v="7"/>
    <s v="Martin Birch"/>
    <n v="1000"/>
    <n v="780"/>
    <n v="0.22"/>
    <n v="70"/>
    <n v="54600"/>
  </r>
  <r>
    <s v="I-3109"/>
    <s v="Bangalore"/>
    <s v="India"/>
    <s v="APAC"/>
    <d v="2016-03-26T00:00:00"/>
    <x v="11"/>
    <s v="Delia Muhammad"/>
    <n v="50"/>
    <n v="45"/>
    <n v="0.1"/>
    <n v="59"/>
    <n v="2655"/>
  </r>
  <r>
    <s v="I-3110"/>
    <s v="London"/>
    <s v="UK"/>
    <s v="EMEA"/>
    <d v="2014-07-09T00:00:00"/>
    <x v="9"/>
    <s v="Ian Borowski"/>
    <n v="70"/>
    <n v="70"/>
    <n v="0"/>
    <n v="84"/>
    <n v="5880"/>
  </r>
  <r>
    <s v="I-3111"/>
    <s v="Paris"/>
    <s v="France"/>
    <s v="EMEA"/>
    <d v="2015-02-07T00:00:00"/>
    <x v="10"/>
    <s v="Rory Bullion"/>
    <n v="250"/>
    <n v="225"/>
    <n v="0.1"/>
    <n v="85"/>
    <n v="19125"/>
  </r>
  <r>
    <s v="I-3112"/>
    <s v="Ho Chi Minh City"/>
    <s v="Vietnam"/>
    <s v="APAC"/>
    <d v="2014-01-22T00:00:00"/>
    <x v="10"/>
    <s v="Sophie Petersen"/>
    <n v="250"/>
    <n v="205"/>
    <n v="0.18"/>
    <n v="83"/>
    <n v="17015"/>
  </r>
  <r>
    <s v="I-3113"/>
    <s v="Tokyo"/>
    <s v="Japan"/>
    <s v="APAC"/>
    <d v="2016-08-24T00:00:00"/>
    <x v="2"/>
    <s v="Kenneth Bullion"/>
    <n v="150"/>
    <n v="131"/>
    <n v="0.12670000000000001"/>
    <n v="59"/>
    <n v="7729"/>
  </r>
  <r>
    <s v="I-3114"/>
    <s v="Bangalore"/>
    <s v="India"/>
    <s v="APAC"/>
    <d v="2014-05-29T00:00:00"/>
    <x v="4"/>
    <s v="Delia Muhammad"/>
    <n v="30"/>
    <n v="23"/>
    <n v="0.23330000000000001"/>
    <n v="94"/>
    <n v="2162"/>
  </r>
  <r>
    <s v="I-3115"/>
    <s v="Bangkok"/>
    <s v="Thailand"/>
    <s v="APAC"/>
    <d v="2017-08-22T00:00:00"/>
    <x v="2"/>
    <s v="Andi Liu"/>
    <n v="150"/>
    <n v="150"/>
    <n v="0"/>
    <n v="99"/>
    <n v="14850"/>
  </r>
  <r>
    <s v="I-3116"/>
    <s v="Athens"/>
    <s v="Greece"/>
    <s v="EMEA"/>
    <d v="2017-09-20T00:00:00"/>
    <x v="9"/>
    <s v="Gary Roberts"/>
    <n v="70"/>
    <n v="69"/>
    <n v="1.43E-2"/>
    <n v="51"/>
    <n v="3519"/>
  </r>
  <r>
    <s v="I-3117"/>
    <s v="Delhi"/>
    <s v="India"/>
    <s v="APAC"/>
    <d v="2018-03-23T00:00:00"/>
    <x v="2"/>
    <s v="Gillian Harris"/>
    <n v="150"/>
    <n v="128"/>
    <n v="0.1467"/>
    <n v="78"/>
    <n v="9984"/>
  </r>
  <r>
    <s v="I-3118"/>
    <s v="Madria"/>
    <s v="Spain"/>
    <s v="EMEA"/>
    <d v="2017-09-30T00:00:00"/>
    <x v="11"/>
    <s v="Paul Long"/>
    <n v="50"/>
    <n v="49"/>
    <n v="0.02"/>
    <n v="36"/>
    <n v="1764"/>
  </r>
  <r>
    <s v="I-3119"/>
    <s v="Madria"/>
    <s v="Spain"/>
    <s v="EMEA"/>
    <d v="2016-06-12T00:00:00"/>
    <x v="0"/>
    <s v="Zhan Whitfield"/>
    <n v="80"/>
    <n v="70"/>
    <n v="0.125"/>
    <n v="48"/>
    <n v="3360"/>
  </r>
  <r>
    <s v="I-3120"/>
    <s v="Seoul"/>
    <s v="South Korea"/>
    <s v="APAC"/>
    <d v="2018-09-03T00:00:00"/>
    <x v="0"/>
    <s v="Mark Brook"/>
    <n v="80"/>
    <n v="80"/>
    <n v="0"/>
    <n v="6"/>
    <n v="480"/>
  </r>
  <r>
    <s v="I-3121"/>
    <s v="Dublin"/>
    <s v="Ireland"/>
    <s v="EMEA"/>
    <d v="2016-10-31T00:00:00"/>
    <x v="7"/>
    <s v="James Carley"/>
    <n v="1000"/>
    <n v="870"/>
    <n v="0.13"/>
    <n v="67"/>
    <n v="58290"/>
  </r>
  <r>
    <s v="I-3122"/>
    <s v="Jerusalem"/>
    <s v="Israel"/>
    <s v="EMEA"/>
    <d v="2014-04-23T00:00:00"/>
    <x v="11"/>
    <s v="Emma Westbrook"/>
    <n v="50"/>
    <n v="39"/>
    <n v="0.22"/>
    <n v="95"/>
    <n v="3705"/>
  </r>
  <r>
    <s v="I-3123"/>
    <s v="Vienna"/>
    <s v="Austria"/>
    <s v="EMEA"/>
    <d v="2017-09-08T00:00:00"/>
    <x v="2"/>
    <s v="Daniel Henderson"/>
    <n v="150"/>
    <n v="138"/>
    <n v="0.08"/>
    <n v="39"/>
    <n v="5382"/>
  </r>
  <r>
    <s v="I-3124"/>
    <s v="Istanbul"/>
    <s v="Turkey"/>
    <s v="EMEA"/>
    <d v="2017-04-10T00:00:00"/>
    <x v="0"/>
    <s v="Chloe Lyons"/>
    <n v="80"/>
    <n v="75"/>
    <n v="6.25E-2"/>
    <n v="9"/>
    <n v="675"/>
  </r>
  <r>
    <s v="I-3125"/>
    <s v="Birmingham"/>
    <s v="UK"/>
    <s v="EMEA"/>
    <d v="2014-02-09T00:00:00"/>
    <x v="4"/>
    <s v="Susan Goude"/>
    <n v="30"/>
    <n v="29"/>
    <n v="3.3300000000000003E-2"/>
    <n v="76"/>
    <n v="2204"/>
  </r>
  <r>
    <s v="I-3126"/>
    <s v="Istanbul"/>
    <s v="Turkey"/>
    <s v="EMEA"/>
    <d v="2016-11-09T00:00:00"/>
    <x v="9"/>
    <s v="Mark Sayer"/>
    <n v="70"/>
    <n v="65"/>
    <n v="7.1400000000000005E-2"/>
    <n v="79"/>
    <n v="5135"/>
  </r>
  <r>
    <s v="I-3127"/>
    <s v="Jerusalem"/>
    <s v="Israel"/>
    <s v="EMEA"/>
    <d v="2015-04-11T00:00:00"/>
    <x v="11"/>
    <s v="Susan Carley"/>
    <n v="50"/>
    <n v="47"/>
    <n v="0.06"/>
    <n v="69"/>
    <n v="3243"/>
  </r>
  <r>
    <s v="I-3128"/>
    <s v="Vancouver"/>
    <s v="Canada"/>
    <s v="NA"/>
    <d v="2018-06-20T00:00:00"/>
    <x v="2"/>
    <s v="Elaine Ricketts"/>
    <n v="150"/>
    <n v="140"/>
    <n v="6.6699999999999995E-2"/>
    <n v="78"/>
    <n v="10920"/>
  </r>
  <r>
    <s v="I-3129"/>
    <s v="Sao Paolo"/>
    <s v="Brazil"/>
    <s v="LATAM"/>
    <d v="2017-02-17T00:00:00"/>
    <x v="10"/>
    <s v="Elizabeth Holloway"/>
    <n v="250"/>
    <n v="228"/>
    <n v="8.7999999999999995E-2"/>
    <n v="95"/>
    <n v="21660"/>
  </r>
  <r>
    <s v="I-3130"/>
    <s v="Guangzhou"/>
    <s v="China"/>
    <s v="APAC"/>
    <d v="2014-03-14T00:00:00"/>
    <x v="9"/>
    <s v="Glenys Wright"/>
    <n v="70"/>
    <n v="50"/>
    <n v="0.28570000000000001"/>
    <n v="93"/>
    <n v="4650"/>
  </r>
  <r>
    <s v="I-3131"/>
    <s v="Osaka"/>
    <s v="Japan"/>
    <s v="APAC"/>
    <d v="2016-09-01T00:00:00"/>
    <x v="6"/>
    <s v="Denise Clark"/>
    <n v="800"/>
    <n v="768"/>
    <n v="0.04"/>
    <n v="12"/>
    <n v="9216"/>
  </r>
  <r>
    <s v="I-3132"/>
    <s v="New York"/>
    <s v="USA"/>
    <s v="NA"/>
    <d v="2014-08-22T00:00:00"/>
    <x v="7"/>
    <s v="Stephen Cohen"/>
    <n v="1000"/>
    <n v="590"/>
    <n v="0.41"/>
    <n v="1"/>
    <n v="590"/>
  </r>
  <r>
    <s v="I-3133"/>
    <s v="Cairo"/>
    <s v="Egypt"/>
    <s v="EMEA"/>
    <d v="2016-06-10T00:00:00"/>
    <x v="3"/>
    <s v="David Amos"/>
    <n v="50"/>
    <n v="50"/>
    <n v="0"/>
    <n v="67"/>
    <n v="3350"/>
  </r>
  <r>
    <s v="I-3134"/>
    <s v="Moscow"/>
    <s v="Russia"/>
    <s v="EMEA"/>
    <d v="2015-01-14T00:00:00"/>
    <x v="6"/>
    <s v="Diane Batty"/>
    <n v="800"/>
    <n v="776"/>
    <n v="0.03"/>
    <n v="27"/>
    <n v="20952"/>
  </r>
  <r>
    <s v="I-3135"/>
    <s v="Shanghai"/>
    <s v="China"/>
    <s v="APAC"/>
    <d v="2018-01-12T00:00:00"/>
    <x v="4"/>
    <s v="Paul Power"/>
    <n v="30"/>
    <n v="26"/>
    <n v="0.1333"/>
    <n v="86"/>
    <n v="2236"/>
  </r>
  <r>
    <s v="I-3136"/>
    <s v="Rome"/>
    <s v="Italy"/>
    <s v="EMEA"/>
    <d v="2014-08-18T00:00:00"/>
    <x v="5"/>
    <s v="Richard Batty"/>
    <n v="500"/>
    <n v="360"/>
    <n v="0.28000000000000003"/>
    <n v="62"/>
    <n v="22320"/>
  </r>
  <r>
    <s v="I-3137"/>
    <s v="Prague"/>
    <s v="Czech Republic"/>
    <s v="EMEA"/>
    <d v="2017-08-09T00:00:00"/>
    <x v="2"/>
    <s v="Christopher Martin"/>
    <n v="150"/>
    <n v="126"/>
    <n v="0.16"/>
    <n v="61"/>
    <n v="7686"/>
  </r>
  <r>
    <s v="I-3138"/>
    <s v="Sydney"/>
    <s v="Australia"/>
    <s v="APAC"/>
    <d v="2016-04-02T00:00:00"/>
    <x v="6"/>
    <s v="Jeremy Percival"/>
    <n v="800"/>
    <n v="520"/>
    <n v="0.35"/>
    <n v="98"/>
    <n v="50960"/>
  </r>
  <r>
    <s v="I-3139"/>
    <s v="San Fransisco"/>
    <s v="USA"/>
    <s v="NA"/>
    <d v="2018-11-07T00:00:00"/>
    <x v="7"/>
    <s v="James Stephen"/>
    <n v="1000"/>
    <n v="650"/>
    <n v="0.35"/>
    <n v="88"/>
    <n v="57200"/>
  </r>
  <r>
    <s v="I-3140"/>
    <s v="Tokyo"/>
    <s v="Japan"/>
    <s v="APAC"/>
    <d v="2016-08-14T00:00:00"/>
    <x v="7"/>
    <s v="Kenneth Bullion"/>
    <n v="1000"/>
    <n v="920"/>
    <n v="0.08"/>
    <n v="10"/>
    <n v="9200"/>
  </r>
  <r>
    <s v="I-3141"/>
    <s v="London"/>
    <s v="UK"/>
    <s v="EMEA"/>
    <d v="2017-02-24T00:00:00"/>
    <x v="11"/>
    <s v="Francis Godden"/>
    <n v="50"/>
    <n v="49"/>
    <n v="0.02"/>
    <n v="90"/>
    <n v="4410"/>
  </r>
  <r>
    <s v="I-3142"/>
    <s v="Prague"/>
    <s v="Czech Republic"/>
    <s v="EMEA"/>
    <d v="2018-01-05T00:00:00"/>
    <x v="7"/>
    <s v="Pauline Pluck"/>
    <n v="1000"/>
    <n v="950"/>
    <n v="0.05"/>
    <n v="66"/>
    <n v="62700"/>
  </r>
  <r>
    <s v="I-3143"/>
    <s v="Seattle"/>
    <s v="USA"/>
    <s v="NA"/>
    <d v="2017-12-09T00:00:00"/>
    <x v="4"/>
    <s v="Alan Davie"/>
    <n v="30"/>
    <n v="29"/>
    <n v="3.3300000000000003E-2"/>
    <n v="22"/>
    <n v="638"/>
  </r>
  <r>
    <s v="I-3144"/>
    <s v="Madria"/>
    <s v="Spain"/>
    <s v="EMEA"/>
    <d v="2014-01-09T00:00:00"/>
    <x v="11"/>
    <s v="Zhan Whitfield"/>
    <n v="50"/>
    <n v="37"/>
    <n v="0.26"/>
    <n v="50"/>
    <n v="1850"/>
  </r>
  <r>
    <s v="I-3145"/>
    <s v="Kansas City"/>
    <s v="USA"/>
    <s v="NA"/>
    <d v="2015-04-18T00:00:00"/>
    <x v="4"/>
    <s v="Xun Simms"/>
    <n v="30"/>
    <n v="23"/>
    <n v="0.23330000000000001"/>
    <n v="8"/>
    <n v="184"/>
  </r>
  <r>
    <s v="I-3146"/>
    <s v="Ho Chi Minh City"/>
    <s v="Vietnam"/>
    <s v="APAC"/>
    <d v="2015-02-11T00:00:00"/>
    <x v="10"/>
    <s v="Frank Sewell"/>
    <n v="250"/>
    <n v="168"/>
    <n v="0.32800000000000001"/>
    <n v="16"/>
    <n v="2688"/>
  </r>
  <r>
    <s v="I-3147"/>
    <s v="Tel Aviv"/>
    <s v="Israel"/>
    <s v="EMEA"/>
    <d v="2018-03-08T00:00:00"/>
    <x v="1"/>
    <s v="Frances Weller"/>
    <n v="700"/>
    <n v="609"/>
    <n v="0.13"/>
    <n v="84"/>
    <n v="51156"/>
  </r>
  <r>
    <s v="I-3148"/>
    <s v="Vancouver"/>
    <s v="Canada"/>
    <s v="NA"/>
    <d v="2017-04-14T00:00:00"/>
    <x v="5"/>
    <s v="Brian Clarke"/>
    <n v="500"/>
    <n v="470"/>
    <n v="0.06"/>
    <n v="21"/>
    <n v="9870"/>
  </r>
  <r>
    <s v="I-3149"/>
    <s v="Los Angeles"/>
    <s v="USA"/>
    <s v="NA"/>
    <d v="2016-12-02T00:00:00"/>
    <x v="0"/>
    <s v="Christopher Kitching"/>
    <n v="80"/>
    <n v="79"/>
    <n v="1.2500000000000001E-2"/>
    <n v="16"/>
    <n v="1264"/>
  </r>
  <r>
    <s v="I-3150"/>
    <s v="Shanghai"/>
    <s v="China"/>
    <s v="APAC"/>
    <d v="2015-10-24T00:00:00"/>
    <x v="2"/>
    <s v="Timothy Fraser"/>
    <n v="150"/>
    <n v="105"/>
    <n v="0.3"/>
    <n v="6"/>
    <n v="630"/>
  </r>
  <r>
    <s v="I-3151"/>
    <s v="Buenos Aires"/>
    <s v="Argentina"/>
    <s v="LATAM"/>
    <d v="2015-08-11T00:00:00"/>
    <x v="0"/>
    <s v="Abdul Heywood"/>
    <n v="80"/>
    <n v="58"/>
    <n v="0.27500000000000002"/>
    <n v="76"/>
    <n v="4408"/>
  </r>
  <r>
    <s v="I-3152"/>
    <s v="Moscow"/>
    <s v="Russia"/>
    <s v="EMEA"/>
    <d v="2015-03-08T00:00:00"/>
    <x v="6"/>
    <s v="Dermot Bailey"/>
    <n v="800"/>
    <n v="744"/>
    <n v="7.0000000000000007E-2"/>
    <n v="15"/>
    <n v="11160"/>
  </r>
  <r>
    <s v="I-3153"/>
    <s v="Dublin"/>
    <s v="Ireland"/>
    <s v="EMEA"/>
    <d v="2014-08-08T00:00:00"/>
    <x v="1"/>
    <s v="John Curtis"/>
    <n v="700"/>
    <n v="651"/>
    <n v="7.0000000000000007E-2"/>
    <n v="15"/>
    <n v="9765"/>
  </r>
  <r>
    <s v="I-3154"/>
    <s v="Ho Chi Minh City"/>
    <s v="Vietnam"/>
    <s v="APAC"/>
    <d v="2017-07-06T00:00:00"/>
    <x v="9"/>
    <s v="Susan Dixon"/>
    <n v="70"/>
    <n v="65"/>
    <n v="7.1400000000000005E-2"/>
    <n v="92"/>
    <n v="5980"/>
  </r>
  <r>
    <s v="I-3155"/>
    <s v="Seattle"/>
    <s v="USA"/>
    <s v="NA"/>
    <d v="2015-01-20T00:00:00"/>
    <x v="0"/>
    <s v="Kevin Styles"/>
    <n v="80"/>
    <n v="75"/>
    <n v="6.25E-2"/>
    <n v="79"/>
    <n v="5925"/>
  </r>
  <r>
    <s v="I-3156"/>
    <s v="Lima"/>
    <s v="Peru"/>
    <s v="LATAM"/>
    <d v="2017-04-29T00:00:00"/>
    <x v="5"/>
    <s v="William Lant"/>
    <n v="500"/>
    <n v="500"/>
    <n v="0"/>
    <n v="37"/>
    <n v="18500"/>
  </r>
  <r>
    <s v="I-3157"/>
    <s v="London"/>
    <s v="UK"/>
    <s v="EMEA"/>
    <d v="2017-11-23T00:00:00"/>
    <x v="8"/>
    <s v="Ian Borowski"/>
    <n v="500"/>
    <n v="495"/>
    <n v="0.01"/>
    <n v="6"/>
    <n v="2970"/>
  </r>
  <r>
    <s v="I-3158"/>
    <s v="Seoul"/>
    <s v="South Korea"/>
    <s v="APAC"/>
    <d v="2017-07-28T00:00:00"/>
    <x v="1"/>
    <s v="James Gahagan"/>
    <n v="700"/>
    <n v="665"/>
    <n v="0.05"/>
    <n v="95"/>
    <n v="63175"/>
  </r>
  <r>
    <s v="I-3159"/>
    <s v="Prague"/>
    <s v="Czech Republic"/>
    <s v="EMEA"/>
    <d v="2017-11-28T00:00:00"/>
    <x v="10"/>
    <s v="David Stewart"/>
    <n v="250"/>
    <n v="230"/>
    <n v="0.08"/>
    <n v="90"/>
    <n v="20700"/>
  </r>
  <r>
    <s v="I-3160"/>
    <s v="Tel Aviv"/>
    <s v="Israel"/>
    <s v="EMEA"/>
    <d v="2016-03-23T00:00:00"/>
    <x v="2"/>
    <s v="John Verma"/>
    <n v="150"/>
    <n v="143"/>
    <n v="4.6699999999999998E-2"/>
    <n v="60"/>
    <n v="8580"/>
  </r>
  <r>
    <s v="I-3161"/>
    <s v="Santiago"/>
    <s v="Chile"/>
    <s v="LATAM"/>
    <d v="2017-01-27T00:00:00"/>
    <x v="10"/>
    <s v="Julia Hurren"/>
    <n v="250"/>
    <n v="230"/>
    <n v="0.08"/>
    <n v="22"/>
    <n v="5060"/>
  </r>
  <r>
    <s v="I-3162"/>
    <s v="Sao Paolo"/>
    <s v="Brazil"/>
    <s v="LATAM"/>
    <d v="2015-06-01T00:00:00"/>
    <x v="1"/>
    <s v="Cheryl Tubbs"/>
    <n v="700"/>
    <n v="665"/>
    <n v="0.05"/>
    <n v="34"/>
    <n v="22610"/>
  </r>
  <r>
    <s v="I-3163"/>
    <s v="Houston"/>
    <s v="USA"/>
    <s v="NA"/>
    <d v="2014-07-19T00:00:00"/>
    <x v="10"/>
    <s v="Glenys Muhammad"/>
    <n v="250"/>
    <n v="245"/>
    <n v="0.02"/>
    <n v="96"/>
    <n v="23520"/>
  </r>
  <r>
    <s v="I-3164"/>
    <s v="Los Angeles"/>
    <s v="USA"/>
    <s v="NA"/>
    <d v="2014-09-03T00:00:00"/>
    <x v="3"/>
    <s v="Christopher Kitching"/>
    <n v="50"/>
    <n v="38"/>
    <n v="0.24"/>
    <n v="10"/>
    <n v="380"/>
  </r>
  <r>
    <s v="I-3165"/>
    <s v="Tokyo"/>
    <s v="Japan"/>
    <s v="APAC"/>
    <d v="2016-09-16T00:00:00"/>
    <x v="9"/>
    <s v="Pauline Pope"/>
    <n v="70"/>
    <n v="64"/>
    <n v="8.5699999999999998E-2"/>
    <n v="63"/>
    <n v="4032"/>
  </r>
  <r>
    <s v="I-3166"/>
    <s v="Guangzhou"/>
    <s v="China"/>
    <s v="APAC"/>
    <d v="2015-07-23T00:00:00"/>
    <x v="10"/>
    <s v="Helen Watt"/>
    <n v="250"/>
    <n v="238"/>
    <n v="4.8000000000000001E-2"/>
    <n v="81"/>
    <n v="19278"/>
  </r>
  <r>
    <s v="I-3167"/>
    <s v="Jerusalem"/>
    <s v="Israel"/>
    <s v="EMEA"/>
    <d v="2016-05-06T00:00:00"/>
    <x v="2"/>
    <s v="Neil Tubbs"/>
    <n v="150"/>
    <n v="137"/>
    <n v="8.6699999999999999E-2"/>
    <n v="34"/>
    <n v="4658"/>
  </r>
  <r>
    <s v="I-3168"/>
    <s v="Warsaw"/>
    <s v="Poland"/>
    <s v="EMEA"/>
    <d v="2016-06-16T00:00:00"/>
    <x v="6"/>
    <s v="Barbara McDevitt"/>
    <n v="800"/>
    <n v="520"/>
    <n v="0.35"/>
    <n v="76"/>
    <n v="39520"/>
  </r>
  <r>
    <s v="I-3169"/>
    <s v="Dublin"/>
    <s v="Ireland"/>
    <s v="EMEA"/>
    <d v="2015-06-01T00:00:00"/>
    <x v="0"/>
    <s v="Robert Harris"/>
    <n v="80"/>
    <n v="80"/>
    <n v="0"/>
    <n v="57"/>
    <n v="4560"/>
  </r>
  <r>
    <s v="I-3170"/>
    <s v="Capetown"/>
    <s v="South Africa"/>
    <s v="EMEA"/>
    <d v="2015-02-14T00:00:00"/>
    <x v="0"/>
    <s v="Margaret Philp"/>
    <n v="80"/>
    <n v="62"/>
    <n v="0.22500000000000001"/>
    <n v="48"/>
    <n v="2976"/>
  </r>
  <r>
    <s v="I-3171"/>
    <s v="London"/>
    <s v="UK"/>
    <s v="EMEA"/>
    <d v="2016-08-24T00:00:00"/>
    <x v="3"/>
    <s v="James Neville"/>
    <n v="50"/>
    <n v="50"/>
    <n v="0"/>
    <n v="59"/>
    <n v="2950"/>
  </r>
  <r>
    <s v="I-3172"/>
    <s v="Kansas City"/>
    <s v="USA"/>
    <s v="NA"/>
    <d v="2014-05-31T00:00:00"/>
    <x v="6"/>
    <s v="Kirsty Amos"/>
    <n v="800"/>
    <n v="640"/>
    <n v="0.2"/>
    <n v="23"/>
    <n v="14720"/>
  </r>
  <r>
    <s v="I-3173"/>
    <s v="Dubai"/>
    <s v="UAE"/>
    <s v="EMEA"/>
    <d v="2015-03-19T00:00:00"/>
    <x v="4"/>
    <s v="David Romero"/>
    <n v="30"/>
    <n v="21"/>
    <n v="0.3"/>
    <n v="47"/>
    <n v="987"/>
  </r>
  <r>
    <s v="I-3174"/>
    <s v="Vancouver"/>
    <s v="Canada"/>
    <s v="NA"/>
    <d v="2014-05-02T00:00:00"/>
    <x v="7"/>
    <s v="Christine Rowe"/>
    <n v="1000"/>
    <n v="780"/>
    <n v="0.22"/>
    <n v="67"/>
    <n v="52260"/>
  </r>
  <r>
    <s v="I-3175"/>
    <s v="Prague"/>
    <s v="Czech Republic"/>
    <s v="EMEA"/>
    <d v="2017-08-15T00:00:00"/>
    <x v="1"/>
    <s v="Edward Khan"/>
    <n v="700"/>
    <n v="679"/>
    <n v="0.03"/>
    <n v="13"/>
    <n v="8827"/>
  </r>
  <r>
    <s v="I-3176"/>
    <s v="Delhi"/>
    <s v="India"/>
    <s v="APAC"/>
    <d v="2015-02-21T00:00:00"/>
    <x v="3"/>
    <s v="Russell Wood"/>
    <n v="50"/>
    <n v="50"/>
    <n v="0"/>
    <n v="51"/>
    <n v="2550"/>
  </r>
  <r>
    <s v="I-3177"/>
    <s v="New York"/>
    <s v="USA"/>
    <s v="NA"/>
    <d v="2015-12-03T00:00:00"/>
    <x v="9"/>
    <s v="Barbara Turner"/>
    <n v="70"/>
    <n v="55"/>
    <n v="0.21429999999999999"/>
    <n v="42"/>
    <n v="2310"/>
  </r>
  <r>
    <s v="I-3178"/>
    <s v="Dubai"/>
    <s v="UAE"/>
    <s v="EMEA"/>
    <d v="2014-07-24T00:00:00"/>
    <x v="6"/>
    <s v="Peter Kelly"/>
    <n v="800"/>
    <n v="800"/>
    <n v="0"/>
    <n v="7"/>
    <n v="5600"/>
  </r>
  <r>
    <s v="I-3179"/>
    <s v="Bangkok"/>
    <s v="Thailand"/>
    <s v="APAC"/>
    <d v="2017-12-12T00:00:00"/>
    <x v="3"/>
    <s v="Andi Liu"/>
    <n v="50"/>
    <n v="50"/>
    <n v="0"/>
    <n v="11"/>
    <n v="550"/>
  </r>
  <r>
    <s v="I-3180"/>
    <s v="Toronto"/>
    <s v="Canada"/>
    <s v="NA"/>
    <d v="2015-11-23T00:00:00"/>
    <x v="0"/>
    <s v="Nick Blacklock"/>
    <n v="80"/>
    <n v="59"/>
    <n v="0.26250000000000001"/>
    <n v="12"/>
    <n v="708"/>
  </r>
  <r>
    <s v="I-3181"/>
    <s v="Chicago"/>
    <s v="USA"/>
    <s v="NA"/>
    <d v="2015-04-11T00:00:00"/>
    <x v="4"/>
    <s v="Ronald Bettley"/>
    <n v="30"/>
    <n v="30"/>
    <n v="0"/>
    <n v="56"/>
    <n v="1680"/>
  </r>
  <r>
    <s v="I-3182"/>
    <s v="Kuala Lumpur"/>
    <s v="Malaysia"/>
    <s v="APAC"/>
    <d v="2017-08-27T00:00:00"/>
    <x v="2"/>
    <s v="Harold Lunn"/>
    <n v="150"/>
    <n v="140"/>
    <n v="6.6699999999999995E-2"/>
    <n v="92"/>
    <n v="12880"/>
  </r>
  <r>
    <s v="I-3183"/>
    <s v="Madria"/>
    <s v="Spain"/>
    <s v="EMEA"/>
    <d v="2014-09-28T00:00:00"/>
    <x v="0"/>
    <s v="Zhan Whitfield"/>
    <n v="80"/>
    <n v="66"/>
    <n v="0.17499999999999999"/>
    <n v="43"/>
    <n v="2838"/>
  </r>
  <r>
    <s v="I-3184"/>
    <s v="Bucharest"/>
    <s v="Romania"/>
    <s v="EMEA"/>
    <d v="2014-09-23T00:00:00"/>
    <x v="5"/>
    <s v="Richard Rowe"/>
    <n v="500"/>
    <n v="475"/>
    <n v="0.05"/>
    <n v="77"/>
    <n v="36575"/>
  </r>
  <r>
    <s v="I-3185"/>
    <s v="Lima"/>
    <s v="Peru"/>
    <s v="LATAM"/>
    <d v="2016-06-17T00:00:00"/>
    <x v="5"/>
    <s v="Michael Wood"/>
    <n v="500"/>
    <n v="485"/>
    <n v="0.03"/>
    <n v="37"/>
    <n v="17945"/>
  </r>
  <r>
    <s v="I-3186"/>
    <s v="Tijuana"/>
    <s v="Mexico"/>
    <s v="LATAM"/>
    <d v="2015-09-04T00:00:00"/>
    <x v="1"/>
    <s v="Rosemary Hatcher"/>
    <n v="700"/>
    <n v="581"/>
    <n v="0.17"/>
    <n v="46"/>
    <n v="26726"/>
  </r>
  <r>
    <s v="I-3187"/>
    <s v="Riyadh"/>
    <s v="Saudi Arabia"/>
    <s v="EMEA"/>
    <d v="2018-08-15T00:00:00"/>
    <x v="0"/>
    <s v="Lloyd Barr"/>
    <n v="80"/>
    <n v="74"/>
    <n v="7.4999999999999997E-2"/>
    <n v="2"/>
    <n v="148"/>
  </r>
  <r>
    <s v="I-3188"/>
    <s v="Buenos Aires"/>
    <s v="Argentina"/>
    <s v="LATAM"/>
    <d v="2018-01-12T00:00:00"/>
    <x v="8"/>
    <s v="Nicola Nathan"/>
    <n v="500"/>
    <n v="490"/>
    <n v="0.02"/>
    <n v="19"/>
    <n v="9310"/>
  </r>
  <r>
    <s v="I-3189"/>
    <s v="Bangalore"/>
    <s v="India"/>
    <s v="APAC"/>
    <d v="2016-09-10T00:00:00"/>
    <x v="10"/>
    <s v="Delia Muhammad"/>
    <n v="250"/>
    <n v="240"/>
    <n v="0.04"/>
    <n v="15"/>
    <n v="3600"/>
  </r>
  <r>
    <s v="I-3190"/>
    <s v="Lima"/>
    <s v="Peru"/>
    <s v="LATAM"/>
    <d v="2017-10-15T00:00:00"/>
    <x v="6"/>
    <s v="Lloyd Norton"/>
    <n v="800"/>
    <n v="744"/>
    <n v="7.0000000000000007E-2"/>
    <n v="17"/>
    <n v="12648"/>
  </r>
  <r>
    <s v="I-3191"/>
    <s v="Tijuana"/>
    <s v="Mexico"/>
    <s v="LATAM"/>
    <d v="2018-01-13T00:00:00"/>
    <x v="8"/>
    <s v="Richard Foy"/>
    <n v="500"/>
    <n v="490"/>
    <n v="0.02"/>
    <n v="80"/>
    <n v="39200"/>
  </r>
  <r>
    <s v="I-3192"/>
    <s v="Madria"/>
    <s v="Spain"/>
    <s v="EMEA"/>
    <d v="2017-10-07T00:00:00"/>
    <x v="8"/>
    <s v="Howard Jones"/>
    <n v="500"/>
    <n v="495"/>
    <n v="0.01"/>
    <n v="35"/>
    <n v="17325"/>
  </r>
  <r>
    <s v="I-3193"/>
    <s v="Kansas City"/>
    <s v="USA"/>
    <s v="NA"/>
    <d v="2018-01-26T00:00:00"/>
    <x v="8"/>
    <s v="Douglas Davies"/>
    <n v="500"/>
    <n v="500"/>
    <n v="0"/>
    <n v="11"/>
    <n v="5500"/>
  </r>
  <r>
    <s v="I-3194"/>
    <s v="Warsaw"/>
    <s v="Poland"/>
    <s v="EMEA"/>
    <d v="2017-11-14T00:00:00"/>
    <x v="2"/>
    <s v="Anthony Connolly"/>
    <n v="150"/>
    <n v="138"/>
    <n v="0.08"/>
    <n v="14"/>
    <n v="1932"/>
  </r>
  <r>
    <s v="I-3195"/>
    <s v="Lima"/>
    <s v="Peru"/>
    <s v="LATAM"/>
    <d v="2016-02-23T00:00:00"/>
    <x v="8"/>
    <s v="Peter Jago"/>
    <n v="500"/>
    <n v="490"/>
    <n v="0.02"/>
    <n v="84"/>
    <n v="41160"/>
  </r>
  <r>
    <s v="I-3196"/>
    <s v="Ho Chi Minh City"/>
    <s v="Vietnam"/>
    <s v="APAC"/>
    <d v="2017-04-10T00:00:00"/>
    <x v="1"/>
    <s v="Rosemary Aziz"/>
    <n v="700"/>
    <n v="658"/>
    <n v="0.06"/>
    <n v="28"/>
    <n v="18424"/>
  </r>
  <r>
    <s v="I-3197"/>
    <s v="Bucharest"/>
    <s v="Romania"/>
    <s v="EMEA"/>
    <d v="2016-03-27T00:00:00"/>
    <x v="7"/>
    <s v="Kevin Ross"/>
    <n v="1000"/>
    <n v="800"/>
    <n v="0.2"/>
    <n v="34"/>
    <n v="27200"/>
  </r>
  <r>
    <s v="I-3198"/>
    <s v="Shanghai"/>
    <s v="China"/>
    <s v="APAC"/>
    <d v="2017-02-26T00:00:00"/>
    <x v="5"/>
    <s v="Paul Power"/>
    <n v="500"/>
    <n v="485"/>
    <n v="0.03"/>
    <n v="84"/>
    <n v="40740"/>
  </r>
  <r>
    <s v="I-3199"/>
    <s v="Athens"/>
    <s v="Greece"/>
    <s v="EMEA"/>
    <d v="2016-01-02T00:00:00"/>
    <x v="5"/>
    <s v="David Walker"/>
    <n v="500"/>
    <n v="445"/>
    <n v="0.11"/>
    <n v="10"/>
    <n v="4450"/>
  </r>
  <r>
    <s v="I-3200"/>
    <s v="Osaka"/>
    <s v="Japan"/>
    <s v="APAC"/>
    <d v="2015-01-08T00:00:00"/>
    <x v="9"/>
    <s v="Selwyn Kitching"/>
    <n v="70"/>
    <n v="59"/>
    <n v="0.15709999999999999"/>
    <n v="27"/>
    <n v="1593"/>
  </r>
  <r>
    <s v="I-3201"/>
    <s v="New York"/>
    <s v="USA"/>
    <s v="NA"/>
    <d v="2014-04-07T00:00:00"/>
    <x v="2"/>
    <s v="Matthew Crowe"/>
    <n v="150"/>
    <n v="122"/>
    <n v="0.1867"/>
    <n v="55"/>
    <n v="6710"/>
  </r>
  <r>
    <s v="I-3202"/>
    <s v="Amsterdam"/>
    <s v="Netherlands"/>
    <s v="EMEA"/>
    <d v="2016-04-21T00:00:00"/>
    <x v="1"/>
    <s v="Allyson Parker"/>
    <n v="700"/>
    <n v="658"/>
    <n v="0.06"/>
    <n v="50"/>
    <n v="32900"/>
  </r>
  <r>
    <s v="I-3203"/>
    <s v="Moscow"/>
    <s v="Russia"/>
    <s v="EMEA"/>
    <d v="2015-03-19T00:00:00"/>
    <x v="5"/>
    <s v="Darren Brooks"/>
    <n v="500"/>
    <n v="480"/>
    <n v="0.04"/>
    <n v="2"/>
    <n v="960"/>
  </r>
  <r>
    <s v="I-3204"/>
    <s v="Berlin"/>
    <s v="Germany"/>
    <s v="EMEA"/>
    <d v="2015-10-29T00:00:00"/>
    <x v="4"/>
    <s v="Paul Mannion"/>
    <n v="30"/>
    <n v="27"/>
    <n v="0.1"/>
    <n v="22"/>
    <n v="594"/>
  </r>
  <r>
    <s v="I-3205"/>
    <s v="Dubai"/>
    <s v="UAE"/>
    <s v="EMEA"/>
    <d v="2017-08-12T00:00:00"/>
    <x v="6"/>
    <s v="Marie Whitfield"/>
    <n v="800"/>
    <n v="592"/>
    <n v="0.26"/>
    <n v="98"/>
    <n v="58016"/>
  </r>
  <r>
    <s v="I-3206"/>
    <s v="Sao Paolo"/>
    <s v="Brazil"/>
    <s v="LATAM"/>
    <d v="2017-02-09T00:00:00"/>
    <x v="6"/>
    <s v="Richard Kay"/>
    <n v="800"/>
    <n v="680"/>
    <n v="0.15"/>
    <n v="59"/>
    <n v="40120"/>
  </r>
  <r>
    <s v="I-3207"/>
    <s v="Santiago"/>
    <s v="Chile"/>
    <s v="LATAM"/>
    <d v="2016-01-12T00:00:00"/>
    <x v="1"/>
    <s v="Richard James"/>
    <n v="700"/>
    <n v="693"/>
    <n v="0.01"/>
    <n v="70"/>
    <n v="48510"/>
  </r>
  <r>
    <s v="I-3208"/>
    <s v="Guangzhou"/>
    <s v="China"/>
    <s v="APAC"/>
    <d v="2017-10-13T00:00:00"/>
    <x v="2"/>
    <s v="Donald Higgs"/>
    <n v="150"/>
    <n v="141"/>
    <n v="0.06"/>
    <n v="77"/>
    <n v="10857"/>
  </r>
  <r>
    <s v="I-3209"/>
    <s v="Bogota"/>
    <s v="Colombia"/>
    <s v="LATAM"/>
    <d v="2017-08-16T00:00:00"/>
    <x v="5"/>
    <s v="Paul Puri"/>
    <n v="500"/>
    <n v="470"/>
    <n v="0.06"/>
    <n v="93"/>
    <n v="43710"/>
  </r>
  <r>
    <s v="I-3210"/>
    <s v="San Fransisco"/>
    <s v="USA"/>
    <s v="NA"/>
    <d v="2018-07-08T00:00:00"/>
    <x v="8"/>
    <s v="Gillan Clark"/>
    <n v="500"/>
    <n v="495"/>
    <n v="0.01"/>
    <n v="10"/>
    <n v="4950"/>
  </r>
  <r>
    <s v="I-3211"/>
    <s v="San Fransisco"/>
    <s v="USA"/>
    <s v="NA"/>
    <d v="2016-07-05T00:00:00"/>
    <x v="10"/>
    <s v="James Stephen"/>
    <n v="250"/>
    <n v="248"/>
    <n v="8.0000000000000002E-3"/>
    <n v="88"/>
    <n v="21824"/>
  </r>
  <r>
    <s v="I-3212"/>
    <s v="Tel Aviv"/>
    <s v="Israel"/>
    <s v="EMEA"/>
    <d v="2017-11-30T00:00:00"/>
    <x v="0"/>
    <s v="Jacob Percival"/>
    <n v="80"/>
    <n v="76"/>
    <n v="0.05"/>
    <n v="85"/>
    <n v="6460"/>
  </r>
  <r>
    <s v="I-3213"/>
    <s v="Tokyo"/>
    <s v="Japan"/>
    <s v="APAC"/>
    <d v="2015-05-09T00:00:00"/>
    <x v="11"/>
    <s v="Ken Mishra"/>
    <n v="50"/>
    <n v="33"/>
    <n v="0.34"/>
    <n v="52"/>
    <n v="1716"/>
  </r>
  <r>
    <s v="I-3214"/>
    <s v="Lima"/>
    <s v="Peru"/>
    <s v="LATAM"/>
    <d v="2018-07-14T00:00:00"/>
    <x v="5"/>
    <s v="Michael Wood"/>
    <n v="500"/>
    <n v="475"/>
    <n v="0.05"/>
    <n v="87"/>
    <n v="41325"/>
  </r>
  <r>
    <s v="I-3215"/>
    <s v="Seoul"/>
    <s v="South Korea"/>
    <s v="APAC"/>
    <d v="2018-06-05T00:00:00"/>
    <x v="1"/>
    <s v="Martin Birch"/>
    <n v="700"/>
    <n v="686"/>
    <n v="0.02"/>
    <n v="15"/>
    <n v="10290"/>
  </r>
  <r>
    <s v="I-3216"/>
    <s v="London"/>
    <s v="UK"/>
    <s v="EMEA"/>
    <d v="2014-03-12T00:00:00"/>
    <x v="7"/>
    <s v="Claire Brooks"/>
    <n v="1000"/>
    <n v="780"/>
    <n v="0.22"/>
    <n v="48"/>
    <n v="37440"/>
  </r>
  <r>
    <s v="I-3217"/>
    <s v="Vancouver"/>
    <s v="Canada"/>
    <s v="NA"/>
    <d v="2014-05-31T00:00:00"/>
    <x v="7"/>
    <s v="Elaine Ricketts"/>
    <n v="1000"/>
    <n v="510"/>
    <n v="0.49"/>
    <n v="80"/>
    <n v="40800"/>
  </r>
  <r>
    <s v="I-3218"/>
    <s v="Kansas City"/>
    <s v="USA"/>
    <s v="NA"/>
    <d v="2016-12-24T00:00:00"/>
    <x v="11"/>
    <s v="David Rodrigues"/>
    <n v="50"/>
    <n v="49"/>
    <n v="0.02"/>
    <n v="70"/>
    <n v="3430"/>
  </r>
  <r>
    <s v="I-3219"/>
    <s v="Guangzhou"/>
    <s v="China"/>
    <s v="APAC"/>
    <d v="2017-10-19T00:00:00"/>
    <x v="6"/>
    <s v="Wolfgang Carvalho"/>
    <n v="800"/>
    <n v="512"/>
    <n v="0.36"/>
    <n v="38"/>
    <n v="19456"/>
  </r>
  <r>
    <s v="I-3220"/>
    <s v="Bogota"/>
    <s v="Colombia"/>
    <s v="LATAM"/>
    <d v="2015-08-02T00:00:00"/>
    <x v="6"/>
    <s v="Alison Lazar"/>
    <n v="800"/>
    <n v="656"/>
    <n v="0.18"/>
    <n v="21"/>
    <n v="13776"/>
  </r>
  <r>
    <s v="I-3221"/>
    <s v="Bogota"/>
    <s v="Colombia"/>
    <s v="LATAM"/>
    <d v="2015-04-29T00:00:00"/>
    <x v="0"/>
    <s v="Philip Mishra"/>
    <n v="80"/>
    <n v="72"/>
    <n v="0.1"/>
    <n v="35"/>
    <n v="2520"/>
  </r>
  <r>
    <s v="I-3222"/>
    <s v="Bangalore"/>
    <s v="India"/>
    <s v="APAC"/>
    <d v="2014-08-28T00:00:00"/>
    <x v="8"/>
    <s v="Delia Muhammad"/>
    <n v="500"/>
    <n v="500"/>
    <n v="0"/>
    <n v="33"/>
    <n v="16500"/>
  </r>
  <r>
    <s v="I-3223"/>
    <s v="Bangalore"/>
    <s v="India"/>
    <s v="APAC"/>
    <d v="2014-07-11T00:00:00"/>
    <x v="6"/>
    <s v="Paresh Mathews"/>
    <n v="800"/>
    <n v="472"/>
    <n v="0.41"/>
    <n v="34"/>
    <n v="16048"/>
  </r>
  <r>
    <s v="I-3224"/>
    <s v="Delhi"/>
    <s v="India"/>
    <s v="APAC"/>
    <d v="2018-01-28T00:00:00"/>
    <x v="0"/>
    <s v="Geoffrey Patel"/>
    <n v="80"/>
    <n v="80"/>
    <n v="0"/>
    <n v="61"/>
    <n v="4880"/>
  </r>
  <r>
    <s v="I-3225"/>
    <s v="Dublin"/>
    <s v="Ireland"/>
    <s v="EMEA"/>
    <d v="2015-03-17T00:00:00"/>
    <x v="9"/>
    <s v="John Curtis"/>
    <n v="70"/>
    <n v="64"/>
    <n v="8.5699999999999998E-2"/>
    <n v="50"/>
    <n v="3200"/>
  </r>
  <r>
    <s v="I-3226"/>
    <s v="San Fransisco"/>
    <s v="USA"/>
    <s v="NA"/>
    <d v="2014-05-10T00:00:00"/>
    <x v="2"/>
    <s v="Kevin Ahmed"/>
    <n v="150"/>
    <n v="114"/>
    <n v="0.24"/>
    <n v="76"/>
    <n v="8664"/>
  </r>
  <r>
    <s v="I-3227"/>
    <s v="Istanbul"/>
    <s v="Turkey"/>
    <s v="EMEA"/>
    <d v="2017-02-06T00:00:00"/>
    <x v="0"/>
    <s v="Julie Pope"/>
    <n v="80"/>
    <n v="73"/>
    <n v="8.7499999999999994E-2"/>
    <n v="91"/>
    <n v="6643"/>
  </r>
  <r>
    <s v="I-3228"/>
    <s v="Berlin"/>
    <s v="Germany"/>
    <s v="EMEA"/>
    <d v="2017-01-25T00:00:00"/>
    <x v="11"/>
    <s v="James Whitehead"/>
    <n v="50"/>
    <n v="47"/>
    <n v="0.06"/>
    <n v="72"/>
    <n v="3384"/>
  </r>
  <r>
    <s v="I-3229"/>
    <s v="Mexico City"/>
    <s v="Mexico"/>
    <s v="LATAM"/>
    <d v="2018-11-09T00:00:00"/>
    <x v="7"/>
    <s v="James Anthony"/>
    <n v="1000"/>
    <n v="960"/>
    <n v="0.04"/>
    <n v="57"/>
    <n v="54720"/>
  </r>
  <r>
    <s v="I-3230"/>
    <s v="New York"/>
    <s v="USA"/>
    <s v="NA"/>
    <d v="2016-09-29T00:00:00"/>
    <x v="7"/>
    <s v="Sarah Houghton"/>
    <n v="1000"/>
    <n v="990"/>
    <n v="0.01"/>
    <n v="27"/>
    <n v="26730"/>
  </r>
  <r>
    <s v="I-3231"/>
    <s v="Bogota"/>
    <s v="Colombia"/>
    <s v="LATAM"/>
    <d v="2018-10-20T00:00:00"/>
    <x v="6"/>
    <s v="Antony Westlake"/>
    <n v="800"/>
    <n v="720"/>
    <n v="0.1"/>
    <n v="44"/>
    <n v="31680"/>
  </r>
  <r>
    <s v="I-3232"/>
    <s v="San Fransisco"/>
    <s v="USA"/>
    <s v="NA"/>
    <d v="2015-08-09T00:00:00"/>
    <x v="6"/>
    <s v="Richard Dewar"/>
    <n v="800"/>
    <n v="600"/>
    <n v="0.25"/>
    <n v="12"/>
    <n v="7200"/>
  </r>
  <r>
    <s v="I-3233"/>
    <s v="Paris"/>
    <s v="France"/>
    <s v="EMEA"/>
    <d v="2016-03-01T00:00:00"/>
    <x v="5"/>
    <s v="Ryan Goad"/>
    <n v="500"/>
    <n v="435"/>
    <n v="0.13"/>
    <n v="15"/>
    <n v="6525"/>
  </r>
  <r>
    <s v="I-3234"/>
    <s v="Bogota"/>
    <s v="Colombia"/>
    <s v="LATAM"/>
    <d v="2014-02-26T00:00:00"/>
    <x v="4"/>
    <s v="Russell Thorley"/>
    <n v="30"/>
    <n v="25"/>
    <n v="0.16669999999999999"/>
    <n v="85"/>
    <n v="2125"/>
  </r>
  <r>
    <s v="I-3235"/>
    <s v="Shanghai"/>
    <s v="China"/>
    <s v="APAC"/>
    <d v="2014-01-16T00:00:00"/>
    <x v="3"/>
    <s v="Glenys Raymond"/>
    <n v="50"/>
    <n v="46"/>
    <n v="0.08"/>
    <n v="94"/>
    <n v="4324"/>
  </r>
  <r>
    <s v="I-3236"/>
    <s v="London"/>
    <s v="UK"/>
    <s v="EMEA"/>
    <d v="2014-09-10T00:00:00"/>
    <x v="3"/>
    <s v="James Neville"/>
    <n v="50"/>
    <n v="48"/>
    <n v="0.04"/>
    <n v="4"/>
    <n v="192"/>
  </r>
  <r>
    <s v="I-3237"/>
    <s v="Rome"/>
    <s v="Italy"/>
    <s v="EMEA"/>
    <d v="2016-08-26T00:00:00"/>
    <x v="2"/>
    <s v="Golam Reid"/>
    <n v="150"/>
    <n v="134"/>
    <n v="0.1067"/>
    <n v="11"/>
    <n v="1474"/>
  </r>
  <r>
    <s v="I-3238"/>
    <s v="Mexico City"/>
    <s v="Mexico"/>
    <s v="LATAM"/>
    <d v="2014-03-29T00:00:00"/>
    <x v="0"/>
    <s v="Mark Evans"/>
    <n v="80"/>
    <n v="75"/>
    <n v="6.25E-2"/>
    <n v="92"/>
    <n v="6900"/>
  </r>
  <r>
    <s v="I-3239"/>
    <s v="Seoul"/>
    <s v="South Korea"/>
    <s v="APAC"/>
    <d v="2016-04-23T00:00:00"/>
    <x v="1"/>
    <s v="Roger Scott"/>
    <n v="700"/>
    <n v="693"/>
    <n v="0.01"/>
    <n v="89"/>
    <n v="61677"/>
  </r>
  <r>
    <s v="I-3240"/>
    <s v="Jerusalem"/>
    <s v="Israel"/>
    <s v="EMEA"/>
    <d v="2014-11-21T00:00:00"/>
    <x v="2"/>
    <s v="David Hubble"/>
    <n v="150"/>
    <n v="119"/>
    <n v="0.20669999999999999"/>
    <n v="93"/>
    <n v="11067"/>
  </r>
  <r>
    <s v="I-3241"/>
    <s v="Riyadh"/>
    <s v="Saudi Arabia"/>
    <s v="EMEA"/>
    <d v="2015-10-28T00:00:00"/>
    <x v="0"/>
    <s v="Gillian Crawley"/>
    <n v="80"/>
    <n v="48"/>
    <n v="0.4"/>
    <n v="30"/>
    <n v="1440"/>
  </r>
  <r>
    <s v="I-3242"/>
    <s v="Toronto"/>
    <s v="Canada"/>
    <s v="NA"/>
    <d v="2014-09-16T00:00:00"/>
    <x v="11"/>
    <s v="David Shiner"/>
    <n v="50"/>
    <n v="45"/>
    <n v="0.1"/>
    <n v="74"/>
    <n v="3330"/>
  </r>
  <r>
    <s v="I-3243"/>
    <s v="San Fransisco"/>
    <s v="USA"/>
    <s v="NA"/>
    <d v="2014-06-28T00:00:00"/>
    <x v="10"/>
    <s v="Gary Acheampong"/>
    <n v="250"/>
    <n v="250"/>
    <n v="0"/>
    <n v="23"/>
    <n v="5750"/>
  </r>
  <r>
    <s v="I-3244"/>
    <s v="Berlin"/>
    <s v="Germany"/>
    <s v="EMEA"/>
    <d v="2014-07-27T00:00:00"/>
    <x v="5"/>
    <s v="John Gunter"/>
    <n v="500"/>
    <n v="380"/>
    <n v="0.24"/>
    <n v="58"/>
    <n v="22040"/>
  </r>
  <r>
    <s v="I-3245"/>
    <s v="Shenzhen"/>
    <s v="China"/>
    <s v="APAC"/>
    <d v="2017-07-06T00:00:00"/>
    <x v="8"/>
    <s v="Keith Drage"/>
    <n v="500"/>
    <n v="495"/>
    <n v="0.01"/>
    <n v="66"/>
    <n v="32670"/>
  </r>
  <r>
    <s v="I-3246"/>
    <s v="Jerusalem"/>
    <s v="Israel"/>
    <s v="EMEA"/>
    <d v="2014-01-28T00:00:00"/>
    <x v="1"/>
    <s v="Susan Carley"/>
    <n v="700"/>
    <n v="623"/>
    <n v="0.11"/>
    <n v="70"/>
    <n v="43610"/>
  </r>
  <r>
    <s v="I-3247"/>
    <s v="Capetown"/>
    <s v="South Africa"/>
    <s v="EMEA"/>
    <d v="2016-04-17T00:00:00"/>
    <x v="11"/>
    <s v="Margaret Philp"/>
    <n v="50"/>
    <n v="44"/>
    <n v="0.12"/>
    <n v="50"/>
    <n v="2200"/>
  </r>
  <r>
    <s v="I-3248"/>
    <s v="Athens"/>
    <s v="Greece"/>
    <s v="EMEA"/>
    <d v="2017-09-20T00:00:00"/>
    <x v="4"/>
    <s v="Mark Lawton"/>
    <n v="30"/>
    <n v="30"/>
    <n v="0"/>
    <n v="69"/>
    <n v="2070"/>
  </r>
  <r>
    <s v="I-3249"/>
    <s v="Bucharest"/>
    <s v="Romania"/>
    <s v="EMEA"/>
    <d v="2014-07-13T00:00:00"/>
    <x v="3"/>
    <s v="Richard Rowe"/>
    <n v="50"/>
    <n v="49"/>
    <n v="0.02"/>
    <n v="1"/>
    <n v="49"/>
  </r>
  <r>
    <s v="I-3250"/>
    <s v="Los Angeles"/>
    <s v="USA"/>
    <s v="NA"/>
    <d v="2016-06-19T00:00:00"/>
    <x v="0"/>
    <s v="Paul Hirst"/>
    <n v="80"/>
    <n v="72"/>
    <n v="0.1"/>
    <n v="29"/>
    <n v="2088"/>
  </r>
  <r>
    <s v="I-3251"/>
    <s v="Shenzhen"/>
    <s v="China"/>
    <s v="APAC"/>
    <d v="2015-06-05T00:00:00"/>
    <x v="3"/>
    <s v="Caroline Gee"/>
    <n v="50"/>
    <n v="45"/>
    <n v="0.1"/>
    <n v="12"/>
    <n v="540"/>
  </r>
  <r>
    <s v="I-3252"/>
    <s v="Seattle"/>
    <s v="USA"/>
    <s v="NA"/>
    <d v="2016-08-30T00:00:00"/>
    <x v="2"/>
    <s v="Kate Nash"/>
    <n v="150"/>
    <n v="149"/>
    <n v="6.7000000000000002E-3"/>
    <n v="43"/>
    <n v="6407"/>
  </r>
  <r>
    <s v="I-3253"/>
    <s v="Amsterdam"/>
    <s v="Netherlands"/>
    <s v="EMEA"/>
    <d v="2016-11-19T00:00:00"/>
    <x v="9"/>
    <s v="Allyson Rush"/>
    <n v="70"/>
    <n v="61"/>
    <n v="0.12859999999999999"/>
    <n v="38"/>
    <n v="2318"/>
  </r>
  <r>
    <s v="I-3254"/>
    <s v="Tel Aviv"/>
    <s v="Israel"/>
    <s v="EMEA"/>
    <d v="2016-08-28T00:00:00"/>
    <x v="8"/>
    <s v="Jacob Percival"/>
    <n v="500"/>
    <n v="500"/>
    <n v="0"/>
    <n v="5"/>
    <n v="2500"/>
  </r>
  <r>
    <s v="I-3255"/>
    <s v="Prague"/>
    <s v="Czech Republic"/>
    <s v="EMEA"/>
    <d v="2014-12-16T00:00:00"/>
    <x v="1"/>
    <s v="Maureen Haymes"/>
    <n v="700"/>
    <n v="672"/>
    <n v="0.04"/>
    <n v="19"/>
    <n v="12768"/>
  </r>
  <r>
    <s v="I-3256"/>
    <s v="Santiago"/>
    <s v="Chile"/>
    <s v="LATAM"/>
    <d v="2018-04-01T00:00:00"/>
    <x v="6"/>
    <s v="Julia Hammond"/>
    <n v="800"/>
    <n v="640"/>
    <n v="0.2"/>
    <n v="31"/>
    <n v="19840"/>
  </r>
  <r>
    <s v="I-3257"/>
    <s v="Madria"/>
    <s v="Spain"/>
    <s v="EMEA"/>
    <d v="2017-07-30T00:00:00"/>
    <x v="7"/>
    <s v="Roy Lloyd"/>
    <n v="1000"/>
    <n v="630"/>
    <n v="0.37"/>
    <n v="99"/>
    <n v="62370"/>
  </r>
  <r>
    <s v="I-3258"/>
    <s v="Berlin"/>
    <s v="Germany"/>
    <s v="EMEA"/>
    <d v="2017-05-01T00:00:00"/>
    <x v="3"/>
    <s v="James Whitehead"/>
    <n v="50"/>
    <n v="46"/>
    <n v="0.08"/>
    <n v="44"/>
    <n v="2024"/>
  </r>
  <r>
    <s v="I-3259"/>
    <s v="Houston"/>
    <s v="USA"/>
    <s v="NA"/>
    <d v="2015-01-12T00:00:00"/>
    <x v="3"/>
    <s v="Glenys Muhammad"/>
    <n v="50"/>
    <n v="33"/>
    <n v="0.34"/>
    <n v="4"/>
    <n v="132"/>
  </r>
  <r>
    <s v="I-3260"/>
    <s v="Prague"/>
    <s v="Czech Republic"/>
    <s v="EMEA"/>
    <d v="2016-12-19T00:00:00"/>
    <x v="6"/>
    <s v="Stephen Nolan"/>
    <n v="800"/>
    <n v="568"/>
    <n v="0.28999999999999998"/>
    <n v="57"/>
    <n v="32376"/>
  </r>
  <r>
    <s v="I-3261"/>
    <s v="Osaka"/>
    <s v="Japan"/>
    <s v="APAC"/>
    <d v="2015-03-18T00:00:00"/>
    <x v="5"/>
    <s v="Stephen Brown"/>
    <n v="500"/>
    <n v="490"/>
    <n v="0.02"/>
    <n v="96"/>
    <n v="47040"/>
  </r>
  <r>
    <s v="I-3262"/>
    <s v="Paris"/>
    <s v="France"/>
    <s v="EMEA"/>
    <d v="2017-06-06T00:00:00"/>
    <x v="10"/>
    <s v="Philip Tubbs"/>
    <n v="250"/>
    <n v="238"/>
    <n v="4.8000000000000001E-2"/>
    <n v="96"/>
    <n v="22848"/>
  </r>
  <r>
    <s v="I-3263"/>
    <s v="Capetown"/>
    <s v="South Africa"/>
    <s v="EMEA"/>
    <d v="2016-09-15T00:00:00"/>
    <x v="4"/>
    <s v="Lucy Downs"/>
    <n v="30"/>
    <n v="26"/>
    <n v="0.1333"/>
    <n v="11"/>
    <n v="286"/>
  </r>
  <r>
    <s v="I-3264"/>
    <s v="Mexico City"/>
    <s v="Mexico"/>
    <s v="LATAM"/>
    <d v="2016-12-23T00:00:00"/>
    <x v="4"/>
    <s v="John Ali"/>
    <n v="30"/>
    <n v="30"/>
    <n v="0"/>
    <n v="27"/>
    <n v="810"/>
  </r>
  <r>
    <s v="I-3265"/>
    <s v="Cairo"/>
    <s v="Egypt"/>
    <s v="EMEA"/>
    <d v="2017-11-30T00:00:00"/>
    <x v="7"/>
    <s v="David Amos"/>
    <n v="1000"/>
    <n v="860"/>
    <n v="0.14000000000000001"/>
    <n v="90"/>
    <n v="77400"/>
  </r>
  <r>
    <s v="I-3266"/>
    <s v="Kuala Lumpur"/>
    <s v="Malaysia"/>
    <s v="APAC"/>
    <d v="2014-07-23T00:00:00"/>
    <x v="7"/>
    <s v="Steven Roberts"/>
    <n v="1000"/>
    <n v="800"/>
    <n v="0.2"/>
    <n v="98"/>
    <n v="78400"/>
  </r>
  <r>
    <s v="I-3267"/>
    <s v="San Fransisco"/>
    <s v="USA"/>
    <s v="NA"/>
    <d v="2015-06-13T00:00:00"/>
    <x v="0"/>
    <s v="Patricia Sewell"/>
    <n v="80"/>
    <n v="79"/>
    <n v="1.2500000000000001E-2"/>
    <n v="59"/>
    <n v="4661"/>
  </r>
  <r>
    <s v="I-3268"/>
    <s v="Amsterdam"/>
    <s v="Netherlands"/>
    <s v="EMEA"/>
    <d v="2017-08-16T00:00:00"/>
    <x v="3"/>
    <s v="Danny Grant"/>
    <n v="50"/>
    <n v="49"/>
    <n v="0.02"/>
    <n v="28"/>
    <n v="1372"/>
  </r>
  <r>
    <s v="I-3269"/>
    <s v="Bangalore"/>
    <s v="India"/>
    <s v="APAC"/>
    <d v="2015-05-22T00:00:00"/>
    <x v="4"/>
    <s v="Paresh Mathews"/>
    <n v="30"/>
    <n v="28"/>
    <n v="6.6699999999999995E-2"/>
    <n v="71"/>
    <n v="1988"/>
  </r>
  <r>
    <s v="I-3270"/>
    <s v="Warsaw"/>
    <s v="Poland"/>
    <s v="EMEA"/>
    <d v="2015-10-11T00:00:00"/>
    <x v="1"/>
    <s v="Hin Bragg"/>
    <n v="700"/>
    <n v="623"/>
    <n v="0.11"/>
    <n v="55"/>
    <n v="34265"/>
  </r>
  <r>
    <s v="I-3271"/>
    <s v="Buenos Aires"/>
    <s v="Argentina"/>
    <s v="LATAM"/>
    <d v="2016-01-09T00:00:00"/>
    <x v="5"/>
    <s v="Nicola Nathan"/>
    <n v="500"/>
    <n v="435"/>
    <n v="0.13"/>
    <n v="47"/>
    <n v="20445"/>
  </r>
  <r>
    <s v="I-3272"/>
    <s v="Kuala Lumpur"/>
    <s v="Malaysia"/>
    <s v="APAC"/>
    <d v="2014-12-12T00:00:00"/>
    <x v="1"/>
    <s v="Anthony Green"/>
    <n v="700"/>
    <n v="693"/>
    <n v="0.01"/>
    <n v="74"/>
    <n v="51282"/>
  </r>
  <r>
    <s v="I-3273"/>
    <s v="Kansas City"/>
    <s v="USA"/>
    <s v="NA"/>
    <d v="2017-05-04T00:00:00"/>
    <x v="2"/>
    <s v="Nicola Wright"/>
    <n v="150"/>
    <n v="150"/>
    <n v="0"/>
    <n v="61"/>
    <n v="9150"/>
  </r>
  <r>
    <s v="I-3274"/>
    <s v="Chicago"/>
    <s v="USA"/>
    <s v="NA"/>
    <d v="2015-06-09T00:00:00"/>
    <x v="6"/>
    <s v="Jeremy Bannister"/>
    <n v="800"/>
    <n v="696"/>
    <n v="0.13"/>
    <n v="57"/>
    <n v="39672"/>
  </r>
  <r>
    <s v="I-3275"/>
    <s v="Dublin"/>
    <s v="Ireland"/>
    <s v="EMEA"/>
    <d v="2014-04-26T00:00:00"/>
    <x v="4"/>
    <s v="Emma Gibbons"/>
    <n v="30"/>
    <n v="26"/>
    <n v="0.1333"/>
    <n v="89"/>
    <n v="2314"/>
  </r>
  <r>
    <s v="I-3276"/>
    <s v="Lima"/>
    <s v="Peru"/>
    <s v="LATAM"/>
    <d v="2016-06-29T00:00:00"/>
    <x v="1"/>
    <s v="Michael Wood"/>
    <n v="700"/>
    <n v="623"/>
    <n v="0.11"/>
    <n v="7"/>
    <n v="4361"/>
  </r>
  <r>
    <s v="I-3277"/>
    <s v="Madria"/>
    <s v="Spain"/>
    <s v="EMEA"/>
    <d v="2016-04-18T00:00:00"/>
    <x v="0"/>
    <s v="Howard Jones"/>
    <n v="80"/>
    <n v="74"/>
    <n v="7.4999999999999997E-2"/>
    <n v="36"/>
    <n v="2664"/>
  </r>
  <r>
    <s v="I-3278"/>
    <s v="Riyadh"/>
    <s v="Saudi Arabia"/>
    <s v="EMEA"/>
    <d v="2014-11-15T00:00:00"/>
    <x v="4"/>
    <s v="Gillian Crawley"/>
    <n v="30"/>
    <n v="21"/>
    <n v="0.3"/>
    <n v="39"/>
    <n v="819"/>
  </r>
  <r>
    <s v="I-3279"/>
    <s v="Kansas City"/>
    <s v="USA"/>
    <s v="NA"/>
    <d v="2016-07-25T00:00:00"/>
    <x v="0"/>
    <s v="Xun Simms"/>
    <n v="80"/>
    <n v="68"/>
    <n v="0.15"/>
    <n v="85"/>
    <n v="5780"/>
  </r>
  <r>
    <s v="I-3280"/>
    <s v="Osaka"/>
    <s v="Japan"/>
    <s v="APAC"/>
    <d v="2014-01-22T00:00:00"/>
    <x v="11"/>
    <s v="Colin Patel"/>
    <n v="50"/>
    <n v="48"/>
    <n v="0.04"/>
    <n v="36"/>
    <n v="1728"/>
  </r>
  <r>
    <s v="I-3281"/>
    <s v="Shenzhen"/>
    <s v="China"/>
    <s v="APAC"/>
    <d v="2017-07-01T00:00:00"/>
    <x v="4"/>
    <s v="Fatima James"/>
    <n v="30"/>
    <n v="29"/>
    <n v="3.3300000000000003E-2"/>
    <n v="68"/>
    <n v="1972"/>
  </r>
  <r>
    <s v="I-3282"/>
    <s v="Capetown"/>
    <s v="South Africa"/>
    <s v="EMEA"/>
    <d v="2016-03-21T00:00:00"/>
    <x v="4"/>
    <s v="Margaret Philp"/>
    <n v="30"/>
    <n v="29"/>
    <n v="3.3300000000000003E-2"/>
    <n v="14"/>
    <n v="406"/>
  </r>
  <r>
    <s v="I-3283"/>
    <s v="Bangalore"/>
    <s v="India"/>
    <s v="APAC"/>
    <d v="2016-03-10T00:00:00"/>
    <x v="7"/>
    <s v="Delia Muhammad"/>
    <n v="1000"/>
    <n v="510"/>
    <n v="0.49"/>
    <n v="42"/>
    <n v="21420"/>
  </r>
  <r>
    <s v="I-3284"/>
    <s v="Bangkok"/>
    <s v="Thailand"/>
    <s v="APAC"/>
    <d v="2016-12-17T00:00:00"/>
    <x v="4"/>
    <s v="Carol Cormack"/>
    <n v="30"/>
    <n v="29"/>
    <n v="3.3300000000000003E-2"/>
    <n v="16"/>
    <n v="464"/>
  </r>
  <r>
    <s v="I-3285"/>
    <s v="Tel Aviv"/>
    <s v="Israel"/>
    <s v="EMEA"/>
    <d v="2014-08-02T00:00:00"/>
    <x v="7"/>
    <s v="Richard McGrath"/>
    <n v="1000"/>
    <n v="840"/>
    <n v="0.16"/>
    <n v="99"/>
    <n v="83160"/>
  </r>
  <r>
    <s v="I-3286"/>
    <s v="Istanbul"/>
    <s v="Turkey"/>
    <s v="EMEA"/>
    <d v="2016-01-22T00:00:00"/>
    <x v="10"/>
    <s v="David Philp"/>
    <n v="250"/>
    <n v="225"/>
    <n v="0.1"/>
    <n v="42"/>
    <n v="9450"/>
  </r>
  <r>
    <s v="I-3287"/>
    <s v="Buenos Aires"/>
    <s v="Argentina"/>
    <s v="LATAM"/>
    <d v="2016-09-24T00:00:00"/>
    <x v="4"/>
    <s v="Ian Grant"/>
    <n v="30"/>
    <n v="26"/>
    <n v="0.1333"/>
    <n v="67"/>
    <n v="1742"/>
  </r>
  <r>
    <s v="I-3288"/>
    <s v="Amsterdam"/>
    <s v="Netherlands"/>
    <s v="EMEA"/>
    <d v="2015-11-28T00:00:00"/>
    <x v="1"/>
    <s v="Allyson Parker"/>
    <n v="700"/>
    <n v="539"/>
    <n v="0.23"/>
    <n v="22"/>
    <n v="11858"/>
  </r>
  <r>
    <s v="I-3289"/>
    <s v="Istanbul"/>
    <s v="Turkey"/>
    <s v="EMEA"/>
    <d v="2016-03-24T00:00:00"/>
    <x v="11"/>
    <s v="Anthony Rothery"/>
    <n v="50"/>
    <n v="49"/>
    <n v="0.02"/>
    <n v="79"/>
    <n v="3871"/>
  </r>
  <r>
    <s v="I-3290"/>
    <s v="Birmingham"/>
    <s v="UK"/>
    <s v="EMEA"/>
    <d v="2018-08-13T00:00:00"/>
    <x v="0"/>
    <s v="John Whitehead"/>
    <n v="80"/>
    <n v="70"/>
    <n v="0.125"/>
    <n v="40"/>
    <n v="2800"/>
  </r>
  <r>
    <s v="I-3291"/>
    <s v="Chicago"/>
    <s v="USA"/>
    <s v="NA"/>
    <d v="2014-06-17T00:00:00"/>
    <x v="3"/>
    <s v="Heather McGill"/>
    <n v="50"/>
    <n v="48"/>
    <n v="0.04"/>
    <n v="41"/>
    <n v="1968"/>
  </r>
  <r>
    <s v="I-3292"/>
    <s v="Houston"/>
    <s v="USA"/>
    <s v="NA"/>
    <d v="2017-07-10T00:00:00"/>
    <x v="6"/>
    <s v="Peter Carley"/>
    <n v="800"/>
    <n v="544"/>
    <n v="0.32"/>
    <n v="73"/>
    <n v="39712"/>
  </r>
  <r>
    <s v="I-3293"/>
    <s v="Jerusalem"/>
    <s v="Israel"/>
    <s v="EMEA"/>
    <d v="2018-07-30T00:00:00"/>
    <x v="3"/>
    <s v="Harold Charters"/>
    <n v="50"/>
    <n v="44"/>
    <n v="0.12"/>
    <n v="13"/>
    <n v="572"/>
  </r>
  <r>
    <s v="I-3294"/>
    <s v="Delhi"/>
    <s v="India"/>
    <s v="APAC"/>
    <d v="2016-07-20T00:00:00"/>
    <x v="6"/>
    <s v="Geoffrey Patel"/>
    <n v="800"/>
    <n v="648"/>
    <n v="0.19"/>
    <n v="9"/>
    <n v="5832"/>
  </r>
  <r>
    <s v="I-3295"/>
    <s v="Vancouver"/>
    <s v="Canada"/>
    <s v="NA"/>
    <d v="2017-08-05T00:00:00"/>
    <x v="9"/>
    <s v="Margaret McGregor"/>
    <n v="70"/>
    <n v="67"/>
    <n v="4.2900000000000001E-2"/>
    <n v="30"/>
    <n v="2010"/>
  </r>
  <r>
    <s v="I-3296"/>
    <s v="Tijuana"/>
    <s v="Mexico"/>
    <s v="LATAM"/>
    <d v="2015-05-11T00:00:00"/>
    <x v="11"/>
    <s v="Paul Salmon"/>
    <n v="50"/>
    <n v="38"/>
    <n v="0.24"/>
    <n v="97"/>
    <n v="3686"/>
  </r>
  <r>
    <s v="I-3297"/>
    <s v="Jerusalem"/>
    <s v="Israel"/>
    <s v="EMEA"/>
    <d v="2018-01-25T00:00:00"/>
    <x v="7"/>
    <s v="Harold Charters"/>
    <n v="1000"/>
    <n v="690"/>
    <n v="0.31"/>
    <n v="2"/>
    <n v="1380"/>
  </r>
  <r>
    <s v="I-3298"/>
    <s v="Tijuana"/>
    <s v="Mexico"/>
    <s v="LATAM"/>
    <d v="2018-11-21T00:00:00"/>
    <x v="4"/>
    <s v="Stephen Carlin"/>
    <n v="30"/>
    <n v="27"/>
    <n v="0.1"/>
    <n v="6"/>
    <n v="162"/>
  </r>
  <r>
    <s v="I-3299"/>
    <s v="Amsterdam"/>
    <s v="Netherlands"/>
    <s v="EMEA"/>
    <d v="2014-12-05T00:00:00"/>
    <x v="11"/>
    <s v="Christopher Hurren"/>
    <n v="50"/>
    <n v="38"/>
    <n v="0.24"/>
    <n v="47"/>
    <n v="1786"/>
  </r>
  <r>
    <s v="I-3300"/>
    <s v="Warsaw"/>
    <s v="Poland"/>
    <s v="EMEA"/>
    <d v="2014-06-27T00:00:00"/>
    <x v="5"/>
    <s v="Anthony Connolly"/>
    <n v="500"/>
    <n v="415"/>
    <n v="0.17"/>
    <n v="17"/>
    <n v="7055"/>
  </r>
  <r>
    <s v="I-3301"/>
    <s v="Dublin"/>
    <s v="Ireland"/>
    <s v="EMEA"/>
    <d v="2014-02-04T00:00:00"/>
    <x v="3"/>
    <s v="Penelope Norton"/>
    <n v="50"/>
    <n v="43"/>
    <n v="0.14000000000000001"/>
    <n v="90"/>
    <n v="3870"/>
  </r>
  <r>
    <s v="I-3302"/>
    <s v="Guangzhou"/>
    <s v="China"/>
    <s v="APAC"/>
    <d v="2018-03-17T00:00:00"/>
    <x v="5"/>
    <s v="Donald Higgs"/>
    <n v="500"/>
    <n v="435"/>
    <n v="0.13"/>
    <n v="52"/>
    <n v="22620"/>
  </r>
  <r>
    <s v="I-3303"/>
    <s v="London"/>
    <s v="UK"/>
    <s v="EMEA"/>
    <d v="2015-05-14T00:00:00"/>
    <x v="2"/>
    <s v="Ian Borowski"/>
    <n v="150"/>
    <n v="149"/>
    <n v="6.7000000000000002E-3"/>
    <n v="23"/>
    <n v="3427"/>
  </r>
  <r>
    <s v="I-3304"/>
    <s v="Delhi"/>
    <s v="India"/>
    <s v="APAC"/>
    <d v="2014-06-04T00:00:00"/>
    <x v="1"/>
    <s v="Roy Johnson"/>
    <n v="700"/>
    <n v="644"/>
    <n v="0.08"/>
    <n v="44"/>
    <n v="28336"/>
  </r>
  <r>
    <s v="I-3305"/>
    <s v="Dubai"/>
    <s v="UAE"/>
    <s v="EMEA"/>
    <d v="2016-07-29T00:00:00"/>
    <x v="9"/>
    <s v="David Romero"/>
    <n v="70"/>
    <n v="67"/>
    <n v="4.2900000000000001E-2"/>
    <n v="81"/>
    <n v="5427"/>
  </r>
  <r>
    <s v="I-3306"/>
    <s v="Vancouver"/>
    <s v="Canada"/>
    <s v="NA"/>
    <d v="2014-09-24T00:00:00"/>
    <x v="10"/>
    <s v="Frank Cowden"/>
    <n v="250"/>
    <n v="198"/>
    <n v="0.20799999999999999"/>
    <n v="49"/>
    <n v="9702"/>
  </r>
  <r>
    <s v="I-3307"/>
    <s v="Riyadh"/>
    <s v="Saudi Arabia"/>
    <s v="EMEA"/>
    <d v="2014-12-13T00:00:00"/>
    <x v="4"/>
    <s v="Heather Murray"/>
    <n v="30"/>
    <n v="30"/>
    <n v="0"/>
    <n v="70"/>
    <n v="2100"/>
  </r>
  <r>
    <s v="I-3308"/>
    <s v="Rochester"/>
    <s v="USA"/>
    <s v="NA"/>
    <d v="2014-01-08T00:00:00"/>
    <x v="5"/>
    <s v="John Gibb"/>
    <n v="500"/>
    <n v="360"/>
    <n v="0.28000000000000003"/>
    <n v="57"/>
    <n v="20520"/>
  </r>
  <r>
    <s v="I-3309"/>
    <s v="Dublin"/>
    <s v="Ireland"/>
    <s v="EMEA"/>
    <d v="2018-07-06T00:00:00"/>
    <x v="11"/>
    <s v="James Carley"/>
    <n v="50"/>
    <n v="44"/>
    <n v="0.12"/>
    <n v="93"/>
    <n v="4092"/>
  </r>
  <r>
    <s v="I-3310"/>
    <s v="Osaka"/>
    <s v="Japan"/>
    <s v="APAC"/>
    <d v="2018-06-15T00:00:00"/>
    <x v="6"/>
    <s v="Kyle Walter"/>
    <n v="800"/>
    <n v="744"/>
    <n v="7.0000000000000007E-2"/>
    <n v="66"/>
    <n v="49104"/>
  </r>
  <r>
    <s v="I-3311"/>
    <s v="Warsaw"/>
    <s v="Poland"/>
    <s v="EMEA"/>
    <d v="2017-07-09T00:00:00"/>
    <x v="7"/>
    <s v="David Grey"/>
    <n v="1000"/>
    <n v="810"/>
    <n v="0.19"/>
    <n v="71"/>
    <n v="57510"/>
  </r>
  <r>
    <s v="I-3312"/>
    <s v="Vancouver"/>
    <s v="Canada"/>
    <s v="NA"/>
    <d v="2017-04-13T00:00:00"/>
    <x v="4"/>
    <s v="Christopher Kille"/>
    <n v="30"/>
    <n v="28"/>
    <n v="6.6699999999999995E-2"/>
    <n v="35"/>
    <n v="980"/>
  </r>
  <r>
    <s v="I-3313"/>
    <s v="Athens"/>
    <s v="Greece"/>
    <s v="EMEA"/>
    <d v="2015-07-08T00:00:00"/>
    <x v="0"/>
    <s v="Mark Lawton"/>
    <n v="80"/>
    <n v="70"/>
    <n v="0.125"/>
    <n v="44"/>
    <n v="3080"/>
  </r>
  <r>
    <s v="I-3314"/>
    <s v="Seattle"/>
    <s v="USA"/>
    <s v="NA"/>
    <d v="2014-03-22T00:00:00"/>
    <x v="8"/>
    <s v="Susan Toye"/>
    <n v="500"/>
    <n v="495"/>
    <n v="0.01"/>
    <n v="57"/>
    <n v="28215"/>
  </r>
  <r>
    <s v="I-3315"/>
    <s v="Kuala Lumpur"/>
    <s v="Malaysia"/>
    <s v="APAC"/>
    <d v="2014-02-11T00:00:00"/>
    <x v="0"/>
    <s v="Ian Baker"/>
    <n v="80"/>
    <n v="73"/>
    <n v="8.7499999999999994E-2"/>
    <n v="33"/>
    <n v="2409"/>
  </r>
  <r>
    <s v="I-3316"/>
    <s v="Los Angeles"/>
    <s v="USA"/>
    <s v="NA"/>
    <d v="2018-02-13T00:00:00"/>
    <x v="1"/>
    <s v="Alexandra Mukherjee"/>
    <n v="700"/>
    <n v="602"/>
    <n v="0.14000000000000001"/>
    <n v="1"/>
    <n v="602"/>
  </r>
  <r>
    <s v="I-3317"/>
    <s v="Warsaw"/>
    <s v="Poland"/>
    <s v="EMEA"/>
    <d v="2018-05-21T00:00:00"/>
    <x v="10"/>
    <s v="Valerie Brown"/>
    <n v="250"/>
    <n v="50"/>
    <n v="0.8"/>
    <n v="34"/>
    <n v="1700"/>
  </r>
  <r>
    <s v="I-3318"/>
    <s v="Chicago"/>
    <s v="USA"/>
    <s v="NA"/>
    <d v="2017-10-26T00:00:00"/>
    <x v="1"/>
    <s v="Derek Anderson"/>
    <n v="700"/>
    <n v="700"/>
    <n v="0"/>
    <n v="30"/>
    <n v="21000"/>
  </r>
  <r>
    <s v="I-3319"/>
    <s v="Santiago"/>
    <s v="Chile"/>
    <s v="LATAM"/>
    <d v="2015-04-25T00:00:00"/>
    <x v="0"/>
    <s v="Jason Edmund"/>
    <n v="80"/>
    <n v="58"/>
    <n v="0.27500000000000002"/>
    <n v="25"/>
    <n v="1450"/>
  </r>
  <r>
    <s v="I-3320"/>
    <s v="Jerusalem"/>
    <s v="Israel"/>
    <s v="EMEA"/>
    <d v="2014-02-07T00:00:00"/>
    <x v="4"/>
    <s v="Neil Tubbs"/>
    <n v="30"/>
    <n v="22"/>
    <n v="0.26669999999999999"/>
    <n v="29"/>
    <n v="638"/>
  </r>
  <r>
    <s v="I-3321"/>
    <s v="Berlin"/>
    <s v="Germany"/>
    <s v="EMEA"/>
    <d v="2017-12-19T00:00:00"/>
    <x v="8"/>
    <s v="David Townsend"/>
    <n v="500"/>
    <n v="495"/>
    <n v="0.01"/>
    <n v="56"/>
    <n v="27720"/>
  </r>
  <r>
    <s v="I-3322"/>
    <s v="London"/>
    <s v="UK"/>
    <s v="EMEA"/>
    <d v="2015-08-05T00:00:00"/>
    <x v="3"/>
    <s v="Philip Dewar"/>
    <n v="50"/>
    <n v="49"/>
    <n v="0.02"/>
    <n v="33"/>
    <n v="1617"/>
  </r>
  <r>
    <s v="I-3323"/>
    <s v="Tokyo"/>
    <s v="Japan"/>
    <s v="APAC"/>
    <d v="2017-01-11T00:00:00"/>
    <x v="10"/>
    <s v="Tony Milner"/>
    <n v="250"/>
    <n v="230"/>
    <n v="0.08"/>
    <n v="46"/>
    <n v="10580"/>
  </r>
  <r>
    <s v="I-3324"/>
    <s v="Berlin"/>
    <s v="Germany"/>
    <s v="EMEA"/>
    <d v="2017-07-05T00:00:00"/>
    <x v="0"/>
    <s v="Jacqueline Clamp"/>
    <n v="80"/>
    <n v="73"/>
    <n v="8.7499999999999994E-2"/>
    <n v="10"/>
    <n v="730"/>
  </r>
  <r>
    <s v="I-3325"/>
    <s v="Shanghai"/>
    <s v="China"/>
    <s v="APAC"/>
    <d v="2017-01-11T00:00:00"/>
    <x v="5"/>
    <s v="Wolf Christian"/>
    <n v="500"/>
    <n v="475"/>
    <n v="0.05"/>
    <n v="56"/>
    <n v="26600"/>
  </r>
  <r>
    <s v="I-3326"/>
    <s v="New York"/>
    <s v="USA"/>
    <s v="NA"/>
    <d v="2018-02-01T00:00:00"/>
    <x v="3"/>
    <s v="Robert Salisbury"/>
    <n v="50"/>
    <n v="50"/>
    <n v="0"/>
    <n v="4"/>
    <n v="200"/>
  </r>
  <r>
    <s v="I-3327"/>
    <s v="San Fransisco"/>
    <s v="USA"/>
    <s v="NA"/>
    <d v="2017-05-07T00:00:00"/>
    <x v="10"/>
    <s v="Richard Dewar"/>
    <n v="250"/>
    <n v="238"/>
    <n v="4.8000000000000001E-2"/>
    <n v="89"/>
    <n v="21182"/>
  </r>
  <r>
    <s v="I-3328"/>
    <s v="Tijuana"/>
    <s v="Mexico"/>
    <s v="LATAM"/>
    <d v="2014-05-22T00:00:00"/>
    <x v="0"/>
    <s v="Stephen Carlin"/>
    <n v="80"/>
    <n v="77"/>
    <n v="3.7499999999999999E-2"/>
    <n v="67"/>
    <n v="5159"/>
  </r>
  <r>
    <s v="I-3329"/>
    <s v="Jerusalem"/>
    <s v="Israel"/>
    <s v="EMEA"/>
    <d v="2015-01-29T00:00:00"/>
    <x v="3"/>
    <s v="Barbara Scott"/>
    <n v="50"/>
    <n v="38"/>
    <n v="0.24"/>
    <n v="21"/>
    <n v="798"/>
  </r>
  <r>
    <s v="I-3330"/>
    <s v="Rome"/>
    <s v="Italy"/>
    <s v="EMEA"/>
    <d v="2015-03-06T00:00:00"/>
    <x v="7"/>
    <s v="Golam Reid"/>
    <n v="1000"/>
    <n v="650"/>
    <n v="0.35"/>
    <n v="72"/>
    <n v="46800"/>
  </r>
  <r>
    <s v="I-3331"/>
    <s v="Jerusalem"/>
    <s v="Israel"/>
    <s v="EMEA"/>
    <d v="2016-04-07T00:00:00"/>
    <x v="0"/>
    <s v="Emma Westbrook"/>
    <n v="80"/>
    <n v="79"/>
    <n v="1.2500000000000001E-2"/>
    <n v="23"/>
    <n v="1817"/>
  </r>
  <r>
    <s v="I-3332"/>
    <s v="Dubai"/>
    <s v="UAE"/>
    <s v="EMEA"/>
    <d v="2014-02-03T00:00:00"/>
    <x v="3"/>
    <s v="Tom Clark"/>
    <n v="50"/>
    <n v="46"/>
    <n v="0.08"/>
    <n v="72"/>
    <n v="3312"/>
  </r>
  <r>
    <s v="I-3333"/>
    <s v="Amsterdam"/>
    <s v="Netherlands"/>
    <s v="EMEA"/>
    <d v="2017-09-08T00:00:00"/>
    <x v="1"/>
    <s v="Ian Christian"/>
    <n v="700"/>
    <n v="644"/>
    <n v="0.08"/>
    <n v="50"/>
    <n v="32200"/>
  </r>
  <r>
    <s v="I-3334"/>
    <s v="Istanbul"/>
    <s v="Turkey"/>
    <s v="EMEA"/>
    <d v="2015-06-10T00:00:00"/>
    <x v="1"/>
    <s v="Cordia Alston"/>
    <n v="700"/>
    <n v="686"/>
    <n v="0.02"/>
    <n v="10"/>
    <n v="6860"/>
  </r>
  <r>
    <s v="I-3335"/>
    <s v="Vienna"/>
    <s v="Austria"/>
    <s v="EMEA"/>
    <d v="2017-12-19T00:00:00"/>
    <x v="0"/>
    <s v="Raymond Denning"/>
    <n v="80"/>
    <n v="78"/>
    <n v="2.5000000000000001E-2"/>
    <n v="62"/>
    <n v="4836"/>
  </r>
  <r>
    <s v="I-3336"/>
    <s v="Shenzhen"/>
    <s v="China"/>
    <s v="APAC"/>
    <d v="2015-02-17T00:00:00"/>
    <x v="0"/>
    <s v="Phillip Humphreys"/>
    <n v="80"/>
    <n v="78"/>
    <n v="2.5000000000000001E-2"/>
    <n v="70"/>
    <n v="5460"/>
  </r>
  <r>
    <s v="I-3337"/>
    <s v="Istanbul"/>
    <s v="Turkey"/>
    <s v="EMEA"/>
    <d v="2015-05-27T00:00:00"/>
    <x v="6"/>
    <s v="David Philp"/>
    <n v="800"/>
    <n v="480"/>
    <n v="0.4"/>
    <n v="96"/>
    <n v="46080"/>
  </r>
  <r>
    <s v="I-3338"/>
    <s v="Athens"/>
    <s v="Greece"/>
    <s v="EMEA"/>
    <d v="2016-10-07T00:00:00"/>
    <x v="9"/>
    <s v="Richard Perrott"/>
    <n v="70"/>
    <n v="64"/>
    <n v="8.5699999999999998E-2"/>
    <n v="95"/>
    <n v="6080"/>
  </r>
  <r>
    <s v="I-3339"/>
    <s v="Shanghai"/>
    <s v="China"/>
    <s v="APAC"/>
    <d v="2017-09-02T00:00:00"/>
    <x v="0"/>
    <s v="Glenys Raymond"/>
    <n v="80"/>
    <n v="77"/>
    <n v="3.7499999999999999E-2"/>
    <n v="23"/>
    <n v="17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Moscow"/>
    <x v="0"/>
    <x v="0"/>
    <x v="0"/>
    <n v="83"/>
    <n v="6557"/>
    <x v="0"/>
  </r>
  <r>
    <s v="Toronto"/>
    <x v="1"/>
    <x v="1"/>
    <x v="0"/>
    <n v="8"/>
    <n v="432"/>
    <x v="1"/>
  </r>
  <r>
    <s v="Sao Paolo"/>
    <x v="2"/>
    <x v="2"/>
    <x v="1"/>
    <n v="91"/>
    <n v="62426"/>
    <x v="2"/>
  </r>
  <r>
    <s v="Istanbul"/>
    <x v="3"/>
    <x v="0"/>
    <x v="2"/>
    <n v="2"/>
    <n v="274"/>
    <x v="3"/>
  </r>
  <r>
    <s v="Sydney"/>
    <x v="4"/>
    <x v="3"/>
    <x v="3"/>
    <n v="40"/>
    <n v="1480"/>
    <x v="2"/>
  </r>
  <r>
    <s v="Shenzhen"/>
    <x v="5"/>
    <x v="3"/>
    <x v="4"/>
    <n v="27"/>
    <n v="783"/>
    <x v="1"/>
  </r>
  <r>
    <s v="Lima"/>
    <x v="6"/>
    <x v="2"/>
    <x v="5"/>
    <n v="70"/>
    <m/>
    <x v="0"/>
  </r>
  <r>
    <s v="Tijuana"/>
    <x v="7"/>
    <x v="2"/>
    <x v="4"/>
    <n v="42"/>
    <n v="1176"/>
    <x v="4"/>
  </r>
  <r>
    <s v="London"/>
    <x v="8"/>
    <x v="0"/>
    <x v="6"/>
    <n v="76"/>
    <n v="57760"/>
    <x v="5"/>
  </r>
  <r>
    <s v="Lima"/>
    <x v="6"/>
    <x v="2"/>
    <x v="4"/>
    <n v="68"/>
    <n v="1904"/>
    <x v="4"/>
  </r>
  <r>
    <s v="Riyadh"/>
    <x v="9"/>
    <x v="0"/>
    <x v="7"/>
    <n v="52"/>
    <n v="26000"/>
    <x v="4"/>
  </r>
  <r>
    <s v="Bangkok"/>
    <x v="10"/>
    <x v="3"/>
    <x v="1"/>
    <n v="71"/>
    <n v="48209"/>
    <x v="3"/>
  </r>
  <r>
    <s v="Tijuana"/>
    <x v="7"/>
    <x v="2"/>
    <x v="4"/>
    <n v="5"/>
    <n v="140"/>
    <x v="6"/>
  </r>
  <r>
    <s v="Delhi"/>
    <x v="11"/>
    <x v="3"/>
    <x v="8"/>
    <n v="57"/>
    <n v="27930"/>
    <x v="7"/>
  </r>
  <r>
    <s v="Sydney"/>
    <x v="4"/>
    <x v="3"/>
    <x v="6"/>
    <n v="1"/>
    <n v="672"/>
    <x v="8"/>
  </r>
  <r>
    <s v="Ho Chi Minh City"/>
    <x v="12"/>
    <x v="3"/>
    <x v="0"/>
    <n v="11"/>
    <n v="858"/>
    <x v="7"/>
  </r>
  <r>
    <s v="Tel Aviv"/>
    <x v="13"/>
    <x v="0"/>
    <x v="7"/>
    <n v="45"/>
    <n v="27900"/>
    <x v="0"/>
  </r>
  <r>
    <s v="Athens"/>
    <x v="14"/>
    <x v="0"/>
    <x v="8"/>
    <n v="59"/>
    <n v="29500"/>
    <x v="5"/>
  </r>
  <r>
    <s v="Toronto"/>
    <x v="1"/>
    <x v="1"/>
    <x v="2"/>
    <n v="5"/>
    <n v="750"/>
    <x v="5"/>
  </r>
  <r>
    <s v="Osaka"/>
    <x v="15"/>
    <x v="3"/>
    <x v="7"/>
    <n v="89"/>
    <n v="84550"/>
    <x v="4"/>
  </r>
  <r>
    <s v="Prague"/>
    <x v="16"/>
    <x v="0"/>
    <x v="6"/>
    <n v="34"/>
    <n v="25024"/>
    <x v="6"/>
  </r>
  <r>
    <s v="Capetown"/>
    <x v="17"/>
    <x v="0"/>
    <x v="4"/>
    <n v="50"/>
    <n v="1100"/>
    <x v="1"/>
  </r>
  <r>
    <s v="Bangalore"/>
    <x v="11"/>
    <x v="3"/>
    <x v="9"/>
    <n v="31"/>
    <n v="2077"/>
    <x v="5"/>
  </r>
  <r>
    <s v="Seattle"/>
    <x v="18"/>
    <x v="1"/>
    <x v="4"/>
    <n v="12"/>
    <n v="324"/>
    <x v="9"/>
  </r>
  <r>
    <s v="Jerusalem"/>
    <x v="13"/>
    <x v="0"/>
    <x v="8"/>
    <n v="26"/>
    <n v="12870"/>
    <x v="9"/>
  </r>
  <r>
    <s v="Birmingham"/>
    <x v="8"/>
    <x v="0"/>
    <x v="10"/>
    <n v="83"/>
    <n v="19754"/>
    <x v="2"/>
  </r>
  <r>
    <s v="Seoul"/>
    <x v="19"/>
    <x v="3"/>
    <x v="10"/>
    <n v="68"/>
    <n v="16320"/>
    <x v="9"/>
  </r>
  <r>
    <s v="Toronto"/>
    <x v="1"/>
    <x v="1"/>
    <x v="11"/>
    <n v="87"/>
    <n v="3741"/>
    <x v="10"/>
  </r>
  <r>
    <s v="Guangzhou"/>
    <x v="5"/>
    <x v="3"/>
    <x v="8"/>
    <n v="58"/>
    <n v="28710"/>
    <x v="11"/>
  </r>
  <r>
    <s v="Berlin"/>
    <x v="20"/>
    <x v="0"/>
    <x v="9"/>
    <n v="92"/>
    <n v="5888"/>
    <x v="8"/>
  </r>
  <r>
    <s v="Kansas City"/>
    <x v="18"/>
    <x v="1"/>
    <x v="2"/>
    <n v="81"/>
    <n v="11178"/>
    <x v="4"/>
  </r>
  <r>
    <s v="Tokyo"/>
    <x v="15"/>
    <x v="3"/>
    <x v="2"/>
    <n v="18"/>
    <n v="2106"/>
    <x v="11"/>
  </r>
  <r>
    <s v="Moscow"/>
    <x v="0"/>
    <x v="0"/>
    <x v="7"/>
    <n v="68"/>
    <n v="61880"/>
    <x v="11"/>
  </r>
  <r>
    <s v="Capetown"/>
    <x v="17"/>
    <x v="0"/>
    <x v="6"/>
    <n v="21"/>
    <n v="12264"/>
    <x v="8"/>
  </r>
  <r>
    <s v="Bangkok"/>
    <x v="10"/>
    <x v="3"/>
    <x v="0"/>
    <n v="72"/>
    <n v="5544"/>
    <x v="11"/>
  </r>
  <r>
    <s v="Delhi"/>
    <x v="11"/>
    <x v="3"/>
    <x v="8"/>
    <n v="90"/>
    <n v="45000"/>
    <x v="5"/>
  </r>
  <r>
    <s v="Sao Paolo"/>
    <x v="2"/>
    <x v="2"/>
    <x v="2"/>
    <n v="26"/>
    <n v="3796"/>
    <x v="4"/>
  </r>
  <r>
    <s v="Paris"/>
    <x v="21"/>
    <x v="0"/>
    <x v="5"/>
    <n v="54"/>
    <n v="24840"/>
    <x v="5"/>
  </r>
  <r>
    <s v="Rome"/>
    <x v="22"/>
    <x v="0"/>
    <x v="11"/>
    <n v="74"/>
    <n v="3182"/>
    <x v="3"/>
  </r>
  <r>
    <s v="Los Angeles"/>
    <x v="18"/>
    <x v="1"/>
    <x v="0"/>
    <n v="63"/>
    <n v="4536"/>
    <x v="6"/>
  </r>
  <r>
    <s v="New York"/>
    <x v="18"/>
    <x v="1"/>
    <x v="0"/>
    <n v="85"/>
    <n v="6375"/>
    <x v="4"/>
  </r>
  <r>
    <s v="Sydney"/>
    <x v="4"/>
    <x v="3"/>
    <x v="4"/>
    <n v="54"/>
    <n v="1404"/>
    <x v="11"/>
  </r>
  <r>
    <s v="Ho Chi Minh City"/>
    <x v="12"/>
    <x v="3"/>
    <x v="4"/>
    <n v="75"/>
    <n v="1950"/>
    <x v="2"/>
  </r>
  <r>
    <s v="Shenzhen"/>
    <x v="5"/>
    <x v="3"/>
    <x v="6"/>
    <n v="85"/>
    <n v="54400"/>
    <x v="4"/>
  </r>
  <r>
    <s v="Athens"/>
    <x v="14"/>
    <x v="0"/>
    <x v="6"/>
    <n v="83"/>
    <n v="43160"/>
    <x v="5"/>
  </r>
  <r>
    <s v="Birmingham"/>
    <x v="8"/>
    <x v="0"/>
    <x v="10"/>
    <n v="86"/>
    <n v="18920"/>
    <x v="10"/>
  </r>
  <r>
    <s v="Warsaw"/>
    <x v="23"/>
    <x v="0"/>
    <x v="1"/>
    <n v="73"/>
    <n v="31682"/>
    <x v="2"/>
  </r>
  <r>
    <s v="Amsterdam"/>
    <x v="24"/>
    <x v="0"/>
    <x v="0"/>
    <n v="26"/>
    <n v="1300"/>
    <x v="9"/>
  </r>
  <r>
    <s v="Toronto"/>
    <x v="1"/>
    <x v="1"/>
    <x v="10"/>
    <n v="23"/>
    <n v="5474"/>
    <x v="6"/>
  </r>
  <r>
    <s v="Prague"/>
    <x v="16"/>
    <x v="0"/>
    <x v="2"/>
    <n v="14"/>
    <n v="1960"/>
    <x v="11"/>
  </r>
  <r>
    <s v="San Fransisco"/>
    <x v="18"/>
    <x v="1"/>
    <x v="7"/>
    <n v="66"/>
    <n v="48840"/>
    <x v="5"/>
  </r>
  <r>
    <s v="Rome"/>
    <x v="22"/>
    <x v="0"/>
    <x v="4"/>
    <n v="60"/>
    <n v="1500"/>
    <x v="0"/>
  </r>
  <r>
    <s v="Dublin"/>
    <x v="25"/>
    <x v="0"/>
    <x v="1"/>
    <n v="89"/>
    <n v="59185"/>
    <x v="11"/>
  </r>
  <r>
    <s v="Bangalore"/>
    <x v="11"/>
    <x v="3"/>
    <x v="5"/>
    <n v="11"/>
    <n v="4675"/>
    <x v="4"/>
  </r>
  <r>
    <s v="Moscow"/>
    <x v="0"/>
    <x v="0"/>
    <x v="0"/>
    <n v="6"/>
    <n v="468"/>
    <x v="6"/>
  </r>
  <r>
    <s v="Tel Aviv"/>
    <x v="13"/>
    <x v="0"/>
    <x v="11"/>
    <n v="75"/>
    <n v="2925"/>
    <x v="7"/>
  </r>
  <r>
    <s v="Sydney"/>
    <x v="4"/>
    <x v="3"/>
    <x v="4"/>
    <n v="50"/>
    <n v="1350"/>
    <x v="4"/>
  </r>
  <r>
    <s v="Osaka"/>
    <x v="15"/>
    <x v="3"/>
    <x v="9"/>
    <n v="39"/>
    <n v="2496"/>
    <x v="2"/>
  </r>
  <r>
    <s v="Lima"/>
    <x v="6"/>
    <x v="2"/>
    <x v="3"/>
    <n v="26"/>
    <n v="936"/>
    <x v="0"/>
  </r>
  <r>
    <s v="San Fransisco"/>
    <x v="18"/>
    <x v="1"/>
    <x v="11"/>
    <n v="27"/>
    <n v="1161"/>
    <x v="3"/>
  </r>
  <r>
    <s v="Bogota"/>
    <x v="26"/>
    <x v="2"/>
    <x v="1"/>
    <n v="75"/>
    <n v="51975"/>
    <x v="1"/>
  </r>
  <r>
    <s v="Warsaw"/>
    <x v="23"/>
    <x v="0"/>
    <x v="7"/>
    <n v="12"/>
    <n v="9720"/>
    <x v="7"/>
  </r>
  <r>
    <s v="Berlin"/>
    <x v="20"/>
    <x v="0"/>
    <x v="4"/>
    <n v="28"/>
    <n v="672"/>
    <x v="4"/>
  </r>
  <r>
    <s v="Kansas City"/>
    <x v="18"/>
    <x v="1"/>
    <x v="6"/>
    <n v="100"/>
    <n v="64800"/>
    <x v="9"/>
  </r>
  <r>
    <s v="Shenzhen"/>
    <x v="5"/>
    <x v="3"/>
    <x v="7"/>
    <n v="29"/>
    <n v="28710"/>
    <x v="2"/>
  </r>
  <r>
    <s v="Prague"/>
    <x v="16"/>
    <x v="0"/>
    <x v="6"/>
    <n v="23"/>
    <n v="16560"/>
    <x v="1"/>
  </r>
  <r>
    <s v="Shenzhen"/>
    <x v="5"/>
    <x v="3"/>
    <x v="3"/>
    <n v="53"/>
    <n v="2067"/>
    <x v="8"/>
  </r>
  <r>
    <s v="Amsterdam"/>
    <x v="24"/>
    <x v="0"/>
    <x v="2"/>
    <n v="97"/>
    <n v="13968"/>
    <x v="8"/>
  </r>
  <r>
    <s v="Shanghai"/>
    <x v="5"/>
    <x v="3"/>
    <x v="1"/>
    <n v="66"/>
    <n v="45738"/>
    <x v="6"/>
  </r>
  <r>
    <s v="Mexico City"/>
    <x v="7"/>
    <x v="2"/>
    <x v="3"/>
    <n v="77"/>
    <n v="3465"/>
    <x v="4"/>
  </r>
  <r>
    <s v="Buenos Aires"/>
    <x v="27"/>
    <x v="2"/>
    <x v="7"/>
    <n v="89"/>
    <n v="50730"/>
    <x v="11"/>
  </r>
  <r>
    <s v="Shanghai"/>
    <x v="5"/>
    <x v="3"/>
    <x v="11"/>
    <n v="57"/>
    <n v="2280"/>
    <x v="9"/>
  </r>
  <r>
    <s v="Berlin"/>
    <x v="20"/>
    <x v="0"/>
    <x v="6"/>
    <n v="64"/>
    <n v="38912"/>
    <x v="5"/>
  </r>
  <r>
    <s v="Birmingham"/>
    <x v="8"/>
    <x v="0"/>
    <x v="0"/>
    <n v="35"/>
    <n v="2660"/>
    <x v="4"/>
  </r>
  <r>
    <s v="Dublin"/>
    <x v="25"/>
    <x v="0"/>
    <x v="1"/>
    <n v="43"/>
    <n v="29197"/>
    <x v="1"/>
  </r>
  <r>
    <s v="Seattle"/>
    <x v="18"/>
    <x v="1"/>
    <x v="0"/>
    <n v="51"/>
    <n v="2958"/>
    <x v="3"/>
  </r>
  <r>
    <s v="Madria"/>
    <x v="28"/>
    <x v="0"/>
    <x v="4"/>
    <n v="27"/>
    <n v="702"/>
    <x v="2"/>
  </r>
  <r>
    <s v="Shanghai"/>
    <x v="5"/>
    <x v="3"/>
    <x v="2"/>
    <n v="43"/>
    <n v="6020"/>
    <x v="11"/>
  </r>
  <r>
    <s v="Bangalore"/>
    <x v="11"/>
    <x v="3"/>
    <x v="8"/>
    <n v="42"/>
    <n v="20580"/>
    <x v="3"/>
  </r>
  <r>
    <s v="Istanbul"/>
    <x v="3"/>
    <x v="0"/>
    <x v="10"/>
    <n v="35"/>
    <n v="5425"/>
    <x v="3"/>
  </r>
  <r>
    <s v="Bogota"/>
    <x v="26"/>
    <x v="2"/>
    <x v="9"/>
    <n v="55"/>
    <n v="2640"/>
    <x v="3"/>
  </r>
  <r>
    <s v="Lima"/>
    <x v="6"/>
    <x v="2"/>
    <x v="9"/>
    <n v="84"/>
    <n v="5796"/>
    <x v="1"/>
  </r>
  <r>
    <s v="Vienna"/>
    <x v="29"/>
    <x v="0"/>
    <x v="3"/>
    <n v="98"/>
    <n v="4606"/>
    <x v="8"/>
  </r>
  <r>
    <s v="Sao Paolo"/>
    <x v="2"/>
    <x v="2"/>
    <x v="10"/>
    <n v="30"/>
    <n v="5850"/>
    <x v="5"/>
  </r>
  <r>
    <s v="Shanghai"/>
    <x v="5"/>
    <x v="3"/>
    <x v="6"/>
    <n v="20"/>
    <n v="10240"/>
    <x v="8"/>
  </r>
  <r>
    <s v="Shanghai"/>
    <x v="5"/>
    <x v="3"/>
    <x v="0"/>
    <n v="52"/>
    <n v="4108"/>
    <x v="2"/>
  </r>
  <r>
    <s v="Cairo"/>
    <x v="30"/>
    <x v="0"/>
    <x v="9"/>
    <n v="62"/>
    <n v="3100"/>
    <x v="0"/>
  </r>
  <r>
    <s v="Kansas City"/>
    <x v="18"/>
    <x v="1"/>
    <x v="2"/>
    <n v="97"/>
    <n v="14550"/>
    <x v="4"/>
  </r>
  <r>
    <s v="Kuala Lumpur"/>
    <x v="31"/>
    <x v="3"/>
    <x v="9"/>
    <n v="85"/>
    <n v="5440"/>
    <x v="1"/>
  </r>
  <r>
    <s v="Warsaw"/>
    <x v="23"/>
    <x v="0"/>
    <x v="3"/>
    <n v="79"/>
    <n v="3634"/>
    <x v="2"/>
  </r>
  <r>
    <s v="Moscow"/>
    <x v="0"/>
    <x v="0"/>
    <x v="7"/>
    <n v="95"/>
    <n v="83600"/>
    <x v="5"/>
  </r>
  <r>
    <s v="Buenos Aires"/>
    <x v="27"/>
    <x v="2"/>
    <x v="6"/>
    <n v="79"/>
    <n v="56248"/>
    <x v="2"/>
  </r>
  <r>
    <s v="Bangkok"/>
    <x v="10"/>
    <x v="3"/>
    <x v="7"/>
    <n v="83"/>
    <n v="61420"/>
    <x v="4"/>
  </r>
  <r>
    <s v="Tel Aviv"/>
    <x v="13"/>
    <x v="0"/>
    <x v="11"/>
    <n v="73"/>
    <n v="2555"/>
    <x v="9"/>
  </r>
  <r>
    <s v="Prague"/>
    <x v="16"/>
    <x v="0"/>
    <x v="6"/>
    <n v="40"/>
    <n v="28160"/>
    <x v="5"/>
  </r>
  <r>
    <s v="Osaka"/>
    <x v="15"/>
    <x v="3"/>
    <x v="7"/>
    <n v="94"/>
    <n v="87420"/>
    <x v="1"/>
  </r>
  <r>
    <s v="Madria"/>
    <x v="28"/>
    <x v="0"/>
    <x v="5"/>
    <n v="1"/>
    <n v="455"/>
    <x v="0"/>
  </r>
  <r>
    <s v="Chicago"/>
    <x v="18"/>
    <x v="1"/>
    <x v="1"/>
    <n v="97"/>
    <n v="67900"/>
    <x v="11"/>
  </r>
  <r>
    <s v="Kuala Lumpur"/>
    <x v="31"/>
    <x v="3"/>
    <x v="0"/>
    <n v="94"/>
    <n v="7238"/>
    <x v="8"/>
  </r>
  <r>
    <s v="Moscow"/>
    <x v="0"/>
    <x v="0"/>
    <x v="4"/>
    <n v="66"/>
    <n v="1914"/>
    <x v="1"/>
  </r>
  <r>
    <s v="Jerusalem"/>
    <x v="13"/>
    <x v="0"/>
    <x v="11"/>
    <n v="90"/>
    <n v="4500"/>
    <x v="1"/>
  </r>
  <r>
    <s v="Moscow"/>
    <x v="0"/>
    <x v="0"/>
    <x v="1"/>
    <n v="53"/>
    <n v="35987"/>
    <x v="1"/>
  </r>
  <r>
    <s v="Shenzhen"/>
    <x v="5"/>
    <x v="3"/>
    <x v="11"/>
    <n v="65"/>
    <n v="2925"/>
    <x v="4"/>
  </r>
  <r>
    <s v="Bangkok"/>
    <x v="10"/>
    <x v="3"/>
    <x v="4"/>
    <n v="41"/>
    <n v="1230"/>
    <x v="2"/>
  </r>
  <r>
    <s v="Lima"/>
    <x v="6"/>
    <x v="2"/>
    <x v="4"/>
    <n v="20"/>
    <n v="600"/>
    <x v="4"/>
  </r>
  <r>
    <s v="Berlin"/>
    <x v="20"/>
    <x v="0"/>
    <x v="0"/>
    <n v="17"/>
    <n v="1054"/>
    <x v="5"/>
  </r>
  <r>
    <s v="New York"/>
    <x v="18"/>
    <x v="1"/>
    <x v="0"/>
    <n v="69"/>
    <n v="5244"/>
    <x v="6"/>
  </r>
  <r>
    <s v="Rome"/>
    <x v="22"/>
    <x v="0"/>
    <x v="3"/>
    <n v="94"/>
    <n v="4230"/>
    <x v="10"/>
  </r>
  <r>
    <s v="Cairo"/>
    <x v="30"/>
    <x v="0"/>
    <x v="7"/>
    <n v="44"/>
    <n v="26840"/>
    <x v="7"/>
  </r>
  <r>
    <s v="Sao Paolo"/>
    <x v="2"/>
    <x v="2"/>
    <x v="9"/>
    <n v="91"/>
    <n v="6097"/>
    <x v="11"/>
  </r>
  <r>
    <s v="Riyadh"/>
    <x v="9"/>
    <x v="0"/>
    <x v="9"/>
    <n v="93"/>
    <n v="6324"/>
    <x v="1"/>
  </r>
  <r>
    <s v="Cairo"/>
    <x v="30"/>
    <x v="0"/>
    <x v="3"/>
    <n v="55"/>
    <n v="2750"/>
    <x v="11"/>
  </r>
  <r>
    <s v="Berlin"/>
    <x v="20"/>
    <x v="0"/>
    <x v="8"/>
    <n v="5"/>
    <n v="2475"/>
    <x v="4"/>
  </r>
  <r>
    <s v="Ho Chi Minh City"/>
    <x v="12"/>
    <x v="3"/>
    <x v="9"/>
    <n v="93"/>
    <n v="5766"/>
    <x v="6"/>
  </r>
  <r>
    <s v="Amsterdam"/>
    <x v="24"/>
    <x v="0"/>
    <x v="8"/>
    <n v="99"/>
    <n v="48510"/>
    <x v="5"/>
  </r>
  <r>
    <s v="Lima"/>
    <x v="6"/>
    <x v="2"/>
    <x v="0"/>
    <n v="20"/>
    <n v="1460"/>
    <x v="2"/>
  </r>
  <r>
    <s v="Istanbul"/>
    <x v="3"/>
    <x v="0"/>
    <x v="1"/>
    <n v="74"/>
    <n v="45584"/>
    <x v="10"/>
  </r>
  <r>
    <s v="Bucharest"/>
    <x v="32"/>
    <x v="0"/>
    <x v="4"/>
    <n v="35"/>
    <n v="1050"/>
    <x v="8"/>
  </r>
  <r>
    <s v="Delhi"/>
    <x v="11"/>
    <x v="3"/>
    <x v="4"/>
    <n v="71"/>
    <n v="1633"/>
    <x v="5"/>
  </r>
  <r>
    <s v="Kansas City"/>
    <x v="18"/>
    <x v="1"/>
    <x v="3"/>
    <n v="51"/>
    <n v="1836"/>
    <x v="6"/>
  </r>
  <r>
    <s v="Madria"/>
    <x v="28"/>
    <x v="0"/>
    <x v="8"/>
    <n v="99"/>
    <n v="48510"/>
    <x v="1"/>
  </r>
  <r>
    <s v="Prague"/>
    <x v="16"/>
    <x v="0"/>
    <x v="6"/>
    <n v="50"/>
    <n v="33600"/>
    <x v="6"/>
  </r>
  <r>
    <s v="Istanbul"/>
    <x v="3"/>
    <x v="0"/>
    <x v="8"/>
    <n v="94"/>
    <n v="46060"/>
    <x v="5"/>
  </r>
  <r>
    <s v="Kuala Lumpur"/>
    <x v="31"/>
    <x v="3"/>
    <x v="2"/>
    <n v="75"/>
    <n v="10500"/>
    <x v="2"/>
  </r>
  <r>
    <s v="San Fransisco"/>
    <x v="18"/>
    <x v="1"/>
    <x v="8"/>
    <n v="96"/>
    <n v="47520"/>
    <x v="10"/>
  </r>
  <r>
    <s v="Athens"/>
    <x v="14"/>
    <x v="0"/>
    <x v="2"/>
    <n v="79"/>
    <n v="11850"/>
    <x v="1"/>
  </r>
  <r>
    <s v="Birmingham"/>
    <x v="8"/>
    <x v="0"/>
    <x v="4"/>
    <n v="61"/>
    <n v="1769"/>
    <x v="2"/>
  </r>
  <r>
    <s v="San Fransisco"/>
    <x v="18"/>
    <x v="1"/>
    <x v="8"/>
    <n v="47"/>
    <n v="23500"/>
    <x v="3"/>
  </r>
  <r>
    <s v="Osaka"/>
    <x v="15"/>
    <x v="3"/>
    <x v="7"/>
    <n v="18"/>
    <n v="9180"/>
    <x v="4"/>
  </r>
  <r>
    <s v="Chicago"/>
    <x v="18"/>
    <x v="1"/>
    <x v="8"/>
    <n v="11"/>
    <n v="5390"/>
    <x v="9"/>
  </r>
  <r>
    <s v="Moscow"/>
    <x v="0"/>
    <x v="0"/>
    <x v="3"/>
    <n v="53"/>
    <n v="2650"/>
    <x v="8"/>
  </r>
  <r>
    <s v="Madria"/>
    <x v="28"/>
    <x v="0"/>
    <x v="1"/>
    <n v="20"/>
    <n v="13300"/>
    <x v="4"/>
  </r>
  <r>
    <s v="Los Angeles"/>
    <x v="18"/>
    <x v="1"/>
    <x v="10"/>
    <n v="73"/>
    <n v="12775"/>
    <x v="3"/>
  </r>
  <r>
    <s v="Seattle"/>
    <x v="18"/>
    <x v="1"/>
    <x v="11"/>
    <n v="68"/>
    <n v="3264"/>
    <x v="11"/>
  </r>
  <r>
    <s v="Madria"/>
    <x v="28"/>
    <x v="0"/>
    <x v="2"/>
    <n v="5"/>
    <n v="730"/>
    <x v="1"/>
  </r>
  <r>
    <s v="Bangkok"/>
    <x v="10"/>
    <x v="3"/>
    <x v="2"/>
    <n v="3"/>
    <n v="429"/>
    <x v="7"/>
  </r>
  <r>
    <s v="Paris"/>
    <x v="21"/>
    <x v="0"/>
    <x v="9"/>
    <n v="73"/>
    <n v="4161"/>
    <x v="11"/>
  </r>
  <r>
    <s v="Riyadh"/>
    <x v="9"/>
    <x v="0"/>
    <x v="11"/>
    <n v="80"/>
    <n v="3680"/>
    <x v="5"/>
  </r>
  <r>
    <s v="Bogota"/>
    <x v="26"/>
    <x v="2"/>
    <x v="4"/>
    <n v="49"/>
    <n v="1323"/>
    <x v="8"/>
  </r>
  <r>
    <s v="Athens"/>
    <x v="14"/>
    <x v="0"/>
    <x v="5"/>
    <n v="71"/>
    <n v="35500"/>
    <x v="1"/>
  </r>
  <r>
    <s v="Bucharest"/>
    <x v="32"/>
    <x v="0"/>
    <x v="5"/>
    <n v="88"/>
    <n v="44000"/>
    <x v="4"/>
  </r>
  <r>
    <s v="Birmingham"/>
    <x v="8"/>
    <x v="0"/>
    <x v="10"/>
    <n v="36"/>
    <n v="8100"/>
    <x v="5"/>
  </r>
  <r>
    <s v="Cairo"/>
    <x v="30"/>
    <x v="0"/>
    <x v="4"/>
    <n v="77"/>
    <n v="2002"/>
    <x v="11"/>
  </r>
  <r>
    <s v="Bogota"/>
    <x v="26"/>
    <x v="2"/>
    <x v="4"/>
    <n v="35"/>
    <n v="945"/>
    <x v="10"/>
  </r>
  <r>
    <s v="Jerusalem"/>
    <x v="13"/>
    <x v="0"/>
    <x v="11"/>
    <n v="41"/>
    <n v="1394"/>
    <x v="8"/>
  </r>
  <r>
    <s v="Tokyo"/>
    <x v="15"/>
    <x v="3"/>
    <x v="8"/>
    <n v="24"/>
    <n v="12000"/>
    <x v="5"/>
  </r>
  <r>
    <s v="Vienna"/>
    <x v="29"/>
    <x v="0"/>
    <x v="7"/>
    <n v="68"/>
    <n v="53040"/>
    <x v="1"/>
  </r>
  <r>
    <s v="Tijuana"/>
    <x v="7"/>
    <x v="2"/>
    <x v="10"/>
    <n v="10"/>
    <n v="2450"/>
    <x v="2"/>
  </r>
  <r>
    <s v="Madria"/>
    <x v="28"/>
    <x v="0"/>
    <x v="6"/>
    <n v="92"/>
    <n v="72128"/>
    <x v="10"/>
  </r>
  <r>
    <s v="Kansas City"/>
    <x v="18"/>
    <x v="1"/>
    <x v="9"/>
    <n v="69"/>
    <n v="4140"/>
    <x v="7"/>
  </r>
  <r>
    <s v="Toronto"/>
    <x v="1"/>
    <x v="1"/>
    <x v="8"/>
    <n v="58"/>
    <n v="29000"/>
    <x v="11"/>
  </r>
  <r>
    <s v="Berlin"/>
    <x v="20"/>
    <x v="0"/>
    <x v="6"/>
    <n v="99"/>
    <n v="49104"/>
    <x v="6"/>
  </r>
  <r>
    <s v="Tel Aviv"/>
    <x v="13"/>
    <x v="0"/>
    <x v="9"/>
    <n v="84"/>
    <n v="5796"/>
    <x v="3"/>
  </r>
  <r>
    <s v="Bangalore"/>
    <x v="11"/>
    <x v="3"/>
    <x v="4"/>
    <n v="44"/>
    <n v="1276"/>
    <x v="3"/>
  </r>
  <r>
    <s v="Rome"/>
    <x v="22"/>
    <x v="0"/>
    <x v="9"/>
    <n v="13"/>
    <n v="845"/>
    <x v="0"/>
  </r>
  <r>
    <s v="Delhi"/>
    <x v="11"/>
    <x v="3"/>
    <x v="0"/>
    <n v="83"/>
    <n v="6474"/>
    <x v="1"/>
  </r>
  <r>
    <s v="Shanghai"/>
    <x v="5"/>
    <x v="3"/>
    <x v="11"/>
    <n v="20"/>
    <n v="780"/>
    <x v="0"/>
  </r>
  <r>
    <s v="Ho Chi Minh City"/>
    <x v="12"/>
    <x v="3"/>
    <x v="4"/>
    <n v="59"/>
    <n v="1652"/>
    <x v="1"/>
  </r>
  <r>
    <s v="Istanbul"/>
    <x v="3"/>
    <x v="0"/>
    <x v="5"/>
    <n v="63"/>
    <n v="19845"/>
    <x v="0"/>
  </r>
  <r>
    <s v="Tijuana"/>
    <x v="7"/>
    <x v="2"/>
    <x v="4"/>
    <n v="47"/>
    <n v="1363"/>
    <x v="7"/>
  </r>
  <r>
    <s v="Dubai"/>
    <x v="33"/>
    <x v="0"/>
    <x v="1"/>
    <n v="5"/>
    <n v="2975"/>
    <x v="7"/>
  </r>
  <r>
    <s v="London"/>
    <x v="8"/>
    <x v="0"/>
    <x v="8"/>
    <n v="27"/>
    <n v="13500"/>
    <x v="9"/>
  </r>
  <r>
    <s v="Tijuana"/>
    <x v="7"/>
    <x v="2"/>
    <x v="10"/>
    <n v="62"/>
    <n v="15066"/>
    <x v="5"/>
  </r>
  <r>
    <s v="Kansas City"/>
    <x v="18"/>
    <x v="1"/>
    <x v="3"/>
    <n v="24"/>
    <n v="960"/>
    <x v="10"/>
  </r>
  <r>
    <s v="Osaka"/>
    <x v="15"/>
    <x v="3"/>
    <x v="9"/>
    <n v="10"/>
    <n v="470"/>
    <x v="1"/>
  </r>
  <r>
    <s v="Rome"/>
    <x v="22"/>
    <x v="0"/>
    <x v="11"/>
    <n v="76"/>
    <n v="3496"/>
    <x v="1"/>
  </r>
  <r>
    <s v="Warsaw"/>
    <x v="23"/>
    <x v="0"/>
    <x v="8"/>
    <n v="21"/>
    <n v="10500"/>
    <x v="0"/>
  </r>
  <r>
    <s v="Mexico City"/>
    <x v="7"/>
    <x v="2"/>
    <x v="0"/>
    <n v="33"/>
    <n v="2541"/>
    <x v="2"/>
  </r>
  <r>
    <s v="Dublin"/>
    <x v="25"/>
    <x v="0"/>
    <x v="11"/>
    <n v="3"/>
    <n v="129"/>
    <x v="10"/>
  </r>
  <r>
    <s v="Delhi"/>
    <x v="11"/>
    <x v="3"/>
    <x v="2"/>
    <n v="95"/>
    <n v="13585"/>
    <x v="3"/>
  </r>
  <r>
    <s v="Bangkok"/>
    <x v="10"/>
    <x v="3"/>
    <x v="7"/>
    <n v="53"/>
    <n v="32330"/>
    <x v="0"/>
  </r>
  <r>
    <s v="Tel Aviv"/>
    <x v="13"/>
    <x v="0"/>
    <x v="3"/>
    <n v="69"/>
    <n v="2829"/>
    <x v="0"/>
  </r>
  <r>
    <s v="Chicago"/>
    <x v="18"/>
    <x v="1"/>
    <x v="4"/>
    <n v="36"/>
    <n v="1044"/>
    <x v="0"/>
  </r>
  <r>
    <s v="Berlin"/>
    <x v="20"/>
    <x v="0"/>
    <x v="0"/>
    <n v="46"/>
    <n v="3220"/>
    <x v="11"/>
  </r>
  <r>
    <s v="Istanbul"/>
    <x v="3"/>
    <x v="0"/>
    <x v="10"/>
    <n v="73"/>
    <n v="17520"/>
    <x v="8"/>
  </r>
  <r>
    <s v="Madria"/>
    <x v="28"/>
    <x v="0"/>
    <x v="4"/>
    <n v="86"/>
    <n v="2408"/>
    <x v="7"/>
  </r>
  <r>
    <s v="Delhi"/>
    <x v="11"/>
    <x v="3"/>
    <x v="9"/>
    <n v="15"/>
    <n v="960"/>
    <x v="10"/>
  </r>
  <r>
    <s v="Seattle"/>
    <x v="18"/>
    <x v="1"/>
    <x v="9"/>
    <n v="34"/>
    <n v="1734"/>
    <x v="4"/>
  </r>
  <r>
    <s v="Sao Paolo"/>
    <x v="2"/>
    <x v="2"/>
    <x v="3"/>
    <n v="64"/>
    <n v="2624"/>
    <x v="4"/>
  </r>
  <r>
    <s v="Lima"/>
    <x v="6"/>
    <x v="2"/>
    <x v="8"/>
    <n v="16"/>
    <n v="7840"/>
    <x v="4"/>
  </r>
  <r>
    <s v="Lima"/>
    <x v="6"/>
    <x v="2"/>
    <x v="8"/>
    <n v="77"/>
    <n v="37730"/>
    <x v="0"/>
  </r>
  <r>
    <s v="Santiago"/>
    <x v="34"/>
    <x v="2"/>
    <x v="7"/>
    <n v="17"/>
    <n v="15470"/>
    <x v="4"/>
  </r>
  <r>
    <s v="Buenos Aires"/>
    <x v="27"/>
    <x v="2"/>
    <x v="4"/>
    <n v="24"/>
    <n v="672"/>
    <x v="3"/>
  </r>
  <r>
    <s v="Warsaw"/>
    <x v="23"/>
    <x v="0"/>
    <x v="3"/>
    <n v="75"/>
    <n v="3300"/>
    <x v="9"/>
  </r>
  <r>
    <s v="Madria"/>
    <x v="28"/>
    <x v="0"/>
    <x v="0"/>
    <n v="6"/>
    <n v="450"/>
    <x v="7"/>
  </r>
  <r>
    <s v="Dubai"/>
    <x v="33"/>
    <x v="0"/>
    <x v="10"/>
    <n v="7"/>
    <n v="1575"/>
    <x v="0"/>
  </r>
  <r>
    <s v="Istanbul"/>
    <x v="3"/>
    <x v="0"/>
    <x v="4"/>
    <n v="59"/>
    <n v="1770"/>
    <x v="6"/>
  </r>
  <r>
    <s v="Buenos Aires"/>
    <x v="27"/>
    <x v="2"/>
    <x v="10"/>
    <n v="78"/>
    <n v="16380"/>
    <x v="6"/>
  </r>
  <r>
    <s v="Moscow"/>
    <x v="0"/>
    <x v="0"/>
    <x v="10"/>
    <n v="14"/>
    <n v="3500"/>
    <x v="1"/>
  </r>
  <r>
    <s v="Warsaw"/>
    <x v="23"/>
    <x v="0"/>
    <x v="5"/>
    <n v="38"/>
    <n v="18240"/>
    <x v="8"/>
  </r>
  <r>
    <s v="Sydney"/>
    <x v="4"/>
    <x v="3"/>
    <x v="7"/>
    <n v="32"/>
    <n v="31040"/>
    <x v="2"/>
  </r>
  <r>
    <s v="Bucharest"/>
    <x v="32"/>
    <x v="0"/>
    <x v="2"/>
    <n v="81"/>
    <n v="11664"/>
    <x v="4"/>
  </r>
  <r>
    <s v="Kansas City"/>
    <x v="18"/>
    <x v="1"/>
    <x v="1"/>
    <n v="15"/>
    <n v="9555"/>
    <x v="2"/>
  </r>
  <r>
    <s v="Jerusalem"/>
    <x v="13"/>
    <x v="0"/>
    <x v="9"/>
    <n v="99"/>
    <n v="6237"/>
    <x v="1"/>
  </r>
  <r>
    <s v="Jerusalem"/>
    <x v="13"/>
    <x v="0"/>
    <x v="1"/>
    <n v="11"/>
    <n v="7392"/>
    <x v="4"/>
  </r>
  <r>
    <s v="Shanghai"/>
    <x v="5"/>
    <x v="3"/>
    <x v="11"/>
    <n v="75"/>
    <n v="3150"/>
    <x v="10"/>
  </r>
  <r>
    <s v="Prague"/>
    <x v="16"/>
    <x v="0"/>
    <x v="0"/>
    <n v="93"/>
    <n v="7254"/>
    <x v="5"/>
  </r>
  <r>
    <s v="Santiago"/>
    <x v="34"/>
    <x v="2"/>
    <x v="3"/>
    <n v="84"/>
    <n v="4116"/>
    <x v="5"/>
  </r>
  <r>
    <s v="New York"/>
    <x v="18"/>
    <x v="1"/>
    <x v="10"/>
    <n v="53"/>
    <n v="10229"/>
    <x v="10"/>
  </r>
  <r>
    <s v="Moscow"/>
    <x v="0"/>
    <x v="0"/>
    <x v="0"/>
    <n v="57"/>
    <n v="4332"/>
    <x v="9"/>
  </r>
  <r>
    <s v="Kansas City"/>
    <x v="18"/>
    <x v="1"/>
    <x v="1"/>
    <n v="66"/>
    <n v="44352"/>
    <x v="11"/>
  </r>
  <r>
    <s v="Amsterdam"/>
    <x v="24"/>
    <x v="0"/>
    <x v="4"/>
    <n v="79"/>
    <n v="2212"/>
    <x v="8"/>
  </r>
  <r>
    <s v="Istanbul"/>
    <x v="3"/>
    <x v="0"/>
    <x v="0"/>
    <n v="20"/>
    <n v="1320"/>
    <x v="5"/>
  </r>
  <r>
    <s v="Dubai"/>
    <x v="33"/>
    <x v="0"/>
    <x v="11"/>
    <n v="89"/>
    <n v="4272"/>
    <x v="0"/>
  </r>
  <r>
    <s v="Amsterdam"/>
    <x v="24"/>
    <x v="0"/>
    <x v="5"/>
    <n v="98"/>
    <n v="36260"/>
    <x v="9"/>
  </r>
  <r>
    <s v="Kansas City"/>
    <x v="18"/>
    <x v="1"/>
    <x v="0"/>
    <n v="40"/>
    <n v="2880"/>
    <x v="10"/>
  </r>
  <r>
    <s v="Birmingham"/>
    <x v="8"/>
    <x v="0"/>
    <x v="0"/>
    <n v="42"/>
    <n v="2436"/>
    <x v="10"/>
  </r>
  <r>
    <s v="Toronto"/>
    <x v="1"/>
    <x v="1"/>
    <x v="0"/>
    <n v="53"/>
    <n v="3869"/>
    <x v="11"/>
  </r>
  <r>
    <s v="Los Angeles"/>
    <x v="18"/>
    <x v="1"/>
    <x v="6"/>
    <n v="76"/>
    <n v="58976"/>
    <x v="2"/>
  </r>
  <r>
    <s v="Chicago"/>
    <x v="18"/>
    <x v="1"/>
    <x v="2"/>
    <n v="47"/>
    <n v="6909"/>
    <x v="3"/>
  </r>
  <r>
    <s v="Sao Paolo"/>
    <x v="2"/>
    <x v="2"/>
    <x v="2"/>
    <n v="19"/>
    <n v="2546"/>
    <x v="10"/>
  </r>
  <r>
    <s v="Warsaw"/>
    <x v="23"/>
    <x v="0"/>
    <x v="4"/>
    <n v="64"/>
    <n v="512"/>
    <x v="4"/>
  </r>
  <r>
    <s v="Dubai"/>
    <x v="33"/>
    <x v="0"/>
    <x v="2"/>
    <n v="66"/>
    <n v="8910"/>
    <x v="5"/>
  </r>
  <r>
    <s v="Santiago"/>
    <x v="34"/>
    <x v="2"/>
    <x v="9"/>
    <n v="69"/>
    <n v="4071"/>
    <x v="6"/>
  </r>
  <r>
    <s v="Bangalore"/>
    <x v="11"/>
    <x v="3"/>
    <x v="7"/>
    <n v="83"/>
    <n v="41500"/>
    <x v="8"/>
  </r>
  <r>
    <s v="Los Angeles"/>
    <x v="18"/>
    <x v="1"/>
    <x v="5"/>
    <n v="71"/>
    <n v="35145"/>
    <x v="9"/>
  </r>
  <r>
    <s v="Bucharest"/>
    <x v="32"/>
    <x v="0"/>
    <x v="3"/>
    <n v="22"/>
    <n v="1078"/>
    <x v="9"/>
  </r>
  <r>
    <s v="Toronto"/>
    <x v="1"/>
    <x v="1"/>
    <x v="11"/>
    <n v="14"/>
    <n v="672"/>
    <x v="10"/>
  </r>
  <r>
    <s v="Osaka"/>
    <x v="15"/>
    <x v="3"/>
    <x v="1"/>
    <n v="97"/>
    <n v="54320"/>
    <x v="6"/>
  </r>
  <r>
    <s v="Bangalore"/>
    <x v="11"/>
    <x v="3"/>
    <x v="7"/>
    <n v="35"/>
    <n v="17500"/>
    <x v="3"/>
  </r>
  <r>
    <s v="Los Angeles"/>
    <x v="18"/>
    <x v="1"/>
    <x v="8"/>
    <n v="64"/>
    <n v="31680"/>
    <x v="3"/>
  </r>
  <r>
    <s v="Chicago"/>
    <x v="18"/>
    <x v="1"/>
    <x v="4"/>
    <n v="84"/>
    <n v="2436"/>
    <x v="11"/>
  </r>
  <r>
    <s v="San Fransisco"/>
    <x v="18"/>
    <x v="1"/>
    <x v="11"/>
    <n v="68"/>
    <n v="2992"/>
    <x v="4"/>
  </r>
  <r>
    <s v="Jerusalem"/>
    <x v="13"/>
    <x v="0"/>
    <x v="7"/>
    <n v="26"/>
    <n v="18460"/>
    <x v="6"/>
  </r>
  <r>
    <s v="San Fransisco"/>
    <x v="18"/>
    <x v="1"/>
    <x v="2"/>
    <n v="56"/>
    <n v="8400"/>
    <x v="1"/>
  </r>
  <r>
    <s v="Osaka"/>
    <x v="15"/>
    <x v="3"/>
    <x v="3"/>
    <n v="81"/>
    <n v="3564"/>
    <x v="11"/>
  </r>
  <r>
    <s v="Mexico City"/>
    <x v="7"/>
    <x v="2"/>
    <x v="4"/>
    <n v="71"/>
    <n v="1704"/>
    <x v="2"/>
  </r>
  <r>
    <s v="Santiago"/>
    <x v="34"/>
    <x v="2"/>
    <x v="10"/>
    <n v="32"/>
    <n v="5216"/>
    <x v="4"/>
  </r>
  <r>
    <s v="Bangkok"/>
    <x v="10"/>
    <x v="3"/>
    <x v="0"/>
    <n v="93"/>
    <n v="7254"/>
    <x v="11"/>
  </r>
  <r>
    <s v="Dublin"/>
    <x v="25"/>
    <x v="0"/>
    <x v="0"/>
    <n v="54"/>
    <n v="4212"/>
    <x v="4"/>
  </r>
  <r>
    <s v="Shanghai"/>
    <x v="5"/>
    <x v="3"/>
    <x v="1"/>
    <n v="9"/>
    <n v="5859"/>
    <x v="0"/>
  </r>
  <r>
    <s v="Athens"/>
    <x v="14"/>
    <x v="0"/>
    <x v="3"/>
    <n v="9"/>
    <n v="324"/>
    <x v="4"/>
  </r>
  <r>
    <s v="Warsaw"/>
    <x v="23"/>
    <x v="0"/>
    <x v="8"/>
    <n v="41"/>
    <n v="20500"/>
    <x v="1"/>
  </r>
  <r>
    <s v="Madria"/>
    <x v="28"/>
    <x v="0"/>
    <x v="2"/>
    <n v="36"/>
    <n v="5040"/>
    <x v="4"/>
  </r>
  <r>
    <s v="Vienna"/>
    <x v="29"/>
    <x v="0"/>
    <x v="1"/>
    <n v="63"/>
    <n v="44100"/>
    <x v="8"/>
  </r>
  <r>
    <s v="Ho Chi Minh City"/>
    <x v="12"/>
    <x v="3"/>
    <x v="2"/>
    <n v="11"/>
    <n v="1584"/>
    <x v="1"/>
  </r>
  <r>
    <s v="Berlin"/>
    <x v="20"/>
    <x v="0"/>
    <x v="5"/>
    <n v="62"/>
    <n v="28830"/>
    <x v="6"/>
  </r>
  <r>
    <s v="Kuala Lumpur"/>
    <x v="31"/>
    <x v="3"/>
    <x v="3"/>
    <n v="36"/>
    <n v="1800"/>
    <x v="2"/>
  </r>
  <r>
    <s v="Bangkok"/>
    <x v="10"/>
    <x v="3"/>
    <x v="11"/>
    <n v="64"/>
    <n v="3136"/>
    <x v="2"/>
  </r>
  <r>
    <s v="Seattle"/>
    <x v="18"/>
    <x v="1"/>
    <x v="3"/>
    <n v="75"/>
    <n v="3300"/>
    <x v="3"/>
  </r>
  <r>
    <s v="Berlin"/>
    <x v="20"/>
    <x v="0"/>
    <x v="8"/>
    <n v="45"/>
    <n v="22050"/>
    <x v="11"/>
  </r>
  <r>
    <s v="Berlin"/>
    <x v="20"/>
    <x v="0"/>
    <x v="1"/>
    <n v="18"/>
    <n v="11214"/>
    <x v="4"/>
  </r>
  <r>
    <s v="Kansas City"/>
    <x v="18"/>
    <x v="1"/>
    <x v="1"/>
    <n v="59"/>
    <n v="33866"/>
    <x v="0"/>
  </r>
  <r>
    <s v="Tokyo"/>
    <x v="15"/>
    <x v="3"/>
    <x v="9"/>
    <n v="22"/>
    <n v="1496"/>
    <x v="10"/>
  </r>
  <r>
    <s v="Seoul"/>
    <x v="19"/>
    <x v="3"/>
    <x v="9"/>
    <n v="48"/>
    <n v="3312"/>
    <x v="6"/>
  </r>
  <r>
    <s v="Santiago"/>
    <x v="34"/>
    <x v="2"/>
    <x v="4"/>
    <n v="87"/>
    <n v="2523"/>
    <x v="2"/>
  </r>
  <r>
    <s v="Toronto"/>
    <x v="1"/>
    <x v="1"/>
    <x v="6"/>
    <n v="97"/>
    <n v="67512"/>
    <x v="6"/>
  </r>
  <r>
    <s v="Istanbul"/>
    <x v="3"/>
    <x v="0"/>
    <x v="1"/>
    <n v="53"/>
    <n v="31906"/>
    <x v="1"/>
  </r>
  <r>
    <s v="Kansas City"/>
    <x v="18"/>
    <x v="1"/>
    <x v="3"/>
    <n v="58"/>
    <n v="2320"/>
    <x v="1"/>
  </r>
  <r>
    <s v="Ho Chi Minh City"/>
    <x v="12"/>
    <x v="3"/>
    <x v="11"/>
    <n v="67"/>
    <n v="3350"/>
    <x v="1"/>
  </r>
  <r>
    <s v="Santiago"/>
    <x v="34"/>
    <x v="2"/>
    <x v="3"/>
    <n v="63"/>
    <n v="3087"/>
    <x v="5"/>
  </r>
  <r>
    <s v="Riyadh"/>
    <x v="9"/>
    <x v="0"/>
    <x v="5"/>
    <n v="79"/>
    <n v="33575"/>
    <x v="4"/>
  </r>
  <r>
    <s v="Warsaw"/>
    <x v="23"/>
    <x v="0"/>
    <x v="8"/>
    <n v="79"/>
    <n v="39500"/>
    <x v="6"/>
  </r>
  <r>
    <s v="Istanbul"/>
    <x v="3"/>
    <x v="0"/>
    <x v="6"/>
    <n v="11"/>
    <n v="7480"/>
    <x v="6"/>
  </r>
  <r>
    <s v="Tel Aviv"/>
    <x v="13"/>
    <x v="0"/>
    <x v="2"/>
    <n v="49"/>
    <n v="7056"/>
    <x v="8"/>
  </r>
  <r>
    <s v="Vienna"/>
    <x v="29"/>
    <x v="0"/>
    <x v="7"/>
    <n v="13"/>
    <n v="8840"/>
    <x v="9"/>
  </r>
  <r>
    <s v="Sao Paolo"/>
    <x v="2"/>
    <x v="2"/>
    <x v="2"/>
    <n v="17"/>
    <n v="2380"/>
    <x v="8"/>
  </r>
  <r>
    <s v="Jerusalem"/>
    <x v="13"/>
    <x v="0"/>
    <x v="4"/>
    <n v="90"/>
    <n v="2520"/>
    <x v="7"/>
  </r>
  <r>
    <s v="Bogota"/>
    <x v="26"/>
    <x v="2"/>
    <x v="6"/>
    <n v="91"/>
    <n v="49504"/>
    <x v="10"/>
  </r>
  <r>
    <s v="Toronto"/>
    <x v="1"/>
    <x v="1"/>
    <x v="3"/>
    <n v="44"/>
    <n v="2068"/>
    <x v="2"/>
  </r>
  <r>
    <s v="Jerusalem"/>
    <x v="13"/>
    <x v="0"/>
    <x v="0"/>
    <n v="77"/>
    <n v="4620"/>
    <x v="4"/>
  </r>
  <r>
    <s v="Kuala Lumpur"/>
    <x v="31"/>
    <x v="3"/>
    <x v="4"/>
    <n v="98"/>
    <n v="2548"/>
    <x v="0"/>
  </r>
  <r>
    <s v="Kansas City"/>
    <x v="18"/>
    <x v="1"/>
    <x v="8"/>
    <n v="60"/>
    <n v="29700"/>
    <x v="6"/>
  </r>
  <r>
    <s v="Guangzhou"/>
    <x v="5"/>
    <x v="3"/>
    <x v="7"/>
    <n v="70"/>
    <n v="43400"/>
    <x v="7"/>
  </r>
  <r>
    <s v="New York"/>
    <x v="18"/>
    <x v="1"/>
    <x v="8"/>
    <n v="42"/>
    <n v="20580"/>
    <x v="2"/>
  </r>
  <r>
    <s v="Athens"/>
    <x v="14"/>
    <x v="0"/>
    <x v="4"/>
    <n v="57"/>
    <n v="1197"/>
    <x v="3"/>
  </r>
  <r>
    <s v="Guangzhou"/>
    <x v="5"/>
    <x v="3"/>
    <x v="4"/>
    <n v="86"/>
    <n v="1720"/>
    <x v="7"/>
  </r>
  <r>
    <s v="Shanghai"/>
    <x v="5"/>
    <x v="3"/>
    <x v="7"/>
    <n v="25"/>
    <n v="22750"/>
    <x v="0"/>
  </r>
  <r>
    <s v="Bangkok"/>
    <x v="10"/>
    <x v="3"/>
    <x v="9"/>
    <n v="97"/>
    <n v="6596"/>
    <x v="11"/>
  </r>
  <r>
    <s v="Bogota"/>
    <x v="26"/>
    <x v="2"/>
    <x v="1"/>
    <n v="100"/>
    <n v="62300"/>
    <x v="2"/>
  </r>
  <r>
    <s v="Athens"/>
    <x v="14"/>
    <x v="0"/>
    <x v="8"/>
    <n v="12"/>
    <n v="5880"/>
    <x v="9"/>
  </r>
  <r>
    <s v="Seoul"/>
    <x v="19"/>
    <x v="3"/>
    <x v="3"/>
    <n v="81"/>
    <n v="4050"/>
    <x v="5"/>
  </r>
  <r>
    <s v="Santiago"/>
    <x v="34"/>
    <x v="2"/>
    <x v="7"/>
    <n v="58"/>
    <n v="45820"/>
    <x v="0"/>
  </r>
  <r>
    <s v="Sydney"/>
    <x v="4"/>
    <x v="3"/>
    <x v="2"/>
    <n v="20"/>
    <n v="2880"/>
    <x v="6"/>
  </r>
  <r>
    <s v="Bucharest"/>
    <x v="32"/>
    <x v="0"/>
    <x v="7"/>
    <n v="100"/>
    <n v="96000"/>
    <x v="4"/>
  </r>
  <r>
    <s v="Vienna"/>
    <x v="29"/>
    <x v="0"/>
    <x v="5"/>
    <n v="32"/>
    <n v="14240"/>
    <x v="10"/>
  </r>
  <r>
    <s v="Bangalore"/>
    <x v="11"/>
    <x v="3"/>
    <x v="5"/>
    <n v="9"/>
    <n v="3915"/>
    <x v="11"/>
  </r>
  <r>
    <s v="Capetown"/>
    <x v="17"/>
    <x v="0"/>
    <x v="8"/>
    <n v="78"/>
    <n v="38220"/>
    <x v="3"/>
  </r>
  <r>
    <s v="Bogota"/>
    <x v="26"/>
    <x v="2"/>
    <x v="10"/>
    <n v="4"/>
    <n v="920"/>
    <x v="11"/>
  </r>
  <r>
    <s v="Santiago"/>
    <x v="34"/>
    <x v="2"/>
    <x v="6"/>
    <n v="35"/>
    <n v="16520"/>
    <x v="8"/>
  </r>
  <r>
    <s v="Cairo"/>
    <x v="30"/>
    <x v="0"/>
    <x v="7"/>
    <n v="67"/>
    <n v="34170"/>
    <x v="9"/>
  </r>
  <r>
    <s v="Riyadh"/>
    <x v="9"/>
    <x v="0"/>
    <x v="10"/>
    <n v="54"/>
    <n v="12420"/>
    <x v="6"/>
  </r>
  <r>
    <s v="Cairo"/>
    <x v="30"/>
    <x v="0"/>
    <x v="11"/>
    <n v="39"/>
    <n v="1872"/>
    <x v="1"/>
  </r>
  <r>
    <s v="Bangalore"/>
    <x v="11"/>
    <x v="3"/>
    <x v="0"/>
    <n v="7"/>
    <n v="343"/>
    <x v="2"/>
  </r>
  <r>
    <s v="Cairo"/>
    <x v="30"/>
    <x v="0"/>
    <x v="8"/>
    <n v="86"/>
    <n v="42140"/>
    <x v="5"/>
  </r>
  <r>
    <s v="Buenos Aires"/>
    <x v="27"/>
    <x v="2"/>
    <x v="10"/>
    <n v="2"/>
    <n v="496"/>
    <x v="2"/>
  </r>
  <r>
    <s v="Amsterdam"/>
    <x v="24"/>
    <x v="0"/>
    <x v="7"/>
    <n v="68"/>
    <n v="61200"/>
    <x v="8"/>
  </r>
  <r>
    <s v="Riyadh"/>
    <x v="9"/>
    <x v="0"/>
    <x v="11"/>
    <n v="3"/>
    <n v="135"/>
    <x v="10"/>
  </r>
  <r>
    <s v="Jerusalem"/>
    <x v="13"/>
    <x v="0"/>
    <x v="2"/>
    <n v="94"/>
    <n v="13536"/>
    <x v="9"/>
  </r>
  <r>
    <s v="Tokyo"/>
    <x v="15"/>
    <x v="3"/>
    <x v="8"/>
    <n v="49"/>
    <n v="24255"/>
    <x v="10"/>
  </r>
  <r>
    <s v="Prague"/>
    <x v="16"/>
    <x v="0"/>
    <x v="5"/>
    <n v="68"/>
    <n v="28900"/>
    <x v="6"/>
  </r>
  <r>
    <s v="Riyadh"/>
    <x v="9"/>
    <x v="0"/>
    <x v="9"/>
    <n v="92"/>
    <n v="5520"/>
    <x v="0"/>
  </r>
  <r>
    <s v="Toronto"/>
    <x v="1"/>
    <x v="1"/>
    <x v="6"/>
    <n v="85"/>
    <n v="53040"/>
    <x v="5"/>
  </r>
  <r>
    <s v="Dubai"/>
    <x v="33"/>
    <x v="0"/>
    <x v="3"/>
    <n v="58"/>
    <n v="2726"/>
    <x v="3"/>
  </r>
  <r>
    <s v="Bangalore"/>
    <x v="11"/>
    <x v="3"/>
    <x v="4"/>
    <n v="17"/>
    <n v="493"/>
    <x v="5"/>
  </r>
  <r>
    <s v="Buenos Aires"/>
    <x v="27"/>
    <x v="2"/>
    <x v="11"/>
    <n v="43"/>
    <n v="2150"/>
    <x v="8"/>
  </r>
  <r>
    <s v="Dublin"/>
    <x v="25"/>
    <x v="0"/>
    <x v="0"/>
    <n v="76"/>
    <n v="5472"/>
    <x v="6"/>
  </r>
  <r>
    <s v="Sao Paolo"/>
    <x v="2"/>
    <x v="2"/>
    <x v="7"/>
    <n v="45"/>
    <n v="26100"/>
    <x v="9"/>
  </r>
  <r>
    <s v="Madria"/>
    <x v="28"/>
    <x v="0"/>
    <x v="6"/>
    <n v="68"/>
    <n v="37536"/>
    <x v="7"/>
  </r>
  <r>
    <s v="Athens"/>
    <x v="14"/>
    <x v="0"/>
    <x v="9"/>
    <n v="12"/>
    <n v="804"/>
    <x v="7"/>
  </r>
  <r>
    <s v="Tijuana"/>
    <x v="7"/>
    <x v="2"/>
    <x v="6"/>
    <n v="30"/>
    <n v="21120"/>
    <x v="0"/>
  </r>
  <r>
    <s v="Mexico City"/>
    <x v="7"/>
    <x v="2"/>
    <x v="7"/>
    <n v="32"/>
    <n v="18880"/>
    <x v="7"/>
  </r>
  <r>
    <s v="New York"/>
    <x v="18"/>
    <x v="1"/>
    <x v="4"/>
    <n v="9"/>
    <n v="252"/>
    <x v="7"/>
  </r>
  <r>
    <s v="Bogota"/>
    <x v="26"/>
    <x v="2"/>
    <x v="6"/>
    <n v="65"/>
    <n v="31720"/>
    <x v="8"/>
  </r>
  <r>
    <s v="Toronto"/>
    <x v="1"/>
    <x v="1"/>
    <x v="2"/>
    <n v="23"/>
    <n v="3082"/>
    <x v="1"/>
  </r>
  <r>
    <s v="Ho Chi Minh City"/>
    <x v="12"/>
    <x v="3"/>
    <x v="11"/>
    <n v="87"/>
    <n v="4350"/>
    <x v="7"/>
  </r>
  <r>
    <s v="New York"/>
    <x v="18"/>
    <x v="1"/>
    <x v="7"/>
    <n v="5"/>
    <n v="3350"/>
    <x v="2"/>
  </r>
  <r>
    <s v="Bangalore"/>
    <x v="11"/>
    <x v="3"/>
    <x v="2"/>
    <n v="18"/>
    <n v="2682"/>
    <x v="2"/>
  </r>
  <r>
    <s v="Tel Aviv"/>
    <x v="13"/>
    <x v="0"/>
    <x v="8"/>
    <n v="3"/>
    <n v="1500"/>
    <x v="6"/>
  </r>
  <r>
    <s v="Tel Aviv"/>
    <x v="13"/>
    <x v="0"/>
    <x v="2"/>
    <n v="13"/>
    <n v="1898"/>
    <x v="4"/>
  </r>
  <r>
    <s v="London"/>
    <x v="8"/>
    <x v="0"/>
    <x v="7"/>
    <n v="68"/>
    <n v="55080"/>
    <x v="8"/>
  </r>
  <r>
    <s v="Prague"/>
    <x v="16"/>
    <x v="0"/>
    <x v="2"/>
    <n v="82"/>
    <n v="12054"/>
    <x v="0"/>
  </r>
  <r>
    <s v="London"/>
    <x v="8"/>
    <x v="0"/>
    <x v="7"/>
    <n v="60"/>
    <n v="43800"/>
    <x v="8"/>
  </r>
  <r>
    <s v="Bangkok"/>
    <x v="10"/>
    <x v="3"/>
    <x v="10"/>
    <n v="73"/>
    <n v="18104"/>
    <x v="4"/>
  </r>
  <r>
    <s v="Dublin"/>
    <x v="25"/>
    <x v="0"/>
    <x v="1"/>
    <n v="44"/>
    <n v="26796"/>
    <x v="8"/>
  </r>
  <r>
    <s v="Istanbul"/>
    <x v="3"/>
    <x v="0"/>
    <x v="2"/>
    <n v="25"/>
    <n v="3500"/>
    <x v="5"/>
  </r>
  <r>
    <s v="Bangalore"/>
    <x v="11"/>
    <x v="3"/>
    <x v="8"/>
    <n v="40"/>
    <n v="20000"/>
    <x v="9"/>
  </r>
  <r>
    <s v="Cairo"/>
    <x v="30"/>
    <x v="0"/>
    <x v="7"/>
    <n v="45"/>
    <n v="43200"/>
    <x v="6"/>
  </r>
  <r>
    <s v="Mexico City"/>
    <x v="7"/>
    <x v="2"/>
    <x v="0"/>
    <n v="96"/>
    <n v="7008"/>
    <x v="4"/>
  </r>
  <r>
    <s v="Bangkok"/>
    <x v="10"/>
    <x v="3"/>
    <x v="1"/>
    <n v="14"/>
    <n v="9800"/>
    <x v="6"/>
  </r>
  <r>
    <s v="Berlin"/>
    <x v="20"/>
    <x v="0"/>
    <x v="1"/>
    <n v="73"/>
    <n v="49056"/>
    <x v="9"/>
  </r>
  <r>
    <s v="Kuala Lumpur"/>
    <x v="31"/>
    <x v="3"/>
    <x v="1"/>
    <n v="23"/>
    <n v="14973"/>
    <x v="7"/>
  </r>
  <r>
    <s v="Tijuana"/>
    <x v="7"/>
    <x v="2"/>
    <x v="2"/>
    <n v="57"/>
    <n v="7809"/>
    <x v="6"/>
  </r>
  <r>
    <s v="Bogota"/>
    <x v="26"/>
    <x v="2"/>
    <x v="1"/>
    <n v="17"/>
    <n v="11067"/>
    <x v="0"/>
  </r>
  <r>
    <s v="Shenzhen"/>
    <x v="5"/>
    <x v="3"/>
    <x v="10"/>
    <n v="82"/>
    <n v="19516"/>
    <x v="1"/>
  </r>
  <r>
    <s v="Sao Paolo"/>
    <x v="2"/>
    <x v="2"/>
    <x v="6"/>
    <n v="89"/>
    <n v="61944"/>
    <x v="6"/>
  </r>
  <r>
    <s v="Tijuana"/>
    <x v="7"/>
    <x v="2"/>
    <x v="4"/>
    <n v="59"/>
    <n v="1239"/>
    <x v="0"/>
  </r>
  <r>
    <s v="Berlin"/>
    <x v="20"/>
    <x v="0"/>
    <x v="0"/>
    <n v="45"/>
    <n v="3330"/>
    <x v="5"/>
  </r>
  <r>
    <s v="Sao Paolo"/>
    <x v="2"/>
    <x v="2"/>
    <x v="10"/>
    <n v="50"/>
    <n v="11400"/>
    <x v="1"/>
  </r>
  <r>
    <s v="Amsterdam"/>
    <x v="24"/>
    <x v="0"/>
    <x v="1"/>
    <n v="26"/>
    <n v="16744"/>
    <x v="4"/>
  </r>
  <r>
    <s v="Ho Chi Minh City"/>
    <x v="12"/>
    <x v="3"/>
    <x v="4"/>
    <n v="28"/>
    <n v="812"/>
    <x v="10"/>
  </r>
  <r>
    <s v="Delhi"/>
    <x v="11"/>
    <x v="3"/>
    <x v="6"/>
    <n v="61"/>
    <n v="40016"/>
    <x v="4"/>
  </r>
  <r>
    <s v="Rome"/>
    <x v="22"/>
    <x v="0"/>
    <x v="2"/>
    <n v="6"/>
    <n v="894"/>
    <x v="11"/>
  </r>
  <r>
    <s v="San Fransisco"/>
    <x v="18"/>
    <x v="1"/>
    <x v="2"/>
    <n v="12"/>
    <n v="1764"/>
    <x v="4"/>
  </r>
  <r>
    <s v="Jerusalem"/>
    <x v="13"/>
    <x v="0"/>
    <x v="0"/>
    <n v="99"/>
    <n v="7722"/>
    <x v="8"/>
  </r>
  <r>
    <s v="Bucharest"/>
    <x v="32"/>
    <x v="0"/>
    <x v="2"/>
    <n v="53"/>
    <n v="7791"/>
    <x v="3"/>
  </r>
  <r>
    <s v="Ho Chi Minh City"/>
    <x v="12"/>
    <x v="3"/>
    <x v="5"/>
    <n v="52"/>
    <n v="18720"/>
    <x v="4"/>
  </r>
  <r>
    <s v="Tokyo"/>
    <x v="15"/>
    <x v="3"/>
    <x v="11"/>
    <n v="91"/>
    <n v="4095"/>
    <x v="3"/>
  </r>
  <r>
    <s v="Delhi"/>
    <x v="11"/>
    <x v="3"/>
    <x v="11"/>
    <n v="10"/>
    <n v="430"/>
    <x v="2"/>
  </r>
  <r>
    <s v="Bogota"/>
    <x v="26"/>
    <x v="2"/>
    <x v="0"/>
    <n v="92"/>
    <n v="6900"/>
    <x v="5"/>
  </r>
  <r>
    <s v="Dublin"/>
    <x v="25"/>
    <x v="0"/>
    <x v="11"/>
    <n v="68"/>
    <n v="2448"/>
    <x v="3"/>
  </r>
  <r>
    <s v="Buenos Aires"/>
    <x v="27"/>
    <x v="2"/>
    <x v="6"/>
    <n v="46"/>
    <n v="20608"/>
    <x v="1"/>
  </r>
  <r>
    <s v="Madria"/>
    <x v="28"/>
    <x v="0"/>
    <x v="2"/>
    <n v="68"/>
    <n v="9384"/>
    <x v="10"/>
  </r>
  <r>
    <s v="Kansas City"/>
    <x v="18"/>
    <x v="1"/>
    <x v="8"/>
    <n v="51"/>
    <n v="25500"/>
    <x v="7"/>
  </r>
  <r>
    <s v="Istanbul"/>
    <x v="3"/>
    <x v="0"/>
    <x v="8"/>
    <n v="63"/>
    <n v="31185"/>
    <x v="10"/>
  </r>
  <r>
    <s v="Amsterdam"/>
    <x v="24"/>
    <x v="0"/>
    <x v="2"/>
    <n v="51"/>
    <n v="6528"/>
    <x v="9"/>
  </r>
  <r>
    <s v="Delhi"/>
    <x v="11"/>
    <x v="3"/>
    <x v="11"/>
    <n v="1"/>
    <n v="42"/>
    <x v="0"/>
  </r>
  <r>
    <s v="Dubai"/>
    <x v="33"/>
    <x v="0"/>
    <x v="0"/>
    <n v="1"/>
    <n v="80"/>
    <x v="2"/>
  </r>
  <r>
    <s v="Seoul"/>
    <x v="19"/>
    <x v="3"/>
    <x v="2"/>
    <n v="5"/>
    <n v="735"/>
    <x v="1"/>
  </r>
  <r>
    <s v="Riyadh"/>
    <x v="9"/>
    <x v="0"/>
    <x v="3"/>
    <n v="82"/>
    <n v="3608"/>
    <x v="9"/>
  </r>
  <r>
    <s v="Tijuana"/>
    <x v="7"/>
    <x v="2"/>
    <x v="9"/>
    <n v="52"/>
    <n v="3484"/>
    <x v="7"/>
  </r>
  <r>
    <s v="Seattle"/>
    <x v="18"/>
    <x v="1"/>
    <x v="9"/>
    <n v="12"/>
    <n v="804"/>
    <x v="1"/>
  </r>
  <r>
    <s v="Tokyo"/>
    <x v="15"/>
    <x v="3"/>
    <x v="5"/>
    <n v="52"/>
    <n v="23920"/>
    <x v="11"/>
  </r>
  <r>
    <s v="Moscow"/>
    <x v="0"/>
    <x v="0"/>
    <x v="8"/>
    <n v="15"/>
    <n v="7425"/>
    <x v="6"/>
  </r>
  <r>
    <s v="Prague"/>
    <x v="16"/>
    <x v="0"/>
    <x v="6"/>
    <n v="49"/>
    <n v="34496"/>
    <x v="3"/>
  </r>
  <r>
    <s v="Athens"/>
    <x v="14"/>
    <x v="0"/>
    <x v="0"/>
    <n v="12"/>
    <n v="720"/>
    <x v="1"/>
  </r>
  <r>
    <s v="Kuala Lumpur"/>
    <x v="31"/>
    <x v="3"/>
    <x v="8"/>
    <n v="33"/>
    <n v="16500"/>
    <x v="3"/>
  </r>
  <r>
    <s v="Los Angeles"/>
    <x v="18"/>
    <x v="1"/>
    <x v="2"/>
    <n v="54"/>
    <n v="8100"/>
    <x v="10"/>
  </r>
  <r>
    <s v="Seoul"/>
    <x v="19"/>
    <x v="3"/>
    <x v="9"/>
    <n v="28"/>
    <n v="1904"/>
    <x v="8"/>
  </r>
  <r>
    <s v="Dubai"/>
    <x v="33"/>
    <x v="0"/>
    <x v="9"/>
    <n v="60"/>
    <n v="4200"/>
    <x v="11"/>
  </r>
  <r>
    <s v="Kuala Lumpur"/>
    <x v="31"/>
    <x v="3"/>
    <x v="4"/>
    <n v="90"/>
    <n v="2520"/>
    <x v="5"/>
  </r>
  <r>
    <s v="Kuala Lumpur"/>
    <x v="31"/>
    <x v="3"/>
    <x v="9"/>
    <n v="96"/>
    <n v="6144"/>
    <x v="0"/>
  </r>
  <r>
    <s v="Sao Paolo"/>
    <x v="2"/>
    <x v="2"/>
    <x v="11"/>
    <n v="12"/>
    <n v="456"/>
    <x v="3"/>
  </r>
  <r>
    <s v="Toronto"/>
    <x v="1"/>
    <x v="1"/>
    <x v="11"/>
    <n v="29"/>
    <n v="1450"/>
    <x v="8"/>
  </r>
  <r>
    <s v="Bangalore"/>
    <x v="11"/>
    <x v="3"/>
    <x v="5"/>
    <n v="54"/>
    <n v="25110"/>
    <x v="9"/>
  </r>
  <r>
    <s v="New York"/>
    <x v="18"/>
    <x v="1"/>
    <x v="3"/>
    <n v="51"/>
    <n v="2244"/>
    <x v="5"/>
  </r>
  <r>
    <s v="Bogota"/>
    <x v="26"/>
    <x v="2"/>
    <x v="3"/>
    <n v="58"/>
    <n v="2726"/>
    <x v="9"/>
  </r>
  <r>
    <s v="Warsaw"/>
    <x v="23"/>
    <x v="0"/>
    <x v="2"/>
    <n v="29"/>
    <n v="2929"/>
    <x v="10"/>
  </r>
  <r>
    <s v="Paris"/>
    <x v="21"/>
    <x v="0"/>
    <x v="0"/>
    <n v="19"/>
    <n v="1482"/>
    <x v="5"/>
  </r>
  <r>
    <s v="Bangalore"/>
    <x v="11"/>
    <x v="3"/>
    <x v="8"/>
    <n v="86"/>
    <n v="43000"/>
    <x v="9"/>
  </r>
  <r>
    <s v="Tijuana"/>
    <x v="7"/>
    <x v="2"/>
    <x v="0"/>
    <n v="23"/>
    <n v="1702"/>
    <x v="9"/>
  </r>
  <r>
    <s v="Prague"/>
    <x v="16"/>
    <x v="0"/>
    <x v="9"/>
    <n v="55"/>
    <n v="3740"/>
    <x v="5"/>
  </r>
  <r>
    <s v="Cairo"/>
    <x v="30"/>
    <x v="0"/>
    <x v="5"/>
    <n v="67"/>
    <n v="33500"/>
    <x v="9"/>
  </r>
  <r>
    <s v="Mexico City"/>
    <x v="7"/>
    <x v="2"/>
    <x v="7"/>
    <n v="47"/>
    <n v="33840"/>
    <x v="1"/>
  </r>
  <r>
    <s v="Toronto"/>
    <x v="1"/>
    <x v="1"/>
    <x v="5"/>
    <n v="87"/>
    <n v="41760"/>
    <x v="9"/>
  </r>
  <r>
    <s v="Los Angeles"/>
    <x v="18"/>
    <x v="1"/>
    <x v="3"/>
    <n v="32"/>
    <n v="1376"/>
    <x v="9"/>
  </r>
  <r>
    <s v="London"/>
    <x v="8"/>
    <x v="0"/>
    <x v="2"/>
    <n v="79"/>
    <n v="11850"/>
    <x v="0"/>
  </r>
  <r>
    <s v="Moscow"/>
    <x v="0"/>
    <x v="0"/>
    <x v="6"/>
    <n v="74"/>
    <n v="39072"/>
    <x v="10"/>
  </r>
  <r>
    <s v="Dublin"/>
    <x v="25"/>
    <x v="0"/>
    <x v="3"/>
    <n v="69"/>
    <n v="2691"/>
    <x v="2"/>
  </r>
  <r>
    <s v="Athens"/>
    <x v="14"/>
    <x v="0"/>
    <x v="11"/>
    <n v="9"/>
    <n v="450"/>
    <x v="11"/>
  </r>
  <r>
    <s v="Bangalore"/>
    <x v="11"/>
    <x v="3"/>
    <x v="8"/>
    <n v="7"/>
    <n v="3500"/>
    <x v="1"/>
  </r>
  <r>
    <s v="Prague"/>
    <x v="16"/>
    <x v="0"/>
    <x v="3"/>
    <n v="42"/>
    <n v="1848"/>
    <x v="5"/>
  </r>
  <r>
    <s v="Mexico City"/>
    <x v="7"/>
    <x v="2"/>
    <x v="11"/>
    <n v="38"/>
    <n v="1824"/>
    <x v="11"/>
  </r>
  <r>
    <s v="Tokyo"/>
    <x v="15"/>
    <x v="3"/>
    <x v="0"/>
    <n v="6"/>
    <n v="432"/>
    <x v="9"/>
  </r>
  <r>
    <s v="Bogota"/>
    <x v="26"/>
    <x v="2"/>
    <x v="11"/>
    <n v="2"/>
    <n v="64"/>
    <x v="6"/>
  </r>
  <r>
    <s v="Shanghai"/>
    <x v="5"/>
    <x v="3"/>
    <x v="1"/>
    <n v="47"/>
    <n v="30597"/>
    <x v="4"/>
  </r>
  <r>
    <s v="Berlin"/>
    <x v="20"/>
    <x v="0"/>
    <x v="11"/>
    <n v="26"/>
    <n v="1274"/>
    <x v="7"/>
  </r>
  <r>
    <s v="Capetown"/>
    <x v="17"/>
    <x v="0"/>
    <x v="5"/>
    <n v="55"/>
    <n v="24200"/>
    <x v="8"/>
  </r>
  <r>
    <s v="Dublin"/>
    <x v="25"/>
    <x v="0"/>
    <x v="7"/>
    <n v="15"/>
    <n v="10200"/>
    <x v="0"/>
  </r>
  <r>
    <s v="Sydney"/>
    <x v="4"/>
    <x v="3"/>
    <x v="1"/>
    <n v="30"/>
    <n v="19110"/>
    <x v="11"/>
  </r>
  <r>
    <s v="Birmingham"/>
    <x v="8"/>
    <x v="0"/>
    <x v="3"/>
    <n v="77"/>
    <n v="3311"/>
    <x v="7"/>
  </r>
  <r>
    <s v="Delhi"/>
    <x v="11"/>
    <x v="3"/>
    <x v="4"/>
    <n v="25"/>
    <n v="725"/>
    <x v="0"/>
  </r>
  <r>
    <s v="Riyadh"/>
    <x v="9"/>
    <x v="0"/>
    <x v="3"/>
    <n v="18"/>
    <n v="846"/>
    <x v="6"/>
  </r>
  <r>
    <s v="Bogota"/>
    <x v="26"/>
    <x v="2"/>
    <x v="2"/>
    <n v="47"/>
    <n v="6768"/>
    <x v="3"/>
  </r>
  <r>
    <s v="Amsterdam"/>
    <x v="24"/>
    <x v="0"/>
    <x v="10"/>
    <n v="86"/>
    <n v="16598"/>
    <x v="3"/>
  </r>
  <r>
    <s v="Ho Chi Minh City"/>
    <x v="12"/>
    <x v="3"/>
    <x v="6"/>
    <n v="55"/>
    <n v="44000"/>
    <x v="10"/>
  </r>
  <r>
    <s v="Santiago"/>
    <x v="34"/>
    <x v="2"/>
    <x v="1"/>
    <n v="48"/>
    <n v="21168"/>
    <x v="5"/>
  </r>
  <r>
    <s v="Rome"/>
    <x v="22"/>
    <x v="0"/>
    <x v="9"/>
    <n v="94"/>
    <n v="5640"/>
    <x v="4"/>
  </r>
  <r>
    <s v="Shenzhen"/>
    <x v="5"/>
    <x v="3"/>
    <x v="5"/>
    <n v="71"/>
    <n v="35145"/>
    <x v="3"/>
  </r>
  <r>
    <s v="Dublin"/>
    <x v="25"/>
    <x v="0"/>
    <x v="4"/>
    <n v="77"/>
    <n v="2233"/>
    <x v="3"/>
  </r>
  <r>
    <s v="Prague"/>
    <x v="16"/>
    <x v="0"/>
    <x v="4"/>
    <n v="94"/>
    <n v="2726"/>
    <x v="6"/>
  </r>
  <r>
    <s v="Rome"/>
    <x v="22"/>
    <x v="0"/>
    <x v="8"/>
    <n v="55"/>
    <n v="27500"/>
    <x v="1"/>
  </r>
  <r>
    <s v="Amsterdam"/>
    <x v="24"/>
    <x v="0"/>
    <x v="7"/>
    <n v="60"/>
    <n v="30600"/>
    <x v="10"/>
  </r>
  <r>
    <s v="Mexico City"/>
    <x v="7"/>
    <x v="2"/>
    <x v="6"/>
    <n v="32"/>
    <n v="15616"/>
    <x v="7"/>
  </r>
  <r>
    <s v="Toronto"/>
    <x v="1"/>
    <x v="1"/>
    <x v="3"/>
    <n v="49"/>
    <n v="2401"/>
    <x v="8"/>
  </r>
  <r>
    <s v="Vienna"/>
    <x v="29"/>
    <x v="0"/>
    <x v="0"/>
    <n v="59"/>
    <n v="4602"/>
    <x v="0"/>
  </r>
  <r>
    <s v="Madria"/>
    <x v="28"/>
    <x v="0"/>
    <x v="11"/>
    <n v="14"/>
    <n v="672"/>
    <x v="3"/>
  </r>
  <r>
    <s v="Riyadh"/>
    <x v="9"/>
    <x v="0"/>
    <x v="11"/>
    <n v="47"/>
    <n v="2350"/>
    <x v="2"/>
  </r>
  <r>
    <s v="Bangkok"/>
    <x v="10"/>
    <x v="3"/>
    <x v="10"/>
    <n v="80"/>
    <n v="20000"/>
    <x v="11"/>
  </r>
  <r>
    <s v="Athens"/>
    <x v="14"/>
    <x v="0"/>
    <x v="9"/>
    <n v="92"/>
    <n v="6164"/>
    <x v="4"/>
  </r>
  <r>
    <s v="Sydney"/>
    <x v="4"/>
    <x v="3"/>
    <x v="1"/>
    <n v="53"/>
    <n v="36729"/>
    <x v="0"/>
  </r>
  <r>
    <s v="Shenzhen"/>
    <x v="5"/>
    <x v="3"/>
    <x v="4"/>
    <n v="34"/>
    <n v="918"/>
    <x v="4"/>
  </r>
  <r>
    <s v="Amsterdam"/>
    <x v="24"/>
    <x v="0"/>
    <x v="3"/>
    <n v="35"/>
    <n v="1715"/>
    <x v="2"/>
  </r>
  <r>
    <s v="Istanbul"/>
    <x v="3"/>
    <x v="0"/>
    <x v="6"/>
    <n v="89"/>
    <n v="59096"/>
    <x v="0"/>
  </r>
  <r>
    <s v="Dublin"/>
    <x v="25"/>
    <x v="0"/>
    <x v="6"/>
    <n v="38"/>
    <n v="24624"/>
    <x v="1"/>
  </r>
  <r>
    <s v="Kansas City"/>
    <x v="18"/>
    <x v="1"/>
    <x v="4"/>
    <n v="98"/>
    <n v="2842"/>
    <x v="11"/>
  </r>
  <r>
    <s v="London"/>
    <x v="8"/>
    <x v="0"/>
    <x v="5"/>
    <n v="4"/>
    <n v="1900"/>
    <x v="5"/>
  </r>
  <r>
    <s v="Dublin"/>
    <x v="25"/>
    <x v="0"/>
    <x v="8"/>
    <n v="45"/>
    <n v="22275"/>
    <x v="9"/>
  </r>
  <r>
    <s v="Moscow"/>
    <x v="0"/>
    <x v="0"/>
    <x v="7"/>
    <n v="99"/>
    <n v="57420"/>
    <x v="8"/>
  </r>
  <r>
    <s v="Vienna"/>
    <x v="29"/>
    <x v="0"/>
    <x v="11"/>
    <n v="12"/>
    <n v="564"/>
    <x v="5"/>
  </r>
  <r>
    <s v="Cairo"/>
    <x v="30"/>
    <x v="0"/>
    <x v="9"/>
    <n v="59"/>
    <n v="2832"/>
    <x v="7"/>
  </r>
  <r>
    <s v="Dublin"/>
    <x v="25"/>
    <x v="0"/>
    <x v="7"/>
    <n v="31"/>
    <n v="23250"/>
    <x v="1"/>
  </r>
  <r>
    <s v="Vienna"/>
    <x v="29"/>
    <x v="0"/>
    <x v="4"/>
    <n v="23"/>
    <n v="575"/>
    <x v="7"/>
  </r>
  <r>
    <s v="Tokyo"/>
    <x v="15"/>
    <x v="3"/>
    <x v="4"/>
    <n v="46"/>
    <n v="1242"/>
    <x v="6"/>
  </r>
  <r>
    <s v="Kuala Lumpur"/>
    <x v="31"/>
    <x v="3"/>
    <x v="8"/>
    <n v="75"/>
    <n v="36750"/>
    <x v="8"/>
  </r>
  <r>
    <s v="Seattle"/>
    <x v="18"/>
    <x v="1"/>
    <x v="8"/>
    <n v="5"/>
    <n v="2500"/>
    <x v="10"/>
  </r>
  <r>
    <s v="Berlin"/>
    <x v="20"/>
    <x v="0"/>
    <x v="8"/>
    <n v="55"/>
    <n v="27225"/>
    <x v="4"/>
  </r>
  <r>
    <s v="Santiago"/>
    <x v="34"/>
    <x v="2"/>
    <x v="2"/>
    <n v="97"/>
    <n v="11543"/>
    <x v="7"/>
  </r>
  <r>
    <s v="London"/>
    <x v="8"/>
    <x v="0"/>
    <x v="0"/>
    <n v="54"/>
    <n v="4266"/>
    <x v="9"/>
  </r>
  <r>
    <s v="Dubai"/>
    <x v="33"/>
    <x v="0"/>
    <x v="2"/>
    <n v="74"/>
    <n v="7326"/>
    <x v="5"/>
  </r>
  <r>
    <s v="Seattle"/>
    <x v="18"/>
    <x v="1"/>
    <x v="5"/>
    <n v="36"/>
    <n v="15300"/>
    <x v="9"/>
  </r>
  <r>
    <s v="Madria"/>
    <x v="28"/>
    <x v="0"/>
    <x v="7"/>
    <n v="6"/>
    <n v="4860"/>
    <x v="2"/>
  </r>
  <r>
    <s v="Jerusalem"/>
    <x v="13"/>
    <x v="0"/>
    <x v="10"/>
    <n v="93"/>
    <n v="22785"/>
    <x v="0"/>
  </r>
  <r>
    <s v="London"/>
    <x v="8"/>
    <x v="0"/>
    <x v="11"/>
    <n v="10"/>
    <n v="500"/>
    <x v="2"/>
  </r>
  <r>
    <s v="Rome"/>
    <x v="22"/>
    <x v="0"/>
    <x v="10"/>
    <n v="60"/>
    <n v="14100"/>
    <x v="0"/>
  </r>
  <r>
    <s v="Jerusalem"/>
    <x v="13"/>
    <x v="0"/>
    <x v="10"/>
    <n v="48"/>
    <n v="11520"/>
    <x v="5"/>
  </r>
  <r>
    <s v="Santiago"/>
    <x v="34"/>
    <x v="2"/>
    <x v="9"/>
    <n v="10"/>
    <n v="690"/>
    <x v="4"/>
  </r>
  <r>
    <s v="Paris"/>
    <x v="21"/>
    <x v="0"/>
    <x v="9"/>
    <n v="32"/>
    <n v="2144"/>
    <x v="3"/>
  </r>
  <r>
    <s v="Cairo"/>
    <x v="30"/>
    <x v="0"/>
    <x v="3"/>
    <n v="10"/>
    <n v="490"/>
    <x v="9"/>
  </r>
  <r>
    <s v="Athens"/>
    <x v="14"/>
    <x v="0"/>
    <x v="2"/>
    <n v="70"/>
    <n v="6860"/>
    <x v="6"/>
  </r>
  <r>
    <s v="Bangalore"/>
    <x v="11"/>
    <x v="3"/>
    <x v="3"/>
    <n v="44"/>
    <n v="2200"/>
    <x v="6"/>
  </r>
  <r>
    <s v="Mexico City"/>
    <x v="7"/>
    <x v="2"/>
    <x v="8"/>
    <n v="14"/>
    <n v="6930"/>
    <x v="2"/>
  </r>
  <r>
    <s v="Buenos Aires"/>
    <x v="27"/>
    <x v="2"/>
    <x v="9"/>
    <n v="19"/>
    <n v="1026"/>
    <x v="8"/>
  </r>
  <r>
    <s v="Los Angeles"/>
    <x v="18"/>
    <x v="1"/>
    <x v="5"/>
    <n v="17"/>
    <n v="8245"/>
    <x v="6"/>
  </r>
  <r>
    <s v="Chicago"/>
    <x v="18"/>
    <x v="1"/>
    <x v="0"/>
    <n v="37"/>
    <n v="2886"/>
    <x v="6"/>
  </r>
  <r>
    <s v="Tijuana"/>
    <x v="7"/>
    <x v="2"/>
    <x v="6"/>
    <n v="94"/>
    <n v="66928"/>
    <x v="3"/>
  </r>
  <r>
    <s v="Riyadh"/>
    <x v="9"/>
    <x v="0"/>
    <x v="2"/>
    <n v="5"/>
    <n v="465"/>
    <x v="5"/>
  </r>
  <r>
    <s v="Shanghai"/>
    <x v="5"/>
    <x v="3"/>
    <x v="7"/>
    <n v="69"/>
    <n v="48990"/>
    <x v="11"/>
  </r>
  <r>
    <s v="Shenzhen"/>
    <x v="5"/>
    <x v="3"/>
    <x v="8"/>
    <n v="51"/>
    <n v="25245"/>
    <x v="3"/>
  </r>
  <r>
    <s v="Tijuana"/>
    <x v="7"/>
    <x v="2"/>
    <x v="8"/>
    <n v="96"/>
    <n v="47040"/>
    <x v="7"/>
  </r>
  <r>
    <s v="Seoul"/>
    <x v="19"/>
    <x v="3"/>
    <x v="9"/>
    <n v="53"/>
    <n v="3551"/>
    <x v="2"/>
  </r>
  <r>
    <s v="Tokyo"/>
    <x v="15"/>
    <x v="3"/>
    <x v="10"/>
    <n v="16"/>
    <n v="3760"/>
    <x v="11"/>
  </r>
  <r>
    <s v="Tijuana"/>
    <x v="7"/>
    <x v="2"/>
    <x v="6"/>
    <n v="95"/>
    <n v="55480"/>
    <x v="11"/>
  </r>
  <r>
    <s v="New York"/>
    <x v="18"/>
    <x v="1"/>
    <x v="0"/>
    <n v="57"/>
    <n v="4104"/>
    <x v="0"/>
  </r>
  <r>
    <s v="Toronto"/>
    <x v="1"/>
    <x v="1"/>
    <x v="7"/>
    <n v="33"/>
    <n v="24750"/>
    <x v="9"/>
  </r>
  <r>
    <s v="Chicago"/>
    <x v="18"/>
    <x v="1"/>
    <x v="6"/>
    <n v="48"/>
    <n v="33408"/>
    <x v="11"/>
  </r>
  <r>
    <s v="Dubai"/>
    <x v="33"/>
    <x v="0"/>
    <x v="2"/>
    <n v="13"/>
    <n v="1898"/>
    <x v="1"/>
  </r>
  <r>
    <s v="Santiago"/>
    <x v="34"/>
    <x v="2"/>
    <x v="11"/>
    <n v="72"/>
    <n v="2952"/>
    <x v="11"/>
  </r>
  <r>
    <s v="Prague"/>
    <x v="16"/>
    <x v="0"/>
    <x v="8"/>
    <n v="85"/>
    <n v="42075"/>
    <x v="0"/>
  </r>
  <r>
    <s v="Tel Aviv"/>
    <x v="13"/>
    <x v="0"/>
    <x v="3"/>
    <n v="84"/>
    <n v="3864"/>
    <x v="4"/>
  </r>
  <r>
    <s v="Guangzhou"/>
    <x v="5"/>
    <x v="3"/>
    <x v="0"/>
    <n v="78"/>
    <n v="5772"/>
    <x v="5"/>
  </r>
  <r>
    <s v="Cairo"/>
    <x v="30"/>
    <x v="0"/>
    <x v="9"/>
    <n v="41"/>
    <n v="2419"/>
    <x v="0"/>
  </r>
  <r>
    <s v="Riyadh"/>
    <x v="9"/>
    <x v="0"/>
    <x v="9"/>
    <n v="93"/>
    <n v="6324"/>
    <x v="4"/>
  </r>
  <r>
    <s v="Berlin"/>
    <x v="20"/>
    <x v="0"/>
    <x v="2"/>
    <n v="70"/>
    <n v="10220"/>
    <x v="5"/>
  </r>
  <r>
    <s v="Moscow"/>
    <x v="0"/>
    <x v="0"/>
    <x v="7"/>
    <n v="26"/>
    <n v="16380"/>
    <x v="6"/>
  </r>
  <r>
    <s v="Buenos Aires"/>
    <x v="27"/>
    <x v="2"/>
    <x v="3"/>
    <n v="39"/>
    <n v="1716"/>
    <x v="11"/>
  </r>
  <r>
    <s v="Bangkok"/>
    <x v="10"/>
    <x v="3"/>
    <x v="1"/>
    <n v="99"/>
    <n v="68607"/>
    <x v="8"/>
  </r>
  <r>
    <s v="Dublin"/>
    <x v="25"/>
    <x v="0"/>
    <x v="1"/>
    <n v="39"/>
    <n v="24843"/>
    <x v="4"/>
  </r>
  <r>
    <s v="Lima"/>
    <x v="6"/>
    <x v="2"/>
    <x v="0"/>
    <n v="44"/>
    <n v="2992"/>
    <x v="7"/>
  </r>
  <r>
    <s v="Ho Chi Minh City"/>
    <x v="12"/>
    <x v="3"/>
    <x v="4"/>
    <n v="85"/>
    <n v="2210"/>
    <x v="2"/>
  </r>
  <r>
    <s v="Chicago"/>
    <x v="18"/>
    <x v="1"/>
    <x v="10"/>
    <n v="51"/>
    <n v="12240"/>
    <x v="6"/>
  </r>
  <r>
    <s v="Bangalore"/>
    <x v="11"/>
    <x v="3"/>
    <x v="2"/>
    <n v="39"/>
    <n v="5109"/>
    <x v="3"/>
  </r>
  <r>
    <s v="Paris"/>
    <x v="21"/>
    <x v="0"/>
    <x v="7"/>
    <n v="20"/>
    <n v="16400"/>
    <x v="1"/>
  </r>
  <r>
    <s v="Santiago"/>
    <x v="34"/>
    <x v="2"/>
    <x v="6"/>
    <n v="50"/>
    <n v="26400"/>
    <x v="3"/>
  </r>
  <r>
    <s v="Bucharest"/>
    <x v="32"/>
    <x v="0"/>
    <x v="9"/>
    <n v="53"/>
    <n v="3657"/>
    <x v="4"/>
  </r>
  <r>
    <s v="Bucharest"/>
    <x v="32"/>
    <x v="0"/>
    <x v="5"/>
    <n v="36"/>
    <n v="17460"/>
    <x v="0"/>
  </r>
  <r>
    <s v="Birmingham"/>
    <x v="8"/>
    <x v="0"/>
    <x v="11"/>
    <n v="27"/>
    <n v="1053"/>
    <x v="1"/>
  </r>
  <r>
    <s v="Birmingham"/>
    <x v="8"/>
    <x v="0"/>
    <x v="7"/>
    <n v="81"/>
    <n v="67230"/>
    <x v="1"/>
  </r>
  <r>
    <s v="New York"/>
    <x v="18"/>
    <x v="1"/>
    <x v="3"/>
    <n v="11"/>
    <n v="484"/>
    <x v="6"/>
  </r>
  <r>
    <s v="London"/>
    <x v="8"/>
    <x v="0"/>
    <x v="8"/>
    <n v="79"/>
    <n v="39500"/>
    <x v="11"/>
  </r>
  <r>
    <s v="Toronto"/>
    <x v="1"/>
    <x v="1"/>
    <x v="3"/>
    <n v="97"/>
    <n v="3589"/>
    <x v="0"/>
  </r>
  <r>
    <s v="San Fransisco"/>
    <x v="18"/>
    <x v="1"/>
    <x v="0"/>
    <n v="76"/>
    <n v="5928"/>
    <x v="2"/>
  </r>
  <r>
    <s v="Kuala Lumpur"/>
    <x v="31"/>
    <x v="3"/>
    <x v="9"/>
    <n v="23"/>
    <n v="1495"/>
    <x v="3"/>
  </r>
  <r>
    <s v="Seattle"/>
    <x v="18"/>
    <x v="1"/>
    <x v="10"/>
    <n v="80"/>
    <n v="18240"/>
    <x v="4"/>
  </r>
  <r>
    <s v="Seoul"/>
    <x v="19"/>
    <x v="3"/>
    <x v="10"/>
    <n v="38"/>
    <n v="9500"/>
    <x v="8"/>
  </r>
  <r>
    <s v="Bucharest"/>
    <x v="32"/>
    <x v="0"/>
    <x v="4"/>
    <n v="40"/>
    <n v="1160"/>
    <x v="4"/>
  </r>
  <r>
    <s v="Bogota"/>
    <x v="26"/>
    <x v="2"/>
    <x v="11"/>
    <n v="46"/>
    <n v="1472"/>
    <x v="9"/>
  </r>
  <r>
    <s v="Osaka"/>
    <x v="15"/>
    <x v="3"/>
    <x v="1"/>
    <n v="74"/>
    <n v="50764"/>
    <x v="3"/>
  </r>
  <r>
    <s v="Santiago"/>
    <x v="34"/>
    <x v="2"/>
    <x v="2"/>
    <n v="31"/>
    <n v="4061"/>
    <x v="8"/>
  </r>
  <r>
    <s v="Chicago"/>
    <x v="18"/>
    <x v="1"/>
    <x v="7"/>
    <n v="50"/>
    <n v="47000"/>
    <x v="0"/>
  </r>
  <r>
    <s v="Capetown"/>
    <x v="17"/>
    <x v="0"/>
    <x v="2"/>
    <n v="92"/>
    <n v="12696"/>
    <x v="0"/>
  </r>
  <r>
    <s v="Mexico City"/>
    <x v="7"/>
    <x v="2"/>
    <x v="11"/>
    <n v="70"/>
    <n v="3080"/>
    <x v="7"/>
  </r>
  <r>
    <s v="Cairo"/>
    <x v="30"/>
    <x v="0"/>
    <x v="10"/>
    <n v="23"/>
    <n v="5014"/>
    <x v="9"/>
  </r>
  <r>
    <s v="Seoul"/>
    <x v="19"/>
    <x v="3"/>
    <x v="2"/>
    <n v="39"/>
    <n v="5616"/>
    <x v="11"/>
  </r>
  <r>
    <s v="Capetown"/>
    <x v="17"/>
    <x v="0"/>
    <x v="7"/>
    <n v="42"/>
    <n v="37380"/>
    <x v="7"/>
  </r>
  <r>
    <s v="Toronto"/>
    <x v="1"/>
    <x v="1"/>
    <x v="2"/>
    <n v="37"/>
    <n v="5550"/>
    <x v="4"/>
  </r>
  <r>
    <s v="Chicago"/>
    <x v="18"/>
    <x v="1"/>
    <x v="10"/>
    <n v="65"/>
    <n v="15470"/>
    <x v="7"/>
  </r>
  <r>
    <s v="Guangzhou"/>
    <x v="5"/>
    <x v="3"/>
    <x v="11"/>
    <n v="29"/>
    <n v="1421"/>
    <x v="0"/>
  </r>
  <r>
    <s v="Tijuana"/>
    <x v="7"/>
    <x v="2"/>
    <x v="1"/>
    <n v="85"/>
    <n v="53550"/>
    <x v="4"/>
  </r>
  <r>
    <s v="Berlin"/>
    <x v="20"/>
    <x v="0"/>
    <x v="3"/>
    <n v="25"/>
    <n v="1200"/>
    <x v="7"/>
  </r>
  <r>
    <s v="Bucharest"/>
    <x v="32"/>
    <x v="0"/>
    <x v="5"/>
    <n v="4"/>
    <n v="2000"/>
    <x v="5"/>
  </r>
  <r>
    <s v="Madria"/>
    <x v="28"/>
    <x v="0"/>
    <x v="4"/>
    <n v="96"/>
    <n v="2784"/>
    <x v="5"/>
  </r>
  <r>
    <s v="New York"/>
    <x v="18"/>
    <x v="1"/>
    <x v="8"/>
    <n v="18"/>
    <n v="8910"/>
    <x v="11"/>
  </r>
  <r>
    <s v="Chicago"/>
    <x v="18"/>
    <x v="1"/>
    <x v="2"/>
    <n v="54"/>
    <n v="8046"/>
    <x v="4"/>
  </r>
  <r>
    <s v="Seattle"/>
    <x v="18"/>
    <x v="1"/>
    <x v="9"/>
    <n v="48"/>
    <n v="2592"/>
    <x v="5"/>
  </r>
  <r>
    <s v="Bangkok"/>
    <x v="10"/>
    <x v="3"/>
    <x v="8"/>
    <n v="79"/>
    <n v="38710"/>
    <x v="10"/>
  </r>
  <r>
    <s v="Santiago"/>
    <x v="34"/>
    <x v="2"/>
    <x v="11"/>
    <n v="7"/>
    <n v="322"/>
    <x v="1"/>
  </r>
  <r>
    <s v="Lima"/>
    <x v="6"/>
    <x v="2"/>
    <x v="6"/>
    <n v="74"/>
    <n v="44400"/>
    <x v="9"/>
  </r>
  <r>
    <s v="London"/>
    <x v="8"/>
    <x v="0"/>
    <x v="1"/>
    <n v="50"/>
    <n v="33250"/>
    <x v="5"/>
  </r>
  <r>
    <s v="Madria"/>
    <x v="28"/>
    <x v="0"/>
    <x v="5"/>
    <n v="45"/>
    <n v="21600"/>
    <x v="10"/>
  </r>
  <r>
    <s v="Ho Chi Minh City"/>
    <x v="12"/>
    <x v="3"/>
    <x v="6"/>
    <n v="5"/>
    <n v="2640"/>
    <x v="1"/>
  </r>
  <r>
    <s v="Guangzhou"/>
    <x v="5"/>
    <x v="3"/>
    <x v="10"/>
    <n v="59"/>
    <n v="13275"/>
    <x v="1"/>
  </r>
  <r>
    <s v="San Fransisco"/>
    <x v="18"/>
    <x v="1"/>
    <x v="2"/>
    <n v="1"/>
    <n v="113"/>
    <x v="4"/>
  </r>
  <r>
    <s v="Buenos Aires"/>
    <x v="27"/>
    <x v="2"/>
    <x v="5"/>
    <n v="22"/>
    <n v="9680"/>
    <x v="9"/>
  </r>
  <r>
    <s v="Osaka"/>
    <x v="15"/>
    <x v="3"/>
    <x v="9"/>
    <n v="45"/>
    <n v="1980"/>
    <x v="9"/>
  </r>
  <r>
    <s v="Warsaw"/>
    <x v="23"/>
    <x v="0"/>
    <x v="10"/>
    <n v="74"/>
    <n v="5402"/>
    <x v="11"/>
  </r>
  <r>
    <s v="Guangzhou"/>
    <x v="5"/>
    <x v="3"/>
    <x v="3"/>
    <n v="57"/>
    <n v="1938"/>
    <x v="4"/>
  </r>
  <r>
    <s v="Dubai"/>
    <x v="33"/>
    <x v="0"/>
    <x v="0"/>
    <n v="86"/>
    <n v="6708"/>
    <x v="5"/>
  </r>
  <r>
    <s v="Bangkok"/>
    <x v="10"/>
    <x v="3"/>
    <x v="2"/>
    <n v="33"/>
    <n v="4917"/>
    <x v="0"/>
  </r>
  <r>
    <s v="Seattle"/>
    <x v="18"/>
    <x v="1"/>
    <x v="10"/>
    <n v="79"/>
    <n v="19750"/>
    <x v="6"/>
  </r>
  <r>
    <s v="Capetown"/>
    <x v="17"/>
    <x v="0"/>
    <x v="1"/>
    <n v="67"/>
    <n v="44555"/>
    <x v="1"/>
  </r>
  <r>
    <s v="Bogota"/>
    <x v="26"/>
    <x v="2"/>
    <x v="2"/>
    <n v="90"/>
    <n v="12600"/>
    <x v="10"/>
  </r>
  <r>
    <s v="Madria"/>
    <x v="28"/>
    <x v="0"/>
    <x v="6"/>
    <n v="55"/>
    <n v="43560"/>
    <x v="10"/>
  </r>
  <r>
    <s v="Osaka"/>
    <x v="15"/>
    <x v="3"/>
    <x v="2"/>
    <n v="28"/>
    <n v="3864"/>
    <x v="8"/>
  </r>
  <r>
    <s v="Tel Aviv"/>
    <x v="13"/>
    <x v="0"/>
    <x v="4"/>
    <n v="72"/>
    <n v="1656"/>
    <x v="5"/>
  </r>
  <r>
    <s v="Tijuana"/>
    <x v="7"/>
    <x v="2"/>
    <x v="0"/>
    <n v="58"/>
    <n v="4524"/>
    <x v="8"/>
  </r>
  <r>
    <s v="Toronto"/>
    <x v="1"/>
    <x v="1"/>
    <x v="3"/>
    <n v="73"/>
    <n v="3577"/>
    <x v="1"/>
  </r>
  <r>
    <s v="Dublin"/>
    <x v="25"/>
    <x v="0"/>
    <x v="10"/>
    <n v="14"/>
    <n v="3290"/>
    <x v="11"/>
  </r>
  <r>
    <s v="San Fransisco"/>
    <x v="18"/>
    <x v="1"/>
    <x v="8"/>
    <n v="86"/>
    <n v="42140"/>
    <x v="4"/>
  </r>
  <r>
    <s v="Dubai"/>
    <x v="33"/>
    <x v="0"/>
    <x v="1"/>
    <n v="46"/>
    <n v="24150"/>
    <x v="3"/>
  </r>
  <r>
    <s v="Madria"/>
    <x v="28"/>
    <x v="0"/>
    <x v="0"/>
    <n v="12"/>
    <n v="888"/>
    <x v="11"/>
  </r>
  <r>
    <s v="Delhi"/>
    <x v="11"/>
    <x v="3"/>
    <x v="6"/>
    <n v="10"/>
    <n v="6960"/>
    <x v="3"/>
  </r>
  <r>
    <s v="Bucharest"/>
    <x v="32"/>
    <x v="0"/>
    <x v="11"/>
    <n v="43"/>
    <n v="2150"/>
    <x v="9"/>
  </r>
  <r>
    <s v="Cairo"/>
    <x v="30"/>
    <x v="0"/>
    <x v="3"/>
    <n v="33"/>
    <n v="1650"/>
    <x v="1"/>
  </r>
  <r>
    <s v="Berlin"/>
    <x v="20"/>
    <x v="0"/>
    <x v="10"/>
    <n v="13"/>
    <n v="2925"/>
    <x v="0"/>
  </r>
  <r>
    <s v="Prague"/>
    <x v="16"/>
    <x v="0"/>
    <x v="6"/>
    <n v="53"/>
    <n v="40280"/>
    <x v="5"/>
  </r>
  <r>
    <s v="Osaka"/>
    <x v="15"/>
    <x v="3"/>
    <x v="11"/>
    <n v="77"/>
    <n v="3773"/>
    <x v="0"/>
  </r>
  <r>
    <s v="Paris"/>
    <x v="21"/>
    <x v="0"/>
    <x v="8"/>
    <n v="10"/>
    <n v="4950"/>
    <x v="10"/>
  </r>
  <r>
    <s v="Guangzhou"/>
    <x v="5"/>
    <x v="3"/>
    <x v="10"/>
    <n v="17"/>
    <n v="3621"/>
    <x v="6"/>
  </r>
  <r>
    <s v="Chicago"/>
    <x v="18"/>
    <x v="1"/>
    <x v="1"/>
    <n v="88"/>
    <n v="60984"/>
    <x v="11"/>
  </r>
  <r>
    <s v="Tel Aviv"/>
    <x v="13"/>
    <x v="0"/>
    <x v="4"/>
    <n v="88"/>
    <n v="2464"/>
    <x v="5"/>
  </r>
  <r>
    <s v="Vienna"/>
    <x v="29"/>
    <x v="0"/>
    <x v="1"/>
    <n v="54"/>
    <n v="27972"/>
    <x v="7"/>
  </r>
  <r>
    <s v="Lima"/>
    <x v="6"/>
    <x v="2"/>
    <x v="8"/>
    <n v="7"/>
    <n v="3465"/>
    <x v="0"/>
  </r>
  <r>
    <s v="Mexico City"/>
    <x v="7"/>
    <x v="2"/>
    <x v="4"/>
    <n v="58"/>
    <n v="1218"/>
    <x v="7"/>
  </r>
  <r>
    <s v="Kansas City"/>
    <x v="18"/>
    <x v="1"/>
    <x v="7"/>
    <n v="77"/>
    <n v="53900"/>
    <x v="6"/>
  </r>
  <r>
    <s v="Kuala Lumpur"/>
    <x v="31"/>
    <x v="3"/>
    <x v="3"/>
    <n v="38"/>
    <n v="1216"/>
    <x v="1"/>
  </r>
  <r>
    <s v="Athens"/>
    <x v="14"/>
    <x v="0"/>
    <x v="6"/>
    <n v="26"/>
    <n v="16432"/>
    <x v="11"/>
  </r>
  <r>
    <s v="New York"/>
    <x v="18"/>
    <x v="1"/>
    <x v="5"/>
    <n v="49"/>
    <n v="22050"/>
    <x v="8"/>
  </r>
  <r>
    <s v="Sao Paolo"/>
    <x v="2"/>
    <x v="2"/>
    <x v="3"/>
    <n v="6"/>
    <n v="294"/>
    <x v="3"/>
  </r>
  <r>
    <s v="Buenos Aires"/>
    <x v="27"/>
    <x v="2"/>
    <x v="6"/>
    <n v="14"/>
    <n v="6384"/>
    <x v="0"/>
  </r>
  <r>
    <s v="Cairo"/>
    <x v="30"/>
    <x v="0"/>
    <x v="11"/>
    <n v="50"/>
    <n v="1550"/>
    <x v="10"/>
  </r>
  <r>
    <s v="Seattle"/>
    <x v="18"/>
    <x v="1"/>
    <x v="0"/>
    <n v="35"/>
    <n v="2415"/>
    <x v="8"/>
  </r>
  <r>
    <s v="Amsterdam"/>
    <x v="24"/>
    <x v="0"/>
    <x v="0"/>
    <n v="93"/>
    <n v="6510"/>
    <x v="5"/>
  </r>
  <r>
    <s v="Istanbul"/>
    <x v="3"/>
    <x v="0"/>
    <x v="10"/>
    <n v="56"/>
    <n v="13440"/>
    <x v="10"/>
  </r>
  <r>
    <s v="Seattle"/>
    <x v="18"/>
    <x v="1"/>
    <x v="2"/>
    <n v="25"/>
    <n v="3300"/>
    <x v="0"/>
  </r>
  <r>
    <s v="Capetown"/>
    <x v="17"/>
    <x v="0"/>
    <x v="4"/>
    <n v="43"/>
    <n v="1161"/>
    <x v="11"/>
  </r>
  <r>
    <s v="Dublin"/>
    <x v="25"/>
    <x v="0"/>
    <x v="6"/>
    <n v="76"/>
    <n v="47424"/>
    <x v="4"/>
  </r>
  <r>
    <s v="Los Angeles"/>
    <x v="18"/>
    <x v="1"/>
    <x v="9"/>
    <n v="99"/>
    <n v="5148"/>
    <x v="4"/>
  </r>
  <r>
    <s v="Seoul"/>
    <x v="19"/>
    <x v="3"/>
    <x v="0"/>
    <n v="97"/>
    <n v="7469"/>
    <x v="5"/>
  </r>
  <r>
    <s v="Lima"/>
    <x v="6"/>
    <x v="2"/>
    <x v="4"/>
    <n v="82"/>
    <n v="2214"/>
    <x v="6"/>
  </r>
  <r>
    <s v="Rome"/>
    <x v="22"/>
    <x v="0"/>
    <x v="3"/>
    <n v="43"/>
    <n v="2021"/>
    <x v="5"/>
  </r>
  <r>
    <s v="Dubai"/>
    <x v="33"/>
    <x v="0"/>
    <x v="5"/>
    <n v="47"/>
    <n v="12455"/>
    <x v="0"/>
  </r>
  <r>
    <s v="Kuala Lumpur"/>
    <x v="31"/>
    <x v="3"/>
    <x v="4"/>
    <n v="62"/>
    <n v="1736"/>
    <x v="11"/>
  </r>
  <r>
    <s v="Tijuana"/>
    <x v="7"/>
    <x v="2"/>
    <x v="10"/>
    <n v="49"/>
    <n v="11760"/>
    <x v="4"/>
  </r>
  <r>
    <s v="Buenos Aires"/>
    <x v="27"/>
    <x v="2"/>
    <x v="3"/>
    <n v="71"/>
    <n v="3195"/>
    <x v="8"/>
  </r>
  <r>
    <s v="Tijuana"/>
    <x v="7"/>
    <x v="2"/>
    <x v="8"/>
    <n v="22"/>
    <n v="10780"/>
    <x v="6"/>
  </r>
  <r>
    <s v="Los Angeles"/>
    <x v="18"/>
    <x v="1"/>
    <x v="4"/>
    <n v="1"/>
    <n v="29"/>
    <x v="7"/>
  </r>
  <r>
    <s v="Paris"/>
    <x v="21"/>
    <x v="0"/>
    <x v="11"/>
    <n v="23"/>
    <n v="1127"/>
    <x v="0"/>
  </r>
  <r>
    <s v="Moscow"/>
    <x v="0"/>
    <x v="0"/>
    <x v="1"/>
    <n v="73"/>
    <n v="48545"/>
    <x v="4"/>
  </r>
  <r>
    <s v="Bucharest"/>
    <x v="32"/>
    <x v="0"/>
    <x v="6"/>
    <n v="31"/>
    <n v="22320"/>
    <x v="3"/>
  </r>
  <r>
    <s v="Madria"/>
    <x v="28"/>
    <x v="0"/>
    <x v="8"/>
    <n v="70"/>
    <n v="35000"/>
    <x v="2"/>
  </r>
  <r>
    <s v="Seattle"/>
    <x v="18"/>
    <x v="1"/>
    <x v="6"/>
    <n v="68"/>
    <n v="46240"/>
    <x v="3"/>
  </r>
  <r>
    <s v="Bangalore"/>
    <x v="11"/>
    <x v="3"/>
    <x v="6"/>
    <n v="67"/>
    <n v="32160"/>
    <x v="4"/>
  </r>
  <r>
    <s v="Riyadh"/>
    <x v="9"/>
    <x v="0"/>
    <x v="1"/>
    <n v="49"/>
    <n v="29498"/>
    <x v="3"/>
  </r>
  <r>
    <s v="Rome"/>
    <x v="22"/>
    <x v="0"/>
    <x v="10"/>
    <n v="39"/>
    <n v="8580"/>
    <x v="10"/>
  </r>
  <r>
    <s v="Guangzhou"/>
    <x v="5"/>
    <x v="3"/>
    <x v="8"/>
    <n v="50"/>
    <n v="24750"/>
    <x v="8"/>
  </r>
  <r>
    <s v="Tokyo"/>
    <x v="15"/>
    <x v="3"/>
    <x v="0"/>
    <n v="29"/>
    <n v="2059"/>
    <x v="5"/>
  </r>
  <r>
    <s v="Seoul"/>
    <x v="19"/>
    <x v="3"/>
    <x v="7"/>
    <n v="57"/>
    <n v="30210"/>
    <x v="2"/>
  </r>
  <r>
    <s v="New York"/>
    <x v="18"/>
    <x v="1"/>
    <x v="9"/>
    <n v="45"/>
    <n v="2925"/>
    <x v="3"/>
  </r>
  <r>
    <s v="Buenos Aires"/>
    <x v="27"/>
    <x v="2"/>
    <x v="3"/>
    <n v="6"/>
    <n v="294"/>
    <x v="10"/>
  </r>
  <r>
    <s v="London"/>
    <x v="8"/>
    <x v="0"/>
    <x v="4"/>
    <n v="84"/>
    <n v="2520"/>
    <x v="4"/>
  </r>
  <r>
    <s v="Capetown"/>
    <x v="17"/>
    <x v="0"/>
    <x v="0"/>
    <n v="21"/>
    <n v="1449"/>
    <x v="3"/>
  </r>
  <r>
    <s v="Bangkok"/>
    <x v="10"/>
    <x v="3"/>
    <x v="4"/>
    <n v="81"/>
    <n v="2349"/>
    <x v="1"/>
  </r>
  <r>
    <s v="Seattle"/>
    <x v="18"/>
    <x v="1"/>
    <x v="11"/>
    <n v="62"/>
    <n v="2666"/>
    <x v="6"/>
  </r>
  <r>
    <s v="Dublin"/>
    <x v="25"/>
    <x v="0"/>
    <x v="2"/>
    <n v="10"/>
    <n v="1490"/>
    <x v="4"/>
  </r>
  <r>
    <s v="Mexico City"/>
    <x v="7"/>
    <x v="2"/>
    <x v="1"/>
    <n v="19"/>
    <n v="10906"/>
    <x v="1"/>
  </r>
  <r>
    <s v="Paris"/>
    <x v="21"/>
    <x v="0"/>
    <x v="1"/>
    <n v="15"/>
    <n v="8715"/>
    <x v="1"/>
  </r>
  <r>
    <s v="Lima"/>
    <x v="6"/>
    <x v="2"/>
    <x v="3"/>
    <n v="68"/>
    <n v="3128"/>
    <x v="6"/>
  </r>
  <r>
    <s v="Warsaw"/>
    <x v="23"/>
    <x v="0"/>
    <x v="7"/>
    <n v="54"/>
    <n v="32940"/>
    <x v="7"/>
  </r>
  <r>
    <s v="Mexico City"/>
    <x v="7"/>
    <x v="2"/>
    <x v="2"/>
    <n v="18"/>
    <n v="2646"/>
    <x v="7"/>
  </r>
  <r>
    <s v="Bogota"/>
    <x v="26"/>
    <x v="2"/>
    <x v="1"/>
    <n v="41"/>
    <n v="24682"/>
    <x v="3"/>
  </r>
  <r>
    <s v="Chicago"/>
    <x v="18"/>
    <x v="1"/>
    <x v="5"/>
    <n v="25"/>
    <n v="12375"/>
    <x v="5"/>
  </r>
  <r>
    <s v="San Fransisco"/>
    <x v="18"/>
    <x v="1"/>
    <x v="1"/>
    <n v="100"/>
    <n v="66500"/>
    <x v="1"/>
  </r>
  <r>
    <s v="Amsterdam"/>
    <x v="24"/>
    <x v="0"/>
    <x v="5"/>
    <n v="6"/>
    <n v="2910"/>
    <x v="3"/>
  </r>
  <r>
    <s v="Moscow"/>
    <x v="0"/>
    <x v="0"/>
    <x v="0"/>
    <n v="5"/>
    <n v="395"/>
    <x v="1"/>
  </r>
  <r>
    <s v="Tel Aviv"/>
    <x v="13"/>
    <x v="0"/>
    <x v="7"/>
    <n v="17"/>
    <n v="9180"/>
    <x v="5"/>
  </r>
  <r>
    <s v="Tel Aviv"/>
    <x v="13"/>
    <x v="0"/>
    <x v="0"/>
    <n v="25"/>
    <n v="1750"/>
    <x v="8"/>
  </r>
  <r>
    <s v="Seoul"/>
    <x v="19"/>
    <x v="3"/>
    <x v="11"/>
    <n v="67"/>
    <n v="3283"/>
    <x v="11"/>
  </r>
  <r>
    <s v="Madria"/>
    <x v="28"/>
    <x v="0"/>
    <x v="0"/>
    <n v="67"/>
    <n v="4154"/>
    <x v="5"/>
  </r>
  <r>
    <s v="Shenzhen"/>
    <x v="5"/>
    <x v="3"/>
    <x v="2"/>
    <n v="87"/>
    <n v="12441"/>
    <x v="10"/>
  </r>
  <r>
    <s v="Cairo"/>
    <x v="30"/>
    <x v="0"/>
    <x v="4"/>
    <n v="54"/>
    <n v="1404"/>
    <x v="1"/>
  </r>
  <r>
    <s v="Santiago"/>
    <x v="34"/>
    <x v="2"/>
    <x v="10"/>
    <n v="65"/>
    <n v="16120"/>
    <x v="4"/>
  </r>
  <r>
    <s v="Amsterdam"/>
    <x v="24"/>
    <x v="0"/>
    <x v="3"/>
    <n v="75"/>
    <n v="3300"/>
    <x v="3"/>
  </r>
  <r>
    <s v="Athens"/>
    <x v="14"/>
    <x v="0"/>
    <x v="10"/>
    <n v="85"/>
    <n v="14705"/>
    <x v="3"/>
  </r>
  <r>
    <s v="Bangkok"/>
    <x v="10"/>
    <x v="3"/>
    <x v="7"/>
    <n v="99"/>
    <n v="84150"/>
    <x v="1"/>
  </r>
  <r>
    <s v="Shanghai"/>
    <x v="5"/>
    <x v="3"/>
    <x v="3"/>
    <n v="100"/>
    <n v="4000"/>
    <x v="7"/>
  </r>
  <r>
    <s v="Dubai"/>
    <x v="33"/>
    <x v="0"/>
    <x v="10"/>
    <n v="87"/>
    <n v="18966"/>
    <x v="10"/>
  </r>
  <r>
    <s v="Tokyo"/>
    <x v="15"/>
    <x v="3"/>
    <x v="0"/>
    <n v="51"/>
    <n v="4029"/>
    <x v="3"/>
  </r>
  <r>
    <s v="New York"/>
    <x v="18"/>
    <x v="1"/>
    <x v="11"/>
    <n v="64"/>
    <n v="2560"/>
    <x v="1"/>
  </r>
  <r>
    <s v="Osaka"/>
    <x v="15"/>
    <x v="3"/>
    <x v="11"/>
    <n v="29"/>
    <n v="1276"/>
    <x v="8"/>
  </r>
  <r>
    <s v="Birmingham"/>
    <x v="8"/>
    <x v="0"/>
    <x v="1"/>
    <n v="71"/>
    <n v="39263"/>
    <x v="11"/>
  </r>
  <r>
    <s v="Riyadh"/>
    <x v="9"/>
    <x v="0"/>
    <x v="9"/>
    <n v="83"/>
    <n v="5478"/>
    <x v="4"/>
  </r>
  <r>
    <s v="Birmingham"/>
    <x v="8"/>
    <x v="0"/>
    <x v="7"/>
    <n v="15"/>
    <n v="13800"/>
    <x v="11"/>
  </r>
  <r>
    <s v="Lima"/>
    <x v="6"/>
    <x v="2"/>
    <x v="3"/>
    <n v="52"/>
    <n v="2600"/>
    <x v="6"/>
  </r>
  <r>
    <s v="Ho Chi Minh City"/>
    <x v="12"/>
    <x v="3"/>
    <x v="9"/>
    <n v="22"/>
    <n v="1166"/>
    <x v="3"/>
  </r>
  <r>
    <s v="Los Angeles"/>
    <x v="18"/>
    <x v="1"/>
    <x v="7"/>
    <n v="42"/>
    <n v="32760"/>
    <x v="1"/>
  </r>
  <r>
    <s v="Seoul"/>
    <x v="19"/>
    <x v="3"/>
    <x v="1"/>
    <n v="58"/>
    <n v="39788"/>
    <x v="1"/>
  </r>
  <r>
    <s v="Seattle"/>
    <x v="18"/>
    <x v="1"/>
    <x v="2"/>
    <n v="41"/>
    <n v="4428"/>
    <x v="11"/>
  </r>
  <r>
    <s v="Cairo"/>
    <x v="30"/>
    <x v="0"/>
    <x v="7"/>
    <n v="98"/>
    <n v="86240"/>
    <x v="0"/>
  </r>
  <r>
    <s v="Seoul"/>
    <x v="19"/>
    <x v="3"/>
    <x v="6"/>
    <n v="34"/>
    <n v="19040"/>
    <x v="4"/>
  </r>
  <r>
    <s v="Seoul"/>
    <x v="19"/>
    <x v="3"/>
    <x v="7"/>
    <n v="51"/>
    <n v="47430"/>
    <x v="2"/>
  </r>
  <r>
    <s v="Moscow"/>
    <x v="0"/>
    <x v="0"/>
    <x v="1"/>
    <n v="57"/>
    <n v="39501"/>
    <x v="2"/>
  </r>
  <r>
    <s v="New York"/>
    <x v="18"/>
    <x v="1"/>
    <x v="4"/>
    <n v="99"/>
    <n v="2574"/>
    <x v="4"/>
  </r>
  <r>
    <s v="Seattle"/>
    <x v="18"/>
    <x v="1"/>
    <x v="4"/>
    <n v="28"/>
    <n v="812"/>
    <x v="4"/>
  </r>
  <r>
    <s v="Kansas City"/>
    <x v="18"/>
    <x v="1"/>
    <x v="4"/>
    <n v="39"/>
    <n v="1170"/>
    <x v="9"/>
  </r>
  <r>
    <s v="Madria"/>
    <x v="28"/>
    <x v="0"/>
    <x v="2"/>
    <n v="22"/>
    <n v="3146"/>
    <x v="3"/>
  </r>
  <r>
    <s v="Buenos Aires"/>
    <x v="27"/>
    <x v="2"/>
    <x v="10"/>
    <n v="46"/>
    <n v="9568"/>
    <x v="4"/>
  </r>
  <r>
    <s v="Amsterdam"/>
    <x v="24"/>
    <x v="0"/>
    <x v="5"/>
    <n v="6"/>
    <n v="2730"/>
    <x v="11"/>
  </r>
  <r>
    <s v="Paris"/>
    <x v="21"/>
    <x v="0"/>
    <x v="10"/>
    <n v="18"/>
    <n v="2790"/>
    <x v="6"/>
  </r>
  <r>
    <s v="Berlin"/>
    <x v="20"/>
    <x v="0"/>
    <x v="4"/>
    <n v="45"/>
    <n v="1215"/>
    <x v="6"/>
  </r>
  <r>
    <s v="Capetown"/>
    <x v="17"/>
    <x v="0"/>
    <x v="5"/>
    <n v="9"/>
    <n v="4365"/>
    <x v="9"/>
  </r>
  <r>
    <s v="Chicago"/>
    <x v="18"/>
    <x v="1"/>
    <x v="11"/>
    <n v="21"/>
    <n v="1029"/>
    <x v="3"/>
  </r>
  <r>
    <s v="Ho Chi Minh City"/>
    <x v="12"/>
    <x v="3"/>
    <x v="5"/>
    <n v="10"/>
    <n v="4500"/>
    <x v="2"/>
  </r>
  <r>
    <s v="Ho Chi Minh City"/>
    <x v="12"/>
    <x v="3"/>
    <x v="3"/>
    <n v="31"/>
    <n v="1519"/>
    <x v="2"/>
  </r>
  <r>
    <s v="New York"/>
    <x v="18"/>
    <x v="1"/>
    <x v="2"/>
    <n v="84"/>
    <n v="9324"/>
    <x v="9"/>
  </r>
  <r>
    <s v="Vienna"/>
    <x v="29"/>
    <x v="0"/>
    <x v="4"/>
    <n v="65"/>
    <n v="1885"/>
    <x v="7"/>
  </r>
  <r>
    <s v="Rome"/>
    <x v="22"/>
    <x v="0"/>
    <x v="3"/>
    <n v="8"/>
    <n v="280"/>
    <x v="9"/>
  </r>
  <r>
    <s v="Warsaw"/>
    <x v="23"/>
    <x v="0"/>
    <x v="9"/>
    <n v="24"/>
    <n v="1656"/>
    <x v="4"/>
  </r>
  <r>
    <s v="Lima"/>
    <x v="6"/>
    <x v="2"/>
    <x v="10"/>
    <n v="3"/>
    <n v="654"/>
    <x v="11"/>
  </r>
  <r>
    <s v="Seoul"/>
    <x v="19"/>
    <x v="3"/>
    <x v="1"/>
    <n v="64"/>
    <n v="43008"/>
    <x v="11"/>
  </r>
  <r>
    <s v="Kuala Lumpur"/>
    <x v="31"/>
    <x v="3"/>
    <x v="7"/>
    <n v="97"/>
    <n v="92150"/>
    <x v="5"/>
  </r>
  <r>
    <s v="Bucharest"/>
    <x v="32"/>
    <x v="0"/>
    <x v="11"/>
    <n v="17"/>
    <n v="850"/>
    <x v="10"/>
  </r>
  <r>
    <s v="Mexico City"/>
    <x v="7"/>
    <x v="2"/>
    <x v="1"/>
    <n v="77"/>
    <n v="50127"/>
    <x v="11"/>
  </r>
  <r>
    <s v="Istanbul"/>
    <x v="3"/>
    <x v="0"/>
    <x v="5"/>
    <n v="46"/>
    <n v="21390"/>
    <x v="8"/>
  </r>
  <r>
    <s v="Seoul"/>
    <x v="19"/>
    <x v="3"/>
    <x v="11"/>
    <n v="2"/>
    <n v="96"/>
    <x v="10"/>
  </r>
  <r>
    <s v="Kansas City"/>
    <x v="18"/>
    <x v="1"/>
    <x v="2"/>
    <n v="85"/>
    <n v="12240"/>
    <x v="8"/>
  </r>
  <r>
    <s v="Jerusalem"/>
    <x v="13"/>
    <x v="0"/>
    <x v="3"/>
    <n v="69"/>
    <n v="3174"/>
    <x v="4"/>
  </r>
  <r>
    <s v="Paris"/>
    <x v="21"/>
    <x v="0"/>
    <x v="0"/>
    <n v="29"/>
    <n v="2030"/>
    <x v="3"/>
  </r>
  <r>
    <s v="New York"/>
    <x v="18"/>
    <x v="1"/>
    <x v="6"/>
    <n v="19"/>
    <n v="14744"/>
    <x v="11"/>
  </r>
  <r>
    <s v="Bogota"/>
    <x v="26"/>
    <x v="2"/>
    <x v="11"/>
    <n v="84"/>
    <n v="3948"/>
    <x v="3"/>
  </r>
  <r>
    <s v="Delhi"/>
    <x v="11"/>
    <x v="3"/>
    <x v="11"/>
    <n v="28"/>
    <n v="1400"/>
    <x v="11"/>
  </r>
  <r>
    <s v="Riyadh"/>
    <x v="9"/>
    <x v="0"/>
    <x v="11"/>
    <n v="85"/>
    <n v="4080"/>
    <x v="5"/>
  </r>
  <r>
    <s v="Sydney"/>
    <x v="4"/>
    <x v="3"/>
    <x v="3"/>
    <n v="27"/>
    <n v="1053"/>
    <x v="1"/>
  </r>
  <r>
    <s v="Ho Chi Minh City"/>
    <x v="12"/>
    <x v="3"/>
    <x v="8"/>
    <n v="64"/>
    <n v="32000"/>
    <x v="9"/>
  </r>
  <r>
    <s v="Kansas City"/>
    <x v="18"/>
    <x v="1"/>
    <x v="9"/>
    <n v="29"/>
    <n v="1856"/>
    <x v="1"/>
  </r>
  <r>
    <s v="Berlin"/>
    <x v="20"/>
    <x v="0"/>
    <x v="8"/>
    <n v="69"/>
    <n v="34155"/>
    <x v="3"/>
  </r>
  <r>
    <s v="Tijuana"/>
    <x v="7"/>
    <x v="2"/>
    <x v="0"/>
    <n v="34"/>
    <n v="2380"/>
    <x v="6"/>
  </r>
  <r>
    <s v="Istanbul"/>
    <x v="3"/>
    <x v="0"/>
    <x v="4"/>
    <n v="21"/>
    <n v="609"/>
    <x v="9"/>
  </r>
  <r>
    <s v="Santiago"/>
    <x v="34"/>
    <x v="2"/>
    <x v="6"/>
    <n v="71"/>
    <n v="48280"/>
    <x v="6"/>
  </r>
  <r>
    <s v="Tokyo"/>
    <x v="15"/>
    <x v="3"/>
    <x v="3"/>
    <n v="18"/>
    <n v="882"/>
    <x v="3"/>
  </r>
  <r>
    <s v="Chicago"/>
    <x v="18"/>
    <x v="1"/>
    <x v="8"/>
    <n v="56"/>
    <n v="27720"/>
    <x v="10"/>
  </r>
  <r>
    <s v="Sydney"/>
    <x v="4"/>
    <x v="3"/>
    <x v="7"/>
    <n v="24"/>
    <n v="12240"/>
    <x v="11"/>
  </r>
  <r>
    <s v="Tijuana"/>
    <x v="7"/>
    <x v="2"/>
    <x v="8"/>
    <n v="71"/>
    <n v="35145"/>
    <x v="6"/>
  </r>
  <r>
    <s v="Buenos Aires"/>
    <x v="27"/>
    <x v="2"/>
    <x v="4"/>
    <n v="86"/>
    <n v="2236"/>
    <x v="11"/>
  </r>
  <r>
    <s v="Tokyo"/>
    <x v="15"/>
    <x v="3"/>
    <x v="6"/>
    <n v="37"/>
    <n v="24272"/>
    <x v="5"/>
  </r>
  <r>
    <s v="Birmingham"/>
    <x v="8"/>
    <x v="0"/>
    <x v="2"/>
    <n v="84"/>
    <n v="11844"/>
    <x v="10"/>
  </r>
  <r>
    <s v="Toronto"/>
    <x v="1"/>
    <x v="1"/>
    <x v="0"/>
    <n v="9"/>
    <n v="720"/>
    <x v="9"/>
  </r>
  <r>
    <s v="Dubai"/>
    <x v="33"/>
    <x v="0"/>
    <x v="6"/>
    <n v="52"/>
    <n v="40768"/>
    <x v="11"/>
  </r>
  <r>
    <s v="Bangkok"/>
    <x v="10"/>
    <x v="3"/>
    <x v="6"/>
    <n v="12"/>
    <n v="9312"/>
    <x v="5"/>
  </r>
  <r>
    <s v="Berlin"/>
    <x v="20"/>
    <x v="0"/>
    <x v="9"/>
    <n v="63"/>
    <n v="4347"/>
    <x v="1"/>
  </r>
  <r>
    <s v="Santiago"/>
    <x v="34"/>
    <x v="2"/>
    <x v="6"/>
    <n v="29"/>
    <n v="18328"/>
    <x v="9"/>
  </r>
  <r>
    <s v="Sydney"/>
    <x v="4"/>
    <x v="3"/>
    <x v="8"/>
    <n v="87"/>
    <n v="43500"/>
    <x v="5"/>
  </r>
  <r>
    <s v="Toronto"/>
    <x v="1"/>
    <x v="1"/>
    <x v="8"/>
    <n v="63"/>
    <n v="30870"/>
    <x v="3"/>
  </r>
  <r>
    <s v="Lima"/>
    <x v="6"/>
    <x v="2"/>
    <x v="9"/>
    <n v="25"/>
    <n v="1600"/>
    <x v="3"/>
  </r>
  <r>
    <s v="Bucharest"/>
    <x v="32"/>
    <x v="0"/>
    <x v="11"/>
    <n v="77"/>
    <n v="3850"/>
    <x v="2"/>
  </r>
  <r>
    <s v="Bucharest"/>
    <x v="32"/>
    <x v="0"/>
    <x v="3"/>
    <n v="88"/>
    <n v="4224"/>
    <x v="5"/>
  </r>
  <r>
    <s v="Dublin"/>
    <x v="25"/>
    <x v="0"/>
    <x v="5"/>
    <n v="84"/>
    <n v="41580"/>
    <x v="3"/>
  </r>
  <r>
    <s v="Madria"/>
    <x v="28"/>
    <x v="0"/>
    <x v="6"/>
    <n v="14"/>
    <n v="10640"/>
    <x v="2"/>
  </r>
  <r>
    <s v="Los Angeles"/>
    <x v="18"/>
    <x v="1"/>
    <x v="9"/>
    <n v="27"/>
    <n v="1755"/>
    <x v="9"/>
  </r>
  <r>
    <s v="Osaka"/>
    <x v="15"/>
    <x v="3"/>
    <x v="9"/>
    <n v="7"/>
    <n v="469"/>
    <x v="5"/>
  </r>
  <r>
    <s v="San Fransisco"/>
    <x v="18"/>
    <x v="1"/>
    <x v="8"/>
    <n v="82"/>
    <n v="40180"/>
    <x v="1"/>
  </r>
  <r>
    <s v="Moscow"/>
    <x v="0"/>
    <x v="0"/>
    <x v="2"/>
    <n v="10"/>
    <n v="1470"/>
    <x v="7"/>
  </r>
  <r>
    <s v="Dubai"/>
    <x v="33"/>
    <x v="0"/>
    <x v="8"/>
    <n v="56"/>
    <n v="28000"/>
    <x v="8"/>
  </r>
  <r>
    <s v="New York"/>
    <x v="18"/>
    <x v="1"/>
    <x v="4"/>
    <n v="98"/>
    <n v="2744"/>
    <x v="5"/>
  </r>
  <r>
    <s v="Tokyo"/>
    <x v="15"/>
    <x v="3"/>
    <x v="6"/>
    <n v="27"/>
    <n v="16200"/>
    <x v="4"/>
  </r>
  <r>
    <s v="Seoul"/>
    <x v="19"/>
    <x v="3"/>
    <x v="6"/>
    <n v="97"/>
    <n v="53544"/>
    <x v="6"/>
  </r>
  <r>
    <s v="Jerusalem"/>
    <x v="13"/>
    <x v="0"/>
    <x v="11"/>
    <n v="12"/>
    <n v="552"/>
    <x v="9"/>
  </r>
  <r>
    <s v="Bucharest"/>
    <x v="32"/>
    <x v="0"/>
    <x v="4"/>
    <n v="19"/>
    <n v="551"/>
    <x v="5"/>
  </r>
  <r>
    <s v="Dubai"/>
    <x v="33"/>
    <x v="0"/>
    <x v="6"/>
    <n v="29"/>
    <n v="19720"/>
    <x v="9"/>
  </r>
  <r>
    <s v="Shenzhen"/>
    <x v="5"/>
    <x v="3"/>
    <x v="8"/>
    <n v="29"/>
    <n v="14355"/>
    <x v="3"/>
  </r>
  <r>
    <s v="Guangzhou"/>
    <x v="5"/>
    <x v="3"/>
    <x v="10"/>
    <n v="22"/>
    <n v="4510"/>
    <x v="4"/>
  </r>
  <r>
    <s v="Capetown"/>
    <x v="17"/>
    <x v="0"/>
    <x v="3"/>
    <n v="63"/>
    <n v="3024"/>
    <x v="3"/>
  </r>
  <r>
    <s v="Dublin"/>
    <x v="25"/>
    <x v="0"/>
    <x v="0"/>
    <n v="83"/>
    <n v="6474"/>
    <x v="6"/>
  </r>
  <r>
    <s v="Riyadh"/>
    <x v="9"/>
    <x v="0"/>
    <x v="6"/>
    <n v="36"/>
    <n v="19872"/>
    <x v="7"/>
  </r>
  <r>
    <s v="Vienna"/>
    <x v="29"/>
    <x v="0"/>
    <x v="8"/>
    <n v="36"/>
    <n v="17820"/>
    <x v="4"/>
  </r>
  <r>
    <s v="Kansas City"/>
    <x v="18"/>
    <x v="1"/>
    <x v="7"/>
    <n v="56"/>
    <n v="56000"/>
    <x v="2"/>
  </r>
  <r>
    <s v="Lima"/>
    <x v="6"/>
    <x v="2"/>
    <x v="3"/>
    <n v="43"/>
    <n v="1849"/>
    <x v="10"/>
  </r>
  <r>
    <s v="Shanghai"/>
    <x v="5"/>
    <x v="3"/>
    <x v="10"/>
    <n v="81"/>
    <n v="20250"/>
    <x v="9"/>
  </r>
  <r>
    <s v="Cairo"/>
    <x v="30"/>
    <x v="0"/>
    <x v="4"/>
    <n v="52"/>
    <n v="1196"/>
    <x v="3"/>
  </r>
  <r>
    <s v="Bangkok"/>
    <x v="10"/>
    <x v="3"/>
    <x v="8"/>
    <n v="73"/>
    <n v="35770"/>
    <x v="10"/>
  </r>
  <r>
    <s v="Sao Paolo"/>
    <x v="2"/>
    <x v="2"/>
    <x v="5"/>
    <n v="63"/>
    <n v="26775"/>
    <x v="0"/>
  </r>
  <r>
    <s v="Dubai"/>
    <x v="33"/>
    <x v="0"/>
    <x v="10"/>
    <n v="27"/>
    <n v="6021"/>
    <x v="7"/>
  </r>
  <r>
    <s v="Los Angeles"/>
    <x v="18"/>
    <x v="1"/>
    <x v="1"/>
    <n v="80"/>
    <n v="55440"/>
    <x v="11"/>
  </r>
  <r>
    <s v="Seattle"/>
    <x v="18"/>
    <x v="1"/>
    <x v="2"/>
    <n v="83"/>
    <n v="12201"/>
    <x v="4"/>
  </r>
  <r>
    <s v="Shanghai"/>
    <x v="5"/>
    <x v="3"/>
    <x v="4"/>
    <n v="67"/>
    <n v="1742"/>
    <x v="11"/>
  </r>
  <r>
    <s v="Vienna"/>
    <x v="29"/>
    <x v="0"/>
    <x v="4"/>
    <n v="22"/>
    <n v="638"/>
    <x v="3"/>
  </r>
  <r>
    <s v="Guangzhou"/>
    <x v="5"/>
    <x v="3"/>
    <x v="2"/>
    <n v="20"/>
    <n v="2100"/>
    <x v="11"/>
  </r>
  <r>
    <s v="Toronto"/>
    <x v="1"/>
    <x v="1"/>
    <x v="11"/>
    <n v="92"/>
    <n v="4600"/>
    <x v="9"/>
  </r>
  <r>
    <s v="Bucharest"/>
    <x v="32"/>
    <x v="0"/>
    <x v="6"/>
    <n v="50"/>
    <n v="24000"/>
    <x v="11"/>
  </r>
  <r>
    <s v="Buenos Aires"/>
    <x v="27"/>
    <x v="2"/>
    <x v="8"/>
    <n v="33"/>
    <n v="16500"/>
    <x v="1"/>
  </r>
  <r>
    <s v="Toronto"/>
    <x v="1"/>
    <x v="1"/>
    <x v="3"/>
    <n v="40"/>
    <n v="1600"/>
    <x v="1"/>
  </r>
  <r>
    <s v="Seattle"/>
    <x v="18"/>
    <x v="1"/>
    <x v="7"/>
    <n v="36"/>
    <n v="22320"/>
    <x v="4"/>
  </r>
  <r>
    <s v="Moscow"/>
    <x v="0"/>
    <x v="0"/>
    <x v="3"/>
    <n v="73"/>
    <n v="3650"/>
    <x v="1"/>
  </r>
  <r>
    <s v="Delhi"/>
    <x v="11"/>
    <x v="3"/>
    <x v="2"/>
    <n v="51"/>
    <n v="4998"/>
    <x v="3"/>
  </r>
  <r>
    <s v="Madria"/>
    <x v="28"/>
    <x v="0"/>
    <x v="1"/>
    <n v="19"/>
    <n v="13300"/>
    <x v="4"/>
  </r>
  <r>
    <s v="Ho Chi Minh City"/>
    <x v="12"/>
    <x v="3"/>
    <x v="3"/>
    <n v="44"/>
    <n v="1628"/>
    <x v="1"/>
  </r>
  <r>
    <s v="Bangkok"/>
    <x v="10"/>
    <x v="3"/>
    <x v="4"/>
    <n v="19"/>
    <n v="551"/>
    <x v="4"/>
  </r>
  <r>
    <s v="Moscow"/>
    <x v="0"/>
    <x v="0"/>
    <x v="1"/>
    <n v="1"/>
    <n v="679"/>
    <x v="11"/>
  </r>
  <r>
    <s v="Tijuana"/>
    <x v="7"/>
    <x v="2"/>
    <x v="8"/>
    <n v="36"/>
    <n v="17820"/>
    <x v="6"/>
  </r>
  <r>
    <s v="Toronto"/>
    <x v="1"/>
    <x v="1"/>
    <x v="11"/>
    <n v="42"/>
    <n v="1512"/>
    <x v="4"/>
  </r>
  <r>
    <s v="Dubai"/>
    <x v="33"/>
    <x v="0"/>
    <x v="3"/>
    <n v="64"/>
    <n v="3072"/>
    <x v="10"/>
  </r>
  <r>
    <s v="London"/>
    <x v="8"/>
    <x v="0"/>
    <x v="5"/>
    <n v="24"/>
    <n v="11400"/>
    <x v="8"/>
  </r>
  <r>
    <s v="Vienna"/>
    <x v="29"/>
    <x v="0"/>
    <x v="3"/>
    <n v="78"/>
    <n v="3354"/>
    <x v="2"/>
  </r>
  <r>
    <s v="Buenos Aires"/>
    <x v="27"/>
    <x v="2"/>
    <x v="10"/>
    <n v="1"/>
    <n v="235"/>
    <x v="9"/>
  </r>
  <r>
    <s v="Paris"/>
    <x v="21"/>
    <x v="0"/>
    <x v="11"/>
    <n v="53"/>
    <n v="2279"/>
    <x v="1"/>
  </r>
  <r>
    <s v="Mexico City"/>
    <x v="7"/>
    <x v="2"/>
    <x v="4"/>
    <n v="74"/>
    <n v="1924"/>
    <x v="11"/>
  </r>
  <r>
    <s v="Tijuana"/>
    <x v="7"/>
    <x v="2"/>
    <x v="9"/>
    <n v="83"/>
    <n v="4399"/>
    <x v="6"/>
  </r>
  <r>
    <s v="Osaka"/>
    <x v="15"/>
    <x v="3"/>
    <x v="2"/>
    <n v="39"/>
    <n v="5811"/>
    <x v="4"/>
  </r>
  <r>
    <s v="Rome"/>
    <x v="22"/>
    <x v="0"/>
    <x v="10"/>
    <n v="18"/>
    <n v="4104"/>
    <x v="7"/>
  </r>
  <r>
    <s v="Paris"/>
    <x v="21"/>
    <x v="0"/>
    <x v="9"/>
    <n v="52"/>
    <n v="3328"/>
    <x v="7"/>
  </r>
  <r>
    <s v="Istanbul"/>
    <x v="3"/>
    <x v="0"/>
    <x v="4"/>
    <n v="53"/>
    <n v="1431"/>
    <x v="4"/>
  </r>
  <r>
    <s v="Jerusalem"/>
    <x v="13"/>
    <x v="0"/>
    <x v="6"/>
    <n v="99"/>
    <n v="64152"/>
    <x v="5"/>
  </r>
  <r>
    <s v="Los Angeles"/>
    <x v="18"/>
    <x v="1"/>
    <x v="4"/>
    <n v="7"/>
    <n v="210"/>
    <x v="7"/>
  </r>
  <r>
    <s v="Birmingham"/>
    <x v="8"/>
    <x v="0"/>
    <x v="6"/>
    <n v="22"/>
    <n v="10736"/>
    <x v="1"/>
  </r>
  <r>
    <s v="Tel Aviv"/>
    <x v="13"/>
    <x v="0"/>
    <x v="1"/>
    <n v="83"/>
    <n v="45318"/>
    <x v="7"/>
  </r>
  <r>
    <s v="Chicago"/>
    <x v="18"/>
    <x v="1"/>
    <x v="10"/>
    <n v="87"/>
    <n v="21576"/>
    <x v="6"/>
  </r>
  <r>
    <s v="Prague"/>
    <x v="16"/>
    <x v="0"/>
    <x v="10"/>
    <n v="1"/>
    <n v="243"/>
    <x v="3"/>
  </r>
  <r>
    <s v="Bangkok"/>
    <x v="10"/>
    <x v="3"/>
    <x v="3"/>
    <n v="76"/>
    <n v="3724"/>
    <x v="8"/>
  </r>
  <r>
    <s v="Chicago"/>
    <x v="18"/>
    <x v="1"/>
    <x v="10"/>
    <n v="15"/>
    <n v="3750"/>
    <x v="3"/>
  </r>
  <r>
    <s v="Istanbul"/>
    <x v="3"/>
    <x v="0"/>
    <x v="3"/>
    <n v="15"/>
    <n v="705"/>
    <x v="10"/>
  </r>
  <r>
    <s v="Kansas City"/>
    <x v="18"/>
    <x v="1"/>
    <x v="1"/>
    <n v="15"/>
    <n v="9660"/>
    <x v="0"/>
  </r>
  <r>
    <s v="Ho Chi Minh City"/>
    <x v="12"/>
    <x v="3"/>
    <x v="8"/>
    <n v="29"/>
    <n v="14355"/>
    <x v="5"/>
  </r>
  <r>
    <s v="Bangalore"/>
    <x v="11"/>
    <x v="3"/>
    <x v="1"/>
    <n v="22"/>
    <n v="14168"/>
    <x v="7"/>
  </r>
  <r>
    <s v="Tel Aviv"/>
    <x v="13"/>
    <x v="0"/>
    <x v="1"/>
    <n v="52"/>
    <n v="33852"/>
    <x v="7"/>
  </r>
  <r>
    <s v="Ho Chi Minh City"/>
    <x v="12"/>
    <x v="3"/>
    <x v="6"/>
    <n v="13"/>
    <n v="9776"/>
    <x v="6"/>
  </r>
  <r>
    <s v="Paris"/>
    <x v="21"/>
    <x v="0"/>
    <x v="10"/>
    <n v="3"/>
    <n v="699"/>
    <x v="1"/>
  </r>
  <r>
    <s v="Riyadh"/>
    <x v="9"/>
    <x v="0"/>
    <x v="6"/>
    <n v="73"/>
    <n v="35040"/>
    <x v="5"/>
  </r>
  <r>
    <s v="Riyadh"/>
    <x v="9"/>
    <x v="0"/>
    <x v="7"/>
    <n v="19"/>
    <n v="15390"/>
    <x v="11"/>
  </r>
  <r>
    <s v="Mexico City"/>
    <x v="7"/>
    <x v="2"/>
    <x v="6"/>
    <n v="94"/>
    <n v="51888"/>
    <x v="0"/>
  </r>
  <r>
    <s v="Mexico City"/>
    <x v="7"/>
    <x v="2"/>
    <x v="11"/>
    <n v="78"/>
    <n v="3744"/>
    <x v="8"/>
  </r>
  <r>
    <s v="Shanghai"/>
    <x v="5"/>
    <x v="3"/>
    <x v="9"/>
    <n v="29"/>
    <n v="2030"/>
    <x v="2"/>
  </r>
  <r>
    <s v="Sydney"/>
    <x v="4"/>
    <x v="3"/>
    <x v="7"/>
    <n v="14"/>
    <n v="13020"/>
    <x v="2"/>
  </r>
  <r>
    <s v="Berlin"/>
    <x v="20"/>
    <x v="0"/>
    <x v="10"/>
    <n v="73"/>
    <n v="18250"/>
    <x v="5"/>
  </r>
  <r>
    <s v="Shenzhen"/>
    <x v="5"/>
    <x v="3"/>
    <x v="1"/>
    <n v="41"/>
    <n v="19229"/>
    <x v="8"/>
  </r>
  <r>
    <s v="Bucharest"/>
    <x v="32"/>
    <x v="0"/>
    <x v="9"/>
    <n v="39"/>
    <n v="2691"/>
    <x v="5"/>
  </r>
  <r>
    <s v="Athens"/>
    <x v="14"/>
    <x v="0"/>
    <x v="1"/>
    <n v="98"/>
    <n v="61740"/>
    <x v="0"/>
  </r>
  <r>
    <s v="Delhi"/>
    <x v="11"/>
    <x v="3"/>
    <x v="0"/>
    <n v="58"/>
    <n v="4524"/>
    <x v="5"/>
  </r>
  <r>
    <s v="Mexico City"/>
    <x v="7"/>
    <x v="2"/>
    <x v="3"/>
    <n v="8"/>
    <n v="392"/>
    <x v="4"/>
  </r>
  <r>
    <s v="Bogota"/>
    <x v="26"/>
    <x v="2"/>
    <x v="7"/>
    <n v="53"/>
    <n v="39750"/>
    <x v="3"/>
  </r>
  <r>
    <s v="Jerusalem"/>
    <x v="13"/>
    <x v="0"/>
    <x v="3"/>
    <n v="76"/>
    <n v="2812"/>
    <x v="3"/>
  </r>
  <r>
    <s v="Warsaw"/>
    <x v="23"/>
    <x v="0"/>
    <x v="4"/>
    <n v="73"/>
    <n v="2044"/>
    <x v="3"/>
  </r>
  <r>
    <s v="Shanghai"/>
    <x v="5"/>
    <x v="3"/>
    <x v="8"/>
    <n v="26"/>
    <n v="13000"/>
    <x v="9"/>
  </r>
  <r>
    <s v="Bangkok"/>
    <x v="10"/>
    <x v="3"/>
    <x v="4"/>
    <n v="100"/>
    <n v="2900"/>
    <x v="8"/>
  </r>
  <r>
    <s v="San Fransisco"/>
    <x v="18"/>
    <x v="1"/>
    <x v="2"/>
    <n v="53"/>
    <n v="5830"/>
    <x v="6"/>
  </r>
  <r>
    <s v="Riyadh"/>
    <x v="9"/>
    <x v="0"/>
    <x v="9"/>
    <n v="43"/>
    <n v="2150"/>
    <x v="0"/>
  </r>
  <r>
    <s v="Berlin"/>
    <x v="20"/>
    <x v="0"/>
    <x v="6"/>
    <n v="59"/>
    <n v="44840"/>
    <x v="9"/>
  </r>
  <r>
    <s v="Amsterdam"/>
    <x v="24"/>
    <x v="0"/>
    <x v="9"/>
    <n v="59"/>
    <n v="4012"/>
    <x v="11"/>
  </r>
  <r>
    <s v="Tijuana"/>
    <x v="7"/>
    <x v="2"/>
    <x v="7"/>
    <n v="97"/>
    <n v="93120"/>
    <x v="9"/>
  </r>
  <r>
    <s v="Birmingham"/>
    <x v="8"/>
    <x v="0"/>
    <x v="0"/>
    <n v="58"/>
    <n v="4640"/>
    <x v="8"/>
  </r>
  <r>
    <s v="Vienna"/>
    <x v="29"/>
    <x v="0"/>
    <x v="6"/>
    <n v="3"/>
    <n v="2328"/>
    <x v="6"/>
  </r>
  <r>
    <s v="Tokyo"/>
    <x v="15"/>
    <x v="3"/>
    <x v="6"/>
    <n v="72"/>
    <n v="40320"/>
    <x v="3"/>
  </r>
  <r>
    <s v="Birmingham"/>
    <x v="8"/>
    <x v="0"/>
    <x v="11"/>
    <n v="2"/>
    <n v="92"/>
    <x v="11"/>
  </r>
  <r>
    <s v="Los Angeles"/>
    <x v="18"/>
    <x v="1"/>
    <x v="9"/>
    <n v="69"/>
    <n v="3933"/>
    <x v="1"/>
  </r>
  <r>
    <s v="Jerusalem"/>
    <x v="13"/>
    <x v="0"/>
    <x v="0"/>
    <n v="84"/>
    <n v="6552"/>
    <x v="7"/>
  </r>
  <r>
    <s v="Prague"/>
    <x v="16"/>
    <x v="0"/>
    <x v="0"/>
    <n v="10"/>
    <n v="780"/>
    <x v="6"/>
  </r>
  <r>
    <s v="Dublin"/>
    <x v="25"/>
    <x v="0"/>
    <x v="10"/>
    <n v="31"/>
    <n v="7750"/>
    <x v="4"/>
  </r>
  <r>
    <s v="Kansas City"/>
    <x v="18"/>
    <x v="1"/>
    <x v="4"/>
    <n v="85"/>
    <n v="2465"/>
    <x v="4"/>
  </r>
  <r>
    <s v="Prague"/>
    <x v="16"/>
    <x v="0"/>
    <x v="11"/>
    <n v="81"/>
    <n v="2673"/>
    <x v="3"/>
  </r>
  <r>
    <s v="Amsterdam"/>
    <x v="24"/>
    <x v="0"/>
    <x v="7"/>
    <n v="74"/>
    <n v="65120"/>
    <x v="9"/>
  </r>
  <r>
    <s v="Osaka"/>
    <x v="15"/>
    <x v="3"/>
    <x v="5"/>
    <n v="58"/>
    <n v="17690"/>
    <x v="11"/>
  </r>
  <r>
    <s v="Dublin"/>
    <x v="25"/>
    <x v="0"/>
    <x v="1"/>
    <n v="17"/>
    <n v="11305"/>
    <x v="0"/>
  </r>
  <r>
    <s v="Dubai"/>
    <x v="33"/>
    <x v="0"/>
    <x v="5"/>
    <n v="22"/>
    <n v="2200"/>
    <x v="9"/>
  </r>
  <r>
    <s v="Capetown"/>
    <x v="17"/>
    <x v="0"/>
    <x v="8"/>
    <n v="50"/>
    <n v="25000"/>
    <x v="2"/>
  </r>
  <r>
    <s v="Shenzhen"/>
    <x v="5"/>
    <x v="3"/>
    <x v="0"/>
    <n v="51"/>
    <n v="3315"/>
    <x v="11"/>
  </r>
  <r>
    <s v="New York"/>
    <x v="18"/>
    <x v="1"/>
    <x v="1"/>
    <n v="53"/>
    <n v="34503"/>
    <x v="1"/>
  </r>
  <r>
    <s v="Guangzhou"/>
    <x v="5"/>
    <x v="3"/>
    <x v="2"/>
    <n v="49"/>
    <n v="6909"/>
    <x v="7"/>
  </r>
  <r>
    <s v="Guangzhou"/>
    <x v="5"/>
    <x v="3"/>
    <x v="10"/>
    <n v="49"/>
    <n v="11760"/>
    <x v="3"/>
  </r>
  <r>
    <s v="Shenzhen"/>
    <x v="5"/>
    <x v="3"/>
    <x v="9"/>
    <n v="49"/>
    <n v="2793"/>
    <x v="8"/>
  </r>
  <r>
    <s v="Los Angeles"/>
    <x v="18"/>
    <x v="1"/>
    <x v="8"/>
    <n v="71"/>
    <n v="35145"/>
    <x v="6"/>
  </r>
  <r>
    <s v="Seoul"/>
    <x v="19"/>
    <x v="3"/>
    <x v="4"/>
    <n v="78"/>
    <n v="2262"/>
    <x v="2"/>
  </r>
  <r>
    <s v="San Fransisco"/>
    <x v="18"/>
    <x v="1"/>
    <x v="1"/>
    <n v="29"/>
    <n v="17255"/>
    <x v="11"/>
  </r>
  <r>
    <s v="Rome"/>
    <x v="22"/>
    <x v="0"/>
    <x v="10"/>
    <n v="40"/>
    <n v="8520"/>
    <x v="5"/>
  </r>
  <r>
    <s v="Delhi"/>
    <x v="11"/>
    <x v="3"/>
    <x v="2"/>
    <n v="2"/>
    <n v="258"/>
    <x v="11"/>
  </r>
  <r>
    <s v="Seoul"/>
    <x v="19"/>
    <x v="3"/>
    <x v="4"/>
    <n v="17"/>
    <n v="493"/>
    <x v="10"/>
  </r>
  <r>
    <s v="Moscow"/>
    <x v="0"/>
    <x v="0"/>
    <x v="11"/>
    <n v="17"/>
    <n v="833"/>
    <x v="6"/>
  </r>
  <r>
    <s v="Paris"/>
    <x v="21"/>
    <x v="0"/>
    <x v="5"/>
    <n v="19"/>
    <n v="7030"/>
    <x v="0"/>
  </r>
  <r>
    <s v="Toronto"/>
    <x v="1"/>
    <x v="1"/>
    <x v="4"/>
    <n v="10"/>
    <n v="260"/>
    <x v="10"/>
  </r>
  <r>
    <s v="Berlin"/>
    <x v="20"/>
    <x v="0"/>
    <x v="10"/>
    <n v="70"/>
    <n v="17010"/>
    <x v="6"/>
  </r>
  <r>
    <s v="Shenzhen"/>
    <x v="5"/>
    <x v="3"/>
    <x v="7"/>
    <n v="37"/>
    <n v="25900"/>
    <x v="9"/>
  </r>
  <r>
    <s v="San Fransisco"/>
    <x v="18"/>
    <x v="1"/>
    <x v="11"/>
    <n v="4"/>
    <n v="172"/>
    <x v="5"/>
  </r>
  <r>
    <s v="Buenos Aires"/>
    <x v="27"/>
    <x v="2"/>
    <x v="6"/>
    <n v="45"/>
    <n v="19800"/>
    <x v="4"/>
  </r>
  <r>
    <s v="London"/>
    <x v="8"/>
    <x v="0"/>
    <x v="0"/>
    <n v="43"/>
    <n v="3440"/>
    <x v="2"/>
  </r>
  <r>
    <s v="Kansas City"/>
    <x v="18"/>
    <x v="1"/>
    <x v="9"/>
    <n v="18"/>
    <n v="1134"/>
    <x v="6"/>
  </r>
  <r>
    <s v="Tel Aviv"/>
    <x v="13"/>
    <x v="0"/>
    <x v="1"/>
    <n v="29"/>
    <n v="19488"/>
    <x v="10"/>
  </r>
  <r>
    <s v="Sao Paolo"/>
    <x v="2"/>
    <x v="2"/>
    <x v="8"/>
    <n v="21"/>
    <n v="10290"/>
    <x v="2"/>
  </r>
  <r>
    <s v="Berlin"/>
    <x v="20"/>
    <x v="0"/>
    <x v="6"/>
    <n v="81"/>
    <n v="47952"/>
    <x v="5"/>
  </r>
  <r>
    <s v="Berlin"/>
    <x v="20"/>
    <x v="0"/>
    <x v="3"/>
    <n v="86"/>
    <n v="3956"/>
    <x v="9"/>
  </r>
  <r>
    <s v="Lima"/>
    <x v="6"/>
    <x v="2"/>
    <x v="11"/>
    <n v="94"/>
    <n v="4700"/>
    <x v="9"/>
  </r>
  <r>
    <s v="New York"/>
    <x v="18"/>
    <x v="1"/>
    <x v="11"/>
    <n v="25"/>
    <n v="1200"/>
    <x v="1"/>
  </r>
  <r>
    <s v="Sydney"/>
    <x v="4"/>
    <x v="3"/>
    <x v="11"/>
    <n v="87"/>
    <n v="4089"/>
    <x v="6"/>
  </r>
  <r>
    <s v="Lima"/>
    <x v="6"/>
    <x v="2"/>
    <x v="9"/>
    <n v="10"/>
    <n v="630"/>
    <x v="4"/>
  </r>
  <r>
    <s v="Paris"/>
    <x v="21"/>
    <x v="0"/>
    <x v="10"/>
    <n v="39"/>
    <n v="9477"/>
    <x v="8"/>
  </r>
  <r>
    <s v="San Fransisco"/>
    <x v="18"/>
    <x v="1"/>
    <x v="8"/>
    <n v="87"/>
    <n v="43500"/>
    <x v="7"/>
  </r>
  <r>
    <s v="Prague"/>
    <x v="16"/>
    <x v="0"/>
    <x v="8"/>
    <n v="53"/>
    <n v="26235"/>
    <x v="5"/>
  </r>
  <r>
    <s v="Shanghai"/>
    <x v="5"/>
    <x v="3"/>
    <x v="6"/>
    <n v="84"/>
    <n v="54432"/>
    <x v="4"/>
  </r>
  <r>
    <s v="Buenos Aires"/>
    <x v="27"/>
    <x v="2"/>
    <x v="4"/>
    <n v="6"/>
    <n v="120"/>
    <x v="2"/>
  </r>
  <r>
    <s v="Guangzhou"/>
    <x v="5"/>
    <x v="3"/>
    <x v="1"/>
    <n v="26"/>
    <n v="12012"/>
    <x v="2"/>
  </r>
  <r>
    <s v="Dubai"/>
    <x v="33"/>
    <x v="0"/>
    <x v="4"/>
    <n v="92"/>
    <n v="2668"/>
    <x v="4"/>
  </r>
  <r>
    <s v="Berlin"/>
    <x v="20"/>
    <x v="0"/>
    <x v="9"/>
    <n v="6"/>
    <n v="396"/>
    <x v="10"/>
  </r>
  <r>
    <s v="Dubai"/>
    <x v="33"/>
    <x v="0"/>
    <x v="7"/>
    <n v="3"/>
    <n v="2070"/>
    <x v="3"/>
  </r>
  <r>
    <s v="Mexico City"/>
    <x v="7"/>
    <x v="2"/>
    <x v="9"/>
    <n v="58"/>
    <n v="4002"/>
    <x v="11"/>
  </r>
  <r>
    <s v="Warsaw"/>
    <x v="23"/>
    <x v="0"/>
    <x v="4"/>
    <n v="99"/>
    <n v="2673"/>
    <x v="5"/>
  </r>
  <r>
    <s v="Shanghai"/>
    <x v="5"/>
    <x v="3"/>
    <x v="10"/>
    <n v="65"/>
    <n v="14625"/>
    <x v="6"/>
  </r>
  <r>
    <s v="Buenos Aires"/>
    <x v="27"/>
    <x v="2"/>
    <x v="8"/>
    <n v="99"/>
    <n v="49500"/>
    <x v="10"/>
  </r>
  <r>
    <s v="Jerusalem"/>
    <x v="13"/>
    <x v="0"/>
    <x v="11"/>
    <n v="37"/>
    <n v="1665"/>
    <x v="11"/>
  </r>
  <r>
    <s v="Paris"/>
    <x v="21"/>
    <x v="0"/>
    <x v="2"/>
    <n v="90"/>
    <n v="12330"/>
    <x v="1"/>
  </r>
  <r>
    <s v="Istanbul"/>
    <x v="3"/>
    <x v="0"/>
    <x v="5"/>
    <n v="99"/>
    <n v="45045"/>
    <x v="2"/>
  </r>
  <r>
    <s v="Birmingham"/>
    <x v="8"/>
    <x v="0"/>
    <x v="8"/>
    <n v="1"/>
    <n v="500"/>
    <x v="8"/>
  </r>
  <r>
    <s v="Tokyo"/>
    <x v="15"/>
    <x v="3"/>
    <x v="1"/>
    <n v="58"/>
    <n v="37352"/>
    <x v="8"/>
  </r>
  <r>
    <s v="Guangzhou"/>
    <x v="5"/>
    <x v="3"/>
    <x v="2"/>
    <n v="82"/>
    <n v="10086"/>
    <x v="10"/>
  </r>
  <r>
    <s v="Moscow"/>
    <x v="0"/>
    <x v="0"/>
    <x v="5"/>
    <n v="47"/>
    <n v="22325"/>
    <x v="5"/>
  </r>
  <r>
    <s v="Vienna"/>
    <x v="29"/>
    <x v="0"/>
    <x v="7"/>
    <n v="78"/>
    <n v="58500"/>
    <x v="10"/>
  </r>
  <r>
    <s v="Osaka"/>
    <x v="15"/>
    <x v="3"/>
    <x v="2"/>
    <n v="67"/>
    <n v="10050"/>
    <x v="1"/>
  </r>
  <r>
    <s v="Vienna"/>
    <x v="29"/>
    <x v="0"/>
    <x v="9"/>
    <n v="37"/>
    <n v="2331"/>
    <x v="8"/>
  </r>
  <r>
    <s v="Prague"/>
    <x v="16"/>
    <x v="0"/>
    <x v="9"/>
    <n v="23"/>
    <n v="1311"/>
    <x v="8"/>
  </r>
  <r>
    <s v="Paris"/>
    <x v="21"/>
    <x v="0"/>
    <x v="2"/>
    <n v="58"/>
    <n v="8294"/>
    <x v="9"/>
  </r>
  <r>
    <s v="Toronto"/>
    <x v="1"/>
    <x v="1"/>
    <x v="4"/>
    <n v="73"/>
    <n v="1971"/>
    <x v="4"/>
  </r>
  <r>
    <s v="Rome"/>
    <x v="22"/>
    <x v="0"/>
    <x v="6"/>
    <n v="63"/>
    <n v="40824"/>
    <x v="1"/>
  </r>
  <r>
    <s v="Dublin"/>
    <x v="25"/>
    <x v="0"/>
    <x v="7"/>
    <n v="51"/>
    <n v="49470"/>
    <x v="10"/>
  </r>
  <r>
    <s v="Bogota"/>
    <x v="26"/>
    <x v="2"/>
    <x v="9"/>
    <n v="61"/>
    <n v="4087"/>
    <x v="0"/>
  </r>
  <r>
    <s v="Tokyo"/>
    <x v="15"/>
    <x v="3"/>
    <x v="7"/>
    <n v="51"/>
    <n v="45390"/>
    <x v="3"/>
  </r>
  <r>
    <s v="New York"/>
    <x v="18"/>
    <x v="1"/>
    <x v="1"/>
    <n v="26"/>
    <n v="12376"/>
    <x v="3"/>
  </r>
  <r>
    <s v="Capetown"/>
    <x v="17"/>
    <x v="0"/>
    <x v="9"/>
    <n v="69"/>
    <n v="3588"/>
    <x v="4"/>
  </r>
  <r>
    <s v="Tokyo"/>
    <x v="15"/>
    <x v="3"/>
    <x v="1"/>
    <n v="85"/>
    <n v="58310"/>
    <x v="11"/>
  </r>
  <r>
    <s v="New York"/>
    <x v="18"/>
    <x v="1"/>
    <x v="7"/>
    <n v="1"/>
    <n v="640"/>
    <x v="7"/>
  </r>
  <r>
    <s v="Tokyo"/>
    <x v="15"/>
    <x v="3"/>
    <x v="5"/>
    <n v="56"/>
    <n v="24640"/>
    <x v="9"/>
  </r>
  <r>
    <s v="Ho Chi Minh City"/>
    <x v="12"/>
    <x v="3"/>
    <x v="0"/>
    <n v="95"/>
    <n v="7125"/>
    <x v="8"/>
  </r>
  <r>
    <s v="Istanbul"/>
    <x v="3"/>
    <x v="0"/>
    <x v="2"/>
    <n v="66"/>
    <n v="9504"/>
    <x v="5"/>
  </r>
  <r>
    <s v="Santiago"/>
    <x v="34"/>
    <x v="2"/>
    <x v="4"/>
    <n v="30"/>
    <n v="780"/>
    <x v="8"/>
  </r>
  <r>
    <s v="Tokyo"/>
    <x v="15"/>
    <x v="3"/>
    <x v="0"/>
    <n v="38"/>
    <n v="2812"/>
    <x v="10"/>
  </r>
  <r>
    <s v="Guangzhou"/>
    <x v="5"/>
    <x v="3"/>
    <x v="10"/>
    <n v="80"/>
    <n v="19600"/>
    <x v="4"/>
  </r>
  <r>
    <s v="Berlin"/>
    <x v="20"/>
    <x v="0"/>
    <x v="7"/>
    <n v="8"/>
    <n v="7520"/>
    <x v="0"/>
  </r>
  <r>
    <s v="Vienna"/>
    <x v="29"/>
    <x v="0"/>
    <x v="3"/>
    <n v="54"/>
    <n v="2700"/>
    <x v="0"/>
  </r>
  <r>
    <s v="Ho Chi Minh City"/>
    <x v="12"/>
    <x v="3"/>
    <x v="3"/>
    <n v="62"/>
    <n v="2852"/>
    <x v="0"/>
  </r>
  <r>
    <s v="Dubai"/>
    <x v="33"/>
    <x v="0"/>
    <x v="1"/>
    <n v="9"/>
    <n v="5985"/>
    <x v="3"/>
  </r>
  <r>
    <s v="Birmingham"/>
    <x v="8"/>
    <x v="0"/>
    <x v="7"/>
    <n v="17"/>
    <n v="16150"/>
    <x v="2"/>
  </r>
  <r>
    <s v="Warsaw"/>
    <x v="23"/>
    <x v="0"/>
    <x v="2"/>
    <n v="34"/>
    <n v="4590"/>
    <x v="2"/>
  </r>
  <r>
    <s v="Kansas City"/>
    <x v="18"/>
    <x v="1"/>
    <x v="4"/>
    <n v="32"/>
    <n v="928"/>
    <x v="2"/>
  </r>
  <r>
    <s v="Vienna"/>
    <x v="29"/>
    <x v="0"/>
    <x v="10"/>
    <n v="89"/>
    <n v="21627"/>
    <x v="4"/>
  </r>
  <r>
    <s v="Tokyo"/>
    <x v="15"/>
    <x v="3"/>
    <x v="4"/>
    <n v="52"/>
    <n v="1508"/>
    <x v="1"/>
  </r>
  <r>
    <s v="Guangzhou"/>
    <x v="5"/>
    <x v="3"/>
    <x v="5"/>
    <n v="15"/>
    <n v="7350"/>
    <x v="8"/>
  </r>
  <r>
    <s v="Toronto"/>
    <x v="1"/>
    <x v="1"/>
    <x v="1"/>
    <n v="26"/>
    <n v="17836"/>
    <x v="5"/>
  </r>
  <r>
    <s v="Bangalore"/>
    <x v="11"/>
    <x v="3"/>
    <x v="0"/>
    <n v="54"/>
    <n v="4050"/>
    <x v="7"/>
  </r>
  <r>
    <s v="Delhi"/>
    <x v="11"/>
    <x v="3"/>
    <x v="10"/>
    <n v="49"/>
    <n v="10927"/>
    <x v="7"/>
  </r>
  <r>
    <s v="Birmingham"/>
    <x v="8"/>
    <x v="0"/>
    <x v="5"/>
    <n v="27"/>
    <n v="12960"/>
    <x v="1"/>
  </r>
  <r>
    <s v="Osaka"/>
    <x v="15"/>
    <x v="3"/>
    <x v="11"/>
    <n v="43"/>
    <n v="2150"/>
    <x v="1"/>
  </r>
  <r>
    <s v="Guangzhou"/>
    <x v="5"/>
    <x v="3"/>
    <x v="3"/>
    <n v="35"/>
    <n v="1470"/>
    <x v="6"/>
  </r>
  <r>
    <s v="Toronto"/>
    <x v="1"/>
    <x v="1"/>
    <x v="4"/>
    <n v="42"/>
    <n v="882"/>
    <x v="10"/>
  </r>
  <r>
    <s v="San Fransisco"/>
    <x v="18"/>
    <x v="1"/>
    <x v="8"/>
    <n v="3"/>
    <n v="1500"/>
    <x v="4"/>
  </r>
  <r>
    <s v="San Fransisco"/>
    <x v="18"/>
    <x v="1"/>
    <x v="6"/>
    <n v="74"/>
    <n v="46768"/>
    <x v="8"/>
  </r>
  <r>
    <s v="Tokyo"/>
    <x v="15"/>
    <x v="3"/>
    <x v="11"/>
    <n v="11"/>
    <n v="506"/>
    <x v="9"/>
  </r>
  <r>
    <s v="Guangzhou"/>
    <x v="5"/>
    <x v="3"/>
    <x v="3"/>
    <n v="91"/>
    <n v="4368"/>
    <x v="11"/>
  </r>
  <r>
    <s v="Los Angeles"/>
    <x v="18"/>
    <x v="1"/>
    <x v="6"/>
    <n v="86"/>
    <n v="45408"/>
    <x v="3"/>
  </r>
  <r>
    <s v="Dublin"/>
    <x v="25"/>
    <x v="0"/>
    <x v="11"/>
    <n v="28"/>
    <n v="1316"/>
    <x v="10"/>
  </r>
  <r>
    <s v="Shanghai"/>
    <x v="5"/>
    <x v="3"/>
    <x v="2"/>
    <n v="90"/>
    <n v="11610"/>
    <x v="10"/>
  </r>
  <r>
    <s v="Buenos Aires"/>
    <x v="27"/>
    <x v="2"/>
    <x v="1"/>
    <n v="44"/>
    <n v="25564"/>
    <x v="5"/>
  </r>
  <r>
    <s v="Shanghai"/>
    <x v="5"/>
    <x v="3"/>
    <x v="4"/>
    <n v="29"/>
    <n v="783"/>
    <x v="10"/>
  </r>
  <r>
    <s v="Tokyo"/>
    <x v="15"/>
    <x v="3"/>
    <x v="0"/>
    <n v="29"/>
    <n v="2175"/>
    <x v="5"/>
  </r>
  <r>
    <s v="Tokyo"/>
    <x v="15"/>
    <x v="3"/>
    <x v="6"/>
    <n v="67"/>
    <n v="49312"/>
    <x v="11"/>
  </r>
  <r>
    <s v="Seoul"/>
    <x v="19"/>
    <x v="3"/>
    <x v="7"/>
    <n v="33"/>
    <n v="29040"/>
    <x v="2"/>
  </r>
  <r>
    <s v="Athens"/>
    <x v="14"/>
    <x v="0"/>
    <x v="3"/>
    <n v="78"/>
    <n v="3744"/>
    <x v="3"/>
  </r>
  <r>
    <s v="Mexico City"/>
    <x v="7"/>
    <x v="2"/>
    <x v="11"/>
    <n v="65"/>
    <n v="3185"/>
    <x v="6"/>
  </r>
  <r>
    <s v="Lima"/>
    <x v="6"/>
    <x v="2"/>
    <x v="4"/>
    <n v="68"/>
    <n v="1836"/>
    <x v="1"/>
  </r>
  <r>
    <s v="Tel Aviv"/>
    <x v="13"/>
    <x v="0"/>
    <x v="7"/>
    <n v="93"/>
    <n v="79050"/>
    <x v="5"/>
  </r>
  <r>
    <s v="Buenos Aires"/>
    <x v="27"/>
    <x v="2"/>
    <x v="7"/>
    <n v="2"/>
    <n v="1120"/>
    <x v="1"/>
  </r>
  <r>
    <s v="Bangalore"/>
    <x v="11"/>
    <x v="3"/>
    <x v="4"/>
    <n v="98"/>
    <n v="2450"/>
    <x v="7"/>
  </r>
  <r>
    <s v="Osaka"/>
    <x v="15"/>
    <x v="3"/>
    <x v="3"/>
    <n v="8"/>
    <n v="368"/>
    <x v="2"/>
  </r>
  <r>
    <s v="Mexico City"/>
    <x v="7"/>
    <x v="2"/>
    <x v="5"/>
    <n v="55"/>
    <n v="16775"/>
    <x v="10"/>
  </r>
  <r>
    <s v="Kuala Lumpur"/>
    <x v="31"/>
    <x v="3"/>
    <x v="11"/>
    <n v="7"/>
    <n v="336"/>
    <x v="2"/>
  </r>
  <r>
    <s v="Prague"/>
    <x v="16"/>
    <x v="0"/>
    <x v="5"/>
    <n v="93"/>
    <n v="40455"/>
    <x v="9"/>
  </r>
  <r>
    <s v="Istanbul"/>
    <x v="3"/>
    <x v="0"/>
    <x v="8"/>
    <n v="80"/>
    <n v="40000"/>
    <x v="10"/>
  </r>
  <r>
    <s v="Los Angeles"/>
    <x v="18"/>
    <x v="1"/>
    <x v="9"/>
    <n v="83"/>
    <n v="5478"/>
    <x v="6"/>
  </r>
  <r>
    <s v="Sydney"/>
    <x v="4"/>
    <x v="3"/>
    <x v="9"/>
    <n v="6"/>
    <n v="420"/>
    <x v="1"/>
  </r>
  <r>
    <s v="Delhi"/>
    <x v="11"/>
    <x v="3"/>
    <x v="0"/>
    <n v="94"/>
    <n v="7426"/>
    <x v="8"/>
  </r>
  <r>
    <s v="Paris"/>
    <x v="21"/>
    <x v="0"/>
    <x v="4"/>
    <n v="17"/>
    <n v="476"/>
    <x v="9"/>
  </r>
  <r>
    <s v="Paris"/>
    <x v="21"/>
    <x v="0"/>
    <x v="5"/>
    <n v="51"/>
    <n v="24735"/>
    <x v="6"/>
  </r>
  <r>
    <s v="Madria"/>
    <x v="28"/>
    <x v="0"/>
    <x v="9"/>
    <n v="58"/>
    <n v="3886"/>
    <x v="9"/>
  </r>
  <r>
    <s v="Dublin"/>
    <x v="25"/>
    <x v="0"/>
    <x v="2"/>
    <n v="3"/>
    <n v="429"/>
    <x v="7"/>
  </r>
  <r>
    <s v="Sydney"/>
    <x v="4"/>
    <x v="3"/>
    <x v="7"/>
    <n v="52"/>
    <n v="29640"/>
    <x v="9"/>
  </r>
  <r>
    <s v="Warsaw"/>
    <x v="23"/>
    <x v="0"/>
    <x v="10"/>
    <n v="66"/>
    <n v="15510"/>
    <x v="4"/>
  </r>
  <r>
    <s v="Cairo"/>
    <x v="30"/>
    <x v="0"/>
    <x v="6"/>
    <n v="100"/>
    <n v="76000"/>
    <x v="5"/>
  </r>
  <r>
    <s v="Jerusalem"/>
    <x v="13"/>
    <x v="0"/>
    <x v="4"/>
    <n v="33"/>
    <n v="759"/>
    <x v="2"/>
  </r>
  <r>
    <s v="New York"/>
    <x v="18"/>
    <x v="1"/>
    <x v="4"/>
    <n v="13"/>
    <n v="338"/>
    <x v="5"/>
  </r>
  <r>
    <s v="Shenzhen"/>
    <x v="5"/>
    <x v="3"/>
    <x v="9"/>
    <n v="44"/>
    <n v="2508"/>
    <x v="1"/>
  </r>
  <r>
    <s v="Istanbul"/>
    <x v="3"/>
    <x v="0"/>
    <x v="6"/>
    <n v="88"/>
    <n v="45056"/>
    <x v="7"/>
  </r>
  <r>
    <s v="Sydney"/>
    <x v="4"/>
    <x v="3"/>
    <x v="8"/>
    <n v="73"/>
    <n v="36500"/>
    <x v="9"/>
  </r>
  <r>
    <s v="San Fransisco"/>
    <x v="18"/>
    <x v="1"/>
    <x v="1"/>
    <n v="30"/>
    <n v="18270"/>
    <x v="10"/>
  </r>
  <r>
    <s v="Vienna"/>
    <x v="29"/>
    <x v="0"/>
    <x v="3"/>
    <n v="18"/>
    <n v="864"/>
    <x v="8"/>
  </r>
  <r>
    <s v="San Fransisco"/>
    <x v="18"/>
    <x v="1"/>
    <x v="4"/>
    <n v="26"/>
    <n v="676"/>
    <x v="10"/>
  </r>
  <r>
    <s v="Mexico City"/>
    <x v="7"/>
    <x v="2"/>
    <x v="8"/>
    <n v="38"/>
    <n v="19000"/>
    <x v="1"/>
  </r>
  <r>
    <s v="Bangkok"/>
    <x v="10"/>
    <x v="3"/>
    <x v="6"/>
    <n v="68"/>
    <n v="45152"/>
    <x v="6"/>
  </r>
  <r>
    <s v="Bucharest"/>
    <x v="32"/>
    <x v="0"/>
    <x v="1"/>
    <n v="49"/>
    <n v="33271"/>
    <x v="9"/>
  </r>
  <r>
    <s v="Seattle"/>
    <x v="18"/>
    <x v="1"/>
    <x v="10"/>
    <n v="51"/>
    <n v="10098"/>
    <x v="1"/>
  </r>
  <r>
    <s v="Buenos Aires"/>
    <x v="27"/>
    <x v="2"/>
    <x v="8"/>
    <n v="89"/>
    <n v="44500"/>
    <x v="1"/>
  </r>
  <r>
    <s v="London"/>
    <x v="8"/>
    <x v="0"/>
    <x v="8"/>
    <n v="78"/>
    <n v="39000"/>
    <x v="8"/>
  </r>
  <r>
    <s v="Mexico City"/>
    <x v="7"/>
    <x v="2"/>
    <x v="5"/>
    <n v="78"/>
    <n v="35100"/>
    <x v="10"/>
  </r>
  <r>
    <s v="Paris"/>
    <x v="21"/>
    <x v="0"/>
    <x v="4"/>
    <n v="52"/>
    <n v="1508"/>
    <x v="1"/>
  </r>
  <r>
    <s v="Los Angeles"/>
    <x v="18"/>
    <x v="1"/>
    <x v="8"/>
    <n v="56"/>
    <n v="28000"/>
    <x v="8"/>
  </r>
  <r>
    <s v="Riyadh"/>
    <x v="9"/>
    <x v="0"/>
    <x v="10"/>
    <n v="32"/>
    <n v="7200"/>
    <x v="3"/>
  </r>
  <r>
    <s v="Moscow"/>
    <x v="0"/>
    <x v="0"/>
    <x v="0"/>
    <n v="23"/>
    <n v="1794"/>
    <x v="6"/>
  </r>
  <r>
    <s v="Istanbul"/>
    <x v="3"/>
    <x v="0"/>
    <x v="11"/>
    <n v="8"/>
    <n v="256"/>
    <x v="5"/>
  </r>
  <r>
    <s v="Dubai"/>
    <x v="33"/>
    <x v="0"/>
    <x v="11"/>
    <n v="72"/>
    <n v="2952"/>
    <x v="8"/>
  </r>
  <r>
    <s v="Sao Paolo"/>
    <x v="2"/>
    <x v="2"/>
    <x v="9"/>
    <n v="37"/>
    <n v="2220"/>
    <x v="0"/>
  </r>
  <r>
    <s v="Osaka"/>
    <x v="15"/>
    <x v="3"/>
    <x v="9"/>
    <n v="33"/>
    <n v="2277"/>
    <x v="1"/>
  </r>
  <r>
    <s v="London"/>
    <x v="8"/>
    <x v="0"/>
    <x v="5"/>
    <n v="26"/>
    <n v="12740"/>
    <x v="4"/>
  </r>
  <r>
    <s v="Osaka"/>
    <x v="15"/>
    <x v="3"/>
    <x v="9"/>
    <n v="67"/>
    <n v="4623"/>
    <x v="9"/>
  </r>
  <r>
    <s v="Capetown"/>
    <x v="17"/>
    <x v="0"/>
    <x v="7"/>
    <n v="81"/>
    <n v="51840"/>
    <x v="4"/>
  </r>
  <r>
    <s v="Bangkok"/>
    <x v="10"/>
    <x v="3"/>
    <x v="7"/>
    <n v="53"/>
    <n v="53000"/>
    <x v="11"/>
  </r>
  <r>
    <s v="Madria"/>
    <x v="28"/>
    <x v="0"/>
    <x v="0"/>
    <n v="43"/>
    <n v="3010"/>
    <x v="3"/>
  </r>
  <r>
    <s v="Lima"/>
    <x v="6"/>
    <x v="2"/>
    <x v="2"/>
    <n v="38"/>
    <n v="5130"/>
    <x v="8"/>
  </r>
  <r>
    <s v="Amsterdam"/>
    <x v="24"/>
    <x v="0"/>
    <x v="1"/>
    <n v="22"/>
    <n v="13706"/>
    <x v="3"/>
  </r>
  <r>
    <s v="Athens"/>
    <x v="14"/>
    <x v="0"/>
    <x v="10"/>
    <n v="23"/>
    <n v="5635"/>
    <x v="0"/>
  </r>
  <r>
    <s v="Cairo"/>
    <x v="30"/>
    <x v="0"/>
    <x v="5"/>
    <n v="42"/>
    <n v="21000"/>
    <x v="10"/>
  </r>
  <r>
    <s v="Paris"/>
    <x v="21"/>
    <x v="0"/>
    <x v="1"/>
    <n v="21"/>
    <n v="14700"/>
    <x v="7"/>
  </r>
  <r>
    <s v="Capetown"/>
    <x v="17"/>
    <x v="0"/>
    <x v="5"/>
    <n v="46"/>
    <n v="22080"/>
    <x v="0"/>
  </r>
  <r>
    <s v="Capetown"/>
    <x v="17"/>
    <x v="0"/>
    <x v="10"/>
    <n v="24"/>
    <n v="5832"/>
    <x v="9"/>
  </r>
  <r>
    <s v="Tijuana"/>
    <x v="7"/>
    <x v="2"/>
    <x v="7"/>
    <n v="50"/>
    <n v="47500"/>
    <x v="9"/>
  </r>
  <r>
    <s v="Jerusalem"/>
    <x v="13"/>
    <x v="0"/>
    <x v="11"/>
    <n v="45"/>
    <n v="2115"/>
    <x v="2"/>
  </r>
  <r>
    <s v="Los Angeles"/>
    <x v="18"/>
    <x v="1"/>
    <x v="4"/>
    <n v="43"/>
    <n v="1161"/>
    <x v="6"/>
  </r>
  <r>
    <s v="Madria"/>
    <x v="28"/>
    <x v="0"/>
    <x v="4"/>
    <n v="48"/>
    <n v="1392"/>
    <x v="2"/>
  </r>
  <r>
    <s v="Bucharest"/>
    <x v="32"/>
    <x v="0"/>
    <x v="0"/>
    <n v="22"/>
    <n v="1672"/>
    <x v="11"/>
  </r>
  <r>
    <s v="Bucharest"/>
    <x v="32"/>
    <x v="0"/>
    <x v="9"/>
    <n v="65"/>
    <n v="4485"/>
    <x v="10"/>
  </r>
  <r>
    <s v="Seattle"/>
    <x v="18"/>
    <x v="1"/>
    <x v="0"/>
    <n v="66"/>
    <n v="5016"/>
    <x v="10"/>
  </r>
  <r>
    <s v="Tel Aviv"/>
    <x v="13"/>
    <x v="0"/>
    <x v="5"/>
    <n v="81"/>
    <n v="34830"/>
    <x v="11"/>
  </r>
  <r>
    <s v="Capetown"/>
    <x v="17"/>
    <x v="0"/>
    <x v="4"/>
    <n v="87"/>
    <n v="2436"/>
    <x v="7"/>
  </r>
  <r>
    <s v="Tokyo"/>
    <x v="15"/>
    <x v="3"/>
    <x v="3"/>
    <n v="19"/>
    <n v="855"/>
    <x v="11"/>
  </r>
  <r>
    <s v="Tokyo"/>
    <x v="15"/>
    <x v="3"/>
    <x v="9"/>
    <n v="66"/>
    <n v="3762"/>
    <x v="9"/>
  </r>
  <r>
    <s v="Buenos Aires"/>
    <x v="27"/>
    <x v="2"/>
    <x v="7"/>
    <n v="95"/>
    <n v="69350"/>
    <x v="0"/>
  </r>
  <r>
    <s v="Bogota"/>
    <x v="26"/>
    <x v="2"/>
    <x v="7"/>
    <n v="6"/>
    <n v="4260"/>
    <x v="0"/>
  </r>
  <r>
    <s v="London"/>
    <x v="8"/>
    <x v="0"/>
    <x v="5"/>
    <n v="65"/>
    <n v="32500"/>
    <x v="3"/>
  </r>
  <r>
    <s v="Bogota"/>
    <x v="26"/>
    <x v="2"/>
    <x v="1"/>
    <n v="77"/>
    <n v="53361"/>
    <x v="7"/>
  </r>
  <r>
    <s v="New York"/>
    <x v="18"/>
    <x v="1"/>
    <x v="0"/>
    <n v="88"/>
    <n v="4928"/>
    <x v="8"/>
  </r>
  <r>
    <s v="Guangzhou"/>
    <x v="5"/>
    <x v="3"/>
    <x v="4"/>
    <n v="3"/>
    <n v="81"/>
    <x v="0"/>
  </r>
  <r>
    <s v="Mexico City"/>
    <x v="7"/>
    <x v="2"/>
    <x v="9"/>
    <n v="55"/>
    <n v="3685"/>
    <x v="0"/>
  </r>
  <r>
    <s v="New York"/>
    <x v="18"/>
    <x v="1"/>
    <x v="11"/>
    <n v="58"/>
    <n v="1914"/>
    <x v="5"/>
  </r>
  <r>
    <s v="Kuala Lumpur"/>
    <x v="31"/>
    <x v="3"/>
    <x v="0"/>
    <n v="31"/>
    <n v="2418"/>
    <x v="3"/>
  </r>
  <r>
    <s v="Tijuana"/>
    <x v="7"/>
    <x v="2"/>
    <x v="3"/>
    <n v="25"/>
    <n v="1225"/>
    <x v="9"/>
  </r>
  <r>
    <s v="Warsaw"/>
    <x v="23"/>
    <x v="0"/>
    <x v="0"/>
    <n v="96"/>
    <n v="6624"/>
    <x v="9"/>
  </r>
  <r>
    <s v="Dubai"/>
    <x v="33"/>
    <x v="0"/>
    <x v="11"/>
    <n v="7"/>
    <n v="224"/>
    <x v="6"/>
  </r>
  <r>
    <s v="Tijuana"/>
    <x v="7"/>
    <x v="2"/>
    <x v="7"/>
    <n v="37"/>
    <n v="21460"/>
    <x v="10"/>
  </r>
  <r>
    <s v="Madria"/>
    <x v="28"/>
    <x v="0"/>
    <x v="1"/>
    <n v="84"/>
    <n v="51156"/>
    <x v="0"/>
  </r>
  <r>
    <s v="Paris"/>
    <x v="21"/>
    <x v="0"/>
    <x v="5"/>
    <n v="42"/>
    <n v="20160"/>
    <x v="1"/>
  </r>
  <r>
    <s v="Tel Aviv"/>
    <x v="13"/>
    <x v="0"/>
    <x v="11"/>
    <n v="5"/>
    <n v="225"/>
    <x v="6"/>
  </r>
  <r>
    <s v="Osaka"/>
    <x v="15"/>
    <x v="3"/>
    <x v="3"/>
    <n v="64"/>
    <n v="2368"/>
    <x v="0"/>
  </r>
  <r>
    <s v="Birmingham"/>
    <x v="8"/>
    <x v="0"/>
    <x v="5"/>
    <n v="32"/>
    <n v="14560"/>
    <x v="0"/>
  </r>
  <r>
    <s v="Riyadh"/>
    <x v="9"/>
    <x v="0"/>
    <x v="11"/>
    <n v="71"/>
    <n v="3053"/>
    <x v="6"/>
  </r>
  <r>
    <s v="London"/>
    <x v="8"/>
    <x v="0"/>
    <x v="7"/>
    <n v="59"/>
    <n v="46020"/>
    <x v="11"/>
  </r>
  <r>
    <s v="Cairo"/>
    <x v="30"/>
    <x v="0"/>
    <x v="7"/>
    <n v="14"/>
    <n v="9380"/>
    <x v="6"/>
  </r>
  <r>
    <s v="Toronto"/>
    <x v="1"/>
    <x v="1"/>
    <x v="0"/>
    <n v="68"/>
    <n v="5236"/>
    <x v="11"/>
  </r>
  <r>
    <s v="Tijuana"/>
    <x v="7"/>
    <x v="2"/>
    <x v="4"/>
    <n v="23"/>
    <n v="667"/>
    <x v="6"/>
  </r>
  <r>
    <s v="Tokyo"/>
    <x v="15"/>
    <x v="3"/>
    <x v="10"/>
    <n v="89"/>
    <n v="20025"/>
    <x v="1"/>
  </r>
  <r>
    <s v="Berlin"/>
    <x v="20"/>
    <x v="0"/>
    <x v="10"/>
    <n v="69"/>
    <n v="15732"/>
    <x v="6"/>
  </r>
  <r>
    <s v="Vienna"/>
    <x v="29"/>
    <x v="0"/>
    <x v="10"/>
    <n v="33"/>
    <n v="7425"/>
    <x v="4"/>
  </r>
  <r>
    <s v="Vienna"/>
    <x v="29"/>
    <x v="0"/>
    <x v="4"/>
    <n v="86"/>
    <n v="2408"/>
    <x v="11"/>
  </r>
  <r>
    <s v="Toronto"/>
    <x v="1"/>
    <x v="1"/>
    <x v="0"/>
    <n v="39"/>
    <n v="2808"/>
    <x v="5"/>
  </r>
  <r>
    <s v="Shanghai"/>
    <x v="5"/>
    <x v="3"/>
    <x v="9"/>
    <n v="99"/>
    <n v="6138"/>
    <x v="4"/>
  </r>
  <r>
    <s v="Prague"/>
    <x v="16"/>
    <x v="0"/>
    <x v="11"/>
    <n v="32"/>
    <n v="992"/>
    <x v="10"/>
  </r>
  <r>
    <s v="Warsaw"/>
    <x v="23"/>
    <x v="0"/>
    <x v="10"/>
    <n v="51"/>
    <n v="9690"/>
    <x v="0"/>
  </r>
  <r>
    <s v="Ho Chi Minh City"/>
    <x v="12"/>
    <x v="3"/>
    <x v="0"/>
    <n v="35"/>
    <n v="2730"/>
    <x v="1"/>
  </r>
  <r>
    <s v="Osaka"/>
    <x v="15"/>
    <x v="3"/>
    <x v="1"/>
    <n v="30"/>
    <n v="19530"/>
    <x v="9"/>
  </r>
  <r>
    <s v="Vienna"/>
    <x v="29"/>
    <x v="0"/>
    <x v="0"/>
    <n v="54"/>
    <n v="3780"/>
    <x v="10"/>
  </r>
  <r>
    <s v="San Fransisco"/>
    <x v="18"/>
    <x v="1"/>
    <x v="9"/>
    <n v="20"/>
    <n v="1280"/>
    <x v="6"/>
  </r>
  <r>
    <s v="Athens"/>
    <x v="14"/>
    <x v="0"/>
    <x v="4"/>
    <n v="3"/>
    <n v="90"/>
    <x v="0"/>
  </r>
  <r>
    <s v="Bangalore"/>
    <x v="11"/>
    <x v="3"/>
    <x v="8"/>
    <n v="62"/>
    <n v="30380"/>
    <x v="5"/>
  </r>
  <r>
    <s v="Paris"/>
    <x v="21"/>
    <x v="0"/>
    <x v="2"/>
    <n v="61"/>
    <n v="8418"/>
    <x v="11"/>
  </r>
  <r>
    <s v="Bogota"/>
    <x v="26"/>
    <x v="2"/>
    <x v="10"/>
    <n v="75"/>
    <n v="17625"/>
    <x v="11"/>
  </r>
  <r>
    <s v="Shenzhen"/>
    <x v="5"/>
    <x v="3"/>
    <x v="8"/>
    <n v="97"/>
    <n v="48500"/>
    <x v="1"/>
  </r>
  <r>
    <s v="Tel Aviv"/>
    <x v="13"/>
    <x v="0"/>
    <x v="6"/>
    <n v="32"/>
    <n v="19712"/>
    <x v="10"/>
  </r>
  <r>
    <s v="Dubai"/>
    <x v="33"/>
    <x v="0"/>
    <x v="6"/>
    <n v="58"/>
    <n v="38512"/>
    <x v="11"/>
  </r>
  <r>
    <s v="Jerusalem"/>
    <x v="13"/>
    <x v="0"/>
    <x v="8"/>
    <n v="39"/>
    <n v="19500"/>
    <x v="2"/>
  </r>
  <r>
    <s v="Dubai"/>
    <x v="33"/>
    <x v="0"/>
    <x v="3"/>
    <n v="18"/>
    <n v="828"/>
    <x v="11"/>
  </r>
  <r>
    <s v="Shenzhen"/>
    <x v="5"/>
    <x v="3"/>
    <x v="2"/>
    <n v="72"/>
    <n v="9936"/>
    <x v="10"/>
  </r>
  <r>
    <s v="Shanghai"/>
    <x v="5"/>
    <x v="3"/>
    <x v="4"/>
    <n v="16"/>
    <n v="448"/>
    <x v="10"/>
  </r>
  <r>
    <s v="Buenos Aires"/>
    <x v="27"/>
    <x v="2"/>
    <x v="11"/>
    <n v="7"/>
    <n v="343"/>
    <x v="10"/>
  </r>
  <r>
    <s v="New York"/>
    <x v="18"/>
    <x v="1"/>
    <x v="4"/>
    <n v="14"/>
    <n v="406"/>
    <x v="5"/>
  </r>
  <r>
    <s v="Bangalore"/>
    <x v="11"/>
    <x v="3"/>
    <x v="10"/>
    <n v="36"/>
    <n v="8568"/>
    <x v="4"/>
  </r>
  <r>
    <s v="Istanbul"/>
    <x v="3"/>
    <x v="0"/>
    <x v="0"/>
    <n v="6"/>
    <n v="480"/>
    <x v="7"/>
  </r>
  <r>
    <s v="Paris"/>
    <x v="21"/>
    <x v="0"/>
    <x v="8"/>
    <n v="80"/>
    <n v="39600"/>
    <x v="11"/>
  </r>
  <r>
    <s v="Bangkok"/>
    <x v="10"/>
    <x v="3"/>
    <x v="2"/>
    <n v="93"/>
    <n v="13578"/>
    <x v="7"/>
  </r>
  <r>
    <s v="Dublin"/>
    <x v="25"/>
    <x v="0"/>
    <x v="0"/>
    <n v="92"/>
    <n v="6440"/>
    <x v="8"/>
  </r>
  <r>
    <s v="Moscow"/>
    <x v="0"/>
    <x v="0"/>
    <x v="7"/>
    <n v="84"/>
    <n v="81480"/>
    <x v="10"/>
  </r>
  <r>
    <s v="San Fransisco"/>
    <x v="18"/>
    <x v="1"/>
    <x v="7"/>
    <n v="11"/>
    <n v="7590"/>
    <x v="8"/>
  </r>
  <r>
    <s v="Toronto"/>
    <x v="1"/>
    <x v="1"/>
    <x v="3"/>
    <n v="18"/>
    <n v="774"/>
    <x v="9"/>
  </r>
  <r>
    <s v="Rome"/>
    <x v="22"/>
    <x v="0"/>
    <x v="7"/>
    <n v="9"/>
    <n v="5850"/>
    <x v="2"/>
  </r>
  <r>
    <s v="Paris"/>
    <x v="21"/>
    <x v="0"/>
    <x v="7"/>
    <n v="34"/>
    <n v="17680"/>
    <x v="4"/>
  </r>
  <r>
    <s v="Moscow"/>
    <x v="0"/>
    <x v="0"/>
    <x v="2"/>
    <n v="77"/>
    <n v="11473"/>
    <x v="10"/>
  </r>
  <r>
    <s v="Chicago"/>
    <x v="18"/>
    <x v="1"/>
    <x v="1"/>
    <n v="14"/>
    <n v="9310"/>
    <x v="10"/>
  </r>
  <r>
    <s v="San Fransisco"/>
    <x v="18"/>
    <x v="1"/>
    <x v="1"/>
    <n v="69"/>
    <n v="38640"/>
    <x v="7"/>
  </r>
  <r>
    <s v="Guangzhou"/>
    <x v="5"/>
    <x v="3"/>
    <x v="3"/>
    <n v="2"/>
    <n v="88"/>
    <x v="6"/>
  </r>
  <r>
    <s v="San Fransisco"/>
    <x v="18"/>
    <x v="1"/>
    <x v="7"/>
    <n v="72"/>
    <n v="54720"/>
    <x v="9"/>
  </r>
  <r>
    <s v="Kansas City"/>
    <x v="18"/>
    <x v="1"/>
    <x v="10"/>
    <n v="39"/>
    <n v="8892"/>
    <x v="8"/>
  </r>
  <r>
    <s v="Capetown"/>
    <x v="17"/>
    <x v="0"/>
    <x v="10"/>
    <n v="17"/>
    <n v="4216"/>
    <x v="4"/>
  </r>
  <r>
    <s v="Bogota"/>
    <x v="26"/>
    <x v="2"/>
    <x v="3"/>
    <n v="77"/>
    <n v="3003"/>
    <x v="2"/>
  </r>
  <r>
    <s v="Bucharest"/>
    <x v="32"/>
    <x v="0"/>
    <x v="10"/>
    <n v="49"/>
    <n v="12152"/>
    <x v="10"/>
  </r>
  <r>
    <s v="Madria"/>
    <x v="28"/>
    <x v="0"/>
    <x v="10"/>
    <n v="20"/>
    <n v="5000"/>
    <x v="6"/>
  </r>
  <r>
    <s v="Seattle"/>
    <x v="18"/>
    <x v="1"/>
    <x v="3"/>
    <n v="62"/>
    <n v="2976"/>
    <x v="7"/>
  </r>
  <r>
    <s v="Amsterdam"/>
    <x v="24"/>
    <x v="0"/>
    <x v="7"/>
    <n v="37"/>
    <n v="21830"/>
    <x v="10"/>
  </r>
  <r>
    <s v="London"/>
    <x v="8"/>
    <x v="0"/>
    <x v="0"/>
    <n v="11"/>
    <n v="836"/>
    <x v="1"/>
  </r>
  <r>
    <s v="Lima"/>
    <x v="6"/>
    <x v="2"/>
    <x v="5"/>
    <n v="87"/>
    <n v="41760"/>
    <x v="6"/>
  </r>
  <r>
    <s v="Rome"/>
    <x v="22"/>
    <x v="0"/>
    <x v="6"/>
    <n v="20"/>
    <n v="14400"/>
    <x v="9"/>
  </r>
  <r>
    <s v="Bangkok"/>
    <x v="10"/>
    <x v="3"/>
    <x v="9"/>
    <n v="71"/>
    <n v="4899"/>
    <x v="6"/>
  </r>
  <r>
    <s v="Tel Aviv"/>
    <x v="13"/>
    <x v="0"/>
    <x v="9"/>
    <n v="97"/>
    <n v="5820"/>
    <x v="8"/>
  </r>
  <r>
    <s v="Santiago"/>
    <x v="34"/>
    <x v="2"/>
    <x v="3"/>
    <n v="98"/>
    <n v="4312"/>
    <x v="2"/>
  </r>
  <r>
    <s v="Kuala Lumpur"/>
    <x v="31"/>
    <x v="3"/>
    <x v="0"/>
    <n v="87"/>
    <n v="6438"/>
    <x v="0"/>
  </r>
  <r>
    <s v="Capetown"/>
    <x v="17"/>
    <x v="0"/>
    <x v="9"/>
    <n v="23"/>
    <n v="1564"/>
    <x v="9"/>
  </r>
  <r>
    <s v="Dubai"/>
    <x v="33"/>
    <x v="0"/>
    <x v="9"/>
    <n v="90"/>
    <n v="5940"/>
    <x v="2"/>
  </r>
  <r>
    <s v="Mexico City"/>
    <x v="7"/>
    <x v="2"/>
    <x v="2"/>
    <n v="6"/>
    <n v="864"/>
    <x v="11"/>
  </r>
  <r>
    <s v="Ho Chi Minh City"/>
    <x v="12"/>
    <x v="3"/>
    <x v="9"/>
    <n v="98"/>
    <n v="6370"/>
    <x v="8"/>
  </r>
  <r>
    <s v="Guangzhou"/>
    <x v="5"/>
    <x v="3"/>
    <x v="7"/>
    <n v="5"/>
    <n v="3150"/>
    <x v="1"/>
  </r>
  <r>
    <s v="Rome"/>
    <x v="22"/>
    <x v="0"/>
    <x v="2"/>
    <n v="84"/>
    <n v="9492"/>
    <x v="5"/>
  </r>
  <r>
    <s v="Amsterdam"/>
    <x v="24"/>
    <x v="0"/>
    <x v="8"/>
    <n v="82"/>
    <n v="40180"/>
    <x v="10"/>
  </r>
  <r>
    <s v="Seattle"/>
    <x v="18"/>
    <x v="1"/>
    <x v="3"/>
    <n v="9"/>
    <n v="414"/>
    <x v="7"/>
  </r>
  <r>
    <s v="Cairo"/>
    <x v="30"/>
    <x v="0"/>
    <x v="1"/>
    <n v="26"/>
    <n v="17472"/>
    <x v="4"/>
  </r>
  <r>
    <s v="Capetown"/>
    <x v="17"/>
    <x v="0"/>
    <x v="11"/>
    <n v="99"/>
    <n v="4752"/>
    <x v="7"/>
  </r>
  <r>
    <s v="Tokyo"/>
    <x v="15"/>
    <x v="3"/>
    <x v="8"/>
    <n v="67"/>
    <n v="32830"/>
    <x v="1"/>
  </r>
  <r>
    <s v="Bogota"/>
    <x v="26"/>
    <x v="2"/>
    <x v="9"/>
    <n v="89"/>
    <n v="5162"/>
    <x v="2"/>
  </r>
  <r>
    <s v="Warsaw"/>
    <x v="23"/>
    <x v="0"/>
    <x v="9"/>
    <n v="62"/>
    <n v="3720"/>
    <x v="9"/>
  </r>
  <r>
    <s v="Buenos Aires"/>
    <x v="27"/>
    <x v="2"/>
    <x v="6"/>
    <n v="62"/>
    <n v="42656"/>
    <x v="6"/>
  </r>
  <r>
    <s v="Paris"/>
    <x v="21"/>
    <x v="0"/>
    <x v="10"/>
    <n v="22"/>
    <n v="3410"/>
    <x v="9"/>
  </r>
  <r>
    <s v="Athens"/>
    <x v="14"/>
    <x v="0"/>
    <x v="1"/>
    <n v="96"/>
    <n v="48384"/>
    <x v="3"/>
  </r>
  <r>
    <s v="Paris"/>
    <x v="21"/>
    <x v="0"/>
    <x v="1"/>
    <n v="51"/>
    <n v="26061"/>
    <x v="1"/>
  </r>
  <r>
    <s v="Sao Paolo"/>
    <x v="2"/>
    <x v="2"/>
    <x v="10"/>
    <n v="74"/>
    <n v="18500"/>
    <x v="3"/>
  </r>
  <r>
    <s v="Madria"/>
    <x v="28"/>
    <x v="0"/>
    <x v="3"/>
    <n v="83"/>
    <n v="4150"/>
    <x v="7"/>
  </r>
  <r>
    <s v="Riyadh"/>
    <x v="9"/>
    <x v="0"/>
    <x v="2"/>
    <n v="75"/>
    <n v="10125"/>
    <x v="1"/>
  </r>
  <r>
    <s v="Istanbul"/>
    <x v="3"/>
    <x v="0"/>
    <x v="9"/>
    <n v="84"/>
    <n v="5712"/>
    <x v="5"/>
  </r>
  <r>
    <s v="Los Angeles"/>
    <x v="18"/>
    <x v="1"/>
    <x v="7"/>
    <n v="86"/>
    <n v="58480"/>
    <x v="1"/>
  </r>
  <r>
    <s v="Dublin"/>
    <x v="25"/>
    <x v="0"/>
    <x v="9"/>
    <n v="16"/>
    <n v="1040"/>
    <x v="4"/>
  </r>
  <r>
    <s v="Rome"/>
    <x v="22"/>
    <x v="0"/>
    <x v="6"/>
    <n v="64"/>
    <n v="31232"/>
    <x v="6"/>
  </r>
  <r>
    <s v="Kansas City"/>
    <x v="18"/>
    <x v="1"/>
    <x v="4"/>
    <n v="65"/>
    <n v="1755"/>
    <x v="2"/>
  </r>
  <r>
    <s v="Lima"/>
    <x v="6"/>
    <x v="2"/>
    <x v="6"/>
    <n v="90"/>
    <n v="40320"/>
    <x v="3"/>
  </r>
  <r>
    <s v="Bogota"/>
    <x v="26"/>
    <x v="2"/>
    <x v="4"/>
    <n v="18"/>
    <n v="522"/>
    <x v="2"/>
  </r>
  <r>
    <s v="Buenos Aires"/>
    <x v="27"/>
    <x v="2"/>
    <x v="1"/>
    <n v="45"/>
    <n v="29295"/>
    <x v="7"/>
  </r>
  <r>
    <s v="Bogota"/>
    <x v="26"/>
    <x v="2"/>
    <x v="5"/>
    <n v="90"/>
    <n v="42300"/>
    <x v="5"/>
  </r>
  <r>
    <s v="Seattle"/>
    <x v="18"/>
    <x v="1"/>
    <x v="9"/>
    <n v="58"/>
    <n v="3886"/>
    <x v="1"/>
  </r>
  <r>
    <s v="Paris"/>
    <x v="21"/>
    <x v="0"/>
    <x v="1"/>
    <n v="74"/>
    <n v="47138"/>
    <x v="5"/>
  </r>
  <r>
    <s v="Toronto"/>
    <x v="1"/>
    <x v="1"/>
    <x v="7"/>
    <n v="55"/>
    <n v="37400"/>
    <x v="7"/>
  </r>
  <r>
    <s v="Seoul"/>
    <x v="19"/>
    <x v="3"/>
    <x v="1"/>
    <n v="4"/>
    <n v="2772"/>
    <x v="4"/>
  </r>
  <r>
    <s v="Tijuana"/>
    <x v="7"/>
    <x v="2"/>
    <x v="8"/>
    <n v="25"/>
    <n v="12375"/>
    <x v="11"/>
  </r>
  <r>
    <s v="Santiago"/>
    <x v="34"/>
    <x v="2"/>
    <x v="3"/>
    <n v="91"/>
    <n v="4186"/>
    <x v="1"/>
  </r>
  <r>
    <s v="Toronto"/>
    <x v="1"/>
    <x v="1"/>
    <x v="11"/>
    <n v="80"/>
    <n v="3920"/>
    <x v="5"/>
  </r>
  <r>
    <s v="Tokyo"/>
    <x v="15"/>
    <x v="3"/>
    <x v="5"/>
    <n v="91"/>
    <n v="41405"/>
    <x v="2"/>
  </r>
  <r>
    <s v="Riyadh"/>
    <x v="9"/>
    <x v="0"/>
    <x v="8"/>
    <n v="66"/>
    <n v="32340"/>
    <x v="4"/>
  </r>
  <r>
    <s v="Toronto"/>
    <x v="1"/>
    <x v="1"/>
    <x v="11"/>
    <n v="40"/>
    <n v="1880"/>
    <x v="10"/>
  </r>
  <r>
    <s v="Athens"/>
    <x v="14"/>
    <x v="0"/>
    <x v="1"/>
    <n v="65"/>
    <n v="43225"/>
    <x v="9"/>
  </r>
  <r>
    <s v="Tijuana"/>
    <x v="7"/>
    <x v="2"/>
    <x v="11"/>
    <n v="29"/>
    <n v="1247"/>
    <x v="0"/>
  </r>
  <r>
    <s v="London"/>
    <x v="8"/>
    <x v="0"/>
    <x v="10"/>
    <n v="22"/>
    <n v="5346"/>
    <x v="4"/>
  </r>
  <r>
    <s v="Berlin"/>
    <x v="20"/>
    <x v="0"/>
    <x v="0"/>
    <n v="5"/>
    <n v="395"/>
    <x v="8"/>
  </r>
  <r>
    <s v="Capetown"/>
    <x v="17"/>
    <x v="0"/>
    <x v="10"/>
    <n v="16"/>
    <n v="3680"/>
    <x v="4"/>
  </r>
  <r>
    <s v="Toronto"/>
    <x v="1"/>
    <x v="1"/>
    <x v="9"/>
    <n v="78"/>
    <n v="5226"/>
    <x v="0"/>
  </r>
  <r>
    <s v="Tel Aviv"/>
    <x v="13"/>
    <x v="0"/>
    <x v="10"/>
    <n v="29"/>
    <n v="6177"/>
    <x v="8"/>
  </r>
  <r>
    <s v="Prague"/>
    <x v="16"/>
    <x v="0"/>
    <x v="0"/>
    <n v="84"/>
    <n v="6636"/>
    <x v="4"/>
  </r>
  <r>
    <s v="Dublin"/>
    <x v="25"/>
    <x v="0"/>
    <x v="7"/>
    <n v="66"/>
    <n v="46200"/>
    <x v="5"/>
  </r>
  <r>
    <s v="Shanghai"/>
    <x v="5"/>
    <x v="3"/>
    <x v="5"/>
    <n v="35"/>
    <n v="15575"/>
    <x v="2"/>
  </r>
  <r>
    <s v="Bangalore"/>
    <x v="11"/>
    <x v="3"/>
    <x v="11"/>
    <n v="91"/>
    <n v="4277"/>
    <x v="1"/>
  </r>
  <r>
    <s v="Madria"/>
    <x v="28"/>
    <x v="0"/>
    <x v="2"/>
    <n v="86"/>
    <n v="11266"/>
    <x v="2"/>
  </r>
  <r>
    <s v="Madria"/>
    <x v="28"/>
    <x v="0"/>
    <x v="1"/>
    <n v="16"/>
    <n v="9856"/>
    <x v="2"/>
  </r>
  <r>
    <s v="Tokyo"/>
    <x v="15"/>
    <x v="3"/>
    <x v="3"/>
    <n v="55"/>
    <n v="2530"/>
    <x v="5"/>
  </r>
  <r>
    <s v="Seoul"/>
    <x v="19"/>
    <x v="3"/>
    <x v="5"/>
    <n v="65"/>
    <n v="31200"/>
    <x v="1"/>
  </r>
  <r>
    <s v="Osaka"/>
    <x v="15"/>
    <x v="3"/>
    <x v="11"/>
    <n v="83"/>
    <n v="3901"/>
    <x v="1"/>
  </r>
  <r>
    <s v="London"/>
    <x v="8"/>
    <x v="0"/>
    <x v="2"/>
    <n v="3"/>
    <n v="438"/>
    <x v="4"/>
  </r>
  <r>
    <s v="Paris"/>
    <x v="21"/>
    <x v="0"/>
    <x v="9"/>
    <n v="83"/>
    <n v="5561"/>
    <x v="11"/>
  </r>
  <r>
    <s v="Seoul"/>
    <x v="19"/>
    <x v="3"/>
    <x v="8"/>
    <n v="63"/>
    <n v="31185"/>
    <x v="8"/>
  </r>
  <r>
    <s v="Ho Chi Minh City"/>
    <x v="12"/>
    <x v="3"/>
    <x v="9"/>
    <n v="99"/>
    <n v="5643"/>
    <x v="3"/>
  </r>
  <r>
    <s v="Cairo"/>
    <x v="30"/>
    <x v="0"/>
    <x v="11"/>
    <n v="60"/>
    <n v="2820"/>
    <x v="4"/>
  </r>
  <r>
    <s v="Madria"/>
    <x v="28"/>
    <x v="0"/>
    <x v="2"/>
    <n v="60"/>
    <n v="7500"/>
    <x v="4"/>
  </r>
  <r>
    <s v="Sydney"/>
    <x v="4"/>
    <x v="3"/>
    <x v="3"/>
    <n v="79"/>
    <n v="2686"/>
    <x v="5"/>
  </r>
  <r>
    <s v="Shenzhen"/>
    <x v="5"/>
    <x v="3"/>
    <x v="1"/>
    <n v="49"/>
    <n v="26411"/>
    <x v="9"/>
  </r>
  <r>
    <s v="Santiago"/>
    <x v="34"/>
    <x v="2"/>
    <x v="1"/>
    <n v="7"/>
    <n v="4851"/>
    <x v="10"/>
  </r>
  <r>
    <s v="Moscow"/>
    <x v="0"/>
    <x v="0"/>
    <x v="2"/>
    <n v="86"/>
    <n v="12642"/>
    <x v="5"/>
  </r>
  <r>
    <s v="Amsterdam"/>
    <x v="24"/>
    <x v="0"/>
    <x v="11"/>
    <n v="89"/>
    <n v="3738"/>
    <x v="4"/>
  </r>
  <r>
    <s v="Istanbul"/>
    <x v="3"/>
    <x v="0"/>
    <x v="11"/>
    <n v="58"/>
    <n v="2552"/>
    <x v="11"/>
  </r>
  <r>
    <s v="Jerusalem"/>
    <x v="13"/>
    <x v="0"/>
    <x v="11"/>
    <n v="46"/>
    <n v="2254"/>
    <x v="7"/>
  </r>
  <r>
    <s v="Moscow"/>
    <x v="0"/>
    <x v="0"/>
    <x v="0"/>
    <n v="27"/>
    <n v="2106"/>
    <x v="3"/>
  </r>
  <r>
    <s v="Chicago"/>
    <x v="18"/>
    <x v="1"/>
    <x v="11"/>
    <n v="12"/>
    <n v="576"/>
    <x v="5"/>
  </r>
  <r>
    <s v="New York"/>
    <x v="18"/>
    <x v="1"/>
    <x v="2"/>
    <n v="58"/>
    <n v="8526"/>
    <x v="9"/>
  </r>
  <r>
    <s v="London"/>
    <x v="8"/>
    <x v="0"/>
    <x v="7"/>
    <n v="32"/>
    <n v="19840"/>
    <x v="3"/>
  </r>
  <r>
    <s v="Berlin"/>
    <x v="20"/>
    <x v="0"/>
    <x v="8"/>
    <n v="44"/>
    <n v="21780"/>
    <x v="9"/>
  </r>
  <r>
    <s v="Shanghai"/>
    <x v="5"/>
    <x v="3"/>
    <x v="11"/>
    <n v="71"/>
    <n v="3337"/>
    <x v="2"/>
  </r>
  <r>
    <s v="Tokyo"/>
    <x v="15"/>
    <x v="3"/>
    <x v="6"/>
    <n v="56"/>
    <n v="41664"/>
    <x v="4"/>
  </r>
  <r>
    <s v="Tijuana"/>
    <x v="7"/>
    <x v="2"/>
    <x v="5"/>
    <n v="48"/>
    <n v="23520"/>
    <x v="3"/>
  </r>
  <r>
    <s v="Amsterdam"/>
    <x v="24"/>
    <x v="0"/>
    <x v="6"/>
    <n v="88"/>
    <n v="50688"/>
    <x v="1"/>
  </r>
  <r>
    <s v="Paris"/>
    <x v="21"/>
    <x v="0"/>
    <x v="5"/>
    <n v="24"/>
    <n v="10920"/>
    <x v="0"/>
  </r>
  <r>
    <s v="Buenos Aires"/>
    <x v="27"/>
    <x v="2"/>
    <x v="2"/>
    <n v="26"/>
    <n v="3510"/>
    <x v="3"/>
  </r>
  <r>
    <s v="Moscow"/>
    <x v="0"/>
    <x v="0"/>
    <x v="8"/>
    <n v="86"/>
    <n v="42140"/>
    <x v="1"/>
  </r>
  <r>
    <s v="Kuala Lumpur"/>
    <x v="31"/>
    <x v="3"/>
    <x v="8"/>
    <n v="19"/>
    <n v="9405"/>
    <x v="0"/>
  </r>
  <r>
    <s v="Riyadh"/>
    <x v="9"/>
    <x v="0"/>
    <x v="11"/>
    <n v="6"/>
    <n v="270"/>
    <x v="7"/>
  </r>
  <r>
    <s v="Mexico City"/>
    <x v="7"/>
    <x v="2"/>
    <x v="4"/>
    <n v="71"/>
    <n v="1988"/>
    <x v="6"/>
  </r>
  <r>
    <s v="Bucharest"/>
    <x v="32"/>
    <x v="0"/>
    <x v="6"/>
    <n v="36"/>
    <n v="16992"/>
    <x v="9"/>
  </r>
  <r>
    <s v="Paris"/>
    <x v="21"/>
    <x v="0"/>
    <x v="7"/>
    <n v="50"/>
    <n v="34000"/>
    <x v="2"/>
  </r>
  <r>
    <s v="Berlin"/>
    <x v="20"/>
    <x v="0"/>
    <x v="2"/>
    <n v="48"/>
    <n v="7200"/>
    <x v="9"/>
  </r>
  <r>
    <s v="Buenos Aires"/>
    <x v="27"/>
    <x v="2"/>
    <x v="4"/>
    <n v="10"/>
    <n v="280"/>
    <x v="5"/>
  </r>
  <r>
    <s v="Tijuana"/>
    <x v="7"/>
    <x v="2"/>
    <x v="5"/>
    <n v="86"/>
    <n v="38700"/>
    <x v="0"/>
  </r>
  <r>
    <s v="Dublin"/>
    <x v="25"/>
    <x v="0"/>
    <x v="2"/>
    <n v="50"/>
    <n v="7450"/>
    <x v="3"/>
  </r>
  <r>
    <s v="Tijuana"/>
    <x v="7"/>
    <x v="2"/>
    <x v="0"/>
    <n v="34"/>
    <n v="1802"/>
    <x v="3"/>
  </r>
  <r>
    <s v="Moscow"/>
    <x v="0"/>
    <x v="0"/>
    <x v="5"/>
    <n v="66"/>
    <n v="31680"/>
    <x v="3"/>
  </r>
  <r>
    <s v="Sao Paolo"/>
    <x v="2"/>
    <x v="2"/>
    <x v="5"/>
    <n v="56"/>
    <n v="27720"/>
    <x v="10"/>
  </r>
  <r>
    <s v="Moscow"/>
    <x v="0"/>
    <x v="0"/>
    <x v="11"/>
    <n v="11"/>
    <n v="528"/>
    <x v="10"/>
  </r>
  <r>
    <s v="Bogota"/>
    <x v="26"/>
    <x v="2"/>
    <x v="3"/>
    <n v="43"/>
    <n v="1935"/>
    <x v="5"/>
  </r>
  <r>
    <s v="Buenos Aires"/>
    <x v="27"/>
    <x v="2"/>
    <x v="0"/>
    <n v="16"/>
    <n v="1184"/>
    <x v="7"/>
  </r>
  <r>
    <s v="Rome"/>
    <x v="22"/>
    <x v="0"/>
    <x v="6"/>
    <n v="15"/>
    <n v="8880"/>
    <x v="1"/>
  </r>
  <r>
    <s v="Jerusalem"/>
    <x v="13"/>
    <x v="0"/>
    <x v="0"/>
    <n v="86"/>
    <n v="6364"/>
    <x v="8"/>
  </r>
  <r>
    <s v="Berlin"/>
    <x v="20"/>
    <x v="0"/>
    <x v="4"/>
    <n v="21"/>
    <n v="420"/>
    <x v="7"/>
  </r>
  <r>
    <s v="Lima"/>
    <x v="6"/>
    <x v="2"/>
    <x v="2"/>
    <n v="31"/>
    <n v="4278"/>
    <x v="0"/>
  </r>
  <r>
    <s v="Riyadh"/>
    <x v="9"/>
    <x v="0"/>
    <x v="4"/>
    <n v="23"/>
    <n v="690"/>
    <x v="5"/>
  </r>
  <r>
    <s v="Warsaw"/>
    <x v="23"/>
    <x v="0"/>
    <x v="10"/>
    <n v="47"/>
    <n v="10575"/>
    <x v="1"/>
  </r>
  <r>
    <s v="Moscow"/>
    <x v="0"/>
    <x v="0"/>
    <x v="2"/>
    <n v="64"/>
    <n v="9152"/>
    <x v="2"/>
  </r>
  <r>
    <s v="Dublin"/>
    <x v="25"/>
    <x v="0"/>
    <x v="1"/>
    <n v="63"/>
    <n v="42777"/>
    <x v="1"/>
  </r>
  <r>
    <s v="Dubai"/>
    <x v="33"/>
    <x v="0"/>
    <x v="8"/>
    <n v="61"/>
    <n v="30195"/>
    <x v="3"/>
  </r>
  <r>
    <s v="Kansas City"/>
    <x v="18"/>
    <x v="1"/>
    <x v="5"/>
    <n v="23"/>
    <n v="9200"/>
    <x v="6"/>
  </r>
  <r>
    <s v="Seattle"/>
    <x v="18"/>
    <x v="1"/>
    <x v="3"/>
    <n v="35"/>
    <n v="1680"/>
    <x v="7"/>
  </r>
  <r>
    <s v="Tel Aviv"/>
    <x v="13"/>
    <x v="0"/>
    <x v="4"/>
    <n v="41"/>
    <n v="779"/>
    <x v="0"/>
  </r>
  <r>
    <s v="Berlin"/>
    <x v="20"/>
    <x v="0"/>
    <x v="4"/>
    <n v="12"/>
    <n v="264"/>
    <x v="1"/>
  </r>
  <r>
    <s v="Istanbul"/>
    <x v="3"/>
    <x v="0"/>
    <x v="8"/>
    <n v="88"/>
    <n v="44000"/>
    <x v="2"/>
  </r>
  <r>
    <s v="Kansas City"/>
    <x v="18"/>
    <x v="1"/>
    <x v="3"/>
    <n v="66"/>
    <n v="3300"/>
    <x v="4"/>
  </r>
  <r>
    <s v="Seoul"/>
    <x v="19"/>
    <x v="3"/>
    <x v="11"/>
    <n v="84"/>
    <n v="4200"/>
    <x v="3"/>
  </r>
  <r>
    <s v="Los Angeles"/>
    <x v="18"/>
    <x v="1"/>
    <x v="7"/>
    <n v="2"/>
    <n v="1420"/>
    <x v="8"/>
  </r>
  <r>
    <s v="Berlin"/>
    <x v="20"/>
    <x v="0"/>
    <x v="0"/>
    <n v="57"/>
    <n v="4218"/>
    <x v="5"/>
  </r>
  <r>
    <s v="Tel Aviv"/>
    <x v="13"/>
    <x v="0"/>
    <x v="11"/>
    <n v="8"/>
    <n v="400"/>
    <x v="2"/>
  </r>
  <r>
    <s v="Los Angeles"/>
    <x v="18"/>
    <x v="1"/>
    <x v="10"/>
    <n v="78"/>
    <n v="16224"/>
    <x v="1"/>
  </r>
  <r>
    <s v="Osaka"/>
    <x v="15"/>
    <x v="3"/>
    <x v="11"/>
    <n v="57"/>
    <n v="2622"/>
    <x v="2"/>
  </r>
  <r>
    <s v="Jerusalem"/>
    <x v="13"/>
    <x v="0"/>
    <x v="6"/>
    <n v="74"/>
    <n v="55056"/>
    <x v="9"/>
  </r>
  <r>
    <s v="Bangkok"/>
    <x v="10"/>
    <x v="3"/>
    <x v="0"/>
    <n v="69"/>
    <n v="5244"/>
    <x v="1"/>
  </r>
  <r>
    <s v="Seoul"/>
    <x v="19"/>
    <x v="3"/>
    <x v="2"/>
    <n v="8"/>
    <n v="1168"/>
    <x v="0"/>
  </r>
  <r>
    <s v="Shanghai"/>
    <x v="5"/>
    <x v="3"/>
    <x v="5"/>
    <n v="50"/>
    <n v="23750"/>
    <x v="5"/>
  </r>
  <r>
    <s v="Madria"/>
    <x v="28"/>
    <x v="0"/>
    <x v="0"/>
    <n v="95"/>
    <n v="6460"/>
    <x v="5"/>
  </r>
  <r>
    <s v="Bucharest"/>
    <x v="32"/>
    <x v="0"/>
    <x v="8"/>
    <n v="43"/>
    <n v="21500"/>
    <x v="3"/>
  </r>
  <r>
    <s v="Vienna"/>
    <x v="29"/>
    <x v="0"/>
    <x v="10"/>
    <n v="92"/>
    <n v="22356"/>
    <x v="2"/>
  </r>
  <r>
    <s v="Sao Paolo"/>
    <x v="2"/>
    <x v="2"/>
    <x v="7"/>
    <n v="28"/>
    <n v="14000"/>
    <x v="1"/>
  </r>
  <r>
    <s v="Mexico City"/>
    <x v="7"/>
    <x v="2"/>
    <x v="7"/>
    <n v="7"/>
    <n v="4900"/>
    <x v="6"/>
  </r>
  <r>
    <s v="Dubai"/>
    <x v="33"/>
    <x v="0"/>
    <x v="0"/>
    <n v="43"/>
    <n v="2494"/>
    <x v="1"/>
  </r>
  <r>
    <s v="Amsterdam"/>
    <x v="24"/>
    <x v="0"/>
    <x v="6"/>
    <n v="27"/>
    <n v="17928"/>
    <x v="2"/>
  </r>
  <r>
    <s v="London"/>
    <x v="8"/>
    <x v="0"/>
    <x v="9"/>
    <n v="40"/>
    <n v="2760"/>
    <x v="9"/>
  </r>
  <r>
    <s v="Tijuana"/>
    <x v="7"/>
    <x v="2"/>
    <x v="11"/>
    <n v="75"/>
    <n v="3750"/>
    <x v="5"/>
  </r>
  <r>
    <s v="Kuala Lumpur"/>
    <x v="31"/>
    <x v="3"/>
    <x v="0"/>
    <n v="44"/>
    <n v="3300"/>
    <x v="9"/>
  </r>
  <r>
    <s v="Moscow"/>
    <x v="0"/>
    <x v="0"/>
    <x v="0"/>
    <n v="69"/>
    <n v="5244"/>
    <x v="7"/>
  </r>
  <r>
    <s v="Bangalore"/>
    <x v="11"/>
    <x v="3"/>
    <x v="10"/>
    <n v="7"/>
    <n v="1330"/>
    <x v="7"/>
  </r>
  <r>
    <s v="Madria"/>
    <x v="28"/>
    <x v="0"/>
    <x v="7"/>
    <n v="53"/>
    <n v="34450"/>
    <x v="10"/>
  </r>
  <r>
    <s v="Shanghai"/>
    <x v="5"/>
    <x v="3"/>
    <x v="0"/>
    <n v="5"/>
    <n v="290"/>
    <x v="8"/>
  </r>
  <r>
    <s v="Shenzhen"/>
    <x v="5"/>
    <x v="3"/>
    <x v="10"/>
    <n v="21"/>
    <n v="4935"/>
    <x v="10"/>
  </r>
  <r>
    <s v="Dublin"/>
    <x v="25"/>
    <x v="0"/>
    <x v="5"/>
    <n v="24"/>
    <n v="10560"/>
    <x v="2"/>
  </r>
  <r>
    <s v="Berlin"/>
    <x v="20"/>
    <x v="0"/>
    <x v="11"/>
    <n v="42"/>
    <n v="1932"/>
    <x v="11"/>
  </r>
  <r>
    <s v="San Fransisco"/>
    <x v="18"/>
    <x v="1"/>
    <x v="9"/>
    <n v="74"/>
    <n v="4662"/>
    <x v="0"/>
  </r>
  <r>
    <s v="Buenos Aires"/>
    <x v="27"/>
    <x v="2"/>
    <x v="2"/>
    <n v="48"/>
    <n v="6144"/>
    <x v="2"/>
  </r>
  <r>
    <s v="Bangkok"/>
    <x v="10"/>
    <x v="3"/>
    <x v="2"/>
    <n v="4"/>
    <n v="600"/>
    <x v="8"/>
  </r>
  <r>
    <s v="Moscow"/>
    <x v="0"/>
    <x v="0"/>
    <x v="5"/>
    <n v="13"/>
    <n v="6305"/>
    <x v="9"/>
  </r>
  <r>
    <s v="Athens"/>
    <x v="14"/>
    <x v="0"/>
    <x v="10"/>
    <n v="66"/>
    <n v="15180"/>
    <x v="7"/>
  </r>
  <r>
    <s v="Birmingham"/>
    <x v="8"/>
    <x v="0"/>
    <x v="9"/>
    <n v="100"/>
    <n v="6200"/>
    <x v="6"/>
  </r>
  <r>
    <s v="Bangkok"/>
    <x v="10"/>
    <x v="3"/>
    <x v="1"/>
    <n v="97"/>
    <n v="64505"/>
    <x v="4"/>
  </r>
  <r>
    <s v="Kansas City"/>
    <x v="18"/>
    <x v="1"/>
    <x v="3"/>
    <n v="87"/>
    <n v="4350"/>
    <x v="11"/>
  </r>
  <r>
    <s v="Dublin"/>
    <x v="25"/>
    <x v="0"/>
    <x v="0"/>
    <n v="43"/>
    <n v="2408"/>
    <x v="0"/>
  </r>
  <r>
    <s v="Prague"/>
    <x v="16"/>
    <x v="0"/>
    <x v="9"/>
    <n v="7"/>
    <n v="455"/>
    <x v="0"/>
  </r>
  <r>
    <s v="Santiago"/>
    <x v="34"/>
    <x v="2"/>
    <x v="3"/>
    <n v="38"/>
    <n v="1634"/>
    <x v="7"/>
  </r>
  <r>
    <s v="Delhi"/>
    <x v="11"/>
    <x v="3"/>
    <x v="2"/>
    <n v="56"/>
    <n v="7056"/>
    <x v="11"/>
  </r>
  <r>
    <s v="Shanghai"/>
    <x v="5"/>
    <x v="3"/>
    <x v="5"/>
    <n v="67"/>
    <n v="24120"/>
    <x v="10"/>
  </r>
  <r>
    <s v="Buenos Aires"/>
    <x v="27"/>
    <x v="2"/>
    <x v="0"/>
    <n v="6"/>
    <n v="426"/>
    <x v="6"/>
  </r>
  <r>
    <s v="Kansas City"/>
    <x v="18"/>
    <x v="1"/>
    <x v="4"/>
    <n v="89"/>
    <n v="2581"/>
    <x v="10"/>
  </r>
  <r>
    <s v="Warsaw"/>
    <x v="23"/>
    <x v="0"/>
    <x v="10"/>
    <n v="55"/>
    <n v="13640"/>
    <x v="8"/>
  </r>
  <r>
    <s v="Tokyo"/>
    <x v="15"/>
    <x v="3"/>
    <x v="4"/>
    <n v="90"/>
    <n v="2430"/>
    <x v="11"/>
  </r>
  <r>
    <s v="Paris"/>
    <x v="21"/>
    <x v="0"/>
    <x v="9"/>
    <n v="3"/>
    <n v="198"/>
    <x v="3"/>
  </r>
  <r>
    <s v="Toronto"/>
    <x v="1"/>
    <x v="1"/>
    <x v="3"/>
    <n v="89"/>
    <n v="4450"/>
    <x v="6"/>
  </r>
  <r>
    <s v="Rome"/>
    <x v="22"/>
    <x v="0"/>
    <x v="7"/>
    <n v="92"/>
    <n v="63480"/>
    <x v="7"/>
  </r>
  <r>
    <s v="Kansas City"/>
    <x v="18"/>
    <x v="1"/>
    <x v="2"/>
    <n v="56"/>
    <n v="8400"/>
    <x v="7"/>
  </r>
  <r>
    <s v="Bangalore"/>
    <x v="11"/>
    <x v="3"/>
    <x v="1"/>
    <n v="57"/>
    <n v="31920"/>
    <x v="3"/>
  </r>
  <r>
    <s v="Mexico City"/>
    <x v="7"/>
    <x v="2"/>
    <x v="8"/>
    <n v="2"/>
    <n v="990"/>
    <x v="2"/>
  </r>
  <r>
    <s v="Chicago"/>
    <x v="18"/>
    <x v="1"/>
    <x v="4"/>
    <n v="83"/>
    <n v="2490"/>
    <x v="10"/>
  </r>
  <r>
    <s v="Sydney"/>
    <x v="4"/>
    <x v="3"/>
    <x v="2"/>
    <n v="48"/>
    <n v="6336"/>
    <x v="8"/>
  </r>
  <r>
    <s v="Lima"/>
    <x v="6"/>
    <x v="2"/>
    <x v="5"/>
    <n v="59"/>
    <n v="25075"/>
    <x v="8"/>
  </r>
  <r>
    <s v="Dubai"/>
    <x v="33"/>
    <x v="0"/>
    <x v="7"/>
    <n v="22"/>
    <n v="17380"/>
    <x v="8"/>
  </r>
  <r>
    <s v="Istanbul"/>
    <x v="3"/>
    <x v="0"/>
    <x v="7"/>
    <n v="64"/>
    <n v="62720"/>
    <x v="0"/>
  </r>
  <r>
    <s v="Tel Aviv"/>
    <x v="13"/>
    <x v="0"/>
    <x v="5"/>
    <n v="11"/>
    <n v="3795"/>
    <x v="1"/>
  </r>
  <r>
    <s v="Istanbul"/>
    <x v="3"/>
    <x v="0"/>
    <x v="11"/>
    <n v="31"/>
    <n v="1364"/>
    <x v="11"/>
  </r>
  <r>
    <s v="Mexico City"/>
    <x v="7"/>
    <x v="2"/>
    <x v="11"/>
    <n v="62"/>
    <n v="2666"/>
    <x v="10"/>
  </r>
  <r>
    <s v="Kuala Lumpur"/>
    <x v="31"/>
    <x v="3"/>
    <x v="4"/>
    <n v="9"/>
    <n v="261"/>
    <x v="1"/>
  </r>
  <r>
    <s v="Kuala Lumpur"/>
    <x v="31"/>
    <x v="3"/>
    <x v="4"/>
    <n v="15"/>
    <n v="435"/>
    <x v="0"/>
  </r>
  <r>
    <s v="Chicago"/>
    <x v="18"/>
    <x v="1"/>
    <x v="1"/>
    <n v="6"/>
    <n v="4200"/>
    <x v="6"/>
  </r>
  <r>
    <s v="London"/>
    <x v="8"/>
    <x v="0"/>
    <x v="10"/>
    <n v="47"/>
    <n v="11186"/>
    <x v="9"/>
  </r>
  <r>
    <s v="Riyadh"/>
    <x v="9"/>
    <x v="0"/>
    <x v="5"/>
    <n v="40"/>
    <n v="19400"/>
    <x v="10"/>
  </r>
  <r>
    <s v="New York"/>
    <x v="18"/>
    <x v="1"/>
    <x v="6"/>
    <n v="34"/>
    <n v="15504"/>
    <x v="7"/>
  </r>
  <r>
    <s v="Seattle"/>
    <x v="18"/>
    <x v="1"/>
    <x v="9"/>
    <n v="85"/>
    <n v="5610"/>
    <x v="3"/>
  </r>
  <r>
    <s v="London"/>
    <x v="8"/>
    <x v="0"/>
    <x v="4"/>
    <n v="6"/>
    <n v="180"/>
    <x v="4"/>
  </r>
  <r>
    <s v="Seoul"/>
    <x v="19"/>
    <x v="3"/>
    <x v="4"/>
    <n v="61"/>
    <n v="1769"/>
    <x v="5"/>
  </r>
  <r>
    <s v="Paris"/>
    <x v="21"/>
    <x v="0"/>
    <x v="9"/>
    <n v="62"/>
    <n v="3844"/>
    <x v="4"/>
  </r>
  <r>
    <s v="Kansas City"/>
    <x v="18"/>
    <x v="1"/>
    <x v="8"/>
    <n v="39"/>
    <n v="19500"/>
    <x v="4"/>
  </r>
  <r>
    <s v="Toronto"/>
    <x v="1"/>
    <x v="1"/>
    <x v="11"/>
    <n v="23"/>
    <n v="1035"/>
    <x v="4"/>
  </r>
  <r>
    <s v="Madria"/>
    <x v="28"/>
    <x v="0"/>
    <x v="1"/>
    <n v="100"/>
    <n v="62300"/>
    <x v="2"/>
  </r>
  <r>
    <s v="Delhi"/>
    <x v="11"/>
    <x v="3"/>
    <x v="8"/>
    <n v="44"/>
    <n v="21560"/>
    <x v="3"/>
  </r>
  <r>
    <s v="Prague"/>
    <x v="16"/>
    <x v="0"/>
    <x v="11"/>
    <n v="85"/>
    <n v="1870"/>
    <x v="0"/>
  </r>
  <r>
    <s v="Bogota"/>
    <x v="26"/>
    <x v="2"/>
    <x v="2"/>
    <n v="28"/>
    <n v="3612"/>
    <x v="0"/>
  </r>
  <r>
    <s v="Birmingham"/>
    <x v="8"/>
    <x v="0"/>
    <x v="0"/>
    <n v="76"/>
    <n v="5928"/>
    <x v="3"/>
  </r>
  <r>
    <s v="Berlin"/>
    <x v="20"/>
    <x v="0"/>
    <x v="10"/>
    <n v="98"/>
    <n v="20384"/>
    <x v="7"/>
  </r>
  <r>
    <s v="Capetown"/>
    <x v="17"/>
    <x v="0"/>
    <x v="11"/>
    <n v="27"/>
    <n v="999"/>
    <x v="7"/>
  </r>
  <r>
    <s v="Santiago"/>
    <x v="34"/>
    <x v="2"/>
    <x v="2"/>
    <n v="74"/>
    <n v="10582"/>
    <x v="10"/>
  </r>
  <r>
    <s v="Toronto"/>
    <x v="1"/>
    <x v="1"/>
    <x v="11"/>
    <n v="64"/>
    <n v="2944"/>
    <x v="7"/>
  </r>
  <r>
    <s v="Bogota"/>
    <x v="26"/>
    <x v="2"/>
    <x v="4"/>
    <n v="39"/>
    <n v="1131"/>
    <x v="11"/>
  </r>
  <r>
    <s v="Kuala Lumpur"/>
    <x v="31"/>
    <x v="3"/>
    <x v="11"/>
    <n v="97"/>
    <n v="4268"/>
    <x v="3"/>
  </r>
  <r>
    <s v="Athens"/>
    <x v="14"/>
    <x v="0"/>
    <x v="4"/>
    <n v="90"/>
    <n v="2610"/>
    <x v="6"/>
  </r>
  <r>
    <s v="Paris"/>
    <x v="21"/>
    <x v="0"/>
    <x v="6"/>
    <n v="16"/>
    <n v="11520"/>
    <x v="1"/>
  </r>
  <r>
    <s v="Bogota"/>
    <x v="26"/>
    <x v="2"/>
    <x v="5"/>
    <n v="73"/>
    <n v="31390"/>
    <x v="7"/>
  </r>
  <r>
    <s v="Madria"/>
    <x v="28"/>
    <x v="0"/>
    <x v="4"/>
    <n v="36"/>
    <n v="1044"/>
    <x v="1"/>
  </r>
  <r>
    <s v="Warsaw"/>
    <x v="23"/>
    <x v="0"/>
    <x v="9"/>
    <n v="91"/>
    <n v="4823"/>
    <x v="10"/>
  </r>
  <r>
    <s v="Seattle"/>
    <x v="18"/>
    <x v="1"/>
    <x v="11"/>
    <n v="20"/>
    <n v="820"/>
    <x v="11"/>
  </r>
  <r>
    <s v="Chicago"/>
    <x v="18"/>
    <x v="1"/>
    <x v="6"/>
    <n v="9"/>
    <n v="5400"/>
    <x v="11"/>
  </r>
  <r>
    <s v="Riyadh"/>
    <x v="9"/>
    <x v="0"/>
    <x v="2"/>
    <n v="87"/>
    <n v="12441"/>
    <x v="6"/>
  </r>
  <r>
    <s v="Tokyo"/>
    <x v="15"/>
    <x v="3"/>
    <x v="5"/>
    <n v="46"/>
    <n v="22080"/>
    <x v="4"/>
  </r>
  <r>
    <s v="Birmingham"/>
    <x v="8"/>
    <x v="0"/>
    <x v="8"/>
    <n v="49"/>
    <n v="24255"/>
    <x v="7"/>
  </r>
  <r>
    <s v="Bucharest"/>
    <x v="32"/>
    <x v="0"/>
    <x v="2"/>
    <n v="64"/>
    <n v="9408"/>
    <x v="0"/>
  </r>
  <r>
    <s v="Berlin"/>
    <x v="20"/>
    <x v="0"/>
    <x v="11"/>
    <n v="78"/>
    <n v="3822"/>
    <x v="8"/>
  </r>
  <r>
    <s v="Warsaw"/>
    <x v="23"/>
    <x v="0"/>
    <x v="0"/>
    <n v="17"/>
    <n v="1173"/>
    <x v="11"/>
  </r>
  <r>
    <s v="Athens"/>
    <x v="14"/>
    <x v="0"/>
    <x v="4"/>
    <n v="2"/>
    <n v="52"/>
    <x v="9"/>
  </r>
  <r>
    <s v="Paris"/>
    <x v="21"/>
    <x v="0"/>
    <x v="6"/>
    <n v="39"/>
    <n v="23088"/>
    <x v="10"/>
  </r>
  <r>
    <s v="Shenzhen"/>
    <x v="5"/>
    <x v="3"/>
    <x v="1"/>
    <n v="30"/>
    <n v="16800"/>
    <x v="7"/>
  </r>
  <r>
    <s v="Bogota"/>
    <x v="26"/>
    <x v="2"/>
    <x v="11"/>
    <n v="39"/>
    <n v="1755"/>
    <x v="6"/>
  </r>
  <r>
    <s v="Ho Chi Minh City"/>
    <x v="12"/>
    <x v="3"/>
    <x v="9"/>
    <n v="73"/>
    <n v="4891"/>
    <x v="2"/>
  </r>
  <r>
    <s v="Tokyo"/>
    <x v="15"/>
    <x v="3"/>
    <x v="10"/>
    <n v="48"/>
    <n v="11520"/>
    <x v="6"/>
  </r>
  <r>
    <s v="Lima"/>
    <x v="6"/>
    <x v="2"/>
    <x v="3"/>
    <n v="71"/>
    <n v="3266"/>
    <x v="6"/>
  </r>
  <r>
    <s v="Rome"/>
    <x v="22"/>
    <x v="0"/>
    <x v="10"/>
    <n v="38"/>
    <n v="9120"/>
    <x v="8"/>
  </r>
  <r>
    <s v="Bogota"/>
    <x v="26"/>
    <x v="2"/>
    <x v="10"/>
    <n v="10"/>
    <n v="2200"/>
    <x v="10"/>
  </r>
  <r>
    <s v="Tel Aviv"/>
    <x v="13"/>
    <x v="0"/>
    <x v="3"/>
    <n v="35"/>
    <n v="1190"/>
    <x v="6"/>
  </r>
  <r>
    <s v="Sao Paolo"/>
    <x v="2"/>
    <x v="2"/>
    <x v="8"/>
    <n v="92"/>
    <n v="45080"/>
    <x v="8"/>
  </r>
  <r>
    <s v="Bangalore"/>
    <x v="11"/>
    <x v="3"/>
    <x v="6"/>
    <n v="100"/>
    <n v="60800"/>
    <x v="8"/>
  </r>
  <r>
    <s v="Seattle"/>
    <x v="18"/>
    <x v="1"/>
    <x v="4"/>
    <n v="89"/>
    <n v="2581"/>
    <x v="11"/>
  </r>
  <r>
    <s v="Toronto"/>
    <x v="1"/>
    <x v="1"/>
    <x v="10"/>
    <n v="53"/>
    <n v="12455"/>
    <x v="8"/>
  </r>
  <r>
    <s v="Amsterdam"/>
    <x v="24"/>
    <x v="0"/>
    <x v="5"/>
    <n v="43"/>
    <n v="19995"/>
    <x v="0"/>
  </r>
  <r>
    <s v="Buenos Aires"/>
    <x v="27"/>
    <x v="2"/>
    <x v="2"/>
    <n v="49"/>
    <n v="6860"/>
    <x v="11"/>
  </r>
  <r>
    <s v="Buenos Aires"/>
    <x v="27"/>
    <x v="2"/>
    <x v="1"/>
    <n v="30"/>
    <n v="19740"/>
    <x v="11"/>
  </r>
  <r>
    <s v="Sao Paolo"/>
    <x v="2"/>
    <x v="2"/>
    <x v="7"/>
    <n v="50"/>
    <n v="30000"/>
    <x v="0"/>
  </r>
  <r>
    <s v="Mexico City"/>
    <x v="7"/>
    <x v="2"/>
    <x v="11"/>
    <n v="21"/>
    <n v="924"/>
    <x v="3"/>
  </r>
  <r>
    <s v="Kansas City"/>
    <x v="18"/>
    <x v="1"/>
    <x v="6"/>
    <n v="1"/>
    <n v="544"/>
    <x v="7"/>
  </r>
  <r>
    <s v="New York"/>
    <x v="18"/>
    <x v="1"/>
    <x v="9"/>
    <n v="90"/>
    <n v="6120"/>
    <x v="5"/>
  </r>
  <r>
    <s v="Seoul"/>
    <x v="19"/>
    <x v="3"/>
    <x v="3"/>
    <n v="60"/>
    <n v="3000"/>
    <x v="4"/>
  </r>
  <r>
    <s v="Vienna"/>
    <x v="29"/>
    <x v="0"/>
    <x v="2"/>
    <n v="93"/>
    <n v="12555"/>
    <x v="2"/>
  </r>
  <r>
    <s v="London"/>
    <x v="8"/>
    <x v="0"/>
    <x v="11"/>
    <n v="72"/>
    <n v="3600"/>
    <x v="10"/>
  </r>
  <r>
    <s v="Delhi"/>
    <x v="11"/>
    <x v="3"/>
    <x v="3"/>
    <n v="24"/>
    <n v="792"/>
    <x v="8"/>
  </r>
  <r>
    <s v="Kuala Lumpur"/>
    <x v="31"/>
    <x v="3"/>
    <x v="3"/>
    <n v="62"/>
    <n v="2852"/>
    <x v="6"/>
  </r>
  <r>
    <s v="Prague"/>
    <x v="16"/>
    <x v="0"/>
    <x v="5"/>
    <n v="38"/>
    <n v="14060"/>
    <x v="5"/>
  </r>
  <r>
    <s v="Kuala Lumpur"/>
    <x v="31"/>
    <x v="3"/>
    <x v="1"/>
    <n v="58"/>
    <n v="25984"/>
    <x v="2"/>
  </r>
  <r>
    <s v="Bangalore"/>
    <x v="11"/>
    <x v="3"/>
    <x v="3"/>
    <n v="91"/>
    <n v="4368"/>
    <x v="8"/>
  </r>
  <r>
    <s v="Bogota"/>
    <x v="26"/>
    <x v="2"/>
    <x v="8"/>
    <n v="75"/>
    <n v="36750"/>
    <x v="2"/>
  </r>
  <r>
    <s v="Moscow"/>
    <x v="0"/>
    <x v="0"/>
    <x v="11"/>
    <n v="79"/>
    <n v="3871"/>
    <x v="7"/>
  </r>
  <r>
    <s v="Seoul"/>
    <x v="19"/>
    <x v="3"/>
    <x v="6"/>
    <n v="47"/>
    <n v="28952"/>
    <x v="11"/>
  </r>
  <r>
    <s v="Lima"/>
    <x v="6"/>
    <x v="2"/>
    <x v="3"/>
    <n v="1"/>
    <n v="46"/>
    <x v="10"/>
  </r>
  <r>
    <s v="New York"/>
    <x v="18"/>
    <x v="1"/>
    <x v="0"/>
    <n v="4"/>
    <n v="280"/>
    <x v="5"/>
  </r>
  <r>
    <s v="Athens"/>
    <x v="14"/>
    <x v="0"/>
    <x v="5"/>
    <n v="73"/>
    <n v="35770"/>
    <x v="5"/>
  </r>
  <r>
    <s v="Athens"/>
    <x v="14"/>
    <x v="0"/>
    <x v="10"/>
    <n v="69"/>
    <n v="13110"/>
    <x v="6"/>
  </r>
  <r>
    <s v="Capetown"/>
    <x v="17"/>
    <x v="0"/>
    <x v="0"/>
    <n v="40"/>
    <n v="2720"/>
    <x v="11"/>
  </r>
  <r>
    <s v="Kuala Lumpur"/>
    <x v="31"/>
    <x v="3"/>
    <x v="3"/>
    <n v="56"/>
    <n v="2576"/>
    <x v="4"/>
  </r>
  <r>
    <s v="Vienna"/>
    <x v="29"/>
    <x v="0"/>
    <x v="1"/>
    <n v="88"/>
    <n v="50512"/>
    <x v="10"/>
  </r>
  <r>
    <s v="Kuala Lumpur"/>
    <x v="31"/>
    <x v="3"/>
    <x v="0"/>
    <n v="85"/>
    <n v="6290"/>
    <x v="1"/>
  </r>
  <r>
    <s v="Tijuana"/>
    <x v="7"/>
    <x v="2"/>
    <x v="11"/>
    <n v="16"/>
    <n v="704"/>
    <x v="10"/>
  </r>
  <r>
    <s v="Seoul"/>
    <x v="19"/>
    <x v="3"/>
    <x v="4"/>
    <n v="92"/>
    <n v="2760"/>
    <x v="3"/>
  </r>
  <r>
    <s v="Prague"/>
    <x v="16"/>
    <x v="0"/>
    <x v="8"/>
    <n v="98"/>
    <n v="49000"/>
    <x v="4"/>
  </r>
  <r>
    <s v="New York"/>
    <x v="18"/>
    <x v="1"/>
    <x v="3"/>
    <n v="88"/>
    <n v="4136"/>
    <x v="2"/>
  </r>
  <r>
    <s v="Tel Aviv"/>
    <x v="13"/>
    <x v="0"/>
    <x v="3"/>
    <n v="14"/>
    <n v="644"/>
    <x v="1"/>
  </r>
  <r>
    <s v="Kansas City"/>
    <x v="18"/>
    <x v="1"/>
    <x v="3"/>
    <n v="58"/>
    <n v="2552"/>
    <x v="11"/>
  </r>
  <r>
    <s v="Sao Paolo"/>
    <x v="2"/>
    <x v="2"/>
    <x v="5"/>
    <n v="97"/>
    <n v="34435"/>
    <x v="6"/>
  </r>
  <r>
    <s v="Kansas City"/>
    <x v="18"/>
    <x v="1"/>
    <x v="5"/>
    <n v="54"/>
    <n v="26730"/>
    <x v="10"/>
  </r>
  <r>
    <s v="Buenos Aires"/>
    <x v="27"/>
    <x v="2"/>
    <x v="0"/>
    <n v="49"/>
    <n v="2989"/>
    <x v="11"/>
  </r>
  <r>
    <s v="Prague"/>
    <x v="16"/>
    <x v="0"/>
    <x v="8"/>
    <n v="72"/>
    <n v="35640"/>
    <x v="5"/>
  </r>
  <r>
    <s v="Riyadh"/>
    <x v="9"/>
    <x v="0"/>
    <x v="11"/>
    <n v="39"/>
    <n v="1872"/>
    <x v="5"/>
  </r>
  <r>
    <s v="Amsterdam"/>
    <x v="24"/>
    <x v="0"/>
    <x v="6"/>
    <n v="70"/>
    <n v="36400"/>
    <x v="2"/>
  </r>
  <r>
    <s v="Kuala Lumpur"/>
    <x v="31"/>
    <x v="3"/>
    <x v="8"/>
    <n v="48"/>
    <n v="23520"/>
    <x v="3"/>
  </r>
  <r>
    <s v="Tijuana"/>
    <x v="7"/>
    <x v="2"/>
    <x v="1"/>
    <n v="5"/>
    <n v="3185"/>
    <x v="4"/>
  </r>
  <r>
    <s v="Vienna"/>
    <x v="29"/>
    <x v="0"/>
    <x v="10"/>
    <n v="19"/>
    <n v="3857"/>
    <x v="0"/>
  </r>
  <r>
    <s v="Tel Aviv"/>
    <x v="13"/>
    <x v="0"/>
    <x v="5"/>
    <n v="55"/>
    <n v="27500"/>
    <x v="8"/>
  </r>
  <r>
    <s v="Rome"/>
    <x v="22"/>
    <x v="0"/>
    <x v="4"/>
    <n v="74"/>
    <n v="1480"/>
    <x v="9"/>
  </r>
  <r>
    <s v="Seattle"/>
    <x v="18"/>
    <x v="1"/>
    <x v="8"/>
    <n v="15"/>
    <n v="7500"/>
    <x v="1"/>
  </r>
  <r>
    <s v="Guangzhou"/>
    <x v="5"/>
    <x v="3"/>
    <x v="7"/>
    <n v="57"/>
    <n v="51870"/>
    <x v="7"/>
  </r>
  <r>
    <s v="Warsaw"/>
    <x v="23"/>
    <x v="0"/>
    <x v="7"/>
    <n v="67"/>
    <n v="64320"/>
    <x v="2"/>
  </r>
  <r>
    <s v="Kuala Lumpur"/>
    <x v="31"/>
    <x v="3"/>
    <x v="7"/>
    <n v="16"/>
    <n v="8640"/>
    <x v="4"/>
  </r>
  <r>
    <s v="San Fransisco"/>
    <x v="18"/>
    <x v="1"/>
    <x v="3"/>
    <n v="30"/>
    <n v="1470"/>
    <x v="1"/>
  </r>
  <r>
    <s v="Prague"/>
    <x v="16"/>
    <x v="0"/>
    <x v="3"/>
    <n v="50"/>
    <n v="2350"/>
    <x v="4"/>
  </r>
  <r>
    <s v="Riyadh"/>
    <x v="9"/>
    <x v="0"/>
    <x v="1"/>
    <n v="44"/>
    <n v="22484"/>
    <x v="2"/>
  </r>
  <r>
    <s v="Vienna"/>
    <x v="29"/>
    <x v="0"/>
    <x v="6"/>
    <n v="79"/>
    <n v="54352"/>
    <x v="11"/>
  </r>
  <r>
    <s v="Birmingham"/>
    <x v="8"/>
    <x v="0"/>
    <x v="6"/>
    <n v="62"/>
    <n v="40176"/>
    <x v="3"/>
  </r>
  <r>
    <s v="Dublin"/>
    <x v="25"/>
    <x v="0"/>
    <x v="4"/>
    <n v="47"/>
    <n v="1410"/>
    <x v="7"/>
  </r>
  <r>
    <s v="Buenos Aires"/>
    <x v="27"/>
    <x v="2"/>
    <x v="10"/>
    <n v="67"/>
    <n v="15410"/>
    <x v="6"/>
  </r>
  <r>
    <s v="Toronto"/>
    <x v="1"/>
    <x v="1"/>
    <x v="11"/>
    <n v="62"/>
    <n v="2914"/>
    <x v="5"/>
  </r>
  <r>
    <s v="Vienna"/>
    <x v="29"/>
    <x v="0"/>
    <x v="4"/>
    <n v="46"/>
    <n v="1150"/>
    <x v="7"/>
  </r>
  <r>
    <s v="Dublin"/>
    <x v="25"/>
    <x v="0"/>
    <x v="9"/>
    <n v="4"/>
    <n v="268"/>
    <x v="11"/>
  </r>
  <r>
    <s v="Warsaw"/>
    <x v="23"/>
    <x v="0"/>
    <x v="7"/>
    <n v="31"/>
    <n v="29140"/>
    <x v="7"/>
  </r>
  <r>
    <s v="Los Angeles"/>
    <x v="18"/>
    <x v="1"/>
    <x v="5"/>
    <n v="10"/>
    <n v="4800"/>
    <x v="11"/>
  </r>
  <r>
    <s v="Prague"/>
    <x v="16"/>
    <x v="0"/>
    <x v="9"/>
    <n v="6"/>
    <n v="408"/>
    <x v="10"/>
  </r>
  <r>
    <s v="Capetown"/>
    <x v="17"/>
    <x v="0"/>
    <x v="2"/>
    <n v="84"/>
    <n v="12348"/>
    <x v="0"/>
  </r>
  <r>
    <s v="Warsaw"/>
    <x v="23"/>
    <x v="0"/>
    <x v="0"/>
    <n v="42"/>
    <n v="3108"/>
    <x v="0"/>
  </r>
  <r>
    <s v="New York"/>
    <x v="18"/>
    <x v="1"/>
    <x v="8"/>
    <n v="80"/>
    <n v="39200"/>
    <x v="4"/>
  </r>
  <r>
    <s v="Bogota"/>
    <x v="26"/>
    <x v="2"/>
    <x v="8"/>
    <n v="76"/>
    <n v="37240"/>
    <x v="7"/>
  </r>
  <r>
    <s v="Seoul"/>
    <x v="19"/>
    <x v="3"/>
    <x v="9"/>
    <n v="86"/>
    <n v="6020"/>
    <x v="1"/>
  </r>
  <r>
    <s v="Athens"/>
    <x v="14"/>
    <x v="0"/>
    <x v="8"/>
    <n v="63"/>
    <n v="31500"/>
    <x v="5"/>
  </r>
  <r>
    <s v="Ho Chi Minh City"/>
    <x v="12"/>
    <x v="3"/>
    <x v="1"/>
    <n v="25"/>
    <n v="15750"/>
    <x v="11"/>
  </r>
  <r>
    <s v="Prague"/>
    <x v="16"/>
    <x v="0"/>
    <x v="3"/>
    <n v="67"/>
    <n v="3216"/>
    <x v="0"/>
  </r>
  <r>
    <s v="Madria"/>
    <x v="28"/>
    <x v="0"/>
    <x v="6"/>
    <n v="4"/>
    <n v="2944"/>
    <x v="11"/>
  </r>
  <r>
    <s v="Berlin"/>
    <x v="20"/>
    <x v="0"/>
    <x v="6"/>
    <n v="14"/>
    <n v="10976"/>
    <x v="2"/>
  </r>
  <r>
    <s v="Rome"/>
    <x v="22"/>
    <x v="0"/>
    <x v="10"/>
    <n v="95"/>
    <n v="21850"/>
    <x v="0"/>
  </r>
  <r>
    <s v="Shenzhen"/>
    <x v="5"/>
    <x v="3"/>
    <x v="9"/>
    <n v="47"/>
    <n v="2914"/>
    <x v="5"/>
  </r>
  <r>
    <s v="Sao Paolo"/>
    <x v="2"/>
    <x v="2"/>
    <x v="10"/>
    <n v="51"/>
    <n v="9843"/>
    <x v="4"/>
  </r>
  <r>
    <s v="Ho Chi Minh City"/>
    <x v="12"/>
    <x v="3"/>
    <x v="8"/>
    <n v="53"/>
    <n v="26235"/>
    <x v="2"/>
  </r>
  <r>
    <s v="Rome"/>
    <x v="22"/>
    <x v="0"/>
    <x v="6"/>
    <n v="36"/>
    <n v="28224"/>
    <x v="6"/>
  </r>
  <r>
    <s v="Bogota"/>
    <x v="26"/>
    <x v="2"/>
    <x v="0"/>
    <n v="44"/>
    <n v="2640"/>
    <x v="8"/>
  </r>
  <r>
    <s v="Berlin"/>
    <x v="20"/>
    <x v="0"/>
    <x v="10"/>
    <n v="76"/>
    <n v="17860"/>
    <x v="5"/>
  </r>
  <r>
    <s v="Tel Aviv"/>
    <x v="13"/>
    <x v="0"/>
    <x v="10"/>
    <n v="70"/>
    <n v="15960"/>
    <x v="8"/>
  </r>
  <r>
    <s v="Paris"/>
    <x v="21"/>
    <x v="0"/>
    <x v="0"/>
    <n v="14"/>
    <n v="952"/>
    <x v="9"/>
  </r>
  <r>
    <s v="Berlin"/>
    <x v="20"/>
    <x v="0"/>
    <x v="9"/>
    <n v="10"/>
    <n v="640"/>
    <x v="0"/>
  </r>
  <r>
    <s v="Moscow"/>
    <x v="0"/>
    <x v="0"/>
    <x v="6"/>
    <n v="27"/>
    <n v="15552"/>
    <x v="9"/>
  </r>
  <r>
    <s v="London"/>
    <x v="8"/>
    <x v="0"/>
    <x v="3"/>
    <n v="76"/>
    <n v="3648"/>
    <x v="4"/>
  </r>
  <r>
    <s v="Bucharest"/>
    <x v="32"/>
    <x v="0"/>
    <x v="10"/>
    <n v="5"/>
    <n v="1240"/>
    <x v="6"/>
  </r>
  <r>
    <s v="Bangalore"/>
    <x v="11"/>
    <x v="3"/>
    <x v="1"/>
    <n v="18"/>
    <n v="10206"/>
    <x v="8"/>
  </r>
  <r>
    <s v="Delhi"/>
    <x v="11"/>
    <x v="3"/>
    <x v="6"/>
    <n v="71"/>
    <n v="33512"/>
    <x v="0"/>
  </r>
  <r>
    <s v="Kuala Lumpur"/>
    <x v="31"/>
    <x v="3"/>
    <x v="1"/>
    <n v="9"/>
    <n v="5355"/>
    <x v="0"/>
  </r>
  <r>
    <s v="Seoul"/>
    <x v="19"/>
    <x v="3"/>
    <x v="4"/>
    <n v="78"/>
    <n v="2262"/>
    <x v="2"/>
  </r>
  <r>
    <s v="Prague"/>
    <x v="16"/>
    <x v="0"/>
    <x v="11"/>
    <n v="25"/>
    <n v="900"/>
    <x v="5"/>
  </r>
  <r>
    <s v="Birmingham"/>
    <x v="8"/>
    <x v="0"/>
    <x v="3"/>
    <n v="47"/>
    <n v="1457"/>
    <x v="10"/>
  </r>
  <r>
    <s v="Jerusalem"/>
    <x v="13"/>
    <x v="0"/>
    <x v="9"/>
    <n v="96"/>
    <n v="6528"/>
    <x v="3"/>
  </r>
  <r>
    <s v="New York"/>
    <x v="18"/>
    <x v="1"/>
    <x v="1"/>
    <n v="21"/>
    <n v="14112"/>
    <x v="6"/>
  </r>
  <r>
    <s v="Guangzhou"/>
    <x v="5"/>
    <x v="3"/>
    <x v="10"/>
    <n v="60"/>
    <n v="14400"/>
    <x v="5"/>
  </r>
  <r>
    <s v="Capetown"/>
    <x v="17"/>
    <x v="0"/>
    <x v="6"/>
    <n v="60"/>
    <n v="41760"/>
    <x v="6"/>
  </r>
  <r>
    <s v="Ho Chi Minh City"/>
    <x v="12"/>
    <x v="3"/>
    <x v="1"/>
    <n v="62"/>
    <n v="37324"/>
    <x v="5"/>
  </r>
  <r>
    <s v="Madria"/>
    <x v="28"/>
    <x v="0"/>
    <x v="3"/>
    <n v="77"/>
    <n v="3311"/>
    <x v="9"/>
  </r>
  <r>
    <s v="Sao Paolo"/>
    <x v="2"/>
    <x v="2"/>
    <x v="9"/>
    <n v="62"/>
    <n v="2604"/>
    <x v="1"/>
  </r>
  <r>
    <s v="Dublin"/>
    <x v="25"/>
    <x v="0"/>
    <x v="4"/>
    <n v="91"/>
    <n v="2730"/>
    <x v="4"/>
  </r>
  <r>
    <s v="Cairo"/>
    <x v="30"/>
    <x v="0"/>
    <x v="1"/>
    <n v="96"/>
    <n v="59808"/>
    <x v="10"/>
  </r>
  <r>
    <s v="Bangalore"/>
    <x v="11"/>
    <x v="3"/>
    <x v="0"/>
    <n v="71"/>
    <n v="5396"/>
    <x v="1"/>
  </r>
  <r>
    <s v="Tijuana"/>
    <x v="7"/>
    <x v="2"/>
    <x v="9"/>
    <n v="64"/>
    <n v="2880"/>
    <x v="2"/>
  </r>
  <r>
    <s v="Guangzhou"/>
    <x v="5"/>
    <x v="3"/>
    <x v="6"/>
    <n v="6"/>
    <n v="4320"/>
    <x v="0"/>
  </r>
  <r>
    <s v="Los Angeles"/>
    <x v="18"/>
    <x v="1"/>
    <x v="9"/>
    <n v="42"/>
    <n v="2646"/>
    <x v="0"/>
  </r>
  <r>
    <s v="London"/>
    <x v="8"/>
    <x v="0"/>
    <x v="2"/>
    <n v="7"/>
    <n v="1050"/>
    <x v="10"/>
  </r>
  <r>
    <s v="Jerusalem"/>
    <x v="13"/>
    <x v="0"/>
    <x v="8"/>
    <n v="24"/>
    <n v="11760"/>
    <x v="11"/>
  </r>
  <r>
    <s v="Bucharest"/>
    <x v="32"/>
    <x v="0"/>
    <x v="5"/>
    <n v="19"/>
    <n v="9500"/>
    <x v="11"/>
  </r>
  <r>
    <s v="Bangalore"/>
    <x v="11"/>
    <x v="3"/>
    <x v="10"/>
    <n v="16"/>
    <n v="3600"/>
    <x v="3"/>
  </r>
  <r>
    <s v="Guangzhou"/>
    <x v="5"/>
    <x v="3"/>
    <x v="3"/>
    <n v="35"/>
    <n v="1505"/>
    <x v="11"/>
  </r>
  <r>
    <s v="Amsterdam"/>
    <x v="24"/>
    <x v="0"/>
    <x v="11"/>
    <n v="3"/>
    <n v="141"/>
    <x v="7"/>
  </r>
  <r>
    <s v="Shanghai"/>
    <x v="5"/>
    <x v="3"/>
    <x v="7"/>
    <n v="98"/>
    <n v="85260"/>
    <x v="4"/>
  </r>
  <r>
    <s v="Sydney"/>
    <x v="4"/>
    <x v="3"/>
    <x v="6"/>
    <n v="29"/>
    <n v="13224"/>
    <x v="0"/>
  </r>
  <r>
    <s v="Delhi"/>
    <x v="11"/>
    <x v="3"/>
    <x v="1"/>
    <n v="78"/>
    <n v="40950"/>
    <x v="0"/>
  </r>
  <r>
    <s v="Bangalore"/>
    <x v="11"/>
    <x v="3"/>
    <x v="9"/>
    <n v="3"/>
    <n v="189"/>
    <x v="3"/>
  </r>
  <r>
    <s v="Kansas City"/>
    <x v="18"/>
    <x v="1"/>
    <x v="4"/>
    <n v="38"/>
    <n v="988"/>
    <x v="2"/>
  </r>
  <r>
    <s v="Chicago"/>
    <x v="18"/>
    <x v="1"/>
    <x v="5"/>
    <n v="62"/>
    <n v="31000"/>
    <x v="7"/>
  </r>
  <r>
    <s v="Dublin"/>
    <x v="25"/>
    <x v="0"/>
    <x v="4"/>
    <n v="49"/>
    <n v="1421"/>
    <x v="4"/>
  </r>
  <r>
    <s v="Kansas City"/>
    <x v="18"/>
    <x v="1"/>
    <x v="4"/>
    <n v="56"/>
    <n v="1288"/>
    <x v="7"/>
  </r>
  <r>
    <s v="Kuala Lumpur"/>
    <x v="31"/>
    <x v="3"/>
    <x v="8"/>
    <n v="2"/>
    <n v="990"/>
    <x v="11"/>
  </r>
  <r>
    <s v="Osaka"/>
    <x v="15"/>
    <x v="3"/>
    <x v="5"/>
    <n v="1"/>
    <n v="480"/>
    <x v="11"/>
  </r>
  <r>
    <s v="Prague"/>
    <x v="16"/>
    <x v="0"/>
    <x v="7"/>
    <n v="65"/>
    <n v="60450"/>
    <x v="2"/>
  </r>
  <r>
    <s v="Athens"/>
    <x v="14"/>
    <x v="0"/>
    <x v="2"/>
    <n v="70"/>
    <n v="7700"/>
    <x v="4"/>
  </r>
  <r>
    <s v="San Fransisco"/>
    <x v="18"/>
    <x v="1"/>
    <x v="7"/>
    <n v="56"/>
    <n v="50960"/>
    <x v="7"/>
  </r>
  <r>
    <s v="Tel Aviv"/>
    <x v="13"/>
    <x v="0"/>
    <x v="9"/>
    <n v="36"/>
    <n v="2484"/>
    <x v="1"/>
  </r>
  <r>
    <s v="Moscow"/>
    <x v="0"/>
    <x v="0"/>
    <x v="1"/>
    <n v="80"/>
    <n v="53200"/>
    <x v="10"/>
  </r>
  <r>
    <s v="Riyadh"/>
    <x v="9"/>
    <x v="0"/>
    <x v="2"/>
    <n v="68"/>
    <n v="9724"/>
    <x v="6"/>
  </r>
  <r>
    <s v="Osaka"/>
    <x v="15"/>
    <x v="3"/>
    <x v="1"/>
    <n v="17"/>
    <n v="11424"/>
    <x v="2"/>
  </r>
  <r>
    <s v="Kansas City"/>
    <x v="18"/>
    <x v="1"/>
    <x v="3"/>
    <n v="76"/>
    <n v="3420"/>
    <x v="7"/>
  </r>
  <r>
    <s v="Bucharest"/>
    <x v="32"/>
    <x v="0"/>
    <x v="9"/>
    <n v="24"/>
    <n v="1608"/>
    <x v="2"/>
  </r>
  <r>
    <s v="Delhi"/>
    <x v="11"/>
    <x v="3"/>
    <x v="11"/>
    <n v="30"/>
    <n v="1140"/>
    <x v="10"/>
  </r>
  <r>
    <s v="Tijuana"/>
    <x v="7"/>
    <x v="2"/>
    <x v="8"/>
    <n v="22"/>
    <n v="10890"/>
    <x v="11"/>
  </r>
  <r>
    <s v="Mexico City"/>
    <x v="7"/>
    <x v="2"/>
    <x v="11"/>
    <n v="57"/>
    <n v="2451"/>
    <x v="1"/>
  </r>
  <r>
    <s v="Capetown"/>
    <x v="17"/>
    <x v="0"/>
    <x v="7"/>
    <n v="58"/>
    <n v="53940"/>
    <x v="0"/>
  </r>
  <r>
    <s v="Los Angeles"/>
    <x v="18"/>
    <x v="1"/>
    <x v="8"/>
    <n v="88"/>
    <n v="43120"/>
    <x v="2"/>
  </r>
  <r>
    <s v="Guangzhou"/>
    <x v="5"/>
    <x v="3"/>
    <x v="1"/>
    <n v="98"/>
    <n v="64484"/>
    <x v="10"/>
  </r>
  <r>
    <s v="Kuala Lumpur"/>
    <x v="31"/>
    <x v="3"/>
    <x v="3"/>
    <n v="25"/>
    <n v="1175"/>
    <x v="1"/>
  </r>
  <r>
    <s v="Lima"/>
    <x v="6"/>
    <x v="2"/>
    <x v="10"/>
    <n v="12"/>
    <n v="2640"/>
    <x v="7"/>
  </r>
  <r>
    <s v="Ho Chi Minh City"/>
    <x v="12"/>
    <x v="3"/>
    <x v="7"/>
    <n v="15"/>
    <n v="7800"/>
    <x v="2"/>
  </r>
  <r>
    <s v="Riyadh"/>
    <x v="9"/>
    <x v="0"/>
    <x v="7"/>
    <n v="53"/>
    <n v="51940"/>
    <x v="7"/>
  </r>
  <r>
    <s v="Sydney"/>
    <x v="4"/>
    <x v="3"/>
    <x v="8"/>
    <n v="10"/>
    <n v="4950"/>
    <x v="4"/>
  </r>
  <r>
    <s v="Sydney"/>
    <x v="4"/>
    <x v="3"/>
    <x v="1"/>
    <n v="57"/>
    <n v="31122"/>
    <x v="0"/>
  </r>
  <r>
    <s v="Tel Aviv"/>
    <x v="13"/>
    <x v="0"/>
    <x v="1"/>
    <n v="95"/>
    <n v="65835"/>
    <x v="5"/>
  </r>
  <r>
    <s v="Tokyo"/>
    <x v="15"/>
    <x v="3"/>
    <x v="3"/>
    <n v="56"/>
    <n v="2520"/>
    <x v="9"/>
  </r>
  <r>
    <s v="Bangalore"/>
    <x v="11"/>
    <x v="3"/>
    <x v="1"/>
    <n v="95"/>
    <n v="56525"/>
    <x v="11"/>
  </r>
  <r>
    <s v="Dubai"/>
    <x v="33"/>
    <x v="0"/>
    <x v="4"/>
    <n v="92"/>
    <n v="2668"/>
    <x v="6"/>
  </r>
  <r>
    <s v="Paris"/>
    <x v="21"/>
    <x v="0"/>
    <x v="4"/>
    <n v="90"/>
    <n v="2700"/>
    <x v="9"/>
  </r>
  <r>
    <s v="Delhi"/>
    <x v="11"/>
    <x v="3"/>
    <x v="4"/>
    <n v="86"/>
    <n v="1978"/>
    <x v="10"/>
  </r>
  <r>
    <s v="Vienna"/>
    <x v="29"/>
    <x v="0"/>
    <x v="0"/>
    <n v="53"/>
    <n v="3869"/>
    <x v="4"/>
  </r>
  <r>
    <s v="Amsterdam"/>
    <x v="24"/>
    <x v="0"/>
    <x v="7"/>
    <n v="15"/>
    <n v="14700"/>
    <x v="1"/>
  </r>
  <r>
    <s v="Birmingham"/>
    <x v="8"/>
    <x v="0"/>
    <x v="2"/>
    <n v="84"/>
    <n v="12600"/>
    <x v="9"/>
  </r>
  <r>
    <s v="Osaka"/>
    <x v="15"/>
    <x v="3"/>
    <x v="9"/>
    <n v="14"/>
    <n v="448"/>
    <x v="10"/>
  </r>
  <r>
    <s v="Dublin"/>
    <x v="25"/>
    <x v="0"/>
    <x v="1"/>
    <n v="8"/>
    <n v="5600"/>
    <x v="4"/>
  </r>
  <r>
    <s v="Capetown"/>
    <x v="17"/>
    <x v="0"/>
    <x v="4"/>
    <n v="70"/>
    <n v="1820"/>
    <x v="1"/>
  </r>
  <r>
    <s v="Sydney"/>
    <x v="4"/>
    <x v="3"/>
    <x v="6"/>
    <n v="79"/>
    <n v="49296"/>
    <x v="4"/>
  </r>
  <r>
    <s v="Kansas City"/>
    <x v="18"/>
    <x v="1"/>
    <x v="6"/>
    <n v="89"/>
    <n v="49840"/>
    <x v="1"/>
  </r>
  <r>
    <s v="Warsaw"/>
    <x v="23"/>
    <x v="0"/>
    <x v="7"/>
    <n v="19"/>
    <n v="18430"/>
    <x v="10"/>
  </r>
  <r>
    <s v="Sao Paolo"/>
    <x v="2"/>
    <x v="2"/>
    <x v="0"/>
    <n v="91"/>
    <n v="6370"/>
    <x v="10"/>
  </r>
  <r>
    <s v="Delhi"/>
    <x v="11"/>
    <x v="3"/>
    <x v="6"/>
    <n v="54"/>
    <n v="25920"/>
    <x v="9"/>
  </r>
  <r>
    <s v="Birmingham"/>
    <x v="8"/>
    <x v="0"/>
    <x v="5"/>
    <n v="90"/>
    <n v="40950"/>
    <x v="1"/>
  </r>
  <r>
    <s v="Tokyo"/>
    <x v="15"/>
    <x v="3"/>
    <x v="9"/>
    <n v="81"/>
    <n v="5589"/>
    <x v="8"/>
  </r>
  <r>
    <s v="Sydney"/>
    <x v="4"/>
    <x v="3"/>
    <x v="9"/>
    <n v="8"/>
    <n v="504"/>
    <x v="6"/>
  </r>
  <r>
    <s v="Dublin"/>
    <x v="25"/>
    <x v="0"/>
    <x v="3"/>
    <n v="37"/>
    <n v="1406"/>
    <x v="10"/>
  </r>
  <r>
    <s v="Paris"/>
    <x v="21"/>
    <x v="0"/>
    <x v="10"/>
    <n v="36"/>
    <n v="7200"/>
    <x v="3"/>
  </r>
  <r>
    <s v="Osaka"/>
    <x v="15"/>
    <x v="3"/>
    <x v="9"/>
    <n v="31"/>
    <n v="2139"/>
    <x v="1"/>
  </r>
  <r>
    <s v="Tijuana"/>
    <x v="7"/>
    <x v="2"/>
    <x v="4"/>
    <n v="66"/>
    <n v="1716"/>
    <x v="5"/>
  </r>
  <r>
    <s v="Moscow"/>
    <x v="0"/>
    <x v="0"/>
    <x v="4"/>
    <n v="40"/>
    <n v="1200"/>
    <x v="7"/>
  </r>
  <r>
    <s v="Prague"/>
    <x v="16"/>
    <x v="0"/>
    <x v="11"/>
    <n v="4"/>
    <n v="184"/>
    <x v="5"/>
  </r>
  <r>
    <s v="Dublin"/>
    <x v="25"/>
    <x v="0"/>
    <x v="8"/>
    <n v="55"/>
    <n v="27500"/>
    <x v="4"/>
  </r>
  <r>
    <s v="Amsterdam"/>
    <x v="24"/>
    <x v="0"/>
    <x v="1"/>
    <n v="16"/>
    <n v="10864"/>
    <x v="10"/>
  </r>
  <r>
    <s v="Capetown"/>
    <x v="17"/>
    <x v="0"/>
    <x v="1"/>
    <n v="12"/>
    <n v="7560"/>
    <x v="4"/>
  </r>
  <r>
    <s v="Toronto"/>
    <x v="1"/>
    <x v="1"/>
    <x v="9"/>
    <n v="1"/>
    <n v="65"/>
    <x v="9"/>
  </r>
  <r>
    <s v="Delhi"/>
    <x v="11"/>
    <x v="3"/>
    <x v="8"/>
    <n v="3"/>
    <n v="1500"/>
    <x v="8"/>
  </r>
  <r>
    <s v="Dubai"/>
    <x v="33"/>
    <x v="0"/>
    <x v="10"/>
    <n v="30"/>
    <n v="6000"/>
    <x v="11"/>
  </r>
  <r>
    <s v="Berlin"/>
    <x v="20"/>
    <x v="0"/>
    <x v="8"/>
    <n v="100"/>
    <n v="49000"/>
    <x v="3"/>
  </r>
  <r>
    <s v="Buenos Aires"/>
    <x v="27"/>
    <x v="2"/>
    <x v="4"/>
    <n v="9"/>
    <n v="270"/>
    <x v="2"/>
  </r>
  <r>
    <s v="Seattle"/>
    <x v="18"/>
    <x v="1"/>
    <x v="9"/>
    <n v="10"/>
    <n v="550"/>
    <x v="7"/>
  </r>
  <r>
    <s v="Rome"/>
    <x v="22"/>
    <x v="0"/>
    <x v="11"/>
    <n v="24"/>
    <n v="1008"/>
    <x v="4"/>
  </r>
  <r>
    <s v="Tokyo"/>
    <x v="15"/>
    <x v="3"/>
    <x v="4"/>
    <n v="44"/>
    <n v="1144"/>
    <x v="5"/>
  </r>
  <r>
    <s v="Madria"/>
    <x v="28"/>
    <x v="0"/>
    <x v="9"/>
    <n v="71"/>
    <n v="3763"/>
    <x v="7"/>
  </r>
  <r>
    <s v="Riyadh"/>
    <x v="9"/>
    <x v="0"/>
    <x v="8"/>
    <n v="86"/>
    <n v="42140"/>
    <x v="9"/>
  </r>
  <r>
    <s v="Warsaw"/>
    <x v="23"/>
    <x v="0"/>
    <x v="4"/>
    <n v="19"/>
    <n v="494"/>
    <x v="1"/>
  </r>
  <r>
    <s v="Kuala Lumpur"/>
    <x v="31"/>
    <x v="3"/>
    <x v="0"/>
    <n v="12"/>
    <n v="636"/>
    <x v="9"/>
  </r>
  <r>
    <s v="Santiago"/>
    <x v="34"/>
    <x v="2"/>
    <x v="6"/>
    <n v="43"/>
    <n v="26488"/>
    <x v="6"/>
  </r>
  <r>
    <s v="Toronto"/>
    <x v="1"/>
    <x v="1"/>
    <x v="10"/>
    <n v="56"/>
    <n v="12600"/>
    <x v="1"/>
  </r>
  <r>
    <s v="Santiago"/>
    <x v="34"/>
    <x v="2"/>
    <x v="10"/>
    <n v="49"/>
    <n v="10535"/>
    <x v="9"/>
  </r>
  <r>
    <s v="Shenzhen"/>
    <x v="5"/>
    <x v="3"/>
    <x v="6"/>
    <n v="21"/>
    <n v="14952"/>
    <x v="5"/>
  </r>
  <r>
    <s v="Kansas City"/>
    <x v="18"/>
    <x v="1"/>
    <x v="3"/>
    <n v="43"/>
    <n v="1978"/>
    <x v="0"/>
  </r>
  <r>
    <s v="Bogota"/>
    <x v="26"/>
    <x v="2"/>
    <x v="7"/>
    <n v="12"/>
    <n v="11520"/>
    <x v="8"/>
  </r>
  <r>
    <s v="Buenos Aires"/>
    <x v="27"/>
    <x v="2"/>
    <x v="10"/>
    <n v="79"/>
    <n v="19197"/>
    <x v="2"/>
  </r>
  <r>
    <s v="Seoul"/>
    <x v="19"/>
    <x v="3"/>
    <x v="1"/>
    <n v="9"/>
    <n v="5985"/>
    <x v="6"/>
  </r>
  <r>
    <s v="Bangkok"/>
    <x v="10"/>
    <x v="3"/>
    <x v="4"/>
    <n v="94"/>
    <n v="2820"/>
    <x v="7"/>
  </r>
  <r>
    <s v="Sao Paolo"/>
    <x v="2"/>
    <x v="2"/>
    <x v="5"/>
    <n v="75"/>
    <n v="26250"/>
    <x v="6"/>
  </r>
  <r>
    <s v="Delhi"/>
    <x v="11"/>
    <x v="3"/>
    <x v="4"/>
    <n v="91"/>
    <n v="2548"/>
    <x v="10"/>
  </r>
  <r>
    <s v="Chicago"/>
    <x v="18"/>
    <x v="1"/>
    <x v="10"/>
    <n v="96"/>
    <n v="23520"/>
    <x v="4"/>
  </r>
  <r>
    <s v="Jerusalem"/>
    <x v="13"/>
    <x v="0"/>
    <x v="2"/>
    <n v="51"/>
    <n v="7293"/>
    <x v="8"/>
  </r>
  <r>
    <s v="Kuala Lumpur"/>
    <x v="31"/>
    <x v="3"/>
    <x v="11"/>
    <n v="67"/>
    <n v="3283"/>
    <x v="3"/>
  </r>
  <r>
    <s v="Shenzhen"/>
    <x v="5"/>
    <x v="3"/>
    <x v="3"/>
    <n v="85"/>
    <n v="4250"/>
    <x v="1"/>
  </r>
  <r>
    <s v="Bangkok"/>
    <x v="10"/>
    <x v="3"/>
    <x v="7"/>
    <n v="55"/>
    <n v="51700"/>
    <x v="8"/>
  </r>
  <r>
    <s v="Berlin"/>
    <x v="20"/>
    <x v="0"/>
    <x v="6"/>
    <n v="46"/>
    <n v="22080"/>
    <x v="10"/>
  </r>
  <r>
    <s v="Madria"/>
    <x v="28"/>
    <x v="0"/>
    <x v="10"/>
    <n v="69"/>
    <n v="13662"/>
    <x v="0"/>
  </r>
  <r>
    <s v="Amsterdam"/>
    <x v="24"/>
    <x v="0"/>
    <x v="2"/>
    <n v="66"/>
    <n v="8646"/>
    <x v="6"/>
  </r>
  <r>
    <s v="Bogota"/>
    <x v="26"/>
    <x v="2"/>
    <x v="7"/>
    <n v="51"/>
    <n v="37230"/>
    <x v="4"/>
  </r>
  <r>
    <s v="Berlin"/>
    <x v="20"/>
    <x v="0"/>
    <x v="6"/>
    <n v="32"/>
    <n v="18688"/>
    <x v="5"/>
  </r>
  <r>
    <s v="San Fransisco"/>
    <x v="18"/>
    <x v="1"/>
    <x v="2"/>
    <n v="61"/>
    <n v="7808"/>
    <x v="3"/>
  </r>
  <r>
    <s v="London"/>
    <x v="8"/>
    <x v="0"/>
    <x v="7"/>
    <n v="77"/>
    <n v="77000"/>
    <x v="5"/>
  </r>
  <r>
    <s v="Paris"/>
    <x v="21"/>
    <x v="0"/>
    <x v="3"/>
    <n v="26"/>
    <n v="1222"/>
    <x v="4"/>
  </r>
  <r>
    <s v="Tel Aviv"/>
    <x v="13"/>
    <x v="0"/>
    <x v="2"/>
    <n v="82"/>
    <n v="11808"/>
    <x v="8"/>
  </r>
  <r>
    <s v="Riyadh"/>
    <x v="9"/>
    <x v="0"/>
    <x v="4"/>
    <n v="16"/>
    <n v="464"/>
    <x v="10"/>
  </r>
  <r>
    <s v="Los Angeles"/>
    <x v="18"/>
    <x v="1"/>
    <x v="3"/>
    <n v="10"/>
    <n v="440"/>
    <x v="4"/>
  </r>
  <r>
    <s v="Tokyo"/>
    <x v="15"/>
    <x v="3"/>
    <x v="5"/>
    <n v="75"/>
    <n v="26250"/>
    <x v="10"/>
  </r>
  <r>
    <s v="Prague"/>
    <x v="16"/>
    <x v="0"/>
    <x v="11"/>
    <n v="85"/>
    <n v="3570"/>
    <x v="6"/>
  </r>
  <r>
    <s v="Kuala Lumpur"/>
    <x v="31"/>
    <x v="3"/>
    <x v="10"/>
    <n v="61"/>
    <n v="13420"/>
    <x v="5"/>
  </r>
  <r>
    <s v="Athens"/>
    <x v="14"/>
    <x v="0"/>
    <x v="5"/>
    <n v="78"/>
    <n v="37830"/>
    <x v="6"/>
  </r>
  <r>
    <s v="San Fransisco"/>
    <x v="18"/>
    <x v="1"/>
    <x v="1"/>
    <n v="95"/>
    <n v="63840"/>
    <x v="6"/>
  </r>
  <r>
    <s v="Prague"/>
    <x v="16"/>
    <x v="0"/>
    <x v="1"/>
    <n v="65"/>
    <n v="40950"/>
    <x v="7"/>
  </r>
  <r>
    <s v="Sydney"/>
    <x v="4"/>
    <x v="3"/>
    <x v="6"/>
    <n v="32"/>
    <n v="22016"/>
    <x v="11"/>
  </r>
  <r>
    <s v="Shanghai"/>
    <x v="5"/>
    <x v="3"/>
    <x v="3"/>
    <n v="43"/>
    <n v="2064"/>
    <x v="7"/>
  </r>
  <r>
    <s v="London"/>
    <x v="8"/>
    <x v="0"/>
    <x v="9"/>
    <n v="64"/>
    <n v="4288"/>
    <x v="7"/>
  </r>
  <r>
    <s v="Dublin"/>
    <x v="25"/>
    <x v="0"/>
    <x v="5"/>
    <n v="65"/>
    <n v="30550"/>
    <x v="4"/>
  </r>
  <r>
    <s v="Amsterdam"/>
    <x v="24"/>
    <x v="0"/>
    <x v="10"/>
    <n v="100"/>
    <n v="24300"/>
    <x v="6"/>
  </r>
  <r>
    <s v="New York"/>
    <x v="18"/>
    <x v="1"/>
    <x v="6"/>
    <n v="82"/>
    <n v="45264"/>
    <x v="0"/>
  </r>
  <r>
    <s v="Amsterdam"/>
    <x v="24"/>
    <x v="0"/>
    <x v="8"/>
    <n v="1"/>
    <n v="490"/>
    <x v="11"/>
  </r>
  <r>
    <s v="Lima"/>
    <x v="6"/>
    <x v="2"/>
    <x v="0"/>
    <n v="83"/>
    <n v="5395"/>
    <x v="9"/>
  </r>
  <r>
    <s v="Vienna"/>
    <x v="29"/>
    <x v="0"/>
    <x v="11"/>
    <n v="26"/>
    <n v="1118"/>
    <x v="1"/>
  </r>
  <r>
    <s v="New York"/>
    <x v="18"/>
    <x v="1"/>
    <x v="6"/>
    <n v="64"/>
    <n v="39424"/>
    <x v="2"/>
  </r>
  <r>
    <s v="Buenos Aires"/>
    <x v="27"/>
    <x v="2"/>
    <x v="8"/>
    <n v="38"/>
    <n v="18620"/>
    <x v="2"/>
  </r>
  <r>
    <s v="Delhi"/>
    <x v="11"/>
    <x v="3"/>
    <x v="4"/>
    <n v="53"/>
    <n v="1378"/>
    <x v="7"/>
  </r>
  <r>
    <s v="Paris"/>
    <x v="21"/>
    <x v="0"/>
    <x v="11"/>
    <n v="54"/>
    <n v="2592"/>
    <x v="11"/>
  </r>
  <r>
    <s v="Delhi"/>
    <x v="11"/>
    <x v="3"/>
    <x v="6"/>
    <n v="82"/>
    <n v="49856"/>
    <x v="9"/>
  </r>
  <r>
    <s v="Shanghai"/>
    <x v="5"/>
    <x v="3"/>
    <x v="7"/>
    <n v="96"/>
    <n v="65280"/>
    <x v="1"/>
  </r>
  <r>
    <s v="Seattle"/>
    <x v="18"/>
    <x v="1"/>
    <x v="8"/>
    <n v="43"/>
    <n v="21500"/>
    <x v="0"/>
  </r>
  <r>
    <s v="Riyadh"/>
    <x v="9"/>
    <x v="0"/>
    <x v="1"/>
    <n v="82"/>
    <n v="37884"/>
    <x v="6"/>
  </r>
  <r>
    <s v="Capetown"/>
    <x v="17"/>
    <x v="0"/>
    <x v="0"/>
    <n v="50"/>
    <n v="3450"/>
    <x v="1"/>
  </r>
  <r>
    <s v="Dublin"/>
    <x v="25"/>
    <x v="0"/>
    <x v="9"/>
    <n v="11"/>
    <n v="517"/>
    <x v="1"/>
  </r>
  <r>
    <s v="Moscow"/>
    <x v="0"/>
    <x v="0"/>
    <x v="5"/>
    <n v="66"/>
    <n v="32340"/>
    <x v="7"/>
  </r>
  <r>
    <s v="Bangkok"/>
    <x v="10"/>
    <x v="3"/>
    <x v="8"/>
    <n v="69"/>
    <n v="33810"/>
    <x v="0"/>
  </r>
  <r>
    <s v="Osaka"/>
    <x v="15"/>
    <x v="3"/>
    <x v="0"/>
    <n v="80"/>
    <n v="6400"/>
    <x v="2"/>
  </r>
  <r>
    <s v="Berlin"/>
    <x v="20"/>
    <x v="0"/>
    <x v="0"/>
    <n v="18"/>
    <n v="1368"/>
    <x v="1"/>
  </r>
  <r>
    <s v="Madria"/>
    <x v="28"/>
    <x v="0"/>
    <x v="1"/>
    <n v="53"/>
    <n v="36358"/>
    <x v="2"/>
  </r>
  <r>
    <s v="Amsterdam"/>
    <x v="24"/>
    <x v="0"/>
    <x v="10"/>
    <n v="31"/>
    <n v="6913"/>
    <x v="1"/>
  </r>
  <r>
    <s v="Osaka"/>
    <x v="15"/>
    <x v="3"/>
    <x v="10"/>
    <n v="83"/>
    <n v="14940"/>
    <x v="3"/>
  </r>
  <r>
    <s v="Bogota"/>
    <x v="26"/>
    <x v="2"/>
    <x v="2"/>
    <n v="1"/>
    <n v="146"/>
    <x v="3"/>
  </r>
  <r>
    <s v="Bogota"/>
    <x v="26"/>
    <x v="2"/>
    <x v="10"/>
    <n v="36"/>
    <n v="8460"/>
    <x v="7"/>
  </r>
  <r>
    <s v="Athens"/>
    <x v="14"/>
    <x v="0"/>
    <x v="6"/>
    <n v="6"/>
    <n v="2640"/>
    <x v="5"/>
  </r>
  <r>
    <s v="Bangalore"/>
    <x v="11"/>
    <x v="3"/>
    <x v="4"/>
    <n v="38"/>
    <n v="1064"/>
    <x v="5"/>
  </r>
  <r>
    <s v="Sao Paolo"/>
    <x v="2"/>
    <x v="2"/>
    <x v="10"/>
    <n v="10"/>
    <n v="2130"/>
    <x v="1"/>
  </r>
  <r>
    <s v="Seattle"/>
    <x v="18"/>
    <x v="1"/>
    <x v="1"/>
    <n v="19"/>
    <n v="12635"/>
    <x v="4"/>
  </r>
  <r>
    <s v="Bangalore"/>
    <x v="11"/>
    <x v="3"/>
    <x v="8"/>
    <n v="70"/>
    <n v="34650"/>
    <x v="1"/>
  </r>
  <r>
    <s v="Capetown"/>
    <x v="17"/>
    <x v="0"/>
    <x v="9"/>
    <n v="13"/>
    <n v="871"/>
    <x v="2"/>
  </r>
  <r>
    <s v="Vienna"/>
    <x v="29"/>
    <x v="0"/>
    <x v="8"/>
    <n v="33"/>
    <n v="16170"/>
    <x v="3"/>
  </r>
  <r>
    <s v="New York"/>
    <x v="18"/>
    <x v="1"/>
    <x v="8"/>
    <n v="66"/>
    <n v="32670"/>
    <x v="4"/>
  </r>
  <r>
    <s v="New York"/>
    <x v="18"/>
    <x v="1"/>
    <x v="1"/>
    <n v="85"/>
    <n v="59500"/>
    <x v="8"/>
  </r>
  <r>
    <s v="Riyadh"/>
    <x v="9"/>
    <x v="0"/>
    <x v="11"/>
    <n v="86"/>
    <n v="3698"/>
    <x v="1"/>
  </r>
  <r>
    <s v="Toronto"/>
    <x v="1"/>
    <x v="1"/>
    <x v="6"/>
    <n v="49"/>
    <n v="30184"/>
    <x v="4"/>
  </r>
  <r>
    <s v="Kansas City"/>
    <x v="18"/>
    <x v="1"/>
    <x v="10"/>
    <n v="93"/>
    <n v="22785"/>
    <x v="0"/>
  </r>
  <r>
    <s v="Tel Aviv"/>
    <x v="13"/>
    <x v="0"/>
    <x v="10"/>
    <n v="87"/>
    <n v="19401"/>
    <x v="0"/>
  </r>
  <r>
    <s v="Amsterdam"/>
    <x v="24"/>
    <x v="0"/>
    <x v="0"/>
    <n v="42"/>
    <n v="3066"/>
    <x v="4"/>
  </r>
  <r>
    <s v="Capetown"/>
    <x v="17"/>
    <x v="0"/>
    <x v="9"/>
    <n v="77"/>
    <n v="5159"/>
    <x v="7"/>
  </r>
  <r>
    <s v="Prague"/>
    <x v="16"/>
    <x v="0"/>
    <x v="4"/>
    <n v="96"/>
    <n v="2880"/>
    <x v="9"/>
  </r>
  <r>
    <s v="Kansas City"/>
    <x v="18"/>
    <x v="1"/>
    <x v="11"/>
    <n v="94"/>
    <n v="4606"/>
    <x v="10"/>
  </r>
  <r>
    <s v="Cairo"/>
    <x v="30"/>
    <x v="0"/>
    <x v="8"/>
    <n v="81"/>
    <n v="40095"/>
    <x v="11"/>
  </r>
  <r>
    <s v="London"/>
    <x v="8"/>
    <x v="0"/>
    <x v="5"/>
    <n v="14"/>
    <n v="6790"/>
    <x v="6"/>
  </r>
  <r>
    <s v="San Fransisco"/>
    <x v="18"/>
    <x v="1"/>
    <x v="2"/>
    <n v="65"/>
    <n v="7540"/>
    <x v="10"/>
  </r>
  <r>
    <s v="Toronto"/>
    <x v="1"/>
    <x v="1"/>
    <x v="1"/>
    <n v="95"/>
    <n v="62510"/>
    <x v="3"/>
  </r>
  <r>
    <s v="Riyadh"/>
    <x v="9"/>
    <x v="0"/>
    <x v="4"/>
    <n v="60"/>
    <n v="1620"/>
    <x v="1"/>
  </r>
  <r>
    <s v="Moscow"/>
    <x v="0"/>
    <x v="0"/>
    <x v="6"/>
    <n v="23"/>
    <n v="13984"/>
    <x v="1"/>
  </r>
  <r>
    <s v="Guangzhou"/>
    <x v="5"/>
    <x v="3"/>
    <x v="3"/>
    <n v="7"/>
    <n v="343"/>
    <x v="1"/>
  </r>
  <r>
    <s v="Bogota"/>
    <x v="26"/>
    <x v="2"/>
    <x v="0"/>
    <n v="68"/>
    <n v="4692"/>
    <x v="11"/>
  </r>
  <r>
    <s v="Kuala Lumpur"/>
    <x v="31"/>
    <x v="3"/>
    <x v="9"/>
    <n v="80"/>
    <n v="5120"/>
    <x v="10"/>
  </r>
  <r>
    <s v="Riyadh"/>
    <x v="9"/>
    <x v="0"/>
    <x v="4"/>
    <n v="58"/>
    <n v="1566"/>
    <x v="6"/>
  </r>
  <r>
    <s v="Prague"/>
    <x v="16"/>
    <x v="0"/>
    <x v="5"/>
    <n v="51"/>
    <n v="25500"/>
    <x v="3"/>
  </r>
  <r>
    <s v="Cairo"/>
    <x v="30"/>
    <x v="0"/>
    <x v="0"/>
    <n v="3"/>
    <n v="180"/>
    <x v="11"/>
  </r>
  <r>
    <s v="Tel Aviv"/>
    <x v="13"/>
    <x v="0"/>
    <x v="1"/>
    <n v="40"/>
    <n v="25480"/>
    <x v="11"/>
  </r>
  <r>
    <s v="Tokyo"/>
    <x v="15"/>
    <x v="3"/>
    <x v="10"/>
    <n v="7"/>
    <n v="1246"/>
    <x v="9"/>
  </r>
  <r>
    <s v="Warsaw"/>
    <x v="23"/>
    <x v="0"/>
    <x v="8"/>
    <n v="84"/>
    <n v="42000"/>
    <x v="5"/>
  </r>
  <r>
    <s v="Jerusalem"/>
    <x v="13"/>
    <x v="0"/>
    <x v="3"/>
    <n v="91"/>
    <n v="4277"/>
    <x v="10"/>
  </r>
  <r>
    <s v="Capetown"/>
    <x v="17"/>
    <x v="0"/>
    <x v="5"/>
    <n v="47"/>
    <n v="19035"/>
    <x v="11"/>
  </r>
  <r>
    <s v="Rome"/>
    <x v="22"/>
    <x v="0"/>
    <x v="10"/>
    <n v="14"/>
    <n v="3430"/>
    <x v="8"/>
  </r>
  <r>
    <s v="Bucharest"/>
    <x v="32"/>
    <x v="0"/>
    <x v="0"/>
    <n v="89"/>
    <n v="6942"/>
    <x v="2"/>
  </r>
  <r>
    <s v="Bogota"/>
    <x v="26"/>
    <x v="2"/>
    <x v="5"/>
    <n v="100"/>
    <n v="34500"/>
    <x v="0"/>
  </r>
  <r>
    <s v="Bogota"/>
    <x v="26"/>
    <x v="2"/>
    <x v="7"/>
    <n v="38"/>
    <n v="22420"/>
    <x v="6"/>
  </r>
  <r>
    <s v="Paris"/>
    <x v="21"/>
    <x v="0"/>
    <x v="10"/>
    <n v="88"/>
    <n v="20944"/>
    <x v="3"/>
  </r>
  <r>
    <s v="Paris"/>
    <x v="21"/>
    <x v="0"/>
    <x v="1"/>
    <n v="91"/>
    <n v="61152"/>
    <x v="11"/>
  </r>
  <r>
    <s v="Paris"/>
    <x v="21"/>
    <x v="0"/>
    <x v="8"/>
    <n v="38"/>
    <n v="19000"/>
    <x v="3"/>
  </r>
  <r>
    <s v="Sydney"/>
    <x v="4"/>
    <x v="3"/>
    <x v="8"/>
    <n v="39"/>
    <n v="19305"/>
    <x v="10"/>
  </r>
  <r>
    <s v="Seoul"/>
    <x v="19"/>
    <x v="3"/>
    <x v="4"/>
    <n v="80"/>
    <n v="2320"/>
    <x v="10"/>
  </r>
  <r>
    <s v="Sydney"/>
    <x v="4"/>
    <x v="3"/>
    <x v="0"/>
    <n v="59"/>
    <n v="3245"/>
    <x v="0"/>
  </r>
  <r>
    <s v="Delhi"/>
    <x v="11"/>
    <x v="3"/>
    <x v="6"/>
    <n v="29"/>
    <n v="17632"/>
    <x v="9"/>
  </r>
  <r>
    <s v="Kansas City"/>
    <x v="18"/>
    <x v="1"/>
    <x v="4"/>
    <n v="26"/>
    <n v="572"/>
    <x v="7"/>
  </r>
  <r>
    <s v="Shenzhen"/>
    <x v="5"/>
    <x v="3"/>
    <x v="0"/>
    <n v="31"/>
    <n v="2139"/>
    <x v="1"/>
  </r>
  <r>
    <s v="Bangalore"/>
    <x v="11"/>
    <x v="3"/>
    <x v="1"/>
    <n v="80"/>
    <n v="53200"/>
    <x v="10"/>
  </r>
  <r>
    <s v="Istanbul"/>
    <x v="3"/>
    <x v="0"/>
    <x v="4"/>
    <n v="1"/>
    <n v="28"/>
    <x v="2"/>
  </r>
  <r>
    <s v="Seattle"/>
    <x v="18"/>
    <x v="1"/>
    <x v="6"/>
    <n v="86"/>
    <n v="39904"/>
    <x v="2"/>
  </r>
  <r>
    <s v="Seattle"/>
    <x v="18"/>
    <x v="1"/>
    <x v="6"/>
    <n v="90"/>
    <n v="52560"/>
    <x v="6"/>
  </r>
  <r>
    <s v="Rome"/>
    <x v="22"/>
    <x v="0"/>
    <x v="1"/>
    <n v="49"/>
    <n v="33614"/>
    <x v="0"/>
  </r>
  <r>
    <s v="Sydney"/>
    <x v="4"/>
    <x v="3"/>
    <x v="10"/>
    <n v="75"/>
    <n v="15975"/>
    <x v="4"/>
  </r>
  <r>
    <s v="Kansas City"/>
    <x v="18"/>
    <x v="1"/>
    <x v="5"/>
    <n v="31"/>
    <n v="14570"/>
    <x v="8"/>
  </r>
  <r>
    <s v="Capetown"/>
    <x v="17"/>
    <x v="0"/>
    <x v="6"/>
    <n v="31"/>
    <n v="20584"/>
    <x v="7"/>
  </r>
  <r>
    <s v="Kuala Lumpur"/>
    <x v="31"/>
    <x v="3"/>
    <x v="8"/>
    <n v="86"/>
    <n v="42570"/>
    <x v="9"/>
  </r>
  <r>
    <s v="Shenzhen"/>
    <x v="5"/>
    <x v="3"/>
    <x v="0"/>
    <n v="8"/>
    <n v="576"/>
    <x v="6"/>
  </r>
  <r>
    <s v="Tokyo"/>
    <x v="15"/>
    <x v="3"/>
    <x v="9"/>
    <n v="8"/>
    <n v="520"/>
    <x v="6"/>
  </r>
  <r>
    <s v="Ho Chi Minh City"/>
    <x v="12"/>
    <x v="3"/>
    <x v="10"/>
    <n v="73"/>
    <n v="11899"/>
    <x v="7"/>
  </r>
  <r>
    <s v="Capetown"/>
    <x v="17"/>
    <x v="0"/>
    <x v="8"/>
    <n v="24"/>
    <n v="12000"/>
    <x v="8"/>
  </r>
  <r>
    <s v="Guangzhou"/>
    <x v="5"/>
    <x v="3"/>
    <x v="1"/>
    <n v="46"/>
    <n v="20608"/>
    <x v="9"/>
  </r>
  <r>
    <s v="Tel Aviv"/>
    <x v="13"/>
    <x v="0"/>
    <x v="6"/>
    <n v="97"/>
    <n v="48112"/>
    <x v="2"/>
  </r>
  <r>
    <s v="Jerusalem"/>
    <x v="13"/>
    <x v="0"/>
    <x v="4"/>
    <n v="88"/>
    <n v="2640"/>
    <x v="8"/>
  </r>
  <r>
    <s v="Chicago"/>
    <x v="18"/>
    <x v="1"/>
    <x v="10"/>
    <n v="14"/>
    <n v="3430"/>
    <x v="7"/>
  </r>
  <r>
    <s v="Toronto"/>
    <x v="1"/>
    <x v="1"/>
    <x v="6"/>
    <n v="64"/>
    <n v="36864"/>
    <x v="0"/>
  </r>
  <r>
    <s v="Santiago"/>
    <x v="34"/>
    <x v="2"/>
    <x v="11"/>
    <n v="13"/>
    <n v="611"/>
    <x v="0"/>
  </r>
  <r>
    <s v="Santiago"/>
    <x v="34"/>
    <x v="2"/>
    <x v="9"/>
    <n v="20"/>
    <n v="1320"/>
    <x v="6"/>
  </r>
  <r>
    <s v="London"/>
    <x v="8"/>
    <x v="0"/>
    <x v="5"/>
    <n v="94"/>
    <n v="45590"/>
    <x v="0"/>
  </r>
  <r>
    <s v="Seoul"/>
    <x v="19"/>
    <x v="3"/>
    <x v="5"/>
    <n v="56"/>
    <n v="27720"/>
    <x v="0"/>
  </r>
  <r>
    <s v="Dubai"/>
    <x v="33"/>
    <x v="0"/>
    <x v="11"/>
    <n v="74"/>
    <n v="3626"/>
    <x v="6"/>
  </r>
  <r>
    <s v="Tel Aviv"/>
    <x v="13"/>
    <x v="0"/>
    <x v="10"/>
    <n v="99"/>
    <n v="22077"/>
    <x v="1"/>
  </r>
  <r>
    <s v="Tijuana"/>
    <x v="7"/>
    <x v="2"/>
    <x v="3"/>
    <n v="95"/>
    <n v="4085"/>
    <x v="5"/>
  </r>
  <r>
    <s v="Bogota"/>
    <x v="26"/>
    <x v="2"/>
    <x v="4"/>
    <n v="68"/>
    <n v="2040"/>
    <x v="5"/>
  </r>
  <r>
    <s v="Lima"/>
    <x v="6"/>
    <x v="2"/>
    <x v="1"/>
    <n v="30"/>
    <n v="20580"/>
    <x v="10"/>
  </r>
  <r>
    <s v="Vienna"/>
    <x v="29"/>
    <x v="0"/>
    <x v="4"/>
    <n v="11"/>
    <n v="264"/>
    <x v="2"/>
  </r>
  <r>
    <s v="Toronto"/>
    <x v="1"/>
    <x v="1"/>
    <x v="10"/>
    <n v="100"/>
    <n v="24300"/>
    <x v="0"/>
  </r>
  <r>
    <s v="Vienna"/>
    <x v="29"/>
    <x v="0"/>
    <x v="2"/>
    <n v="28"/>
    <n v="3920"/>
    <x v="7"/>
  </r>
  <r>
    <s v="Buenos Aires"/>
    <x v="27"/>
    <x v="2"/>
    <x v="2"/>
    <n v="33"/>
    <n v="4125"/>
    <x v="3"/>
  </r>
  <r>
    <s v="Cairo"/>
    <x v="30"/>
    <x v="0"/>
    <x v="7"/>
    <n v="99"/>
    <n v="94050"/>
    <x v="8"/>
  </r>
  <r>
    <s v="Los Angeles"/>
    <x v="18"/>
    <x v="1"/>
    <x v="2"/>
    <n v="5"/>
    <n v="705"/>
    <x v="3"/>
  </r>
  <r>
    <s v="Prague"/>
    <x v="16"/>
    <x v="0"/>
    <x v="2"/>
    <n v="56"/>
    <n v="6384"/>
    <x v="0"/>
  </r>
  <r>
    <s v="Osaka"/>
    <x v="15"/>
    <x v="3"/>
    <x v="10"/>
    <n v="58"/>
    <n v="13340"/>
    <x v="3"/>
  </r>
  <r>
    <s v="Seattle"/>
    <x v="18"/>
    <x v="1"/>
    <x v="11"/>
    <n v="61"/>
    <n v="2501"/>
    <x v="4"/>
  </r>
  <r>
    <s v="Los Angeles"/>
    <x v="18"/>
    <x v="1"/>
    <x v="6"/>
    <n v="3"/>
    <n v="2376"/>
    <x v="2"/>
  </r>
  <r>
    <s v="Buenos Aires"/>
    <x v="27"/>
    <x v="2"/>
    <x v="0"/>
    <n v="9"/>
    <n v="576"/>
    <x v="8"/>
  </r>
  <r>
    <s v="San Fransisco"/>
    <x v="18"/>
    <x v="1"/>
    <x v="0"/>
    <n v="42"/>
    <n v="2604"/>
    <x v="11"/>
  </r>
  <r>
    <s v="Sao Paolo"/>
    <x v="2"/>
    <x v="2"/>
    <x v="8"/>
    <n v="47"/>
    <n v="23265"/>
    <x v="9"/>
  </r>
  <r>
    <s v="Istanbul"/>
    <x v="3"/>
    <x v="0"/>
    <x v="8"/>
    <n v="50"/>
    <n v="25000"/>
    <x v="9"/>
  </r>
  <r>
    <s v="Seoul"/>
    <x v="19"/>
    <x v="3"/>
    <x v="5"/>
    <n v="65"/>
    <n v="32175"/>
    <x v="3"/>
  </r>
  <r>
    <s v="Warsaw"/>
    <x v="23"/>
    <x v="0"/>
    <x v="10"/>
    <n v="19"/>
    <n v="4712"/>
    <x v="8"/>
  </r>
  <r>
    <s v="Bangalore"/>
    <x v="11"/>
    <x v="3"/>
    <x v="6"/>
    <n v="37"/>
    <n v="26344"/>
    <x v="11"/>
  </r>
  <r>
    <s v="Bangkok"/>
    <x v="10"/>
    <x v="3"/>
    <x v="3"/>
    <n v="26"/>
    <n v="1300"/>
    <x v="6"/>
  </r>
  <r>
    <s v="Berlin"/>
    <x v="20"/>
    <x v="0"/>
    <x v="5"/>
    <n v="24"/>
    <n v="11640"/>
    <x v="9"/>
  </r>
  <r>
    <s v="Rome"/>
    <x v="22"/>
    <x v="0"/>
    <x v="8"/>
    <n v="5"/>
    <n v="2500"/>
    <x v="11"/>
  </r>
  <r>
    <s v="Kuala Lumpur"/>
    <x v="31"/>
    <x v="3"/>
    <x v="9"/>
    <n v="55"/>
    <n v="3795"/>
    <x v="2"/>
  </r>
  <r>
    <s v="Moscow"/>
    <x v="0"/>
    <x v="0"/>
    <x v="0"/>
    <n v="10"/>
    <n v="770"/>
    <x v="2"/>
  </r>
  <r>
    <s v="Santiago"/>
    <x v="34"/>
    <x v="2"/>
    <x v="0"/>
    <n v="42"/>
    <n v="3192"/>
    <x v="7"/>
  </r>
  <r>
    <s v="Dublin"/>
    <x v="25"/>
    <x v="0"/>
    <x v="9"/>
    <n v="31"/>
    <n v="2015"/>
    <x v="0"/>
  </r>
  <r>
    <s v="Lima"/>
    <x v="6"/>
    <x v="2"/>
    <x v="3"/>
    <n v="52"/>
    <n v="1924"/>
    <x v="2"/>
  </r>
  <r>
    <s v="Mexico City"/>
    <x v="7"/>
    <x v="2"/>
    <x v="8"/>
    <n v="35"/>
    <n v="17500"/>
    <x v="0"/>
  </r>
  <r>
    <s v="Ho Chi Minh City"/>
    <x v="12"/>
    <x v="3"/>
    <x v="3"/>
    <n v="94"/>
    <n v="4700"/>
    <x v="10"/>
  </r>
  <r>
    <s v="Los Angeles"/>
    <x v="18"/>
    <x v="1"/>
    <x v="0"/>
    <n v="68"/>
    <n v="4964"/>
    <x v="0"/>
  </r>
  <r>
    <s v="Santiago"/>
    <x v="34"/>
    <x v="2"/>
    <x v="1"/>
    <n v="66"/>
    <n v="42042"/>
    <x v="10"/>
  </r>
  <r>
    <s v="Chicago"/>
    <x v="18"/>
    <x v="1"/>
    <x v="10"/>
    <n v="49"/>
    <n v="12152"/>
    <x v="6"/>
  </r>
  <r>
    <s v="Tijuana"/>
    <x v="7"/>
    <x v="2"/>
    <x v="5"/>
    <n v="15"/>
    <n v="7125"/>
    <x v="8"/>
  </r>
  <r>
    <s v="Tijuana"/>
    <x v="7"/>
    <x v="2"/>
    <x v="11"/>
    <n v="43"/>
    <n v="1720"/>
    <x v="5"/>
  </r>
  <r>
    <s v="Shenzhen"/>
    <x v="5"/>
    <x v="3"/>
    <x v="6"/>
    <n v="86"/>
    <n v="43344"/>
    <x v="5"/>
  </r>
  <r>
    <s v="Warsaw"/>
    <x v="23"/>
    <x v="0"/>
    <x v="6"/>
    <n v="56"/>
    <n v="37184"/>
    <x v="9"/>
  </r>
  <r>
    <s v="Bucharest"/>
    <x v="32"/>
    <x v="0"/>
    <x v="5"/>
    <n v="50"/>
    <n v="25000"/>
    <x v="1"/>
  </r>
  <r>
    <s v="Osaka"/>
    <x v="15"/>
    <x v="3"/>
    <x v="10"/>
    <n v="18"/>
    <n v="4500"/>
    <x v="9"/>
  </r>
  <r>
    <s v="Seoul"/>
    <x v="19"/>
    <x v="3"/>
    <x v="4"/>
    <n v="99"/>
    <n v="2970"/>
    <x v="3"/>
  </r>
  <r>
    <s v="Vancouver"/>
    <x v="1"/>
    <x v="1"/>
    <x v="6"/>
    <n v="85"/>
    <n v="53720"/>
    <x v="11"/>
  </r>
  <r>
    <s v="Shenzhen"/>
    <x v="5"/>
    <x v="3"/>
    <x v="11"/>
    <n v="28"/>
    <n v="1400"/>
    <x v="0"/>
  </r>
  <r>
    <s v="Los Angeles"/>
    <x v="18"/>
    <x v="1"/>
    <x v="8"/>
    <n v="96"/>
    <n v="48000"/>
    <x v="10"/>
  </r>
  <r>
    <s v="Chicago"/>
    <x v="18"/>
    <x v="1"/>
    <x v="8"/>
    <n v="16"/>
    <n v="7920"/>
    <x v="9"/>
  </r>
  <r>
    <s v="Sao Paolo"/>
    <x v="2"/>
    <x v="2"/>
    <x v="5"/>
    <n v="67"/>
    <n v="32495"/>
    <x v="1"/>
  </r>
  <r>
    <s v="Vienna"/>
    <x v="29"/>
    <x v="0"/>
    <x v="4"/>
    <n v="32"/>
    <n v="736"/>
    <x v="8"/>
  </r>
  <r>
    <s v="Santiago"/>
    <x v="34"/>
    <x v="2"/>
    <x v="11"/>
    <n v="51"/>
    <n v="2550"/>
    <x v="2"/>
  </r>
  <r>
    <s v="London"/>
    <x v="8"/>
    <x v="0"/>
    <x v="11"/>
    <n v="56"/>
    <n v="2688"/>
    <x v="0"/>
  </r>
  <r>
    <s v="Warsaw"/>
    <x v="23"/>
    <x v="0"/>
    <x v="10"/>
    <n v="51"/>
    <n v="8160"/>
    <x v="3"/>
  </r>
  <r>
    <s v="Rome"/>
    <x v="22"/>
    <x v="0"/>
    <x v="2"/>
    <n v="95"/>
    <n v="13300"/>
    <x v="2"/>
  </r>
  <r>
    <s v="Jerusalem"/>
    <x v="13"/>
    <x v="0"/>
    <x v="11"/>
    <n v="2"/>
    <n v="84"/>
    <x v="11"/>
  </r>
  <r>
    <s v="Vancouver"/>
    <x v="1"/>
    <x v="1"/>
    <x v="4"/>
    <n v="39"/>
    <n v="1131"/>
    <x v="1"/>
  </r>
  <r>
    <s v="Seoul"/>
    <x v="19"/>
    <x v="3"/>
    <x v="7"/>
    <n v="7"/>
    <n v="4060"/>
    <x v="0"/>
  </r>
  <r>
    <s v="Tokyo"/>
    <x v="15"/>
    <x v="3"/>
    <x v="7"/>
    <n v="56"/>
    <n v="49280"/>
    <x v="5"/>
  </r>
  <r>
    <s v="Dublin"/>
    <x v="25"/>
    <x v="0"/>
    <x v="9"/>
    <n v="2"/>
    <n v="104"/>
    <x v="3"/>
  </r>
  <r>
    <s v="Dubai"/>
    <x v="33"/>
    <x v="0"/>
    <x v="11"/>
    <n v="37"/>
    <n v="1369"/>
    <x v="10"/>
  </r>
  <r>
    <s v="Mexico City"/>
    <x v="7"/>
    <x v="2"/>
    <x v="3"/>
    <n v="16"/>
    <n v="800"/>
    <x v="3"/>
  </r>
  <r>
    <s v="Rochester"/>
    <x v="18"/>
    <x v="1"/>
    <x v="9"/>
    <n v="12"/>
    <n v="804"/>
    <x v="5"/>
  </r>
  <r>
    <s v="Chicago"/>
    <x v="18"/>
    <x v="1"/>
    <x v="3"/>
    <n v="51"/>
    <n v="2550"/>
    <x v="6"/>
  </r>
  <r>
    <s v="Osaka"/>
    <x v="15"/>
    <x v="3"/>
    <x v="9"/>
    <n v="91"/>
    <n v="6006"/>
    <x v="5"/>
  </r>
  <r>
    <s v="Dubai"/>
    <x v="33"/>
    <x v="0"/>
    <x v="11"/>
    <n v="7"/>
    <n v="294"/>
    <x v="8"/>
  </r>
  <r>
    <s v="Santiago"/>
    <x v="34"/>
    <x v="2"/>
    <x v="0"/>
    <n v="88"/>
    <n v="6864"/>
    <x v="4"/>
  </r>
  <r>
    <s v="Bucharest"/>
    <x v="32"/>
    <x v="0"/>
    <x v="7"/>
    <n v="99"/>
    <n v="68310"/>
    <x v="10"/>
  </r>
  <r>
    <s v="Osaka"/>
    <x v="15"/>
    <x v="3"/>
    <x v="2"/>
    <n v="95"/>
    <n v="13110"/>
    <x v="6"/>
  </r>
  <r>
    <s v="Kansas City"/>
    <x v="18"/>
    <x v="1"/>
    <x v="9"/>
    <n v="28"/>
    <n v="1904"/>
    <x v="1"/>
  </r>
  <r>
    <s v="Rochester"/>
    <x v="18"/>
    <x v="1"/>
    <x v="8"/>
    <n v="42"/>
    <n v="20580"/>
    <x v="0"/>
  </r>
  <r>
    <s v="Warsaw"/>
    <x v="23"/>
    <x v="0"/>
    <x v="4"/>
    <n v="4"/>
    <n v="100"/>
    <x v="9"/>
  </r>
  <r>
    <s v="Warsaw"/>
    <x v="23"/>
    <x v="0"/>
    <x v="6"/>
    <n v="42"/>
    <n v="24192"/>
    <x v="0"/>
  </r>
  <r>
    <s v="Kuala Lumpur"/>
    <x v="31"/>
    <x v="3"/>
    <x v="3"/>
    <n v="56"/>
    <n v="2688"/>
    <x v="7"/>
  </r>
  <r>
    <s v="Vienna"/>
    <x v="29"/>
    <x v="0"/>
    <x v="10"/>
    <n v="36"/>
    <n v="8388"/>
    <x v="7"/>
  </r>
  <r>
    <s v="Bangalore"/>
    <x v="11"/>
    <x v="3"/>
    <x v="10"/>
    <n v="68"/>
    <n v="15640"/>
    <x v="6"/>
  </r>
  <r>
    <s v="Moscow"/>
    <x v="0"/>
    <x v="0"/>
    <x v="1"/>
    <n v="2"/>
    <n v="1358"/>
    <x v="7"/>
  </r>
  <r>
    <s v="Amsterdam"/>
    <x v="24"/>
    <x v="0"/>
    <x v="3"/>
    <n v="32"/>
    <n v="1408"/>
    <x v="5"/>
  </r>
  <r>
    <s v="Jerusalem"/>
    <x v="13"/>
    <x v="0"/>
    <x v="4"/>
    <n v="58"/>
    <n v="1682"/>
    <x v="9"/>
  </r>
  <r>
    <s v="Tel Aviv"/>
    <x v="13"/>
    <x v="0"/>
    <x v="1"/>
    <n v="30"/>
    <n v="13860"/>
    <x v="2"/>
  </r>
  <r>
    <s v="Delhi"/>
    <x v="11"/>
    <x v="3"/>
    <x v="7"/>
    <n v="53"/>
    <n v="45580"/>
    <x v="1"/>
  </r>
  <r>
    <s v="Sao Paolo"/>
    <x v="2"/>
    <x v="2"/>
    <x v="11"/>
    <n v="27"/>
    <n v="999"/>
    <x v="4"/>
  </r>
  <r>
    <s v="Warsaw"/>
    <x v="23"/>
    <x v="0"/>
    <x v="10"/>
    <n v="87"/>
    <n v="15051"/>
    <x v="5"/>
  </r>
  <r>
    <s v="Dubai"/>
    <x v="33"/>
    <x v="0"/>
    <x v="1"/>
    <n v="42"/>
    <n v="26754"/>
    <x v="3"/>
  </r>
  <r>
    <s v="Rochester"/>
    <x v="18"/>
    <x v="1"/>
    <x v="9"/>
    <n v="23"/>
    <n v="1104"/>
    <x v="2"/>
  </r>
  <r>
    <s v="Toronto"/>
    <x v="1"/>
    <x v="1"/>
    <x v="9"/>
    <n v="43"/>
    <n v="1849"/>
    <x v="1"/>
  </r>
  <r>
    <s v="Shenzhen"/>
    <x v="5"/>
    <x v="3"/>
    <x v="4"/>
    <n v="66"/>
    <n v="1386"/>
    <x v="11"/>
  </r>
  <r>
    <s v="Amsterdam"/>
    <x v="24"/>
    <x v="0"/>
    <x v="2"/>
    <n v="60"/>
    <n v="6420"/>
    <x v="3"/>
  </r>
  <r>
    <s v="Bogota"/>
    <x v="26"/>
    <x v="2"/>
    <x v="3"/>
    <n v="11"/>
    <n v="528"/>
    <x v="5"/>
  </r>
  <r>
    <s v="Vancouver"/>
    <x v="1"/>
    <x v="1"/>
    <x v="11"/>
    <n v="49"/>
    <n v="2205"/>
    <x v="8"/>
  </r>
  <r>
    <s v="Sydney"/>
    <x v="4"/>
    <x v="3"/>
    <x v="9"/>
    <n v="68"/>
    <n v="4624"/>
    <x v="7"/>
  </r>
  <r>
    <s v="Kansas City"/>
    <x v="18"/>
    <x v="1"/>
    <x v="3"/>
    <n v="21"/>
    <n v="945"/>
    <x v="11"/>
  </r>
  <r>
    <s v="Rochester"/>
    <x v="18"/>
    <x v="1"/>
    <x v="3"/>
    <n v="69"/>
    <n v="3312"/>
    <x v="4"/>
  </r>
  <r>
    <s v="Bucharest"/>
    <x v="32"/>
    <x v="0"/>
    <x v="6"/>
    <n v="94"/>
    <n v="66176"/>
    <x v="3"/>
  </r>
  <r>
    <s v="Bogota"/>
    <x v="26"/>
    <x v="2"/>
    <x v="0"/>
    <n v="26"/>
    <n v="2080"/>
    <x v="3"/>
  </r>
  <r>
    <s v="Dublin"/>
    <x v="25"/>
    <x v="0"/>
    <x v="4"/>
    <n v="19"/>
    <n v="570"/>
    <x v="3"/>
  </r>
  <r>
    <s v="Rome"/>
    <x v="22"/>
    <x v="0"/>
    <x v="10"/>
    <n v="17"/>
    <n v="2720"/>
    <x v="10"/>
  </r>
  <r>
    <s v="Dublin"/>
    <x v="25"/>
    <x v="0"/>
    <x v="11"/>
    <n v="42"/>
    <n v="1806"/>
    <x v="5"/>
  </r>
  <r>
    <s v="Dublin"/>
    <x v="25"/>
    <x v="0"/>
    <x v="8"/>
    <n v="34"/>
    <n v="16830"/>
    <x v="2"/>
  </r>
  <r>
    <s v="Madria"/>
    <x v="28"/>
    <x v="0"/>
    <x v="4"/>
    <n v="16"/>
    <n v="432"/>
    <x v="4"/>
  </r>
  <r>
    <s v="Dubai"/>
    <x v="33"/>
    <x v="0"/>
    <x v="0"/>
    <n v="93"/>
    <n v="5673"/>
    <x v="11"/>
  </r>
  <r>
    <s v="San Fransisco"/>
    <x v="18"/>
    <x v="1"/>
    <x v="7"/>
    <n v="7"/>
    <n v="6930"/>
    <x v="1"/>
  </r>
  <r>
    <s v="New York"/>
    <x v="18"/>
    <x v="1"/>
    <x v="3"/>
    <n v="26"/>
    <n v="1170"/>
    <x v="6"/>
  </r>
  <r>
    <s v="Vancouver"/>
    <x v="1"/>
    <x v="1"/>
    <x v="10"/>
    <n v="64"/>
    <n v="15552"/>
    <x v="5"/>
  </r>
  <r>
    <s v="Paris"/>
    <x v="21"/>
    <x v="0"/>
    <x v="0"/>
    <n v="6"/>
    <n v="318"/>
    <x v="6"/>
  </r>
  <r>
    <s v="Sao Paolo"/>
    <x v="2"/>
    <x v="2"/>
    <x v="7"/>
    <n v="53"/>
    <n v="31270"/>
    <x v="10"/>
  </r>
  <r>
    <s v="Bangalore"/>
    <x v="11"/>
    <x v="3"/>
    <x v="2"/>
    <n v="47"/>
    <n v="6486"/>
    <x v="7"/>
  </r>
  <r>
    <s v="Houston"/>
    <x v="18"/>
    <x v="1"/>
    <x v="1"/>
    <n v="19"/>
    <n v="10640"/>
    <x v="2"/>
  </r>
  <r>
    <s v="Rochester"/>
    <x v="18"/>
    <x v="1"/>
    <x v="6"/>
    <n v="36"/>
    <n v="18432"/>
    <x v="3"/>
  </r>
  <r>
    <s v="Bucharest"/>
    <x v="32"/>
    <x v="0"/>
    <x v="4"/>
    <n v="7"/>
    <n v="203"/>
    <x v="7"/>
  </r>
  <r>
    <s v="Bangkok"/>
    <x v="10"/>
    <x v="3"/>
    <x v="2"/>
    <n v="28"/>
    <n v="4032"/>
    <x v="9"/>
  </r>
  <r>
    <s v="Tijuana"/>
    <x v="7"/>
    <x v="2"/>
    <x v="9"/>
    <n v="2"/>
    <n v="140"/>
    <x v="3"/>
  </r>
  <r>
    <s v="Vienna"/>
    <x v="29"/>
    <x v="0"/>
    <x v="5"/>
    <n v="8"/>
    <n v="3760"/>
    <x v="8"/>
  </r>
  <r>
    <s v="Tokyo"/>
    <x v="15"/>
    <x v="3"/>
    <x v="5"/>
    <n v="9"/>
    <n v="4320"/>
    <x v="4"/>
  </r>
  <r>
    <s v="Shanghai"/>
    <x v="5"/>
    <x v="3"/>
    <x v="5"/>
    <n v="99"/>
    <n v="43065"/>
    <x v="8"/>
  </r>
  <r>
    <s v="Athens"/>
    <x v="14"/>
    <x v="0"/>
    <x v="4"/>
    <n v="25"/>
    <n v="675"/>
    <x v="11"/>
  </r>
  <r>
    <s v="Kuala Lumpur"/>
    <x v="31"/>
    <x v="3"/>
    <x v="7"/>
    <n v="23"/>
    <n v="21390"/>
    <x v="3"/>
  </r>
  <r>
    <s v="Bucharest"/>
    <x v="32"/>
    <x v="0"/>
    <x v="9"/>
    <n v="23"/>
    <n v="1564"/>
    <x v="9"/>
  </r>
  <r>
    <s v="Cairo"/>
    <x v="30"/>
    <x v="0"/>
    <x v="5"/>
    <n v="21"/>
    <n v="9660"/>
    <x v="2"/>
  </r>
  <r>
    <s v="Prague"/>
    <x v="16"/>
    <x v="0"/>
    <x v="10"/>
    <n v="56"/>
    <n v="8848"/>
    <x v="6"/>
  </r>
  <r>
    <s v="Kansas City"/>
    <x v="18"/>
    <x v="1"/>
    <x v="1"/>
    <n v="90"/>
    <n v="59220"/>
    <x v="3"/>
  </r>
  <r>
    <s v="Vienna"/>
    <x v="29"/>
    <x v="0"/>
    <x v="10"/>
    <n v="13"/>
    <n v="2314"/>
    <x v="1"/>
  </r>
  <r>
    <s v="Seoul"/>
    <x v="19"/>
    <x v="3"/>
    <x v="10"/>
    <n v="39"/>
    <n v="9360"/>
    <x v="7"/>
  </r>
  <r>
    <s v="Buenos Aires"/>
    <x v="27"/>
    <x v="2"/>
    <x v="10"/>
    <n v="90"/>
    <n v="21870"/>
    <x v="10"/>
  </r>
  <r>
    <s v="Delhi"/>
    <x v="11"/>
    <x v="3"/>
    <x v="7"/>
    <n v="13"/>
    <n v="10530"/>
    <x v="2"/>
  </r>
  <r>
    <s v="Bangalore"/>
    <x v="11"/>
    <x v="3"/>
    <x v="7"/>
    <n v="14"/>
    <n v="9800"/>
    <x v="1"/>
  </r>
  <r>
    <s v="Amsterdam"/>
    <x v="24"/>
    <x v="0"/>
    <x v="4"/>
    <n v="23"/>
    <n v="667"/>
    <x v="2"/>
  </r>
  <r>
    <s v="Prague"/>
    <x v="16"/>
    <x v="0"/>
    <x v="7"/>
    <n v="99"/>
    <n v="90090"/>
    <x v="9"/>
  </r>
  <r>
    <s v="Tijuana"/>
    <x v="7"/>
    <x v="2"/>
    <x v="6"/>
    <n v="23"/>
    <n v="10304"/>
    <x v="6"/>
  </r>
  <r>
    <s v="Rome"/>
    <x v="22"/>
    <x v="0"/>
    <x v="0"/>
    <n v="99"/>
    <n v="7128"/>
    <x v="0"/>
  </r>
  <r>
    <s v="Guangzhou"/>
    <x v="5"/>
    <x v="3"/>
    <x v="4"/>
    <n v="26"/>
    <n v="598"/>
    <x v="5"/>
  </r>
  <r>
    <s v="Mexico City"/>
    <x v="7"/>
    <x v="2"/>
    <x v="4"/>
    <n v="83"/>
    <n v="2490"/>
    <x v="10"/>
  </r>
  <r>
    <s v="Paris"/>
    <x v="21"/>
    <x v="0"/>
    <x v="4"/>
    <n v="92"/>
    <n v="2576"/>
    <x v="1"/>
  </r>
  <r>
    <s v="Delhi"/>
    <x v="11"/>
    <x v="3"/>
    <x v="10"/>
    <n v="8"/>
    <n v="1760"/>
    <x v="3"/>
  </r>
  <r>
    <s v="Shanghai"/>
    <x v="5"/>
    <x v="3"/>
    <x v="10"/>
    <n v="51"/>
    <n v="12750"/>
    <x v="7"/>
  </r>
  <r>
    <s v="Tijuana"/>
    <x v="7"/>
    <x v="2"/>
    <x v="8"/>
    <n v="37"/>
    <n v="18130"/>
    <x v="6"/>
  </r>
  <r>
    <s v="Los Angeles"/>
    <x v="18"/>
    <x v="1"/>
    <x v="1"/>
    <n v="70"/>
    <n v="44590"/>
    <x v="0"/>
  </r>
  <r>
    <s v="Shanghai"/>
    <x v="5"/>
    <x v="3"/>
    <x v="1"/>
    <n v="59"/>
    <n v="40061"/>
    <x v="4"/>
  </r>
  <r>
    <s v="Rochester"/>
    <x v="18"/>
    <x v="1"/>
    <x v="4"/>
    <n v="81"/>
    <n v="2268"/>
    <x v="5"/>
  </r>
  <r>
    <s v="Tel Aviv"/>
    <x v="13"/>
    <x v="0"/>
    <x v="0"/>
    <n v="57"/>
    <n v="3990"/>
    <x v="5"/>
  </r>
  <r>
    <s v="San Fransisco"/>
    <x v="18"/>
    <x v="1"/>
    <x v="4"/>
    <n v="12"/>
    <n v="312"/>
    <x v="9"/>
  </r>
  <r>
    <s v="Shanghai"/>
    <x v="5"/>
    <x v="3"/>
    <x v="11"/>
    <n v="77"/>
    <n v="3619"/>
    <x v="7"/>
  </r>
  <r>
    <s v="Ho Chi Minh City"/>
    <x v="12"/>
    <x v="3"/>
    <x v="11"/>
    <n v="1"/>
    <n v="45"/>
    <x v="2"/>
  </r>
  <r>
    <s v="Rochester"/>
    <x v="18"/>
    <x v="1"/>
    <x v="9"/>
    <n v="87"/>
    <n v="6003"/>
    <x v="4"/>
  </r>
  <r>
    <s v="Moscow"/>
    <x v="0"/>
    <x v="0"/>
    <x v="6"/>
    <n v="56"/>
    <n v="35840"/>
    <x v="6"/>
  </r>
  <r>
    <s v="Jerusalem"/>
    <x v="13"/>
    <x v="0"/>
    <x v="6"/>
    <n v="78"/>
    <n v="58032"/>
    <x v="0"/>
  </r>
  <r>
    <s v="Istanbul"/>
    <x v="3"/>
    <x v="0"/>
    <x v="0"/>
    <n v="3"/>
    <n v="222"/>
    <x v="11"/>
  </r>
  <r>
    <s v="Amsterdam"/>
    <x v="24"/>
    <x v="0"/>
    <x v="2"/>
    <n v="89"/>
    <n v="11392"/>
    <x v="7"/>
  </r>
  <r>
    <s v="Tijuana"/>
    <x v="7"/>
    <x v="2"/>
    <x v="11"/>
    <n v="37"/>
    <n v="1665"/>
    <x v="8"/>
  </r>
  <r>
    <s v="Birmingham"/>
    <x v="8"/>
    <x v="0"/>
    <x v="6"/>
    <n v="59"/>
    <n v="39176"/>
    <x v="1"/>
  </r>
  <r>
    <s v="Chicago"/>
    <x v="18"/>
    <x v="1"/>
    <x v="10"/>
    <n v="52"/>
    <n v="12636"/>
    <x v="0"/>
  </r>
  <r>
    <s v="Sao Paolo"/>
    <x v="2"/>
    <x v="2"/>
    <x v="9"/>
    <n v="13"/>
    <n v="897"/>
    <x v="5"/>
  </r>
  <r>
    <s v="Seoul"/>
    <x v="19"/>
    <x v="3"/>
    <x v="5"/>
    <n v="63"/>
    <n v="31185"/>
    <x v="8"/>
  </r>
  <r>
    <s v="Berlin"/>
    <x v="20"/>
    <x v="0"/>
    <x v="6"/>
    <n v="59"/>
    <n v="25960"/>
    <x v="9"/>
  </r>
  <r>
    <s v="Birmingham"/>
    <x v="8"/>
    <x v="0"/>
    <x v="11"/>
    <n v="36"/>
    <n v="1584"/>
    <x v="11"/>
  </r>
  <r>
    <s v="Delhi"/>
    <x v="11"/>
    <x v="3"/>
    <x v="7"/>
    <n v="62"/>
    <n v="48980"/>
    <x v="10"/>
  </r>
  <r>
    <s v="Sao Paolo"/>
    <x v="2"/>
    <x v="2"/>
    <x v="1"/>
    <n v="14"/>
    <n v="8526"/>
    <x v="6"/>
  </r>
  <r>
    <s v="Birmingham"/>
    <x v="8"/>
    <x v="0"/>
    <x v="5"/>
    <n v="67"/>
    <n v="28475"/>
    <x v="6"/>
  </r>
  <r>
    <s v="Berlin"/>
    <x v="20"/>
    <x v="0"/>
    <x v="9"/>
    <n v="84"/>
    <n v="3780"/>
    <x v="0"/>
  </r>
  <r>
    <s v="Warsaw"/>
    <x v="23"/>
    <x v="0"/>
    <x v="4"/>
    <n v="41"/>
    <n v="1025"/>
    <x v="4"/>
  </r>
  <r>
    <s v="Warsaw"/>
    <x v="23"/>
    <x v="0"/>
    <x v="1"/>
    <n v="40"/>
    <n v="19040"/>
    <x v="9"/>
  </r>
  <r>
    <s v="Tijuana"/>
    <x v="7"/>
    <x v="2"/>
    <x v="11"/>
    <n v="59"/>
    <n v="2537"/>
    <x v="3"/>
  </r>
  <r>
    <s v="Birmingham"/>
    <x v="8"/>
    <x v="0"/>
    <x v="7"/>
    <n v="10"/>
    <n v="9300"/>
    <x v="6"/>
  </r>
  <r>
    <s v="Tijuana"/>
    <x v="7"/>
    <x v="2"/>
    <x v="3"/>
    <n v="65"/>
    <n v="2795"/>
    <x v="11"/>
  </r>
  <r>
    <s v="Dublin"/>
    <x v="25"/>
    <x v="0"/>
    <x v="3"/>
    <n v="15"/>
    <n v="510"/>
    <x v="4"/>
  </r>
  <r>
    <s v="Los Angeles"/>
    <x v="18"/>
    <x v="1"/>
    <x v="3"/>
    <n v="57"/>
    <n v="2622"/>
    <x v="0"/>
  </r>
  <r>
    <s v="Sao Paolo"/>
    <x v="2"/>
    <x v="2"/>
    <x v="5"/>
    <n v="98"/>
    <n v="34790"/>
    <x v="7"/>
  </r>
  <r>
    <s v="Istanbul"/>
    <x v="3"/>
    <x v="0"/>
    <x v="3"/>
    <n v="3"/>
    <n v="120"/>
    <x v="5"/>
  </r>
  <r>
    <s v="Riyadh"/>
    <x v="9"/>
    <x v="0"/>
    <x v="5"/>
    <n v="2"/>
    <n v="900"/>
    <x v="1"/>
  </r>
  <r>
    <s v="Houston"/>
    <x v="18"/>
    <x v="1"/>
    <x v="11"/>
    <n v="37"/>
    <n v="1739"/>
    <x v="7"/>
  </r>
  <r>
    <s v="Athens"/>
    <x v="14"/>
    <x v="0"/>
    <x v="6"/>
    <n v="28"/>
    <n v="12768"/>
    <x v="0"/>
  </r>
  <r>
    <s v="Capetown"/>
    <x v="17"/>
    <x v="0"/>
    <x v="4"/>
    <n v="14"/>
    <n v="392"/>
    <x v="7"/>
  </r>
  <r>
    <s v="New York"/>
    <x v="18"/>
    <x v="1"/>
    <x v="4"/>
    <n v="5"/>
    <n v="130"/>
    <x v="2"/>
  </r>
  <r>
    <s v="Madria"/>
    <x v="28"/>
    <x v="0"/>
    <x v="0"/>
    <n v="11"/>
    <n v="616"/>
    <x v="7"/>
  </r>
  <r>
    <s v="London"/>
    <x v="8"/>
    <x v="0"/>
    <x v="8"/>
    <n v="45"/>
    <n v="22050"/>
    <x v="11"/>
  </r>
  <r>
    <s v="Los Angeles"/>
    <x v="18"/>
    <x v="1"/>
    <x v="8"/>
    <n v="95"/>
    <n v="46550"/>
    <x v="6"/>
  </r>
  <r>
    <s v="Tokyo"/>
    <x v="15"/>
    <x v="3"/>
    <x v="9"/>
    <n v="7"/>
    <n v="427"/>
    <x v="10"/>
  </r>
  <r>
    <s v="Vancouver"/>
    <x v="1"/>
    <x v="1"/>
    <x v="10"/>
    <n v="8"/>
    <n v="1760"/>
    <x v="6"/>
  </r>
  <r>
    <s v="Santiago"/>
    <x v="34"/>
    <x v="2"/>
    <x v="9"/>
    <n v="41"/>
    <n v="2747"/>
    <x v="9"/>
  </r>
  <r>
    <s v="New York"/>
    <x v="18"/>
    <x v="1"/>
    <x v="8"/>
    <n v="86"/>
    <n v="42570"/>
    <x v="0"/>
  </r>
  <r>
    <s v="Shenzhen"/>
    <x v="5"/>
    <x v="3"/>
    <x v="5"/>
    <n v="75"/>
    <n v="14250"/>
    <x v="1"/>
  </r>
  <r>
    <s v="Delhi"/>
    <x v="11"/>
    <x v="3"/>
    <x v="1"/>
    <n v="67"/>
    <n v="45962"/>
    <x v="7"/>
  </r>
  <r>
    <s v="London"/>
    <x v="8"/>
    <x v="0"/>
    <x v="10"/>
    <n v="70"/>
    <n v="16800"/>
    <x v="2"/>
  </r>
  <r>
    <s v="Mexico City"/>
    <x v="7"/>
    <x v="2"/>
    <x v="7"/>
    <n v="46"/>
    <n v="27600"/>
    <x v="5"/>
  </r>
  <r>
    <s v="Sao Paolo"/>
    <x v="2"/>
    <x v="2"/>
    <x v="3"/>
    <n v="54"/>
    <n v="2214"/>
    <x v="1"/>
  </r>
  <r>
    <s v="Buenos Aires"/>
    <x v="27"/>
    <x v="2"/>
    <x v="10"/>
    <n v="72"/>
    <n v="16560"/>
    <x v="1"/>
  </r>
  <r>
    <s v="Jerusalem"/>
    <x v="13"/>
    <x v="0"/>
    <x v="5"/>
    <n v="27"/>
    <n v="10260"/>
    <x v="9"/>
  </r>
  <r>
    <s v="Houston"/>
    <x v="18"/>
    <x v="1"/>
    <x v="11"/>
    <n v="91"/>
    <n v="4459"/>
    <x v="11"/>
  </r>
  <r>
    <s v="Bangalore"/>
    <x v="11"/>
    <x v="3"/>
    <x v="4"/>
    <n v="4"/>
    <n v="104"/>
    <x v="6"/>
  </r>
  <r>
    <s v="Los Angeles"/>
    <x v="18"/>
    <x v="1"/>
    <x v="2"/>
    <n v="25"/>
    <n v="3525"/>
    <x v="11"/>
  </r>
  <r>
    <s v="Vienna"/>
    <x v="29"/>
    <x v="0"/>
    <x v="7"/>
    <n v="34"/>
    <n v="32640"/>
    <x v="5"/>
  </r>
  <r>
    <s v="Ho Chi Minh City"/>
    <x v="12"/>
    <x v="3"/>
    <x v="11"/>
    <n v="37"/>
    <n v="1776"/>
    <x v="2"/>
  </r>
  <r>
    <s v="Shanghai"/>
    <x v="5"/>
    <x v="3"/>
    <x v="4"/>
    <n v="41"/>
    <n v="1066"/>
    <x v="9"/>
  </r>
  <r>
    <s v="Seattle"/>
    <x v="18"/>
    <x v="1"/>
    <x v="2"/>
    <n v="10"/>
    <n v="1280"/>
    <x v="2"/>
  </r>
  <r>
    <s v="Kansas City"/>
    <x v="18"/>
    <x v="1"/>
    <x v="4"/>
    <n v="2"/>
    <n v="60"/>
    <x v="3"/>
  </r>
  <r>
    <s v="Istanbul"/>
    <x v="3"/>
    <x v="0"/>
    <x v="11"/>
    <n v="28"/>
    <n v="1260"/>
    <x v="10"/>
  </r>
  <r>
    <s v="Delhi"/>
    <x v="11"/>
    <x v="3"/>
    <x v="5"/>
    <n v="72"/>
    <n v="32040"/>
    <x v="7"/>
  </r>
  <r>
    <s v="Capetown"/>
    <x v="17"/>
    <x v="0"/>
    <x v="10"/>
    <n v="3"/>
    <n v="684"/>
    <x v="10"/>
  </r>
  <r>
    <s v="Kuala Lumpur"/>
    <x v="31"/>
    <x v="3"/>
    <x v="9"/>
    <n v="83"/>
    <n v="3901"/>
    <x v="6"/>
  </r>
  <r>
    <s v="Kuala Lumpur"/>
    <x v="31"/>
    <x v="3"/>
    <x v="11"/>
    <n v="38"/>
    <n v="1368"/>
    <x v="10"/>
  </r>
  <r>
    <s v="Madria"/>
    <x v="28"/>
    <x v="0"/>
    <x v="8"/>
    <n v="35"/>
    <n v="17500"/>
    <x v="4"/>
  </r>
  <r>
    <s v="Delhi"/>
    <x v="11"/>
    <x v="3"/>
    <x v="9"/>
    <n v="24"/>
    <n v="1632"/>
    <x v="7"/>
  </r>
  <r>
    <s v="Cairo"/>
    <x v="30"/>
    <x v="0"/>
    <x v="1"/>
    <n v="29"/>
    <n v="16443"/>
    <x v="9"/>
  </r>
  <r>
    <s v="Los Angeles"/>
    <x v="18"/>
    <x v="1"/>
    <x v="4"/>
    <n v="26"/>
    <n v="754"/>
    <x v="10"/>
  </r>
  <r>
    <s v="Sao Paolo"/>
    <x v="2"/>
    <x v="2"/>
    <x v="0"/>
    <n v="41"/>
    <n v="2132"/>
    <x v="5"/>
  </r>
  <r>
    <s v="Santiago"/>
    <x v="34"/>
    <x v="2"/>
    <x v="5"/>
    <n v="15"/>
    <n v="6600"/>
    <x v="7"/>
  </r>
  <r>
    <s v="Osaka"/>
    <x v="15"/>
    <x v="3"/>
    <x v="1"/>
    <n v="10"/>
    <n v="1470"/>
    <x v="4"/>
  </r>
  <r>
    <s v="Toronto"/>
    <x v="1"/>
    <x v="1"/>
    <x v="5"/>
    <n v="78"/>
    <n v="31200"/>
    <x v="2"/>
  </r>
  <r>
    <s v="Santiago"/>
    <x v="34"/>
    <x v="2"/>
    <x v="2"/>
    <n v="34"/>
    <n v="4760"/>
    <x v="9"/>
  </r>
  <r>
    <s v="Santiago"/>
    <x v="34"/>
    <x v="2"/>
    <x v="5"/>
    <n v="31"/>
    <n v="13950"/>
    <x v="5"/>
  </r>
  <r>
    <s v="Mexico City"/>
    <x v="7"/>
    <x v="2"/>
    <x v="1"/>
    <n v="1"/>
    <n v="679"/>
    <x v="2"/>
  </r>
  <r>
    <s v="Kansas City"/>
    <x v="18"/>
    <x v="1"/>
    <x v="9"/>
    <n v="77"/>
    <n v="5313"/>
    <x v="11"/>
  </r>
  <r>
    <s v="Sydney"/>
    <x v="4"/>
    <x v="3"/>
    <x v="8"/>
    <n v="61"/>
    <n v="30195"/>
    <x v="10"/>
  </r>
  <r>
    <s v="Capetown"/>
    <x v="17"/>
    <x v="0"/>
    <x v="5"/>
    <n v="25"/>
    <n v="11375"/>
    <x v="9"/>
  </r>
  <r>
    <s v="Toronto"/>
    <x v="1"/>
    <x v="1"/>
    <x v="9"/>
    <n v="24"/>
    <n v="1344"/>
    <x v="8"/>
  </r>
  <r>
    <s v="Riyadh"/>
    <x v="9"/>
    <x v="0"/>
    <x v="9"/>
    <n v="10"/>
    <n v="620"/>
    <x v="11"/>
  </r>
  <r>
    <s v="New York"/>
    <x v="18"/>
    <x v="1"/>
    <x v="2"/>
    <n v="79"/>
    <n v="10112"/>
    <x v="10"/>
  </r>
  <r>
    <s v="Vancouver"/>
    <x v="1"/>
    <x v="1"/>
    <x v="2"/>
    <n v="83"/>
    <n v="10873"/>
    <x v="10"/>
  </r>
  <r>
    <s v="San Fransisco"/>
    <x v="18"/>
    <x v="1"/>
    <x v="4"/>
    <n v="49"/>
    <n v="1470"/>
    <x v="9"/>
  </r>
  <r>
    <s v="Sao Paolo"/>
    <x v="2"/>
    <x v="2"/>
    <x v="5"/>
    <n v="25"/>
    <n v="11500"/>
    <x v="4"/>
  </r>
  <r>
    <s v="Kuala Lumpur"/>
    <x v="31"/>
    <x v="3"/>
    <x v="2"/>
    <n v="21"/>
    <n v="2520"/>
    <x v="1"/>
  </r>
  <r>
    <s v="San Fransisco"/>
    <x v="18"/>
    <x v="1"/>
    <x v="6"/>
    <n v="15"/>
    <n v="8160"/>
    <x v="6"/>
  </r>
  <r>
    <s v="Madria"/>
    <x v="28"/>
    <x v="0"/>
    <x v="2"/>
    <n v="29"/>
    <n v="3828"/>
    <x v="3"/>
  </r>
  <r>
    <s v="Jerusalem"/>
    <x v="13"/>
    <x v="0"/>
    <x v="5"/>
    <n v="25"/>
    <n v="10875"/>
    <x v="8"/>
  </r>
  <r>
    <s v="Vancouver"/>
    <x v="1"/>
    <x v="1"/>
    <x v="6"/>
    <n v="37"/>
    <n v="16576"/>
    <x v="8"/>
  </r>
  <r>
    <s v="Kansas City"/>
    <x v="18"/>
    <x v="1"/>
    <x v="8"/>
    <n v="53"/>
    <n v="26500"/>
    <x v="4"/>
  </r>
  <r>
    <s v="Mexico City"/>
    <x v="7"/>
    <x v="2"/>
    <x v="11"/>
    <n v="16"/>
    <n v="752"/>
    <x v="7"/>
  </r>
  <r>
    <s v="San Fransisco"/>
    <x v="18"/>
    <x v="1"/>
    <x v="3"/>
    <n v="21"/>
    <n v="966"/>
    <x v="1"/>
  </r>
  <r>
    <s v="Tijuana"/>
    <x v="7"/>
    <x v="2"/>
    <x v="2"/>
    <n v="58"/>
    <n v="7308"/>
    <x v="3"/>
  </r>
  <r>
    <s v="Amsterdam"/>
    <x v="24"/>
    <x v="0"/>
    <x v="4"/>
    <n v="46"/>
    <n v="1058"/>
    <x v="7"/>
  </r>
  <r>
    <s v="Buenos Aires"/>
    <x v="27"/>
    <x v="2"/>
    <x v="10"/>
    <n v="16"/>
    <n v="3680"/>
    <x v="4"/>
  </r>
  <r>
    <s v="Madria"/>
    <x v="28"/>
    <x v="0"/>
    <x v="4"/>
    <n v="37"/>
    <n v="1073"/>
    <x v="1"/>
  </r>
  <r>
    <s v="Birmingham"/>
    <x v="8"/>
    <x v="0"/>
    <x v="4"/>
    <n v="16"/>
    <n v="384"/>
    <x v="8"/>
  </r>
  <r>
    <s v="Tokyo"/>
    <x v="15"/>
    <x v="3"/>
    <x v="5"/>
    <n v="49"/>
    <n v="24010"/>
    <x v="8"/>
  </r>
  <r>
    <s v="Dubai"/>
    <x v="33"/>
    <x v="0"/>
    <x v="3"/>
    <n v="57"/>
    <n v="2679"/>
    <x v="8"/>
  </r>
  <r>
    <s v="Delhi"/>
    <x v="11"/>
    <x v="3"/>
    <x v="7"/>
    <n v="20"/>
    <n v="14800"/>
    <x v="0"/>
  </r>
  <r>
    <s v="Seattle"/>
    <x v="18"/>
    <x v="1"/>
    <x v="11"/>
    <n v="71"/>
    <n v="3195"/>
    <x v="11"/>
  </r>
  <r>
    <s v="Houston"/>
    <x v="18"/>
    <x v="1"/>
    <x v="1"/>
    <n v="8"/>
    <n v="5264"/>
    <x v="7"/>
  </r>
  <r>
    <s v="New York"/>
    <x v="18"/>
    <x v="1"/>
    <x v="4"/>
    <n v="1"/>
    <n v="26"/>
    <x v="9"/>
  </r>
  <r>
    <s v="Sydney"/>
    <x v="4"/>
    <x v="3"/>
    <x v="8"/>
    <n v="60"/>
    <n v="30000"/>
    <x v="7"/>
  </r>
  <r>
    <s v="Moscow"/>
    <x v="0"/>
    <x v="0"/>
    <x v="6"/>
    <n v="87"/>
    <n v="41760"/>
    <x v="5"/>
  </r>
  <r>
    <s v="Bogota"/>
    <x v="26"/>
    <x v="2"/>
    <x v="4"/>
    <n v="26"/>
    <n v="546"/>
    <x v="4"/>
  </r>
  <r>
    <s v="Bangalore"/>
    <x v="11"/>
    <x v="3"/>
    <x v="0"/>
    <n v="75"/>
    <n v="5925"/>
    <x v="4"/>
  </r>
  <r>
    <s v="Capetown"/>
    <x v="17"/>
    <x v="0"/>
    <x v="2"/>
    <n v="37"/>
    <n v="5513"/>
    <x v="1"/>
  </r>
  <r>
    <s v="Moscow"/>
    <x v="0"/>
    <x v="0"/>
    <x v="1"/>
    <n v="4"/>
    <n v="2800"/>
    <x v="6"/>
  </r>
  <r>
    <s v="Tijuana"/>
    <x v="7"/>
    <x v="2"/>
    <x v="7"/>
    <n v="69"/>
    <n v="63480"/>
    <x v="7"/>
  </r>
  <r>
    <s v="Kuala Lumpur"/>
    <x v="31"/>
    <x v="3"/>
    <x v="11"/>
    <n v="57"/>
    <n v="2280"/>
    <x v="11"/>
  </r>
  <r>
    <s v="Madria"/>
    <x v="28"/>
    <x v="0"/>
    <x v="6"/>
    <n v="17"/>
    <n v="13328"/>
    <x v="2"/>
  </r>
  <r>
    <s v="Delhi"/>
    <x v="11"/>
    <x v="3"/>
    <x v="6"/>
    <n v="30"/>
    <n v="14640"/>
    <x v="11"/>
  </r>
  <r>
    <s v="Los Angeles"/>
    <x v="18"/>
    <x v="1"/>
    <x v="5"/>
    <n v="1"/>
    <n v="450"/>
    <x v="7"/>
  </r>
  <r>
    <s v="Cairo"/>
    <x v="30"/>
    <x v="0"/>
    <x v="4"/>
    <n v="65"/>
    <n v="1885"/>
    <x v="9"/>
  </r>
  <r>
    <s v="Sydney"/>
    <x v="4"/>
    <x v="3"/>
    <x v="8"/>
    <n v="93"/>
    <n v="45570"/>
    <x v="5"/>
  </r>
  <r>
    <s v="Delhi"/>
    <x v="11"/>
    <x v="3"/>
    <x v="10"/>
    <n v="12"/>
    <n v="2880"/>
    <x v="4"/>
  </r>
  <r>
    <s v="Santiago"/>
    <x v="34"/>
    <x v="2"/>
    <x v="4"/>
    <n v="54"/>
    <n v="1566"/>
    <x v="8"/>
  </r>
  <r>
    <s v="Tel Aviv"/>
    <x v="13"/>
    <x v="0"/>
    <x v="10"/>
    <n v="80"/>
    <n v="19200"/>
    <x v="7"/>
  </r>
  <r>
    <s v="Bucharest"/>
    <x v="32"/>
    <x v="0"/>
    <x v="7"/>
    <n v="19"/>
    <n v="12730"/>
    <x v="2"/>
  </r>
  <r>
    <s v="Bangalore"/>
    <x v="11"/>
    <x v="3"/>
    <x v="6"/>
    <n v="56"/>
    <n v="25088"/>
    <x v="4"/>
  </r>
  <r>
    <s v="Istanbul"/>
    <x v="3"/>
    <x v="0"/>
    <x v="3"/>
    <n v="5"/>
    <n v="155"/>
    <x v="6"/>
  </r>
  <r>
    <s v="Kuala Lumpur"/>
    <x v="31"/>
    <x v="3"/>
    <x v="3"/>
    <n v="59"/>
    <n v="2714"/>
    <x v="0"/>
  </r>
  <r>
    <s v="Seoul"/>
    <x v="19"/>
    <x v="3"/>
    <x v="11"/>
    <n v="7"/>
    <n v="343"/>
    <x v="3"/>
  </r>
  <r>
    <s v="Riyadh"/>
    <x v="9"/>
    <x v="0"/>
    <x v="9"/>
    <n v="19"/>
    <n v="1197"/>
    <x v="3"/>
  </r>
  <r>
    <s v="Capetown"/>
    <x v="17"/>
    <x v="0"/>
    <x v="1"/>
    <n v="97"/>
    <n v="66542"/>
    <x v="1"/>
  </r>
  <r>
    <s v="Toronto"/>
    <x v="1"/>
    <x v="1"/>
    <x v="5"/>
    <n v="40"/>
    <n v="17000"/>
    <x v="7"/>
  </r>
  <r>
    <s v="Sydney"/>
    <x v="4"/>
    <x v="3"/>
    <x v="6"/>
    <n v="96"/>
    <n v="75264"/>
    <x v="0"/>
  </r>
  <r>
    <s v="Bogota"/>
    <x v="26"/>
    <x v="2"/>
    <x v="11"/>
    <n v="37"/>
    <n v="1591"/>
    <x v="2"/>
  </r>
  <r>
    <s v="Bogota"/>
    <x v="26"/>
    <x v="2"/>
    <x v="0"/>
    <n v="86"/>
    <n v="6364"/>
    <x v="5"/>
  </r>
  <r>
    <s v="Riyadh"/>
    <x v="9"/>
    <x v="0"/>
    <x v="3"/>
    <n v="100"/>
    <n v="4600"/>
    <x v="4"/>
  </r>
  <r>
    <s v="Birmingham"/>
    <x v="8"/>
    <x v="0"/>
    <x v="10"/>
    <n v="61"/>
    <n v="13603"/>
    <x v="9"/>
  </r>
  <r>
    <s v="Dublin"/>
    <x v="25"/>
    <x v="0"/>
    <x v="10"/>
    <n v="15"/>
    <n v="3375"/>
    <x v="8"/>
  </r>
  <r>
    <s v="Paris"/>
    <x v="21"/>
    <x v="0"/>
    <x v="9"/>
    <n v="8"/>
    <n v="552"/>
    <x v="0"/>
  </r>
  <r>
    <s v="Sao Paolo"/>
    <x v="2"/>
    <x v="2"/>
    <x v="8"/>
    <n v="24"/>
    <n v="11760"/>
    <x v="7"/>
  </r>
  <r>
    <s v="Kuala Lumpur"/>
    <x v="31"/>
    <x v="3"/>
    <x v="10"/>
    <n v="54"/>
    <n v="11880"/>
    <x v="1"/>
  </r>
  <r>
    <s v="Sydney"/>
    <x v="4"/>
    <x v="3"/>
    <x v="11"/>
    <n v="44"/>
    <n v="1452"/>
    <x v="9"/>
  </r>
  <r>
    <s v="Kuala Lumpur"/>
    <x v="31"/>
    <x v="3"/>
    <x v="9"/>
    <n v="46"/>
    <n v="2116"/>
    <x v="7"/>
  </r>
  <r>
    <s v="Shanghai"/>
    <x v="5"/>
    <x v="3"/>
    <x v="4"/>
    <n v="49"/>
    <n v="980"/>
    <x v="10"/>
  </r>
  <r>
    <s v="Seattle"/>
    <x v="18"/>
    <x v="1"/>
    <x v="8"/>
    <n v="10"/>
    <n v="5000"/>
    <x v="7"/>
  </r>
  <r>
    <s v="Los Angeles"/>
    <x v="18"/>
    <x v="1"/>
    <x v="8"/>
    <n v="82"/>
    <n v="41000"/>
    <x v="6"/>
  </r>
  <r>
    <s v="San Fransisco"/>
    <x v="18"/>
    <x v="1"/>
    <x v="5"/>
    <n v="69"/>
    <n v="24150"/>
    <x v="9"/>
  </r>
  <r>
    <s v="Toronto"/>
    <x v="1"/>
    <x v="1"/>
    <x v="8"/>
    <n v="30"/>
    <n v="15000"/>
    <x v="1"/>
  </r>
  <r>
    <s v="Tel Aviv"/>
    <x v="13"/>
    <x v="0"/>
    <x v="4"/>
    <n v="13"/>
    <n v="377"/>
    <x v="3"/>
  </r>
  <r>
    <s v="Dubai"/>
    <x v="33"/>
    <x v="0"/>
    <x v="5"/>
    <n v="91"/>
    <n v="27300"/>
    <x v="2"/>
  </r>
  <r>
    <s v="Shenzhen"/>
    <x v="5"/>
    <x v="3"/>
    <x v="9"/>
    <n v="67"/>
    <n v="4489"/>
    <x v="4"/>
  </r>
  <r>
    <s v="Tokyo"/>
    <x v="15"/>
    <x v="3"/>
    <x v="9"/>
    <n v="29"/>
    <n v="1769"/>
    <x v="1"/>
  </r>
  <r>
    <s v="Birmingham"/>
    <x v="8"/>
    <x v="0"/>
    <x v="2"/>
    <n v="1"/>
    <n v="140"/>
    <x v="8"/>
  </r>
  <r>
    <s v="Delhi"/>
    <x v="11"/>
    <x v="3"/>
    <x v="1"/>
    <n v="8"/>
    <n v="4816"/>
    <x v="7"/>
  </r>
  <r>
    <s v="Vancouver"/>
    <x v="1"/>
    <x v="1"/>
    <x v="0"/>
    <n v="93"/>
    <n v="6882"/>
    <x v="3"/>
  </r>
  <r>
    <s v="Tijuana"/>
    <x v="7"/>
    <x v="2"/>
    <x v="1"/>
    <n v="26"/>
    <n v="16198"/>
    <x v="11"/>
  </r>
  <r>
    <s v="Ho Chi Minh City"/>
    <x v="12"/>
    <x v="3"/>
    <x v="5"/>
    <n v="77"/>
    <n v="28105"/>
    <x v="8"/>
  </r>
  <r>
    <s v="Shanghai"/>
    <x v="5"/>
    <x v="3"/>
    <x v="10"/>
    <n v="16"/>
    <n v="3088"/>
    <x v="3"/>
  </r>
  <r>
    <s v="Houston"/>
    <x v="18"/>
    <x v="1"/>
    <x v="3"/>
    <n v="6"/>
    <n v="300"/>
    <x v="0"/>
  </r>
  <r>
    <s v="Houston"/>
    <x v="18"/>
    <x v="1"/>
    <x v="1"/>
    <n v="56"/>
    <n v="36064"/>
    <x v="9"/>
  </r>
  <r>
    <s v="Berlin"/>
    <x v="20"/>
    <x v="0"/>
    <x v="1"/>
    <n v="63"/>
    <n v="43218"/>
    <x v="8"/>
  </r>
  <r>
    <s v="Tijuana"/>
    <x v="7"/>
    <x v="2"/>
    <x v="10"/>
    <n v="33"/>
    <n v="7260"/>
    <x v="6"/>
  </r>
  <r>
    <s v="Bangkok"/>
    <x v="10"/>
    <x v="3"/>
    <x v="6"/>
    <n v="28"/>
    <n v="19264"/>
    <x v="2"/>
  </r>
  <r>
    <s v="Berlin"/>
    <x v="20"/>
    <x v="0"/>
    <x v="8"/>
    <n v="71"/>
    <n v="34790"/>
    <x v="4"/>
  </r>
  <r>
    <s v="Sao Paolo"/>
    <x v="2"/>
    <x v="2"/>
    <x v="2"/>
    <n v="63"/>
    <n v="9072"/>
    <x v="6"/>
  </r>
  <r>
    <s v="Los Angeles"/>
    <x v="18"/>
    <x v="1"/>
    <x v="1"/>
    <n v="12"/>
    <n v="6300"/>
    <x v="0"/>
  </r>
  <r>
    <s v="Tel Aviv"/>
    <x v="13"/>
    <x v="0"/>
    <x v="8"/>
    <n v="88"/>
    <n v="43120"/>
    <x v="9"/>
  </r>
  <r>
    <s v="Vienna"/>
    <x v="29"/>
    <x v="0"/>
    <x v="2"/>
    <n v="14"/>
    <n v="2016"/>
    <x v="0"/>
  </r>
  <r>
    <s v="Riyadh"/>
    <x v="9"/>
    <x v="0"/>
    <x v="6"/>
    <n v="12"/>
    <n v="5472"/>
    <x v="1"/>
  </r>
  <r>
    <s v="Athens"/>
    <x v="14"/>
    <x v="0"/>
    <x v="5"/>
    <n v="95"/>
    <n v="44175"/>
    <x v="10"/>
  </r>
  <r>
    <s v="Rome"/>
    <x v="22"/>
    <x v="0"/>
    <x v="8"/>
    <n v="74"/>
    <n v="36630"/>
    <x v="2"/>
  </r>
  <r>
    <s v="Moscow"/>
    <x v="0"/>
    <x v="0"/>
    <x v="3"/>
    <n v="81"/>
    <n v="3969"/>
    <x v="1"/>
  </r>
  <r>
    <s v="Vancouver"/>
    <x v="1"/>
    <x v="1"/>
    <x v="0"/>
    <n v="54"/>
    <n v="4212"/>
    <x v="8"/>
  </r>
  <r>
    <s v="Bogota"/>
    <x v="26"/>
    <x v="2"/>
    <x v="9"/>
    <n v="29"/>
    <n v="1508"/>
    <x v="6"/>
  </r>
  <r>
    <s v="Kuala Lumpur"/>
    <x v="31"/>
    <x v="3"/>
    <x v="2"/>
    <n v="14"/>
    <n v="2016"/>
    <x v="0"/>
  </r>
  <r>
    <s v="Athens"/>
    <x v="14"/>
    <x v="0"/>
    <x v="7"/>
    <n v="38"/>
    <n v="21280"/>
    <x v="5"/>
  </r>
  <r>
    <s v="Bucharest"/>
    <x v="32"/>
    <x v="0"/>
    <x v="5"/>
    <n v="43"/>
    <n v="21070"/>
    <x v="10"/>
  </r>
  <r>
    <s v="Bangalore"/>
    <x v="11"/>
    <x v="3"/>
    <x v="0"/>
    <n v="50"/>
    <n v="3800"/>
    <x v="8"/>
  </r>
  <r>
    <s v="Madria"/>
    <x v="28"/>
    <x v="0"/>
    <x v="11"/>
    <n v="21"/>
    <n v="945"/>
    <x v="11"/>
  </r>
  <r>
    <s v="Capetown"/>
    <x v="17"/>
    <x v="0"/>
    <x v="1"/>
    <n v="60"/>
    <n v="37800"/>
    <x v="7"/>
  </r>
  <r>
    <s v="Kansas City"/>
    <x v="18"/>
    <x v="1"/>
    <x v="3"/>
    <n v="39"/>
    <n v="1755"/>
    <x v="9"/>
  </r>
  <r>
    <s v="Warsaw"/>
    <x v="23"/>
    <x v="0"/>
    <x v="8"/>
    <n v="9"/>
    <n v="4500"/>
    <x v="3"/>
  </r>
  <r>
    <s v="Seattle"/>
    <x v="18"/>
    <x v="1"/>
    <x v="3"/>
    <n v="47"/>
    <n v="2162"/>
    <x v="3"/>
  </r>
  <r>
    <s v="Bangkok"/>
    <x v="10"/>
    <x v="3"/>
    <x v="8"/>
    <n v="12"/>
    <n v="5880"/>
    <x v="3"/>
  </r>
  <r>
    <s v="Chicago"/>
    <x v="18"/>
    <x v="1"/>
    <x v="1"/>
    <n v="35"/>
    <n v="24010"/>
    <x v="10"/>
  </r>
  <r>
    <s v="Los Angeles"/>
    <x v="18"/>
    <x v="1"/>
    <x v="4"/>
    <n v="44"/>
    <n v="1100"/>
    <x v="4"/>
  </r>
  <r>
    <s v="New York"/>
    <x v="18"/>
    <x v="1"/>
    <x v="7"/>
    <n v="60"/>
    <n v="36000"/>
    <x v="8"/>
  </r>
  <r>
    <s v="Shanghai"/>
    <x v="5"/>
    <x v="3"/>
    <x v="9"/>
    <n v="36"/>
    <n v="2268"/>
    <x v="11"/>
  </r>
  <r>
    <s v="Riyadh"/>
    <x v="9"/>
    <x v="0"/>
    <x v="10"/>
    <n v="67"/>
    <n v="16415"/>
    <x v="6"/>
  </r>
  <r>
    <s v="Tokyo"/>
    <x v="15"/>
    <x v="3"/>
    <x v="0"/>
    <n v="59"/>
    <n v="4366"/>
    <x v="10"/>
  </r>
  <r>
    <s v="Athens"/>
    <x v="14"/>
    <x v="0"/>
    <x v="5"/>
    <n v="32"/>
    <n v="14880"/>
    <x v="3"/>
  </r>
  <r>
    <s v="Capetown"/>
    <x v="17"/>
    <x v="0"/>
    <x v="2"/>
    <n v="62"/>
    <n v="6820"/>
    <x v="6"/>
  </r>
  <r>
    <s v="Cairo"/>
    <x v="30"/>
    <x v="0"/>
    <x v="8"/>
    <n v="88"/>
    <n v="44000"/>
    <x v="0"/>
  </r>
  <r>
    <s v="Los Angeles"/>
    <x v="18"/>
    <x v="1"/>
    <x v="1"/>
    <n v="92"/>
    <n v="64400"/>
    <x v="10"/>
  </r>
  <r>
    <s v="Paris"/>
    <x v="21"/>
    <x v="0"/>
    <x v="11"/>
    <n v="47"/>
    <n v="2350"/>
    <x v="0"/>
  </r>
  <r>
    <s v="Shanghai"/>
    <x v="5"/>
    <x v="3"/>
    <x v="8"/>
    <n v="27"/>
    <n v="13230"/>
    <x v="4"/>
  </r>
  <r>
    <s v="Istanbul"/>
    <x v="3"/>
    <x v="0"/>
    <x v="7"/>
    <n v="26"/>
    <n v="23920"/>
    <x v="11"/>
  </r>
  <r>
    <s v="Athens"/>
    <x v="14"/>
    <x v="0"/>
    <x v="8"/>
    <n v="78"/>
    <n v="39000"/>
    <x v="0"/>
  </r>
  <r>
    <s v="Dubai"/>
    <x v="33"/>
    <x v="0"/>
    <x v="4"/>
    <n v="77"/>
    <n v="2310"/>
    <x v="5"/>
  </r>
  <r>
    <s v="Prague"/>
    <x v="16"/>
    <x v="0"/>
    <x v="0"/>
    <n v="29"/>
    <n v="2233"/>
    <x v="5"/>
  </r>
  <r>
    <s v="Birmingham"/>
    <x v="8"/>
    <x v="0"/>
    <x v="7"/>
    <n v="55"/>
    <n v="50600"/>
    <x v="8"/>
  </r>
  <r>
    <s v="Madria"/>
    <x v="28"/>
    <x v="0"/>
    <x v="0"/>
    <n v="25"/>
    <n v="1900"/>
    <x v="0"/>
  </r>
  <r>
    <s v="Osaka"/>
    <x v="15"/>
    <x v="3"/>
    <x v="7"/>
    <n v="51"/>
    <n v="37740"/>
    <x v="8"/>
  </r>
  <r>
    <s v="Sydney"/>
    <x v="4"/>
    <x v="3"/>
    <x v="0"/>
    <n v="25"/>
    <n v="2000"/>
    <x v="1"/>
  </r>
  <r>
    <s v="Birmingham"/>
    <x v="8"/>
    <x v="0"/>
    <x v="0"/>
    <n v="59"/>
    <n v="3599"/>
    <x v="10"/>
  </r>
  <r>
    <s v="Tel Aviv"/>
    <x v="13"/>
    <x v="0"/>
    <x v="7"/>
    <n v="96"/>
    <n v="58560"/>
    <x v="5"/>
  </r>
  <r>
    <s v="Bangalore"/>
    <x v="11"/>
    <x v="3"/>
    <x v="4"/>
    <n v="15"/>
    <n v="450"/>
    <x v="2"/>
  </r>
  <r>
    <s v="New York"/>
    <x v="18"/>
    <x v="1"/>
    <x v="5"/>
    <n v="80"/>
    <n v="31200"/>
    <x v="5"/>
  </r>
  <r>
    <s v="Guangzhou"/>
    <x v="5"/>
    <x v="3"/>
    <x v="0"/>
    <n v="72"/>
    <n v="5040"/>
    <x v="2"/>
  </r>
  <r>
    <s v="Rome"/>
    <x v="22"/>
    <x v="0"/>
    <x v="5"/>
    <n v="48"/>
    <n v="20160"/>
    <x v="0"/>
  </r>
  <r>
    <s v="Prague"/>
    <x v="16"/>
    <x v="0"/>
    <x v="9"/>
    <n v="29"/>
    <n v="1827"/>
    <x v="11"/>
  </r>
  <r>
    <s v="Shanghai"/>
    <x v="5"/>
    <x v="3"/>
    <x v="0"/>
    <n v="79"/>
    <n v="4898"/>
    <x v="0"/>
  </r>
  <r>
    <s v="Jerusalem"/>
    <x v="13"/>
    <x v="0"/>
    <x v="11"/>
    <n v="57"/>
    <n v="2793"/>
    <x v="3"/>
  </r>
  <r>
    <s v="Birmingham"/>
    <x v="8"/>
    <x v="0"/>
    <x v="6"/>
    <n v="85"/>
    <n v="50320"/>
    <x v="3"/>
  </r>
  <r>
    <s v="Shanghai"/>
    <x v="5"/>
    <x v="3"/>
    <x v="2"/>
    <n v="100"/>
    <n v="14900"/>
    <x v="5"/>
  </r>
  <r>
    <s v="Buenos Aires"/>
    <x v="27"/>
    <x v="2"/>
    <x v="7"/>
    <n v="63"/>
    <n v="56700"/>
    <x v="4"/>
  </r>
  <r>
    <s v="Toronto"/>
    <x v="1"/>
    <x v="1"/>
    <x v="1"/>
    <n v="99"/>
    <n v="64449"/>
    <x v="7"/>
  </r>
  <r>
    <s v="Chicago"/>
    <x v="18"/>
    <x v="1"/>
    <x v="3"/>
    <n v="90"/>
    <n v="4320"/>
    <x v="7"/>
  </r>
  <r>
    <s v="Delhi"/>
    <x v="11"/>
    <x v="3"/>
    <x v="6"/>
    <n v="27"/>
    <n v="15984"/>
    <x v="7"/>
  </r>
  <r>
    <s v="Kansas City"/>
    <x v="18"/>
    <x v="1"/>
    <x v="2"/>
    <n v="99"/>
    <n v="13563"/>
    <x v="9"/>
  </r>
  <r>
    <s v="Paris"/>
    <x v="21"/>
    <x v="0"/>
    <x v="5"/>
    <n v="65"/>
    <n v="30875"/>
    <x v="10"/>
  </r>
  <r>
    <s v="Prague"/>
    <x v="16"/>
    <x v="0"/>
    <x v="2"/>
    <n v="77"/>
    <n v="8085"/>
    <x v="8"/>
  </r>
  <r>
    <s v="Madria"/>
    <x v="28"/>
    <x v="0"/>
    <x v="1"/>
    <n v="86"/>
    <n v="51772"/>
    <x v="6"/>
  </r>
  <r>
    <s v="Osaka"/>
    <x v="15"/>
    <x v="3"/>
    <x v="6"/>
    <n v="59"/>
    <n v="39648"/>
    <x v="6"/>
  </r>
  <r>
    <s v="Mexico City"/>
    <x v="7"/>
    <x v="2"/>
    <x v="4"/>
    <n v="37"/>
    <n v="1036"/>
    <x v="11"/>
  </r>
  <r>
    <s v="Lima"/>
    <x v="6"/>
    <x v="2"/>
    <x v="1"/>
    <n v="31"/>
    <n v="13020"/>
    <x v="4"/>
  </r>
  <r>
    <s v="Chicago"/>
    <x v="18"/>
    <x v="1"/>
    <x v="4"/>
    <n v="52"/>
    <n v="1508"/>
    <x v="4"/>
  </r>
  <r>
    <s v="Vienna"/>
    <x v="29"/>
    <x v="0"/>
    <x v="1"/>
    <n v="36"/>
    <n v="22176"/>
    <x v="5"/>
  </r>
  <r>
    <s v="Santiago"/>
    <x v="34"/>
    <x v="2"/>
    <x v="1"/>
    <n v="11"/>
    <n v="6622"/>
    <x v="10"/>
  </r>
  <r>
    <s v="Jerusalem"/>
    <x v="13"/>
    <x v="0"/>
    <x v="6"/>
    <n v="74"/>
    <n v="52096"/>
    <x v="7"/>
  </r>
  <r>
    <s v="Buenos Aires"/>
    <x v="27"/>
    <x v="2"/>
    <x v="8"/>
    <n v="96"/>
    <n v="48000"/>
    <x v="4"/>
  </r>
  <r>
    <s v="Bogota"/>
    <x v="26"/>
    <x v="2"/>
    <x v="2"/>
    <n v="100"/>
    <n v="14700"/>
    <x v="5"/>
  </r>
  <r>
    <s v="Toronto"/>
    <x v="1"/>
    <x v="1"/>
    <x v="4"/>
    <n v="86"/>
    <n v="2494"/>
    <x v="7"/>
  </r>
  <r>
    <s v="Shanghai"/>
    <x v="5"/>
    <x v="3"/>
    <x v="5"/>
    <n v="76"/>
    <n v="34580"/>
    <x v="4"/>
  </r>
  <r>
    <s v="Kuala Lumpur"/>
    <x v="31"/>
    <x v="3"/>
    <x v="10"/>
    <n v="95"/>
    <n v="23750"/>
    <x v="11"/>
  </r>
  <r>
    <s v="Moscow"/>
    <x v="0"/>
    <x v="0"/>
    <x v="6"/>
    <n v="81"/>
    <n v="55728"/>
    <x v="9"/>
  </r>
  <r>
    <s v="Sao Paolo"/>
    <x v="2"/>
    <x v="2"/>
    <x v="3"/>
    <n v="9"/>
    <n v="396"/>
    <x v="10"/>
  </r>
  <r>
    <s v="Guangzhou"/>
    <x v="5"/>
    <x v="3"/>
    <x v="8"/>
    <n v="26"/>
    <n v="12870"/>
    <x v="6"/>
  </r>
  <r>
    <s v="Birmingham"/>
    <x v="8"/>
    <x v="0"/>
    <x v="4"/>
    <n v="72"/>
    <n v="2160"/>
    <x v="3"/>
  </r>
  <r>
    <s v="Seoul"/>
    <x v="19"/>
    <x v="3"/>
    <x v="7"/>
    <n v="23"/>
    <n v="15410"/>
    <x v="8"/>
  </r>
  <r>
    <s v="Lima"/>
    <x v="6"/>
    <x v="2"/>
    <x v="6"/>
    <n v="84"/>
    <n v="55776"/>
    <x v="0"/>
  </r>
  <r>
    <s v="Shenzhen"/>
    <x v="5"/>
    <x v="3"/>
    <x v="11"/>
    <n v="37"/>
    <n v="1480"/>
    <x v="4"/>
  </r>
  <r>
    <s v="London"/>
    <x v="8"/>
    <x v="0"/>
    <x v="7"/>
    <n v="83"/>
    <n v="73870"/>
    <x v="6"/>
  </r>
  <r>
    <s v="Prague"/>
    <x v="16"/>
    <x v="0"/>
    <x v="4"/>
    <n v="13"/>
    <n v="260"/>
    <x v="5"/>
  </r>
  <r>
    <s v="Mexico City"/>
    <x v="7"/>
    <x v="2"/>
    <x v="10"/>
    <n v="22"/>
    <n v="5390"/>
    <x v="10"/>
  </r>
  <r>
    <s v="Dublin"/>
    <x v="25"/>
    <x v="0"/>
    <x v="3"/>
    <n v="90"/>
    <n v="4230"/>
    <x v="8"/>
  </r>
  <r>
    <s v="Mexico City"/>
    <x v="7"/>
    <x v="2"/>
    <x v="0"/>
    <n v="90"/>
    <n v="6570"/>
    <x v="9"/>
  </r>
  <r>
    <s v="Capetown"/>
    <x v="17"/>
    <x v="0"/>
    <x v="8"/>
    <n v="69"/>
    <n v="33810"/>
    <x v="3"/>
  </r>
  <r>
    <s v="Dublin"/>
    <x v="25"/>
    <x v="0"/>
    <x v="6"/>
    <n v="2"/>
    <n v="1424"/>
    <x v="4"/>
  </r>
  <r>
    <s v="Tijuana"/>
    <x v="7"/>
    <x v="2"/>
    <x v="7"/>
    <n v="7"/>
    <n v="6440"/>
    <x v="6"/>
  </r>
  <r>
    <s v="Bogota"/>
    <x v="26"/>
    <x v="2"/>
    <x v="8"/>
    <n v="95"/>
    <n v="47025"/>
    <x v="4"/>
  </r>
  <r>
    <s v="Tijuana"/>
    <x v="7"/>
    <x v="2"/>
    <x v="3"/>
    <n v="62"/>
    <n v="2790"/>
    <x v="5"/>
  </r>
  <r>
    <s v="Capetown"/>
    <x v="17"/>
    <x v="0"/>
    <x v="8"/>
    <n v="81"/>
    <n v="39690"/>
    <x v="5"/>
  </r>
  <r>
    <s v="Bucharest"/>
    <x v="32"/>
    <x v="0"/>
    <x v="10"/>
    <n v="35"/>
    <n v="8330"/>
    <x v="0"/>
  </r>
  <r>
    <s v="Dublin"/>
    <x v="25"/>
    <x v="0"/>
    <x v="7"/>
    <n v="74"/>
    <n v="49580"/>
    <x v="11"/>
  </r>
  <r>
    <s v="Delhi"/>
    <x v="11"/>
    <x v="3"/>
    <x v="0"/>
    <n v="3"/>
    <n v="216"/>
    <x v="8"/>
  </r>
  <r>
    <s v="Warsaw"/>
    <x v="23"/>
    <x v="0"/>
    <x v="5"/>
    <n v="19"/>
    <n v="5890"/>
    <x v="11"/>
  </r>
  <r>
    <s v="Kuala Lumpur"/>
    <x v="31"/>
    <x v="3"/>
    <x v="0"/>
    <n v="100"/>
    <n v="8000"/>
    <x v="3"/>
  </r>
  <r>
    <s v="Santiago"/>
    <x v="34"/>
    <x v="2"/>
    <x v="9"/>
    <n v="83"/>
    <n v="4731"/>
    <x v="2"/>
  </r>
  <r>
    <s v="San Fransisco"/>
    <x v="18"/>
    <x v="1"/>
    <x v="3"/>
    <n v="97"/>
    <n v="4656"/>
    <x v="5"/>
  </r>
  <r>
    <s v="Capetown"/>
    <x v="17"/>
    <x v="0"/>
    <x v="2"/>
    <n v="37"/>
    <n v="4736"/>
    <x v="6"/>
  </r>
  <r>
    <s v="Buenos Aires"/>
    <x v="27"/>
    <x v="2"/>
    <x v="8"/>
    <n v="72"/>
    <n v="35280"/>
    <x v="2"/>
  </r>
  <r>
    <s v="Capetown"/>
    <x v="17"/>
    <x v="0"/>
    <x v="2"/>
    <n v="29"/>
    <n v="3480"/>
    <x v="2"/>
  </r>
  <r>
    <s v="Moscow"/>
    <x v="0"/>
    <x v="0"/>
    <x v="1"/>
    <n v="63"/>
    <n v="41895"/>
    <x v="3"/>
  </r>
  <r>
    <s v="Riyadh"/>
    <x v="9"/>
    <x v="0"/>
    <x v="6"/>
    <n v="36"/>
    <n v="17280"/>
    <x v="0"/>
  </r>
  <r>
    <s v="Prague"/>
    <x v="16"/>
    <x v="0"/>
    <x v="9"/>
    <n v="95"/>
    <n v="6365"/>
    <x v="7"/>
  </r>
  <r>
    <s v="Kuala Lumpur"/>
    <x v="31"/>
    <x v="3"/>
    <x v="7"/>
    <n v="53"/>
    <n v="36040"/>
    <x v="11"/>
  </r>
  <r>
    <s v="Berlin"/>
    <x v="20"/>
    <x v="0"/>
    <x v="0"/>
    <n v="88"/>
    <n v="5016"/>
    <x v="7"/>
  </r>
  <r>
    <s v="Amsterdam"/>
    <x v="24"/>
    <x v="0"/>
    <x v="9"/>
    <n v="53"/>
    <n v="3657"/>
    <x v="9"/>
  </r>
  <r>
    <s v="Ho Chi Minh City"/>
    <x v="12"/>
    <x v="3"/>
    <x v="4"/>
    <n v="57"/>
    <n v="1653"/>
    <x v="6"/>
  </r>
  <r>
    <s v="Osaka"/>
    <x v="15"/>
    <x v="3"/>
    <x v="1"/>
    <n v="23"/>
    <n v="15295"/>
    <x v="0"/>
  </r>
  <r>
    <s v="Berlin"/>
    <x v="20"/>
    <x v="0"/>
    <x v="10"/>
    <n v="36"/>
    <n v="8460"/>
    <x v="8"/>
  </r>
  <r>
    <s v="Kansas City"/>
    <x v="18"/>
    <x v="1"/>
    <x v="10"/>
    <n v="75"/>
    <n v="16350"/>
    <x v="6"/>
  </r>
  <r>
    <s v="Santiago"/>
    <x v="34"/>
    <x v="2"/>
    <x v="6"/>
    <n v="60"/>
    <n v="36960"/>
    <x v="4"/>
  </r>
  <r>
    <s v="Guangzhou"/>
    <x v="5"/>
    <x v="3"/>
    <x v="5"/>
    <n v="83"/>
    <n v="32785"/>
    <x v="1"/>
  </r>
  <r>
    <s v="Bangkok"/>
    <x v="10"/>
    <x v="3"/>
    <x v="9"/>
    <n v="4"/>
    <n v="276"/>
    <x v="8"/>
  </r>
  <r>
    <s v="Shanghai"/>
    <x v="5"/>
    <x v="3"/>
    <x v="1"/>
    <n v="36"/>
    <n v="21924"/>
    <x v="11"/>
  </r>
  <r>
    <s v="Cairo"/>
    <x v="30"/>
    <x v="0"/>
    <x v="5"/>
    <n v="72"/>
    <n v="32760"/>
    <x v="11"/>
  </r>
  <r>
    <s v="Shanghai"/>
    <x v="5"/>
    <x v="3"/>
    <x v="0"/>
    <n v="63"/>
    <n v="4599"/>
    <x v="1"/>
  </r>
  <r>
    <s v="Seoul"/>
    <x v="19"/>
    <x v="3"/>
    <x v="4"/>
    <n v="95"/>
    <n v="2755"/>
    <x v="11"/>
  </r>
  <r>
    <s v="Riyadh"/>
    <x v="9"/>
    <x v="0"/>
    <x v="5"/>
    <n v="48"/>
    <n v="18480"/>
    <x v="1"/>
  </r>
  <r>
    <s v="Paris"/>
    <x v="21"/>
    <x v="0"/>
    <x v="6"/>
    <n v="51"/>
    <n v="39168"/>
    <x v="9"/>
  </r>
  <r>
    <s v="Houston"/>
    <x v="18"/>
    <x v="1"/>
    <x v="9"/>
    <n v="52"/>
    <n v="2756"/>
    <x v="7"/>
  </r>
  <r>
    <s v="Bucharest"/>
    <x v="32"/>
    <x v="0"/>
    <x v="10"/>
    <n v="65"/>
    <n v="16120"/>
    <x v="11"/>
  </r>
  <r>
    <s v="Berlin"/>
    <x v="20"/>
    <x v="0"/>
    <x v="10"/>
    <n v="45"/>
    <n v="9585"/>
    <x v="10"/>
  </r>
  <r>
    <s v="Buenos Aires"/>
    <x v="27"/>
    <x v="2"/>
    <x v="11"/>
    <n v="85"/>
    <n v="3060"/>
    <x v="2"/>
  </r>
  <r>
    <s v="Kansas City"/>
    <x v="18"/>
    <x v="1"/>
    <x v="9"/>
    <n v="15"/>
    <n v="990"/>
    <x v="10"/>
  </r>
  <r>
    <s v="Dublin"/>
    <x v="25"/>
    <x v="0"/>
    <x v="5"/>
    <n v="62"/>
    <n v="27590"/>
    <x v="5"/>
  </r>
  <r>
    <s v="Athens"/>
    <x v="14"/>
    <x v="0"/>
    <x v="3"/>
    <n v="9"/>
    <n v="270"/>
    <x v="7"/>
  </r>
  <r>
    <s v="Santiago"/>
    <x v="34"/>
    <x v="2"/>
    <x v="10"/>
    <n v="6"/>
    <n v="1458"/>
    <x v="1"/>
  </r>
  <r>
    <s v="Guangzhou"/>
    <x v="5"/>
    <x v="3"/>
    <x v="3"/>
    <n v="83"/>
    <n v="3735"/>
    <x v="2"/>
  </r>
  <r>
    <s v="Amsterdam"/>
    <x v="24"/>
    <x v="0"/>
    <x v="11"/>
    <n v="99"/>
    <n v="4950"/>
    <x v="8"/>
  </r>
  <r>
    <s v="Madria"/>
    <x v="28"/>
    <x v="0"/>
    <x v="10"/>
    <n v="58"/>
    <n v="12760"/>
    <x v="1"/>
  </r>
  <r>
    <s v="Tel Aviv"/>
    <x v="13"/>
    <x v="0"/>
    <x v="5"/>
    <n v="90"/>
    <n v="40500"/>
    <x v="4"/>
  </r>
  <r>
    <s v="Bangkok"/>
    <x v="10"/>
    <x v="3"/>
    <x v="3"/>
    <n v="50"/>
    <n v="2400"/>
    <x v="1"/>
  </r>
  <r>
    <s v="Guangzhou"/>
    <x v="5"/>
    <x v="3"/>
    <x v="0"/>
    <n v="70"/>
    <n v="5460"/>
    <x v="3"/>
  </r>
  <r>
    <s v="Moscow"/>
    <x v="0"/>
    <x v="0"/>
    <x v="2"/>
    <n v="73"/>
    <n v="10877"/>
    <x v="5"/>
  </r>
  <r>
    <s v="Sydney"/>
    <x v="4"/>
    <x v="3"/>
    <x v="6"/>
    <n v="68"/>
    <n v="40256"/>
    <x v="5"/>
  </r>
  <r>
    <s v="Paris"/>
    <x v="21"/>
    <x v="0"/>
    <x v="6"/>
    <n v="19"/>
    <n v="15200"/>
    <x v="10"/>
  </r>
  <r>
    <s v="Buenos Aires"/>
    <x v="27"/>
    <x v="2"/>
    <x v="9"/>
    <n v="86"/>
    <n v="5418"/>
    <x v="4"/>
  </r>
  <r>
    <s v="Seattle"/>
    <x v="18"/>
    <x v="1"/>
    <x v="1"/>
    <n v="69"/>
    <n v="44919"/>
    <x v="5"/>
  </r>
  <r>
    <s v="Seattle"/>
    <x v="18"/>
    <x v="1"/>
    <x v="0"/>
    <n v="33"/>
    <n v="1782"/>
    <x v="8"/>
  </r>
  <r>
    <s v="Tijuana"/>
    <x v="7"/>
    <x v="2"/>
    <x v="11"/>
    <n v="66"/>
    <n v="3300"/>
    <x v="10"/>
  </r>
  <r>
    <s v="Osaka"/>
    <x v="15"/>
    <x v="3"/>
    <x v="5"/>
    <n v="71"/>
    <n v="22720"/>
    <x v="10"/>
  </r>
  <r>
    <s v="Paris"/>
    <x v="21"/>
    <x v="0"/>
    <x v="3"/>
    <n v="10"/>
    <n v="430"/>
    <x v="9"/>
  </r>
  <r>
    <s v="Seoul"/>
    <x v="19"/>
    <x v="3"/>
    <x v="0"/>
    <n v="17"/>
    <n v="1326"/>
    <x v="10"/>
  </r>
  <r>
    <s v="London"/>
    <x v="8"/>
    <x v="0"/>
    <x v="10"/>
    <n v="6"/>
    <n v="1488"/>
    <x v="4"/>
  </r>
  <r>
    <s v="Lima"/>
    <x v="6"/>
    <x v="2"/>
    <x v="4"/>
    <n v="64"/>
    <n v="1728"/>
    <x v="0"/>
  </r>
  <r>
    <s v="Vienna"/>
    <x v="29"/>
    <x v="0"/>
    <x v="8"/>
    <n v="44"/>
    <n v="21780"/>
    <x v="2"/>
  </r>
  <r>
    <s v="Osaka"/>
    <x v="15"/>
    <x v="3"/>
    <x v="6"/>
    <n v="14"/>
    <n v="6720"/>
    <x v="8"/>
  </r>
  <r>
    <s v="New York"/>
    <x v="18"/>
    <x v="1"/>
    <x v="10"/>
    <n v="18"/>
    <n v="3870"/>
    <x v="10"/>
  </r>
  <r>
    <s v="Capetown"/>
    <x v="17"/>
    <x v="0"/>
    <x v="5"/>
    <n v="64"/>
    <n v="26880"/>
    <x v="10"/>
  </r>
  <r>
    <s v="Bucharest"/>
    <x v="32"/>
    <x v="0"/>
    <x v="6"/>
    <n v="46"/>
    <n v="29808"/>
    <x v="9"/>
  </r>
  <r>
    <s v="Tel Aviv"/>
    <x v="13"/>
    <x v="0"/>
    <x v="3"/>
    <n v="64"/>
    <n v="3136"/>
    <x v="11"/>
  </r>
  <r>
    <s v="Riyadh"/>
    <x v="9"/>
    <x v="0"/>
    <x v="5"/>
    <n v="45"/>
    <n v="20925"/>
    <x v="3"/>
  </r>
  <r>
    <s v="Mexico City"/>
    <x v="7"/>
    <x v="2"/>
    <x v="10"/>
    <n v="37"/>
    <n v="7955"/>
    <x v="9"/>
  </r>
  <r>
    <s v="Jerusalem"/>
    <x v="13"/>
    <x v="0"/>
    <x v="2"/>
    <n v="89"/>
    <n v="13261"/>
    <x v="0"/>
  </r>
  <r>
    <s v="Guangzhou"/>
    <x v="5"/>
    <x v="3"/>
    <x v="11"/>
    <n v="52"/>
    <n v="1976"/>
    <x v="5"/>
  </r>
  <r>
    <s v="Ho Chi Minh City"/>
    <x v="12"/>
    <x v="3"/>
    <x v="7"/>
    <n v="97"/>
    <n v="64990"/>
    <x v="6"/>
  </r>
  <r>
    <s v="Ho Chi Minh City"/>
    <x v="12"/>
    <x v="3"/>
    <x v="7"/>
    <n v="50"/>
    <n v="29500"/>
    <x v="8"/>
  </r>
  <r>
    <s v="Kuala Lumpur"/>
    <x v="31"/>
    <x v="3"/>
    <x v="11"/>
    <n v="48"/>
    <n v="2352"/>
    <x v="11"/>
  </r>
  <r>
    <s v="New York"/>
    <x v="18"/>
    <x v="1"/>
    <x v="4"/>
    <n v="85"/>
    <n v="1700"/>
    <x v="8"/>
  </r>
  <r>
    <s v="Paris"/>
    <x v="21"/>
    <x v="0"/>
    <x v="5"/>
    <n v="26"/>
    <n v="11700"/>
    <x v="3"/>
  </r>
  <r>
    <s v="Cairo"/>
    <x v="30"/>
    <x v="0"/>
    <x v="8"/>
    <n v="35"/>
    <n v="17150"/>
    <x v="8"/>
  </r>
  <r>
    <s v="Warsaw"/>
    <x v="23"/>
    <x v="0"/>
    <x v="10"/>
    <n v="3"/>
    <n v="309"/>
    <x v="8"/>
  </r>
  <r>
    <s v="Paris"/>
    <x v="21"/>
    <x v="0"/>
    <x v="4"/>
    <n v="32"/>
    <n v="832"/>
    <x v="6"/>
  </r>
  <r>
    <s v="Bangalore"/>
    <x v="11"/>
    <x v="3"/>
    <x v="7"/>
    <n v="96"/>
    <n v="54720"/>
    <x v="6"/>
  </r>
  <r>
    <s v="Dublin"/>
    <x v="25"/>
    <x v="0"/>
    <x v="3"/>
    <n v="64"/>
    <n v="3200"/>
    <x v="9"/>
  </r>
  <r>
    <s v="Kansas City"/>
    <x v="18"/>
    <x v="1"/>
    <x v="0"/>
    <n v="62"/>
    <n v="4898"/>
    <x v="1"/>
  </r>
  <r>
    <s v="Rome"/>
    <x v="22"/>
    <x v="0"/>
    <x v="4"/>
    <n v="3"/>
    <n v="81"/>
    <x v="0"/>
  </r>
  <r>
    <s v="Bogota"/>
    <x v="26"/>
    <x v="2"/>
    <x v="7"/>
    <n v="24"/>
    <n v="19200"/>
    <x v="5"/>
  </r>
  <r>
    <s v="Warsaw"/>
    <x v="23"/>
    <x v="0"/>
    <x v="3"/>
    <n v="93"/>
    <n v="4278"/>
    <x v="9"/>
  </r>
  <r>
    <s v="Kansas City"/>
    <x v="18"/>
    <x v="1"/>
    <x v="6"/>
    <n v="33"/>
    <n v="14520"/>
    <x v="2"/>
  </r>
  <r>
    <s v="Toronto"/>
    <x v="1"/>
    <x v="1"/>
    <x v="0"/>
    <n v="19"/>
    <n v="1349"/>
    <x v="6"/>
  </r>
  <r>
    <s v="Kansas City"/>
    <x v="18"/>
    <x v="1"/>
    <x v="6"/>
    <n v="98"/>
    <n v="50176"/>
    <x v="9"/>
  </r>
  <r>
    <s v="Lima"/>
    <x v="6"/>
    <x v="2"/>
    <x v="0"/>
    <n v="41"/>
    <n v="3157"/>
    <x v="7"/>
  </r>
  <r>
    <s v="Kuala Lumpur"/>
    <x v="31"/>
    <x v="3"/>
    <x v="8"/>
    <n v="40"/>
    <n v="19600"/>
    <x v="3"/>
  </r>
  <r>
    <s v="London"/>
    <x v="8"/>
    <x v="0"/>
    <x v="7"/>
    <n v="55"/>
    <n v="50600"/>
    <x v="5"/>
  </r>
  <r>
    <s v="Riyadh"/>
    <x v="9"/>
    <x v="0"/>
    <x v="7"/>
    <n v="92"/>
    <n v="68080"/>
    <x v="1"/>
  </r>
  <r>
    <s v="Prague"/>
    <x v="16"/>
    <x v="0"/>
    <x v="5"/>
    <n v="57"/>
    <n v="25650"/>
    <x v="0"/>
  </r>
  <r>
    <s v="Shanghai"/>
    <x v="5"/>
    <x v="3"/>
    <x v="4"/>
    <n v="68"/>
    <n v="2040"/>
    <x v="5"/>
  </r>
  <r>
    <s v="Jerusalem"/>
    <x v="13"/>
    <x v="0"/>
    <x v="9"/>
    <n v="29"/>
    <n v="1624"/>
    <x v="4"/>
  </r>
  <r>
    <s v="Vancouver"/>
    <x v="1"/>
    <x v="1"/>
    <x v="7"/>
    <n v="54"/>
    <n v="30240"/>
    <x v="1"/>
  </r>
  <r>
    <s v="Jerusalem"/>
    <x v="13"/>
    <x v="0"/>
    <x v="11"/>
    <n v="64"/>
    <n v="3072"/>
    <x v="10"/>
  </r>
  <r>
    <s v="Ho Chi Minh City"/>
    <x v="12"/>
    <x v="3"/>
    <x v="5"/>
    <n v="71"/>
    <n v="34790"/>
    <x v="6"/>
  </r>
  <r>
    <s v="London"/>
    <x v="8"/>
    <x v="0"/>
    <x v="8"/>
    <n v="42"/>
    <n v="21000"/>
    <x v="1"/>
  </r>
  <r>
    <s v="New York"/>
    <x v="18"/>
    <x v="1"/>
    <x v="8"/>
    <n v="98"/>
    <n v="48020"/>
    <x v="2"/>
  </r>
  <r>
    <s v="Rochester"/>
    <x v="18"/>
    <x v="1"/>
    <x v="2"/>
    <n v="16"/>
    <n v="1616"/>
    <x v="11"/>
  </r>
  <r>
    <s v="Tijuana"/>
    <x v="7"/>
    <x v="2"/>
    <x v="9"/>
    <n v="19"/>
    <n v="1311"/>
    <x v="8"/>
  </r>
  <r>
    <s v="Los Angeles"/>
    <x v="18"/>
    <x v="1"/>
    <x v="6"/>
    <n v="84"/>
    <n v="58464"/>
    <x v="7"/>
  </r>
  <r>
    <s v="Moscow"/>
    <x v="0"/>
    <x v="0"/>
    <x v="9"/>
    <n v="36"/>
    <n v="2484"/>
    <x v="1"/>
  </r>
  <r>
    <s v="Sydney"/>
    <x v="4"/>
    <x v="3"/>
    <x v="6"/>
    <n v="74"/>
    <n v="38480"/>
    <x v="5"/>
  </r>
  <r>
    <s v="Tel Aviv"/>
    <x v="13"/>
    <x v="0"/>
    <x v="11"/>
    <n v="14"/>
    <n v="616"/>
    <x v="0"/>
  </r>
  <r>
    <s v="Seoul"/>
    <x v="19"/>
    <x v="3"/>
    <x v="0"/>
    <n v="83"/>
    <n v="6391"/>
    <x v="2"/>
  </r>
  <r>
    <s v="Osaka"/>
    <x v="15"/>
    <x v="3"/>
    <x v="1"/>
    <n v="54"/>
    <n v="24570"/>
    <x v="5"/>
  </r>
  <r>
    <s v="Lima"/>
    <x v="6"/>
    <x v="2"/>
    <x v="5"/>
    <n v="32"/>
    <n v="15520"/>
    <x v="0"/>
  </r>
  <r>
    <s v="Shenzhen"/>
    <x v="5"/>
    <x v="3"/>
    <x v="8"/>
    <n v="21"/>
    <n v="10500"/>
    <x v="4"/>
  </r>
  <r>
    <s v="Los Angeles"/>
    <x v="18"/>
    <x v="1"/>
    <x v="2"/>
    <n v="55"/>
    <n v="6545"/>
    <x v="4"/>
  </r>
  <r>
    <s v="Lima"/>
    <x v="6"/>
    <x v="2"/>
    <x v="9"/>
    <n v="51"/>
    <n v="3060"/>
    <x v="8"/>
  </r>
  <r>
    <s v="Sydney"/>
    <x v="4"/>
    <x v="3"/>
    <x v="11"/>
    <n v="92"/>
    <n v="4140"/>
    <x v="11"/>
  </r>
  <r>
    <s v="Moscow"/>
    <x v="0"/>
    <x v="0"/>
    <x v="6"/>
    <n v="96"/>
    <n v="71424"/>
    <x v="4"/>
  </r>
  <r>
    <s v="Houston"/>
    <x v="18"/>
    <x v="1"/>
    <x v="5"/>
    <n v="75"/>
    <n v="35250"/>
    <x v="4"/>
  </r>
  <r>
    <s v="Tijuana"/>
    <x v="7"/>
    <x v="2"/>
    <x v="9"/>
    <n v="31"/>
    <n v="1891"/>
    <x v="1"/>
  </r>
  <r>
    <s v="Osaka"/>
    <x v="15"/>
    <x v="3"/>
    <x v="1"/>
    <n v="82"/>
    <n v="44772"/>
    <x v="7"/>
  </r>
  <r>
    <s v="Sydney"/>
    <x v="4"/>
    <x v="3"/>
    <x v="8"/>
    <n v="40"/>
    <n v="19800"/>
    <x v="1"/>
  </r>
  <r>
    <s v="Mexico City"/>
    <x v="7"/>
    <x v="2"/>
    <x v="6"/>
    <n v="70"/>
    <n v="41440"/>
    <x v="9"/>
  </r>
  <r>
    <s v="Dublin"/>
    <x v="25"/>
    <x v="0"/>
    <x v="0"/>
    <n v="10"/>
    <n v="640"/>
    <x v="0"/>
  </r>
  <r>
    <s v="Shanghai"/>
    <x v="5"/>
    <x v="3"/>
    <x v="1"/>
    <n v="61"/>
    <n v="42273"/>
    <x v="5"/>
  </r>
  <r>
    <s v="Rome"/>
    <x v="22"/>
    <x v="0"/>
    <x v="11"/>
    <n v="19"/>
    <n v="722"/>
    <x v="8"/>
  </r>
  <r>
    <s v="Mexico City"/>
    <x v="7"/>
    <x v="2"/>
    <x v="2"/>
    <n v="19"/>
    <n v="2660"/>
    <x v="7"/>
  </r>
  <r>
    <s v="Jerusalem"/>
    <x v="13"/>
    <x v="0"/>
    <x v="4"/>
    <n v="60"/>
    <n v="1440"/>
    <x v="0"/>
  </r>
  <r>
    <s v="Sao Paolo"/>
    <x v="2"/>
    <x v="2"/>
    <x v="0"/>
    <n v="27"/>
    <n v="1998"/>
    <x v="11"/>
  </r>
  <r>
    <s v="Dubai"/>
    <x v="33"/>
    <x v="0"/>
    <x v="9"/>
    <n v="41"/>
    <n v="2542"/>
    <x v="9"/>
  </r>
  <r>
    <s v="Delhi"/>
    <x v="11"/>
    <x v="3"/>
    <x v="0"/>
    <n v="1"/>
    <n v="76"/>
    <x v="3"/>
  </r>
  <r>
    <s v="Los Angeles"/>
    <x v="18"/>
    <x v="1"/>
    <x v="3"/>
    <n v="55"/>
    <n v="2475"/>
    <x v="5"/>
  </r>
  <r>
    <s v="Rochester"/>
    <x v="18"/>
    <x v="1"/>
    <x v="7"/>
    <n v="36"/>
    <n v="24120"/>
    <x v="7"/>
  </r>
  <r>
    <s v="Amsterdam"/>
    <x v="24"/>
    <x v="0"/>
    <x v="9"/>
    <n v="100"/>
    <n v="6700"/>
    <x v="6"/>
  </r>
  <r>
    <s v="Rochester"/>
    <x v="18"/>
    <x v="1"/>
    <x v="3"/>
    <n v="61"/>
    <n v="2806"/>
    <x v="6"/>
  </r>
  <r>
    <s v="Osaka"/>
    <x v="15"/>
    <x v="3"/>
    <x v="6"/>
    <n v="44"/>
    <n v="33088"/>
    <x v="3"/>
  </r>
  <r>
    <s v="Santiago"/>
    <x v="34"/>
    <x v="2"/>
    <x v="8"/>
    <n v="100"/>
    <n v="49000"/>
    <x v="1"/>
  </r>
  <r>
    <s v="Istanbul"/>
    <x v="3"/>
    <x v="0"/>
    <x v="2"/>
    <n v="61"/>
    <n v="8967"/>
    <x v="11"/>
  </r>
  <r>
    <s v="Prague"/>
    <x v="16"/>
    <x v="0"/>
    <x v="8"/>
    <n v="48"/>
    <n v="23760"/>
    <x v="11"/>
  </r>
  <r>
    <s v="Jerusalem"/>
    <x v="13"/>
    <x v="0"/>
    <x v="8"/>
    <n v="39"/>
    <n v="19500"/>
    <x v="0"/>
  </r>
  <r>
    <s v="Vienna"/>
    <x v="29"/>
    <x v="0"/>
    <x v="7"/>
    <n v="28"/>
    <n v="19040"/>
    <x v="9"/>
  </r>
  <r>
    <s v="Houston"/>
    <x v="18"/>
    <x v="1"/>
    <x v="4"/>
    <n v="25"/>
    <n v="675"/>
    <x v="5"/>
  </r>
  <r>
    <s v="Mexico City"/>
    <x v="7"/>
    <x v="2"/>
    <x v="11"/>
    <n v="66"/>
    <n v="2904"/>
    <x v="11"/>
  </r>
  <r>
    <s v="Chicago"/>
    <x v="18"/>
    <x v="1"/>
    <x v="0"/>
    <n v="66"/>
    <n v="5280"/>
    <x v="1"/>
  </r>
  <r>
    <s v="Rome"/>
    <x v="22"/>
    <x v="0"/>
    <x v="5"/>
    <n v="49"/>
    <n v="17640"/>
    <x v="10"/>
  </r>
  <r>
    <s v="Rochester"/>
    <x v="18"/>
    <x v="1"/>
    <x v="6"/>
    <n v="59"/>
    <n v="38704"/>
    <x v="3"/>
  </r>
  <r>
    <s v="Houston"/>
    <x v="18"/>
    <x v="1"/>
    <x v="10"/>
    <n v="10"/>
    <n v="2480"/>
    <x v="7"/>
  </r>
  <r>
    <s v="Lima"/>
    <x v="6"/>
    <x v="2"/>
    <x v="11"/>
    <n v="37"/>
    <n v="1813"/>
    <x v="6"/>
  </r>
  <r>
    <s v="Moscow"/>
    <x v="0"/>
    <x v="0"/>
    <x v="5"/>
    <n v="25"/>
    <n v="12000"/>
    <x v="6"/>
  </r>
  <r>
    <s v="Tokyo"/>
    <x v="15"/>
    <x v="3"/>
    <x v="7"/>
    <n v="1"/>
    <n v="620"/>
    <x v="10"/>
  </r>
  <r>
    <s v="Toronto"/>
    <x v="1"/>
    <x v="1"/>
    <x v="10"/>
    <n v="76"/>
    <n v="14440"/>
    <x v="3"/>
  </r>
  <r>
    <s v="London"/>
    <x v="8"/>
    <x v="0"/>
    <x v="6"/>
    <n v="29"/>
    <n v="19720"/>
    <x v="7"/>
  </r>
  <r>
    <s v="Delhi"/>
    <x v="11"/>
    <x v="3"/>
    <x v="5"/>
    <n v="38"/>
    <n v="18240"/>
    <x v="6"/>
  </r>
  <r>
    <s v="Santiago"/>
    <x v="34"/>
    <x v="2"/>
    <x v="11"/>
    <n v="60"/>
    <n v="2940"/>
    <x v="8"/>
  </r>
  <r>
    <s v="Dubai"/>
    <x v="33"/>
    <x v="0"/>
    <x v="0"/>
    <n v="43"/>
    <n v="2494"/>
    <x v="9"/>
  </r>
  <r>
    <s v="Chicago"/>
    <x v="18"/>
    <x v="1"/>
    <x v="5"/>
    <n v="15"/>
    <n v="7500"/>
    <x v="7"/>
  </r>
  <r>
    <s v="Tel Aviv"/>
    <x v="13"/>
    <x v="0"/>
    <x v="1"/>
    <n v="76"/>
    <n v="43624"/>
    <x v="11"/>
  </r>
  <r>
    <s v="Madria"/>
    <x v="28"/>
    <x v="0"/>
    <x v="3"/>
    <n v="83"/>
    <n v="3901"/>
    <x v="9"/>
  </r>
  <r>
    <s v="Guangzhou"/>
    <x v="5"/>
    <x v="3"/>
    <x v="4"/>
    <n v="51"/>
    <n v="1326"/>
    <x v="8"/>
  </r>
  <r>
    <s v="Sydney"/>
    <x v="4"/>
    <x v="3"/>
    <x v="4"/>
    <n v="100"/>
    <n v="2200"/>
    <x v="5"/>
  </r>
  <r>
    <s v="Capetown"/>
    <x v="17"/>
    <x v="0"/>
    <x v="1"/>
    <n v="20"/>
    <n v="13580"/>
    <x v="11"/>
  </r>
  <r>
    <s v="Vienna"/>
    <x v="29"/>
    <x v="0"/>
    <x v="7"/>
    <n v="6"/>
    <n v="5100"/>
    <x v="11"/>
  </r>
  <r>
    <s v="Bangalore"/>
    <x v="11"/>
    <x v="3"/>
    <x v="8"/>
    <n v="73"/>
    <n v="35770"/>
    <x v="0"/>
  </r>
  <r>
    <s v="Capetown"/>
    <x v="17"/>
    <x v="0"/>
    <x v="9"/>
    <n v="73"/>
    <n v="5110"/>
    <x v="3"/>
  </r>
  <r>
    <s v="Delhi"/>
    <x v="11"/>
    <x v="3"/>
    <x v="5"/>
    <n v="11"/>
    <n v="5005"/>
    <x v="0"/>
  </r>
  <r>
    <s v="Paris"/>
    <x v="21"/>
    <x v="0"/>
    <x v="4"/>
    <n v="68"/>
    <n v="1768"/>
    <x v="4"/>
  </r>
  <r>
    <s v="Bangkok"/>
    <x v="10"/>
    <x v="3"/>
    <x v="9"/>
    <n v="11"/>
    <n v="759"/>
    <x v="10"/>
  </r>
  <r>
    <s v="Sydney"/>
    <x v="4"/>
    <x v="3"/>
    <x v="0"/>
    <n v="46"/>
    <n v="3174"/>
    <x v="5"/>
  </r>
  <r>
    <s v="Capetown"/>
    <x v="17"/>
    <x v="0"/>
    <x v="2"/>
    <n v="48"/>
    <n v="6768"/>
    <x v="4"/>
  </r>
  <r>
    <s v="Los Angeles"/>
    <x v="18"/>
    <x v="1"/>
    <x v="11"/>
    <n v="54"/>
    <n v="1944"/>
    <x v="4"/>
  </r>
  <r>
    <s v="Madria"/>
    <x v="28"/>
    <x v="0"/>
    <x v="6"/>
    <n v="88"/>
    <n v="53504"/>
    <x v="8"/>
  </r>
  <r>
    <s v="Rome"/>
    <x v="22"/>
    <x v="0"/>
    <x v="8"/>
    <n v="42"/>
    <n v="20790"/>
    <x v="7"/>
  </r>
  <r>
    <s v="Birmingham"/>
    <x v="8"/>
    <x v="0"/>
    <x v="2"/>
    <n v="16"/>
    <n v="2016"/>
    <x v="6"/>
  </r>
  <r>
    <s v="Shenzhen"/>
    <x v="5"/>
    <x v="3"/>
    <x v="3"/>
    <n v="44"/>
    <n v="748"/>
    <x v="9"/>
  </r>
  <r>
    <s v="Istanbul"/>
    <x v="3"/>
    <x v="0"/>
    <x v="4"/>
    <n v="47"/>
    <n v="1316"/>
    <x v="5"/>
  </r>
  <r>
    <s v="Seattle"/>
    <x v="18"/>
    <x v="1"/>
    <x v="7"/>
    <n v="87"/>
    <n v="70470"/>
    <x v="9"/>
  </r>
  <r>
    <s v="Shanghai"/>
    <x v="5"/>
    <x v="3"/>
    <x v="1"/>
    <n v="34"/>
    <n v="23800"/>
    <x v="11"/>
  </r>
  <r>
    <s v="San Fransisco"/>
    <x v="18"/>
    <x v="1"/>
    <x v="3"/>
    <n v="69"/>
    <n v="3312"/>
    <x v="6"/>
  </r>
  <r>
    <s v="Houston"/>
    <x v="18"/>
    <x v="1"/>
    <x v="11"/>
    <n v="25"/>
    <n v="1075"/>
    <x v="3"/>
  </r>
  <r>
    <s v="Buenos Aires"/>
    <x v="27"/>
    <x v="2"/>
    <x v="6"/>
    <n v="88"/>
    <n v="44352"/>
    <x v="3"/>
  </r>
  <r>
    <s v="Seoul"/>
    <x v="19"/>
    <x v="3"/>
    <x v="0"/>
    <n v="36"/>
    <n v="2736"/>
    <x v="1"/>
  </r>
  <r>
    <s v="Bangkok"/>
    <x v="10"/>
    <x v="3"/>
    <x v="4"/>
    <n v="70"/>
    <n v="2030"/>
    <x v="4"/>
  </r>
  <r>
    <s v="Tokyo"/>
    <x v="15"/>
    <x v="3"/>
    <x v="1"/>
    <n v="92"/>
    <n v="59248"/>
    <x v="2"/>
  </r>
  <r>
    <s v="Kansas City"/>
    <x v="18"/>
    <x v="1"/>
    <x v="9"/>
    <n v="29"/>
    <n v="2001"/>
    <x v="8"/>
  </r>
  <r>
    <s v="Seoul"/>
    <x v="19"/>
    <x v="3"/>
    <x v="7"/>
    <n v="70"/>
    <n v="54600"/>
    <x v="2"/>
  </r>
  <r>
    <s v="Bangalore"/>
    <x v="11"/>
    <x v="3"/>
    <x v="11"/>
    <n v="59"/>
    <n v="2655"/>
    <x v="2"/>
  </r>
  <r>
    <s v="London"/>
    <x v="8"/>
    <x v="0"/>
    <x v="9"/>
    <n v="84"/>
    <n v="5880"/>
    <x v="4"/>
  </r>
  <r>
    <s v="Paris"/>
    <x v="21"/>
    <x v="0"/>
    <x v="10"/>
    <n v="85"/>
    <n v="19125"/>
    <x v="9"/>
  </r>
  <r>
    <s v="Ho Chi Minh City"/>
    <x v="12"/>
    <x v="3"/>
    <x v="10"/>
    <n v="83"/>
    <n v="17015"/>
    <x v="10"/>
  </r>
  <r>
    <s v="Tokyo"/>
    <x v="15"/>
    <x v="3"/>
    <x v="2"/>
    <n v="59"/>
    <n v="7729"/>
    <x v="3"/>
  </r>
  <r>
    <s v="Bangalore"/>
    <x v="11"/>
    <x v="3"/>
    <x v="4"/>
    <n v="94"/>
    <n v="2162"/>
    <x v="7"/>
  </r>
  <r>
    <s v="Bangkok"/>
    <x v="10"/>
    <x v="3"/>
    <x v="2"/>
    <n v="99"/>
    <n v="14850"/>
    <x v="3"/>
  </r>
  <r>
    <s v="Athens"/>
    <x v="14"/>
    <x v="0"/>
    <x v="9"/>
    <n v="51"/>
    <n v="3519"/>
    <x v="6"/>
  </r>
  <r>
    <s v="Delhi"/>
    <x v="11"/>
    <x v="3"/>
    <x v="2"/>
    <n v="78"/>
    <n v="9984"/>
    <x v="2"/>
  </r>
  <r>
    <s v="Madria"/>
    <x v="28"/>
    <x v="0"/>
    <x v="11"/>
    <n v="36"/>
    <n v="1764"/>
    <x v="6"/>
  </r>
  <r>
    <s v="Madria"/>
    <x v="28"/>
    <x v="0"/>
    <x v="0"/>
    <n v="48"/>
    <n v="3360"/>
    <x v="0"/>
  </r>
  <r>
    <s v="Seoul"/>
    <x v="19"/>
    <x v="3"/>
    <x v="0"/>
    <n v="6"/>
    <n v="480"/>
    <x v="6"/>
  </r>
  <r>
    <s v="Dublin"/>
    <x v="25"/>
    <x v="0"/>
    <x v="7"/>
    <n v="67"/>
    <n v="58290"/>
    <x v="11"/>
  </r>
  <r>
    <s v="Jerusalem"/>
    <x v="13"/>
    <x v="0"/>
    <x v="11"/>
    <n v="95"/>
    <n v="3705"/>
    <x v="1"/>
  </r>
  <r>
    <s v="Vienna"/>
    <x v="29"/>
    <x v="0"/>
    <x v="2"/>
    <n v="39"/>
    <n v="5382"/>
    <x v="6"/>
  </r>
  <r>
    <s v="Istanbul"/>
    <x v="3"/>
    <x v="0"/>
    <x v="0"/>
    <n v="9"/>
    <n v="675"/>
    <x v="1"/>
  </r>
  <r>
    <s v="Birmingham"/>
    <x v="8"/>
    <x v="0"/>
    <x v="4"/>
    <n v="76"/>
    <n v="2204"/>
    <x v="9"/>
  </r>
  <r>
    <s v="Istanbul"/>
    <x v="3"/>
    <x v="0"/>
    <x v="9"/>
    <n v="79"/>
    <n v="5135"/>
    <x v="5"/>
  </r>
  <r>
    <s v="Jerusalem"/>
    <x v="13"/>
    <x v="0"/>
    <x v="11"/>
    <n v="69"/>
    <n v="3243"/>
    <x v="1"/>
  </r>
  <r>
    <s v="Vancouver"/>
    <x v="1"/>
    <x v="1"/>
    <x v="2"/>
    <n v="78"/>
    <n v="10920"/>
    <x v="0"/>
  </r>
  <r>
    <s v="Sao Paolo"/>
    <x v="2"/>
    <x v="2"/>
    <x v="10"/>
    <n v="95"/>
    <n v="21660"/>
    <x v="9"/>
  </r>
  <r>
    <s v="Guangzhou"/>
    <x v="5"/>
    <x v="3"/>
    <x v="9"/>
    <n v="93"/>
    <n v="4650"/>
    <x v="2"/>
  </r>
  <r>
    <s v="Osaka"/>
    <x v="15"/>
    <x v="3"/>
    <x v="6"/>
    <n v="12"/>
    <n v="9216"/>
    <x v="6"/>
  </r>
  <r>
    <s v="New York"/>
    <x v="18"/>
    <x v="1"/>
    <x v="7"/>
    <n v="1"/>
    <n v="590"/>
    <x v="3"/>
  </r>
  <r>
    <s v="Cairo"/>
    <x v="30"/>
    <x v="0"/>
    <x v="3"/>
    <n v="67"/>
    <n v="3350"/>
    <x v="0"/>
  </r>
  <r>
    <s v="Moscow"/>
    <x v="0"/>
    <x v="0"/>
    <x v="6"/>
    <n v="27"/>
    <n v="20952"/>
    <x v="10"/>
  </r>
  <r>
    <s v="Shanghai"/>
    <x v="5"/>
    <x v="3"/>
    <x v="4"/>
    <n v="86"/>
    <n v="2236"/>
    <x v="10"/>
  </r>
  <r>
    <s v="Rome"/>
    <x v="22"/>
    <x v="0"/>
    <x v="5"/>
    <n v="62"/>
    <n v="22320"/>
    <x v="3"/>
  </r>
  <r>
    <s v="Prague"/>
    <x v="16"/>
    <x v="0"/>
    <x v="2"/>
    <n v="61"/>
    <n v="7686"/>
    <x v="3"/>
  </r>
  <r>
    <s v="Sydney"/>
    <x v="4"/>
    <x v="3"/>
    <x v="6"/>
    <n v="98"/>
    <n v="50960"/>
    <x v="1"/>
  </r>
  <r>
    <s v="San Fransisco"/>
    <x v="18"/>
    <x v="1"/>
    <x v="7"/>
    <n v="88"/>
    <n v="57200"/>
    <x v="5"/>
  </r>
  <r>
    <s v="Tokyo"/>
    <x v="15"/>
    <x v="3"/>
    <x v="7"/>
    <n v="10"/>
    <n v="9200"/>
    <x v="3"/>
  </r>
  <r>
    <s v="London"/>
    <x v="8"/>
    <x v="0"/>
    <x v="11"/>
    <n v="90"/>
    <n v="4410"/>
    <x v="9"/>
  </r>
  <r>
    <s v="Prague"/>
    <x v="16"/>
    <x v="0"/>
    <x v="7"/>
    <n v="66"/>
    <n v="62700"/>
    <x v="10"/>
  </r>
  <r>
    <s v="Seattle"/>
    <x v="18"/>
    <x v="1"/>
    <x v="4"/>
    <n v="22"/>
    <n v="638"/>
    <x v="8"/>
  </r>
  <r>
    <s v="Madria"/>
    <x v="28"/>
    <x v="0"/>
    <x v="11"/>
    <n v="50"/>
    <n v="1850"/>
    <x v="10"/>
  </r>
  <r>
    <s v="Kansas City"/>
    <x v="18"/>
    <x v="1"/>
    <x v="4"/>
    <n v="8"/>
    <n v="184"/>
    <x v="1"/>
  </r>
  <r>
    <s v="Ho Chi Minh City"/>
    <x v="12"/>
    <x v="3"/>
    <x v="10"/>
    <n v="16"/>
    <n v="2688"/>
    <x v="9"/>
  </r>
  <r>
    <s v="Tel Aviv"/>
    <x v="13"/>
    <x v="0"/>
    <x v="1"/>
    <n v="84"/>
    <n v="51156"/>
    <x v="2"/>
  </r>
  <r>
    <s v="Vancouver"/>
    <x v="1"/>
    <x v="1"/>
    <x v="5"/>
    <n v="21"/>
    <n v="9870"/>
    <x v="1"/>
  </r>
  <r>
    <s v="Los Angeles"/>
    <x v="18"/>
    <x v="1"/>
    <x v="0"/>
    <n v="16"/>
    <n v="1264"/>
    <x v="8"/>
  </r>
  <r>
    <s v="Shanghai"/>
    <x v="5"/>
    <x v="3"/>
    <x v="2"/>
    <n v="6"/>
    <n v="630"/>
    <x v="11"/>
  </r>
  <r>
    <s v="Buenos Aires"/>
    <x v="27"/>
    <x v="2"/>
    <x v="0"/>
    <n v="76"/>
    <n v="4408"/>
    <x v="3"/>
  </r>
  <r>
    <s v="Moscow"/>
    <x v="0"/>
    <x v="0"/>
    <x v="6"/>
    <n v="15"/>
    <n v="11160"/>
    <x v="2"/>
  </r>
  <r>
    <s v="Dublin"/>
    <x v="25"/>
    <x v="0"/>
    <x v="1"/>
    <n v="15"/>
    <n v="9765"/>
    <x v="3"/>
  </r>
  <r>
    <s v="Ho Chi Minh City"/>
    <x v="12"/>
    <x v="3"/>
    <x v="9"/>
    <n v="92"/>
    <n v="5980"/>
    <x v="4"/>
  </r>
  <r>
    <s v="Seattle"/>
    <x v="18"/>
    <x v="1"/>
    <x v="0"/>
    <n v="79"/>
    <n v="5925"/>
    <x v="10"/>
  </r>
  <r>
    <s v="Lima"/>
    <x v="6"/>
    <x v="2"/>
    <x v="5"/>
    <n v="37"/>
    <n v="18500"/>
    <x v="1"/>
  </r>
  <r>
    <s v="London"/>
    <x v="8"/>
    <x v="0"/>
    <x v="8"/>
    <n v="6"/>
    <n v="2970"/>
    <x v="5"/>
  </r>
  <r>
    <s v="Seoul"/>
    <x v="19"/>
    <x v="3"/>
    <x v="1"/>
    <n v="95"/>
    <n v="63175"/>
    <x v="4"/>
  </r>
  <r>
    <s v="Prague"/>
    <x v="16"/>
    <x v="0"/>
    <x v="10"/>
    <n v="90"/>
    <n v="20700"/>
    <x v="5"/>
  </r>
  <r>
    <s v="Tel Aviv"/>
    <x v="13"/>
    <x v="0"/>
    <x v="2"/>
    <n v="60"/>
    <n v="8580"/>
    <x v="2"/>
  </r>
  <r>
    <s v="Santiago"/>
    <x v="34"/>
    <x v="2"/>
    <x v="10"/>
    <n v="22"/>
    <n v="5060"/>
    <x v="10"/>
  </r>
  <r>
    <s v="Sao Paolo"/>
    <x v="2"/>
    <x v="2"/>
    <x v="1"/>
    <n v="34"/>
    <n v="22610"/>
    <x v="0"/>
  </r>
  <r>
    <s v="Houston"/>
    <x v="18"/>
    <x v="1"/>
    <x v="10"/>
    <n v="96"/>
    <n v="23520"/>
    <x v="4"/>
  </r>
  <r>
    <s v="Los Angeles"/>
    <x v="18"/>
    <x v="1"/>
    <x v="3"/>
    <n v="10"/>
    <n v="380"/>
    <x v="6"/>
  </r>
  <r>
    <s v="Tokyo"/>
    <x v="15"/>
    <x v="3"/>
    <x v="9"/>
    <n v="63"/>
    <n v="4032"/>
    <x v="6"/>
  </r>
  <r>
    <s v="Guangzhou"/>
    <x v="5"/>
    <x v="3"/>
    <x v="10"/>
    <n v="81"/>
    <n v="19278"/>
    <x v="4"/>
  </r>
  <r>
    <s v="Jerusalem"/>
    <x v="13"/>
    <x v="0"/>
    <x v="2"/>
    <n v="34"/>
    <n v="4658"/>
    <x v="7"/>
  </r>
  <r>
    <s v="Warsaw"/>
    <x v="23"/>
    <x v="0"/>
    <x v="6"/>
    <n v="76"/>
    <n v="39520"/>
    <x v="0"/>
  </r>
  <r>
    <s v="Dublin"/>
    <x v="25"/>
    <x v="0"/>
    <x v="0"/>
    <n v="57"/>
    <n v="4560"/>
    <x v="0"/>
  </r>
  <r>
    <s v="Capetown"/>
    <x v="17"/>
    <x v="0"/>
    <x v="0"/>
    <n v="48"/>
    <n v="2976"/>
    <x v="9"/>
  </r>
  <r>
    <s v="London"/>
    <x v="8"/>
    <x v="0"/>
    <x v="3"/>
    <n v="59"/>
    <n v="2950"/>
    <x v="3"/>
  </r>
  <r>
    <s v="Kansas City"/>
    <x v="18"/>
    <x v="1"/>
    <x v="6"/>
    <n v="23"/>
    <n v="14720"/>
    <x v="7"/>
  </r>
  <r>
    <s v="Dubai"/>
    <x v="33"/>
    <x v="0"/>
    <x v="4"/>
    <n v="47"/>
    <n v="987"/>
    <x v="2"/>
  </r>
  <r>
    <s v="Vancouver"/>
    <x v="1"/>
    <x v="1"/>
    <x v="7"/>
    <n v="67"/>
    <n v="52260"/>
    <x v="7"/>
  </r>
  <r>
    <s v="Prague"/>
    <x v="16"/>
    <x v="0"/>
    <x v="1"/>
    <n v="13"/>
    <n v="8827"/>
    <x v="3"/>
  </r>
  <r>
    <s v="Delhi"/>
    <x v="11"/>
    <x v="3"/>
    <x v="3"/>
    <n v="51"/>
    <n v="2550"/>
    <x v="9"/>
  </r>
  <r>
    <s v="New York"/>
    <x v="18"/>
    <x v="1"/>
    <x v="9"/>
    <n v="42"/>
    <n v="2310"/>
    <x v="8"/>
  </r>
  <r>
    <s v="Dubai"/>
    <x v="33"/>
    <x v="0"/>
    <x v="6"/>
    <n v="7"/>
    <n v="5600"/>
    <x v="4"/>
  </r>
  <r>
    <s v="Bangkok"/>
    <x v="10"/>
    <x v="3"/>
    <x v="3"/>
    <n v="11"/>
    <n v="550"/>
    <x v="8"/>
  </r>
  <r>
    <s v="Toronto"/>
    <x v="1"/>
    <x v="1"/>
    <x v="0"/>
    <n v="12"/>
    <n v="708"/>
    <x v="5"/>
  </r>
  <r>
    <s v="Chicago"/>
    <x v="18"/>
    <x v="1"/>
    <x v="4"/>
    <n v="56"/>
    <n v="1680"/>
    <x v="1"/>
  </r>
  <r>
    <s v="Kuala Lumpur"/>
    <x v="31"/>
    <x v="3"/>
    <x v="2"/>
    <n v="92"/>
    <n v="12880"/>
    <x v="3"/>
  </r>
  <r>
    <s v="Madria"/>
    <x v="28"/>
    <x v="0"/>
    <x v="0"/>
    <n v="43"/>
    <n v="2838"/>
    <x v="6"/>
  </r>
  <r>
    <s v="Bucharest"/>
    <x v="32"/>
    <x v="0"/>
    <x v="5"/>
    <n v="77"/>
    <n v="36575"/>
    <x v="6"/>
  </r>
  <r>
    <s v="Lima"/>
    <x v="6"/>
    <x v="2"/>
    <x v="5"/>
    <n v="37"/>
    <n v="17945"/>
    <x v="0"/>
  </r>
  <r>
    <s v="Tijuana"/>
    <x v="7"/>
    <x v="2"/>
    <x v="1"/>
    <n v="46"/>
    <n v="26726"/>
    <x v="6"/>
  </r>
  <r>
    <s v="Riyadh"/>
    <x v="9"/>
    <x v="0"/>
    <x v="0"/>
    <n v="2"/>
    <n v="148"/>
    <x v="3"/>
  </r>
  <r>
    <s v="Buenos Aires"/>
    <x v="27"/>
    <x v="2"/>
    <x v="8"/>
    <n v="19"/>
    <n v="9310"/>
    <x v="10"/>
  </r>
  <r>
    <s v="Bangalore"/>
    <x v="11"/>
    <x v="3"/>
    <x v="10"/>
    <n v="15"/>
    <n v="3600"/>
    <x v="6"/>
  </r>
  <r>
    <s v="Lima"/>
    <x v="6"/>
    <x v="2"/>
    <x v="6"/>
    <n v="17"/>
    <n v="12648"/>
    <x v="11"/>
  </r>
  <r>
    <s v="Tijuana"/>
    <x v="7"/>
    <x v="2"/>
    <x v="8"/>
    <n v="80"/>
    <n v="39200"/>
    <x v="10"/>
  </r>
  <r>
    <s v="Madria"/>
    <x v="28"/>
    <x v="0"/>
    <x v="8"/>
    <n v="35"/>
    <n v="17325"/>
    <x v="11"/>
  </r>
  <r>
    <s v="Kansas City"/>
    <x v="18"/>
    <x v="1"/>
    <x v="8"/>
    <n v="11"/>
    <n v="5500"/>
    <x v="10"/>
  </r>
  <r>
    <s v="Warsaw"/>
    <x v="23"/>
    <x v="0"/>
    <x v="2"/>
    <n v="14"/>
    <n v="1932"/>
    <x v="5"/>
  </r>
  <r>
    <s v="Lima"/>
    <x v="6"/>
    <x v="2"/>
    <x v="8"/>
    <n v="84"/>
    <n v="41160"/>
    <x v="9"/>
  </r>
  <r>
    <s v="Ho Chi Minh City"/>
    <x v="12"/>
    <x v="3"/>
    <x v="1"/>
    <n v="28"/>
    <n v="18424"/>
    <x v="1"/>
  </r>
  <r>
    <s v="Bucharest"/>
    <x v="32"/>
    <x v="0"/>
    <x v="7"/>
    <n v="34"/>
    <n v="27200"/>
    <x v="2"/>
  </r>
  <r>
    <s v="Shanghai"/>
    <x v="5"/>
    <x v="3"/>
    <x v="5"/>
    <n v="84"/>
    <n v="40740"/>
    <x v="9"/>
  </r>
  <r>
    <s v="Athens"/>
    <x v="14"/>
    <x v="0"/>
    <x v="5"/>
    <n v="10"/>
    <n v="4450"/>
    <x v="10"/>
  </r>
  <r>
    <s v="Osaka"/>
    <x v="15"/>
    <x v="3"/>
    <x v="9"/>
    <n v="27"/>
    <n v="1593"/>
    <x v="10"/>
  </r>
  <r>
    <s v="New York"/>
    <x v="18"/>
    <x v="1"/>
    <x v="2"/>
    <n v="55"/>
    <n v="6710"/>
    <x v="1"/>
  </r>
  <r>
    <s v="Amsterdam"/>
    <x v="24"/>
    <x v="0"/>
    <x v="1"/>
    <n v="50"/>
    <n v="32900"/>
    <x v="1"/>
  </r>
  <r>
    <s v="Moscow"/>
    <x v="0"/>
    <x v="0"/>
    <x v="5"/>
    <n v="2"/>
    <n v="960"/>
    <x v="2"/>
  </r>
  <r>
    <s v="Berlin"/>
    <x v="20"/>
    <x v="0"/>
    <x v="4"/>
    <n v="22"/>
    <n v="594"/>
    <x v="11"/>
  </r>
  <r>
    <s v="Dubai"/>
    <x v="33"/>
    <x v="0"/>
    <x v="6"/>
    <n v="98"/>
    <n v="58016"/>
    <x v="3"/>
  </r>
  <r>
    <s v="Sao Paolo"/>
    <x v="2"/>
    <x v="2"/>
    <x v="6"/>
    <n v="59"/>
    <n v="40120"/>
    <x v="9"/>
  </r>
  <r>
    <s v="Santiago"/>
    <x v="34"/>
    <x v="2"/>
    <x v="1"/>
    <n v="70"/>
    <n v="48510"/>
    <x v="10"/>
  </r>
  <r>
    <s v="Guangzhou"/>
    <x v="5"/>
    <x v="3"/>
    <x v="2"/>
    <n v="77"/>
    <n v="10857"/>
    <x v="11"/>
  </r>
  <r>
    <s v="Bogota"/>
    <x v="26"/>
    <x v="2"/>
    <x v="5"/>
    <n v="93"/>
    <n v="43710"/>
    <x v="3"/>
  </r>
  <r>
    <s v="San Fransisco"/>
    <x v="18"/>
    <x v="1"/>
    <x v="8"/>
    <n v="10"/>
    <n v="4950"/>
    <x v="4"/>
  </r>
  <r>
    <s v="San Fransisco"/>
    <x v="18"/>
    <x v="1"/>
    <x v="10"/>
    <n v="88"/>
    <n v="21824"/>
    <x v="4"/>
  </r>
  <r>
    <s v="Tel Aviv"/>
    <x v="13"/>
    <x v="0"/>
    <x v="0"/>
    <n v="85"/>
    <n v="6460"/>
    <x v="5"/>
  </r>
  <r>
    <s v="Tokyo"/>
    <x v="15"/>
    <x v="3"/>
    <x v="11"/>
    <n v="52"/>
    <n v="1716"/>
    <x v="7"/>
  </r>
  <r>
    <s v="Lima"/>
    <x v="6"/>
    <x v="2"/>
    <x v="5"/>
    <n v="87"/>
    <n v="41325"/>
    <x v="4"/>
  </r>
  <r>
    <s v="Seoul"/>
    <x v="19"/>
    <x v="3"/>
    <x v="1"/>
    <n v="15"/>
    <n v="10290"/>
    <x v="0"/>
  </r>
  <r>
    <s v="London"/>
    <x v="8"/>
    <x v="0"/>
    <x v="7"/>
    <n v="48"/>
    <n v="37440"/>
    <x v="2"/>
  </r>
  <r>
    <s v="Vancouver"/>
    <x v="1"/>
    <x v="1"/>
    <x v="7"/>
    <n v="80"/>
    <n v="40800"/>
    <x v="7"/>
  </r>
  <r>
    <s v="Kansas City"/>
    <x v="18"/>
    <x v="1"/>
    <x v="11"/>
    <n v="70"/>
    <n v="3430"/>
    <x v="8"/>
  </r>
  <r>
    <s v="Guangzhou"/>
    <x v="5"/>
    <x v="3"/>
    <x v="6"/>
    <n v="38"/>
    <n v="19456"/>
    <x v="11"/>
  </r>
  <r>
    <s v="Bogota"/>
    <x v="26"/>
    <x v="2"/>
    <x v="6"/>
    <n v="21"/>
    <n v="13776"/>
    <x v="3"/>
  </r>
  <r>
    <s v="Bogota"/>
    <x v="26"/>
    <x v="2"/>
    <x v="0"/>
    <n v="35"/>
    <n v="2520"/>
    <x v="1"/>
  </r>
  <r>
    <s v="Bangalore"/>
    <x v="11"/>
    <x v="3"/>
    <x v="8"/>
    <n v="33"/>
    <n v="16500"/>
    <x v="3"/>
  </r>
  <r>
    <s v="Bangalore"/>
    <x v="11"/>
    <x v="3"/>
    <x v="6"/>
    <n v="34"/>
    <n v="16048"/>
    <x v="4"/>
  </r>
  <r>
    <s v="Delhi"/>
    <x v="11"/>
    <x v="3"/>
    <x v="0"/>
    <n v="61"/>
    <n v="4880"/>
    <x v="10"/>
  </r>
  <r>
    <s v="Dublin"/>
    <x v="25"/>
    <x v="0"/>
    <x v="9"/>
    <n v="50"/>
    <n v="3200"/>
    <x v="2"/>
  </r>
  <r>
    <s v="San Fransisco"/>
    <x v="18"/>
    <x v="1"/>
    <x v="2"/>
    <n v="76"/>
    <n v="8664"/>
    <x v="7"/>
  </r>
  <r>
    <s v="Istanbul"/>
    <x v="3"/>
    <x v="0"/>
    <x v="0"/>
    <n v="91"/>
    <n v="6643"/>
    <x v="9"/>
  </r>
  <r>
    <s v="Berlin"/>
    <x v="20"/>
    <x v="0"/>
    <x v="11"/>
    <n v="72"/>
    <n v="3384"/>
    <x v="10"/>
  </r>
  <r>
    <s v="Mexico City"/>
    <x v="7"/>
    <x v="2"/>
    <x v="7"/>
    <n v="57"/>
    <n v="54720"/>
    <x v="5"/>
  </r>
  <r>
    <s v="New York"/>
    <x v="18"/>
    <x v="1"/>
    <x v="7"/>
    <n v="27"/>
    <n v="26730"/>
    <x v="6"/>
  </r>
  <r>
    <s v="Bogota"/>
    <x v="26"/>
    <x v="2"/>
    <x v="6"/>
    <n v="44"/>
    <n v="31680"/>
    <x v="11"/>
  </r>
  <r>
    <s v="San Fransisco"/>
    <x v="18"/>
    <x v="1"/>
    <x v="6"/>
    <n v="12"/>
    <n v="7200"/>
    <x v="3"/>
  </r>
  <r>
    <s v="Paris"/>
    <x v="21"/>
    <x v="0"/>
    <x v="5"/>
    <n v="15"/>
    <n v="6525"/>
    <x v="2"/>
  </r>
  <r>
    <s v="Bogota"/>
    <x v="26"/>
    <x v="2"/>
    <x v="4"/>
    <n v="85"/>
    <n v="2125"/>
    <x v="9"/>
  </r>
  <r>
    <s v="Shanghai"/>
    <x v="5"/>
    <x v="3"/>
    <x v="3"/>
    <n v="94"/>
    <n v="4324"/>
    <x v="10"/>
  </r>
  <r>
    <s v="London"/>
    <x v="8"/>
    <x v="0"/>
    <x v="3"/>
    <n v="4"/>
    <n v="192"/>
    <x v="6"/>
  </r>
  <r>
    <s v="Rome"/>
    <x v="22"/>
    <x v="0"/>
    <x v="2"/>
    <n v="11"/>
    <n v="1474"/>
    <x v="3"/>
  </r>
  <r>
    <s v="Mexico City"/>
    <x v="7"/>
    <x v="2"/>
    <x v="0"/>
    <n v="92"/>
    <n v="6900"/>
    <x v="2"/>
  </r>
  <r>
    <s v="Seoul"/>
    <x v="19"/>
    <x v="3"/>
    <x v="1"/>
    <n v="89"/>
    <n v="61677"/>
    <x v="1"/>
  </r>
  <r>
    <s v="Jerusalem"/>
    <x v="13"/>
    <x v="0"/>
    <x v="2"/>
    <n v="93"/>
    <n v="11067"/>
    <x v="5"/>
  </r>
  <r>
    <s v="Riyadh"/>
    <x v="9"/>
    <x v="0"/>
    <x v="0"/>
    <n v="30"/>
    <n v="1440"/>
    <x v="11"/>
  </r>
  <r>
    <s v="Toronto"/>
    <x v="1"/>
    <x v="1"/>
    <x v="11"/>
    <n v="74"/>
    <n v="3330"/>
    <x v="6"/>
  </r>
  <r>
    <s v="San Fransisco"/>
    <x v="18"/>
    <x v="1"/>
    <x v="10"/>
    <n v="23"/>
    <n v="5750"/>
    <x v="0"/>
  </r>
  <r>
    <s v="Berlin"/>
    <x v="20"/>
    <x v="0"/>
    <x v="5"/>
    <n v="58"/>
    <n v="22040"/>
    <x v="4"/>
  </r>
  <r>
    <s v="Shenzhen"/>
    <x v="5"/>
    <x v="3"/>
    <x v="8"/>
    <n v="66"/>
    <n v="32670"/>
    <x v="4"/>
  </r>
  <r>
    <s v="Jerusalem"/>
    <x v="13"/>
    <x v="0"/>
    <x v="1"/>
    <n v="70"/>
    <n v="43610"/>
    <x v="10"/>
  </r>
  <r>
    <s v="Capetown"/>
    <x v="17"/>
    <x v="0"/>
    <x v="11"/>
    <n v="50"/>
    <n v="2200"/>
    <x v="1"/>
  </r>
  <r>
    <s v="Athens"/>
    <x v="14"/>
    <x v="0"/>
    <x v="4"/>
    <n v="69"/>
    <n v="2070"/>
    <x v="6"/>
  </r>
  <r>
    <s v="Bucharest"/>
    <x v="32"/>
    <x v="0"/>
    <x v="3"/>
    <n v="1"/>
    <n v="49"/>
    <x v="4"/>
  </r>
  <r>
    <s v="Los Angeles"/>
    <x v="18"/>
    <x v="1"/>
    <x v="0"/>
    <n v="29"/>
    <n v="2088"/>
    <x v="0"/>
  </r>
  <r>
    <s v="Shenzhen"/>
    <x v="5"/>
    <x v="3"/>
    <x v="3"/>
    <n v="12"/>
    <n v="540"/>
    <x v="0"/>
  </r>
  <r>
    <s v="Seattle"/>
    <x v="18"/>
    <x v="1"/>
    <x v="2"/>
    <n v="43"/>
    <n v="6407"/>
    <x v="3"/>
  </r>
  <r>
    <s v="Amsterdam"/>
    <x v="24"/>
    <x v="0"/>
    <x v="9"/>
    <n v="38"/>
    <n v="2318"/>
    <x v="5"/>
  </r>
  <r>
    <s v="Tel Aviv"/>
    <x v="13"/>
    <x v="0"/>
    <x v="8"/>
    <n v="5"/>
    <n v="2500"/>
    <x v="3"/>
  </r>
  <r>
    <s v="Prague"/>
    <x v="16"/>
    <x v="0"/>
    <x v="1"/>
    <n v="19"/>
    <n v="12768"/>
    <x v="8"/>
  </r>
  <r>
    <s v="Santiago"/>
    <x v="34"/>
    <x v="2"/>
    <x v="6"/>
    <n v="31"/>
    <n v="19840"/>
    <x v="1"/>
  </r>
  <r>
    <s v="Madria"/>
    <x v="28"/>
    <x v="0"/>
    <x v="7"/>
    <n v="99"/>
    <n v="62370"/>
    <x v="4"/>
  </r>
  <r>
    <s v="Berlin"/>
    <x v="20"/>
    <x v="0"/>
    <x v="3"/>
    <n v="44"/>
    <n v="2024"/>
    <x v="7"/>
  </r>
  <r>
    <s v="Houston"/>
    <x v="18"/>
    <x v="1"/>
    <x v="3"/>
    <n v="4"/>
    <n v="132"/>
    <x v="10"/>
  </r>
  <r>
    <s v="Prague"/>
    <x v="16"/>
    <x v="0"/>
    <x v="6"/>
    <n v="57"/>
    <n v="32376"/>
    <x v="8"/>
  </r>
  <r>
    <s v="Osaka"/>
    <x v="15"/>
    <x v="3"/>
    <x v="5"/>
    <n v="96"/>
    <n v="47040"/>
    <x v="2"/>
  </r>
  <r>
    <s v="Paris"/>
    <x v="21"/>
    <x v="0"/>
    <x v="10"/>
    <n v="96"/>
    <n v="22848"/>
    <x v="0"/>
  </r>
  <r>
    <s v="Capetown"/>
    <x v="17"/>
    <x v="0"/>
    <x v="4"/>
    <n v="11"/>
    <n v="286"/>
    <x v="6"/>
  </r>
  <r>
    <s v="Mexico City"/>
    <x v="7"/>
    <x v="2"/>
    <x v="4"/>
    <n v="27"/>
    <n v="810"/>
    <x v="8"/>
  </r>
  <r>
    <s v="Cairo"/>
    <x v="30"/>
    <x v="0"/>
    <x v="7"/>
    <n v="90"/>
    <n v="77400"/>
    <x v="5"/>
  </r>
  <r>
    <s v="Kuala Lumpur"/>
    <x v="31"/>
    <x v="3"/>
    <x v="7"/>
    <n v="98"/>
    <n v="78400"/>
    <x v="4"/>
  </r>
  <r>
    <s v="San Fransisco"/>
    <x v="18"/>
    <x v="1"/>
    <x v="0"/>
    <n v="59"/>
    <n v="4661"/>
    <x v="0"/>
  </r>
  <r>
    <s v="Amsterdam"/>
    <x v="24"/>
    <x v="0"/>
    <x v="3"/>
    <n v="28"/>
    <n v="1372"/>
    <x v="3"/>
  </r>
  <r>
    <s v="Bangalore"/>
    <x v="11"/>
    <x v="3"/>
    <x v="4"/>
    <n v="71"/>
    <n v="1988"/>
    <x v="7"/>
  </r>
  <r>
    <s v="Warsaw"/>
    <x v="23"/>
    <x v="0"/>
    <x v="1"/>
    <n v="55"/>
    <n v="34265"/>
    <x v="11"/>
  </r>
  <r>
    <s v="Buenos Aires"/>
    <x v="27"/>
    <x v="2"/>
    <x v="5"/>
    <n v="47"/>
    <n v="20445"/>
    <x v="10"/>
  </r>
  <r>
    <s v="Kuala Lumpur"/>
    <x v="31"/>
    <x v="3"/>
    <x v="1"/>
    <n v="74"/>
    <n v="51282"/>
    <x v="8"/>
  </r>
  <r>
    <s v="Kansas City"/>
    <x v="18"/>
    <x v="1"/>
    <x v="2"/>
    <n v="61"/>
    <n v="9150"/>
    <x v="7"/>
  </r>
  <r>
    <s v="Chicago"/>
    <x v="18"/>
    <x v="1"/>
    <x v="6"/>
    <n v="57"/>
    <n v="39672"/>
    <x v="0"/>
  </r>
  <r>
    <s v="Dublin"/>
    <x v="25"/>
    <x v="0"/>
    <x v="4"/>
    <n v="89"/>
    <n v="2314"/>
    <x v="1"/>
  </r>
  <r>
    <s v="Lima"/>
    <x v="6"/>
    <x v="2"/>
    <x v="1"/>
    <n v="7"/>
    <n v="4361"/>
    <x v="0"/>
  </r>
  <r>
    <s v="Madria"/>
    <x v="28"/>
    <x v="0"/>
    <x v="0"/>
    <n v="36"/>
    <n v="2664"/>
    <x v="1"/>
  </r>
  <r>
    <s v="Riyadh"/>
    <x v="9"/>
    <x v="0"/>
    <x v="4"/>
    <n v="39"/>
    <n v="819"/>
    <x v="5"/>
  </r>
  <r>
    <s v="Kansas City"/>
    <x v="18"/>
    <x v="1"/>
    <x v="0"/>
    <n v="85"/>
    <n v="5780"/>
    <x v="4"/>
  </r>
  <r>
    <s v="Osaka"/>
    <x v="15"/>
    <x v="3"/>
    <x v="11"/>
    <n v="36"/>
    <n v="1728"/>
    <x v="10"/>
  </r>
  <r>
    <s v="Shenzhen"/>
    <x v="5"/>
    <x v="3"/>
    <x v="4"/>
    <n v="68"/>
    <n v="1972"/>
    <x v="4"/>
  </r>
  <r>
    <s v="Capetown"/>
    <x v="17"/>
    <x v="0"/>
    <x v="4"/>
    <n v="14"/>
    <n v="406"/>
    <x v="2"/>
  </r>
  <r>
    <s v="Bangalore"/>
    <x v="11"/>
    <x v="3"/>
    <x v="7"/>
    <n v="42"/>
    <n v="21420"/>
    <x v="2"/>
  </r>
  <r>
    <s v="Bangkok"/>
    <x v="10"/>
    <x v="3"/>
    <x v="4"/>
    <n v="16"/>
    <n v="464"/>
    <x v="8"/>
  </r>
  <r>
    <s v="Tel Aviv"/>
    <x v="13"/>
    <x v="0"/>
    <x v="7"/>
    <n v="99"/>
    <n v="83160"/>
    <x v="3"/>
  </r>
  <r>
    <s v="Istanbul"/>
    <x v="3"/>
    <x v="0"/>
    <x v="10"/>
    <n v="42"/>
    <n v="9450"/>
    <x v="10"/>
  </r>
  <r>
    <s v="Buenos Aires"/>
    <x v="27"/>
    <x v="2"/>
    <x v="4"/>
    <n v="67"/>
    <n v="1742"/>
    <x v="6"/>
  </r>
  <r>
    <s v="Amsterdam"/>
    <x v="24"/>
    <x v="0"/>
    <x v="1"/>
    <n v="22"/>
    <n v="11858"/>
    <x v="5"/>
  </r>
  <r>
    <s v="Istanbul"/>
    <x v="3"/>
    <x v="0"/>
    <x v="11"/>
    <n v="79"/>
    <n v="3871"/>
    <x v="2"/>
  </r>
  <r>
    <s v="Birmingham"/>
    <x v="8"/>
    <x v="0"/>
    <x v="0"/>
    <n v="40"/>
    <n v="2800"/>
    <x v="3"/>
  </r>
  <r>
    <s v="Chicago"/>
    <x v="18"/>
    <x v="1"/>
    <x v="3"/>
    <n v="41"/>
    <n v="1968"/>
    <x v="0"/>
  </r>
  <r>
    <s v="Houston"/>
    <x v="18"/>
    <x v="1"/>
    <x v="6"/>
    <n v="73"/>
    <n v="39712"/>
    <x v="4"/>
  </r>
  <r>
    <s v="Jerusalem"/>
    <x v="13"/>
    <x v="0"/>
    <x v="3"/>
    <n v="13"/>
    <n v="572"/>
    <x v="4"/>
  </r>
  <r>
    <s v="Delhi"/>
    <x v="11"/>
    <x v="3"/>
    <x v="6"/>
    <n v="9"/>
    <n v="5832"/>
    <x v="4"/>
  </r>
  <r>
    <s v="Vancouver"/>
    <x v="1"/>
    <x v="1"/>
    <x v="9"/>
    <n v="30"/>
    <n v="2010"/>
    <x v="3"/>
  </r>
  <r>
    <s v="Tijuana"/>
    <x v="7"/>
    <x v="2"/>
    <x v="11"/>
    <n v="97"/>
    <n v="3686"/>
    <x v="7"/>
  </r>
  <r>
    <s v="Jerusalem"/>
    <x v="13"/>
    <x v="0"/>
    <x v="7"/>
    <n v="2"/>
    <n v="1380"/>
    <x v="10"/>
  </r>
  <r>
    <s v="Tijuana"/>
    <x v="7"/>
    <x v="2"/>
    <x v="4"/>
    <n v="6"/>
    <n v="162"/>
    <x v="5"/>
  </r>
  <r>
    <s v="Amsterdam"/>
    <x v="24"/>
    <x v="0"/>
    <x v="11"/>
    <n v="47"/>
    <n v="1786"/>
    <x v="8"/>
  </r>
  <r>
    <s v="Warsaw"/>
    <x v="23"/>
    <x v="0"/>
    <x v="5"/>
    <n v="17"/>
    <n v="7055"/>
    <x v="0"/>
  </r>
  <r>
    <s v="Dublin"/>
    <x v="25"/>
    <x v="0"/>
    <x v="3"/>
    <n v="90"/>
    <n v="3870"/>
    <x v="9"/>
  </r>
  <r>
    <s v="Guangzhou"/>
    <x v="5"/>
    <x v="3"/>
    <x v="5"/>
    <n v="52"/>
    <n v="22620"/>
    <x v="2"/>
  </r>
  <r>
    <s v="London"/>
    <x v="8"/>
    <x v="0"/>
    <x v="2"/>
    <n v="23"/>
    <n v="3427"/>
    <x v="7"/>
  </r>
  <r>
    <s v="Delhi"/>
    <x v="11"/>
    <x v="3"/>
    <x v="1"/>
    <n v="44"/>
    <n v="28336"/>
    <x v="0"/>
  </r>
  <r>
    <s v="Dubai"/>
    <x v="33"/>
    <x v="0"/>
    <x v="9"/>
    <n v="81"/>
    <n v="5427"/>
    <x v="4"/>
  </r>
  <r>
    <s v="Vancouver"/>
    <x v="1"/>
    <x v="1"/>
    <x v="10"/>
    <n v="49"/>
    <n v="9702"/>
    <x v="6"/>
  </r>
  <r>
    <s v="Riyadh"/>
    <x v="9"/>
    <x v="0"/>
    <x v="4"/>
    <n v="70"/>
    <n v="2100"/>
    <x v="8"/>
  </r>
  <r>
    <s v="Rochester"/>
    <x v="18"/>
    <x v="1"/>
    <x v="5"/>
    <n v="57"/>
    <n v="20520"/>
    <x v="10"/>
  </r>
  <r>
    <s v="Dublin"/>
    <x v="25"/>
    <x v="0"/>
    <x v="11"/>
    <n v="93"/>
    <n v="4092"/>
    <x v="4"/>
  </r>
  <r>
    <s v="Osaka"/>
    <x v="15"/>
    <x v="3"/>
    <x v="6"/>
    <n v="66"/>
    <n v="49104"/>
    <x v="0"/>
  </r>
  <r>
    <s v="Warsaw"/>
    <x v="23"/>
    <x v="0"/>
    <x v="7"/>
    <n v="71"/>
    <n v="57510"/>
    <x v="4"/>
  </r>
  <r>
    <s v="Vancouver"/>
    <x v="1"/>
    <x v="1"/>
    <x v="4"/>
    <n v="35"/>
    <n v="980"/>
    <x v="1"/>
  </r>
  <r>
    <s v="Athens"/>
    <x v="14"/>
    <x v="0"/>
    <x v="0"/>
    <n v="44"/>
    <n v="3080"/>
    <x v="4"/>
  </r>
  <r>
    <s v="Seattle"/>
    <x v="18"/>
    <x v="1"/>
    <x v="8"/>
    <n v="57"/>
    <n v="28215"/>
    <x v="2"/>
  </r>
  <r>
    <s v="Kuala Lumpur"/>
    <x v="31"/>
    <x v="3"/>
    <x v="0"/>
    <n v="33"/>
    <n v="2409"/>
    <x v="9"/>
  </r>
  <r>
    <s v="Los Angeles"/>
    <x v="18"/>
    <x v="1"/>
    <x v="1"/>
    <n v="1"/>
    <n v="602"/>
    <x v="9"/>
  </r>
  <r>
    <s v="Warsaw"/>
    <x v="23"/>
    <x v="0"/>
    <x v="10"/>
    <n v="34"/>
    <n v="1700"/>
    <x v="7"/>
  </r>
  <r>
    <s v="Chicago"/>
    <x v="18"/>
    <x v="1"/>
    <x v="1"/>
    <n v="30"/>
    <n v="21000"/>
    <x v="11"/>
  </r>
  <r>
    <s v="Santiago"/>
    <x v="34"/>
    <x v="2"/>
    <x v="0"/>
    <n v="25"/>
    <n v="1450"/>
    <x v="1"/>
  </r>
  <r>
    <s v="Jerusalem"/>
    <x v="13"/>
    <x v="0"/>
    <x v="4"/>
    <n v="29"/>
    <n v="638"/>
    <x v="9"/>
  </r>
  <r>
    <s v="Berlin"/>
    <x v="20"/>
    <x v="0"/>
    <x v="8"/>
    <n v="56"/>
    <n v="27720"/>
    <x v="8"/>
  </r>
  <r>
    <s v="London"/>
    <x v="8"/>
    <x v="0"/>
    <x v="3"/>
    <n v="33"/>
    <n v="1617"/>
    <x v="3"/>
  </r>
  <r>
    <s v="Tokyo"/>
    <x v="15"/>
    <x v="3"/>
    <x v="10"/>
    <n v="46"/>
    <n v="10580"/>
    <x v="10"/>
  </r>
  <r>
    <s v="Berlin"/>
    <x v="20"/>
    <x v="0"/>
    <x v="0"/>
    <n v="10"/>
    <n v="730"/>
    <x v="4"/>
  </r>
  <r>
    <s v="Shanghai"/>
    <x v="5"/>
    <x v="3"/>
    <x v="5"/>
    <n v="56"/>
    <n v="26600"/>
    <x v="10"/>
  </r>
  <r>
    <s v="New York"/>
    <x v="18"/>
    <x v="1"/>
    <x v="3"/>
    <n v="4"/>
    <n v="200"/>
    <x v="9"/>
  </r>
  <r>
    <s v="San Fransisco"/>
    <x v="18"/>
    <x v="1"/>
    <x v="10"/>
    <n v="89"/>
    <n v="21182"/>
    <x v="7"/>
  </r>
  <r>
    <s v="Tijuana"/>
    <x v="7"/>
    <x v="2"/>
    <x v="0"/>
    <n v="67"/>
    <n v="5159"/>
    <x v="7"/>
  </r>
  <r>
    <s v="Jerusalem"/>
    <x v="13"/>
    <x v="0"/>
    <x v="3"/>
    <n v="21"/>
    <n v="798"/>
    <x v="10"/>
  </r>
  <r>
    <s v="Rome"/>
    <x v="22"/>
    <x v="0"/>
    <x v="7"/>
    <n v="72"/>
    <n v="46800"/>
    <x v="2"/>
  </r>
  <r>
    <s v="Jerusalem"/>
    <x v="13"/>
    <x v="0"/>
    <x v="0"/>
    <n v="23"/>
    <n v="1817"/>
    <x v="1"/>
  </r>
  <r>
    <s v="Dubai"/>
    <x v="33"/>
    <x v="0"/>
    <x v="3"/>
    <n v="72"/>
    <n v="3312"/>
    <x v="9"/>
  </r>
  <r>
    <s v="Amsterdam"/>
    <x v="24"/>
    <x v="0"/>
    <x v="1"/>
    <n v="50"/>
    <n v="32200"/>
    <x v="6"/>
  </r>
  <r>
    <s v="Istanbul"/>
    <x v="3"/>
    <x v="0"/>
    <x v="1"/>
    <n v="10"/>
    <n v="6860"/>
    <x v="0"/>
  </r>
  <r>
    <s v="Vienna"/>
    <x v="29"/>
    <x v="0"/>
    <x v="0"/>
    <n v="62"/>
    <n v="4836"/>
    <x v="8"/>
  </r>
  <r>
    <s v="Shenzhen"/>
    <x v="5"/>
    <x v="3"/>
    <x v="0"/>
    <n v="70"/>
    <n v="5460"/>
    <x v="9"/>
  </r>
  <r>
    <s v="Istanbul"/>
    <x v="3"/>
    <x v="0"/>
    <x v="6"/>
    <n v="96"/>
    <n v="46080"/>
    <x v="7"/>
  </r>
  <r>
    <s v="Athens"/>
    <x v="14"/>
    <x v="0"/>
    <x v="9"/>
    <n v="95"/>
    <n v="6080"/>
    <x v="11"/>
  </r>
  <r>
    <s v="Shanghai"/>
    <x v="5"/>
    <x v="3"/>
    <x v="0"/>
    <n v="23"/>
    <n v="177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3D4CD1-A246-493D-AFB9-353B75CAE99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showAll="0"/>
    <pivotField showAll="0"/>
    <pivotField dataField="1" showAll="0"/>
    <pivotField showAll="0">
      <items count="13">
        <item x="10"/>
        <item x="9"/>
        <item x="2"/>
        <item x="1"/>
        <item x="7"/>
        <item x="0"/>
        <item x="4"/>
        <item x="3"/>
        <item x="6"/>
        <item x="11"/>
        <item x="5"/>
        <item x="8"/>
        <item t="default"/>
      </items>
    </pivotField>
  </pivotFields>
  <rowItems count="1">
    <i/>
  </rowItems>
  <colItems count="1">
    <i/>
  </colItems>
  <dataFields count="1">
    <dataField name="Sum of Revenue" fld="5" baseField="0" baseItem="0"/>
  </dataFields>
  <formats count="5">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dataOnly="0" labelOnly="1" outline="0" axis="axisValues" fieldPosition="0"/>
    </format>
    <format dxfId="16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D907E4-9473-4A8E-AF0C-9E1CA1DA43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19" firstHeaderRow="1" firstDataRow="1" firstDataCol="1"/>
  <pivotFields count="12">
    <pivotField showAll="0"/>
    <pivotField showAll="0"/>
    <pivotField showAll="0"/>
    <pivotField showAll="0"/>
    <pivotField numFmtId="164" showAll="0"/>
    <pivotField axis="axisRow" showAll="0" sortType="descending">
      <items count="13">
        <item x="1"/>
        <item x="11"/>
        <item x="2"/>
        <item x="9"/>
        <item x="5"/>
        <item x="4"/>
        <item x="0"/>
        <item x="8"/>
        <item x="7"/>
        <item x="3"/>
        <item x="1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0" showAll="0"/>
    <pivotField dataField="1" showAll="0"/>
    <pivotField showAll="0"/>
  </pivotFields>
  <rowFields count="1">
    <field x="5"/>
  </rowFields>
  <rowItems count="13">
    <i>
      <x v="5"/>
    </i>
    <i>
      <x v="11"/>
    </i>
    <i>
      <x v="7"/>
    </i>
    <i>
      <x v="6"/>
    </i>
    <i>
      <x v="10"/>
    </i>
    <i>
      <x v="9"/>
    </i>
    <i>
      <x/>
    </i>
    <i>
      <x v="3"/>
    </i>
    <i>
      <x v="1"/>
    </i>
    <i>
      <x v="8"/>
    </i>
    <i>
      <x v="2"/>
    </i>
    <i>
      <x v="4"/>
    </i>
    <i t="grand">
      <x/>
    </i>
  </rowItems>
  <colItems count="1">
    <i/>
  </colItems>
  <dataFields count="1">
    <dataField name="Sum of Quantity" fld="10" baseField="0" baseItem="0"/>
  </dataFields>
  <formats count="5">
    <format dxfId="170">
      <pivotArea outline="0" collapsedLevelsAreSubtotals="1" fieldPosition="0"/>
    </format>
    <format dxfId="169">
      <pivotArea dataOnly="0" labelOnly="1" fieldPosition="0">
        <references count="1">
          <reference field="5" count="0"/>
        </references>
      </pivotArea>
    </format>
    <format dxfId="168">
      <pivotArea dataOnly="0" labelOnly="1" grandRow="1" outline="0" fieldPosition="0"/>
    </format>
    <format dxfId="167">
      <pivotArea field="5" type="button" dataOnly="0" labelOnly="1" outline="0" axis="axisRow" fieldPosition="0"/>
    </format>
    <format dxfId="16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67A76F-4463-4A9A-A320-B164155403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8:BD25" firstHeaderRow="1" firstDataRow="1" firstDataCol="0"/>
  <pivotFields count="12">
    <pivotField showAll="0"/>
    <pivotField showAll="0"/>
    <pivotField showAll="0"/>
    <pivotField showAll="0"/>
    <pivotField numFmtId="164" showAll="0"/>
    <pivotField showAll="0"/>
    <pivotField showAll="0"/>
    <pivotField showAll="0"/>
    <pivotField showAll="0"/>
    <pivotField numFmtId="10" showAll="0"/>
    <pivotField showAll="0"/>
    <pivotField showAll="0"/>
  </pivot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643AF-FDA7-43EB-94E0-833F08ABFD39}" name="PivotTable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G2:H15" firstHeaderRow="1" firstDataRow="1" firstDataCol="1"/>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showAll="0"/>
    <pivotField showAll="0"/>
    <pivotField dataField="1" showAll="0"/>
    <pivotField axis="axisRow" showAll="0">
      <items count="13">
        <item x="10"/>
        <item x="9"/>
        <item x="2"/>
        <item x="1"/>
        <item x="7"/>
        <item x="0"/>
        <item x="4"/>
        <item x="3"/>
        <item x="6"/>
        <item x="11"/>
        <item x="5"/>
        <item x="8"/>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5" baseField="0" baseItem="0"/>
  </dataFields>
  <formats count="5">
    <format dxfId="175">
      <pivotArea field="6" type="button" dataOnly="0" labelOnly="1" outline="0" axis="axisRow" fieldPosition="0"/>
    </format>
    <format dxfId="174">
      <pivotArea dataOnly="0" labelOnly="1" outline="0" axis="axisValues" fieldPosition="0"/>
    </format>
    <format dxfId="173">
      <pivotArea dataOnly="0" fieldPosition="0">
        <references count="1">
          <reference field="6" count="0"/>
        </references>
      </pivotArea>
    </format>
    <format dxfId="172">
      <pivotArea grandRow="1" outline="0" collapsedLevelsAreSubtotals="1" fieldPosition="0"/>
    </format>
    <format dxfId="171">
      <pivotArea dataOnly="0" labelOnly="1" grandRow="1" outline="0" fieldPosition="0"/>
    </format>
  </formats>
  <chartFormats count="3">
    <chartFormat chart="13"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1D742-EB4A-40B1-B7E4-9F368D2C94B0}"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D2:E38" firstHeaderRow="1" firstDataRow="1" firstDataCol="1"/>
  <pivotFields count="7">
    <pivotField showAll="0"/>
    <pivotField axis="axisRow" showAll="0" sortType="descending">
      <items count="36">
        <item x="12"/>
        <item x="18"/>
        <item x="8"/>
        <item x="33"/>
        <item x="3"/>
        <item x="10"/>
        <item x="28"/>
        <item x="19"/>
        <item x="17"/>
        <item x="9"/>
        <item x="0"/>
        <item x="32"/>
        <item x="23"/>
        <item x="6"/>
        <item x="24"/>
        <item x="7"/>
        <item x="31"/>
        <item x="15"/>
        <item x="22"/>
        <item x="13"/>
        <item x="25"/>
        <item x="11"/>
        <item x="14"/>
        <item x="20"/>
        <item x="21"/>
        <item x="30"/>
        <item x="16"/>
        <item x="26"/>
        <item x="5"/>
        <item x="34"/>
        <item x="1"/>
        <item x="2"/>
        <item x="29"/>
        <item x="4"/>
        <item x="27"/>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dataField="1" showAll="0"/>
    <pivotField showAll="0">
      <items count="13">
        <item x="10"/>
        <item x="9"/>
        <item x="2"/>
        <item x="1"/>
        <item x="7"/>
        <item x="0"/>
        <item x="4"/>
        <item x="3"/>
        <item x="6"/>
        <item x="11"/>
        <item x="5"/>
        <item x="8"/>
        <item t="default"/>
      </items>
    </pivotField>
  </pivotFields>
  <rowFields count="1">
    <field x="1"/>
  </rowFields>
  <rowItems count="36">
    <i>
      <x v="1"/>
    </i>
    <i>
      <x v="28"/>
    </i>
    <i>
      <x v="17"/>
    </i>
    <i>
      <x v="19"/>
    </i>
    <i>
      <x v="21"/>
    </i>
    <i>
      <x v="2"/>
    </i>
    <i>
      <x v="15"/>
    </i>
    <i>
      <x v="10"/>
    </i>
    <i>
      <x v="30"/>
    </i>
    <i>
      <x v="26"/>
    </i>
    <i>
      <x v="27"/>
    </i>
    <i>
      <x v="34"/>
    </i>
    <i>
      <x v="6"/>
    </i>
    <i>
      <x v="23"/>
    </i>
    <i>
      <x v="25"/>
    </i>
    <i>
      <x v="20"/>
    </i>
    <i>
      <x v="5"/>
    </i>
    <i>
      <x v="7"/>
    </i>
    <i>
      <x v="8"/>
    </i>
    <i>
      <x v="33"/>
    </i>
    <i>
      <x v="14"/>
    </i>
    <i>
      <x v="4"/>
    </i>
    <i>
      <x v="31"/>
    </i>
    <i>
      <x v="12"/>
    </i>
    <i>
      <x v="11"/>
    </i>
    <i>
      <x v="24"/>
    </i>
    <i>
      <x v="16"/>
    </i>
    <i>
      <x v="22"/>
    </i>
    <i>
      <x v="9"/>
    </i>
    <i>
      <x v="32"/>
    </i>
    <i>
      <x v="29"/>
    </i>
    <i>
      <x v="18"/>
    </i>
    <i>
      <x v="13"/>
    </i>
    <i>
      <x/>
    </i>
    <i>
      <x v="3"/>
    </i>
    <i t="grand">
      <x/>
    </i>
  </rowItems>
  <colItems count="1">
    <i/>
  </colItems>
  <dataFields count="1">
    <dataField name="Sum of Revenue" fld="5" baseField="0" baseItem="0"/>
  </dataFields>
  <formats count="5">
    <format dxfId="180">
      <pivotArea field="1" type="button" dataOnly="0" labelOnly="1" outline="0" axis="axisRow" fieldPosition="0"/>
    </format>
    <format dxfId="179">
      <pivotArea dataOnly="0" labelOnly="1" outline="0" axis="axisValues" fieldPosition="0"/>
    </format>
    <format dxfId="178">
      <pivotArea dataOnly="0" fieldPosition="0">
        <references count="1">
          <reference field="1" count="0"/>
        </references>
      </pivotArea>
    </format>
    <format dxfId="177">
      <pivotArea grandRow="1" outline="0" collapsedLevelsAreSubtotals="1" fieldPosition="0"/>
    </format>
    <format dxfId="176">
      <pivotArea dataOnly="0" labelOnly="1" grandRow="1" outline="0" fieldPosition="0"/>
    </format>
  </formats>
  <chartFormats count="3">
    <chartFormat chart="6" format="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083A60-ECD5-411E-9708-0831A333A4AF}"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2:B15" firstHeaderRow="1" firstDataRow="1" firstDataCol="1"/>
  <pivotFields count="7">
    <pivotField showAll="0"/>
    <pivotField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axis="axisRow" showAll="0" sortType="descending">
      <items count="13">
        <item x="6"/>
        <item x="10"/>
        <item x="3"/>
        <item x="7"/>
        <item x="8"/>
        <item x="0"/>
        <item x="4"/>
        <item x="5"/>
        <item x="9"/>
        <item x="2"/>
        <item x="11"/>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3">
        <item x="10"/>
        <item x="9"/>
        <item x="2"/>
        <item x="1"/>
        <item x="7"/>
        <item x="0"/>
        <item x="4"/>
        <item x="3"/>
        <item x="6"/>
        <item x="11"/>
        <item x="5"/>
        <item x="8"/>
        <item t="default"/>
      </items>
    </pivotField>
  </pivotFields>
  <rowFields count="1">
    <field x="3"/>
  </rowFields>
  <rowItems count="13">
    <i>
      <x v="3"/>
    </i>
    <i>
      <x/>
    </i>
    <i>
      <x v="11"/>
    </i>
    <i>
      <x v="4"/>
    </i>
    <i>
      <x v="7"/>
    </i>
    <i>
      <x v="1"/>
    </i>
    <i>
      <x v="9"/>
    </i>
    <i>
      <x v="5"/>
    </i>
    <i>
      <x v="8"/>
    </i>
    <i>
      <x v="2"/>
    </i>
    <i>
      <x v="10"/>
    </i>
    <i>
      <x v="6"/>
    </i>
    <i t="grand">
      <x/>
    </i>
  </rowItems>
  <colItems count="1">
    <i/>
  </colItems>
  <dataFields count="1">
    <dataField name="Sum of Revenue" fld="5" baseField="0" baseItem="0"/>
  </dataFields>
  <formats count="8">
    <format dxfId="188">
      <pivotArea type="all" dataOnly="0" outline="0" fieldPosition="0"/>
    </format>
    <format dxfId="187">
      <pivotArea outline="0" collapsedLevelsAreSubtotals="1" fieldPosition="0"/>
    </format>
    <format dxfId="186">
      <pivotArea field="3" type="button" dataOnly="0" labelOnly="1" outline="0" axis="axisRow" fieldPosition="0"/>
    </format>
    <format dxfId="185">
      <pivotArea dataOnly="0" labelOnly="1" fieldPosition="0">
        <references count="1">
          <reference field="3" count="0"/>
        </references>
      </pivotArea>
    </format>
    <format dxfId="184">
      <pivotArea dataOnly="0" labelOnly="1" grandRow="1" outline="0" fieldPosition="0"/>
    </format>
    <format dxfId="183">
      <pivotArea dataOnly="0" labelOnly="1" outline="0" axis="axisValues" fieldPosition="0"/>
    </format>
    <format dxfId="182">
      <pivotArea dataOnly="0" labelOnly="1" outline="0" axis="axisValues" fieldPosition="0"/>
    </format>
    <format dxfId="181">
      <pivotArea field="3" type="button" dataOnly="0" labelOnly="1" outline="0" axis="axisRow"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F143AB-CE00-4EF3-BA7A-0295B961738A}" autoFormatId="16" applyNumberFormats="0" applyBorderFormats="0" applyFontFormats="0" applyPatternFormats="0" applyAlignmentFormats="0" applyWidthHeightFormats="0">
  <queryTableRefresh nextId="9">
    <queryTableFields count="8">
      <queryTableField id="1" name="Country" tableColumnId="1"/>
      <queryTableField id="2" name="Region" tableColumnId="2"/>
      <queryTableField id="3" name="Date" tableColumnId="3"/>
      <queryTableField id="4" name="Item" tableColumnId="4"/>
      <queryTableField id="5" name="List Price" tableColumnId="5"/>
      <queryTableField id="6" name="Quantity" tableColumnId="6"/>
      <queryTableField id="7" name="Revenue" tableColumnId="7"/>
      <queryTableField id="8" name="Month Nam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BF54B8-3630-4EA2-8CDF-393F9F145E42}" sourceName="Region">
  <pivotTables>
    <pivotTable tabId="4" name="PivotTable1"/>
    <pivotTable tabId="4" name="PivotTable11"/>
    <pivotTable tabId="4" name="PivotTable3"/>
    <pivotTable tabId="4" name="PivotTable4"/>
  </pivotTables>
  <data>
    <tabular pivotCacheId="692596064">
      <items count="4">
        <i x="3" s="1"/>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A222957-805A-4448-8721-9CABAC20C7AA}" sourceName="Month">
  <pivotTables>
    <pivotTable tabId="4" name="PivotTable1"/>
    <pivotTable tabId="4" name="PivotTable11"/>
    <pivotTable tabId="4" name="PivotTable3"/>
    <pivotTable tabId="4" name="PivotTable4"/>
  </pivotTables>
  <data>
    <tabular pivotCacheId="692596064">
      <items count="12">
        <i x="10" s="1"/>
        <i x="9" s="1"/>
        <i x="2" s="1"/>
        <i x="1" s="1"/>
        <i x="7" s="1"/>
        <i x="0" s="1"/>
        <i x="4" s="1"/>
        <i x="3" s="1"/>
        <i x="6" s="1"/>
        <i x="11" s="1"/>
        <i x="5" s="1"/>
        <i x="8"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51AAB1-BC35-4BAE-A428-B9E0DF6B240A}" sourceName="Country">
  <pivotTables>
    <pivotTable tabId="4" name="PivotTable1"/>
    <pivotTable tabId="4" name="PivotTable11"/>
    <pivotTable tabId="4" name="PivotTable3"/>
    <pivotTable tabId="4" name="PivotTable4"/>
  </pivotTables>
  <data>
    <tabular pivotCacheId="692596064">
      <items count="35">
        <i x="27" s="1"/>
        <i x="4" s="1"/>
        <i x="29" s="1"/>
        <i x="2" s="1"/>
        <i x="1" s="1"/>
        <i x="34" s="1"/>
        <i x="5" s="1"/>
        <i x="26" s="1"/>
        <i x="16" s="1"/>
        <i x="30" s="1"/>
        <i x="21" s="1"/>
        <i x="20" s="1"/>
        <i x="14" s="1"/>
        <i x="11" s="1"/>
        <i x="25" s="1"/>
        <i x="13" s="1"/>
        <i x="22" s="1"/>
        <i x="15" s="1"/>
        <i x="31" s="1"/>
        <i x="7" s="1"/>
        <i x="24" s="1"/>
        <i x="6" s="1"/>
        <i x="23" s="1"/>
        <i x="32" s="1"/>
        <i x="0" s="1"/>
        <i x="9" s="1"/>
        <i x="17" s="1"/>
        <i x="19" s="1"/>
        <i x="28" s="1"/>
        <i x="10" s="1"/>
        <i x="3" s="1"/>
        <i x="33" s="1"/>
        <i x="8" s="1"/>
        <i x="18"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5296C4-0153-4C54-8682-9BCB4C855B3E}" cache="Slicer_Region" caption="Region" rowHeight="241300"/>
  <slicer name="Country" xr10:uid="{0994F542-FE93-4A11-8A3B-3AAF58EBCE75}" cache="Slicer_Month" caption="Month" columnCount="3" rowHeight="241300"/>
  <slicer name="Country 1" xr10:uid="{904E6EC8-45A9-43D7-80C5-1D22B154A211}" cache="Slicer_Country" caption="Country" columnCount="4"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27F2F4-C034-47CC-8194-623745ECB3DB}" name="tblSales" displayName="tblSales" ref="A1:L2340" totalsRowShown="0" headerRowDxfId="210" dataDxfId="209">
  <autoFilter ref="A1:L2340" xr:uid="{3D27F2F4-C034-47CC-8194-623745ECB3DB}"/>
  <tableColumns count="12">
    <tableColumn id="1" xr3:uid="{96341553-4E00-4773-A2F3-BA111FFE57BC}" name="JE Code" dataDxfId="208"/>
    <tableColumn id="2" xr3:uid="{1DEFA2B9-726E-49EF-A738-F6956613D78F}" name="Store" dataDxfId="207"/>
    <tableColumn id="3" xr3:uid="{5E1DB027-D23A-42F0-9AA4-8166923EA377}" name="Country" dataDxfId="206"/>
    <tableColumn id="4" xr3:uid="{1520320B-49E9-4F46-8827-FB4B5BD29700}" name="Region" dataDxfId="205"/>
    <tableColumn id="5" xr3:uid="{AD6198EE-2C2F-433D-8FDD-9159964BFA62}" name="Date" dataDxfId="204"/>
    <tableColumn id="6" xr3:uid="{6E12444F-0298-4312-B4AE-48432C7DD950}" name="Item" dataDxfId="203"/>
    <tableColumn id="7" xr3:uid="{102122C0-1FC9-48A5-9F6C-213FC16B8A93}" name="Salesperson" dataDxfId="202"/>
    <tableColumn id="8" xr3:uid="{543B2FA6-0F4D-492A-9B56-1B785BFA9EFD}" name="List Price" dataDxfId="201"/>
    <tableColumn id="9" xr3:uid="{D2B72D29-6F4F-404B-B98E-135B5DF02B26}" name="Actual Price" dataDxfId="200"/>
    <tableColumn id="10" xr3:uid="{22D21175-7FD6-4DDF-9458-D1B42034F366}" name="Discount %" dataDxfId="199"/>
    <tableColumn id="11" xr3:uid="{656E86EE-8A4D-4D06-B2E7-0184B2AEA812}" name="Quantity" dataDxfId="198"/>
    <tableColumn id="12" xr3:uid="{E49D0E65-6EB5-4F5B-AF77-F3359F3098E6}" name="Revenue" dataDxfId="197">
      <calculatedColumnFormula>tblSales[[#This Row],[Quantity]]*tblSales[[#This Row],[Actual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645E6C5-26AA-4CBD-9E48-E58CF8516F25}" name="tblSales7" displayName="tblSales7" ref="A1:H2340" tableType="queryTable" totalsRowShown="0">
  <autoFilter ref="A1:H2340" xr:uid="{6645E6C5-26AA-4CBD-9E48-E58CF8516F25}"/>
  <tableColumns count="8">
    <tableColumn id="1" xr3:uid="{9367CB26-97D9-471B-9B20-546E43477C47}" uniqueName="1" name="Country" queryTableFieldId="1" dataDxfId="196"/>
    <tableColumn id="2" xr3:uid="{56877766-889F-454F-9DDE-B88C85843B65}" uniqueName="2" name="Region" queryTableFieldId="2" dataDxfId="195"/>
    <tableColumn id="3" xr3:uid="{3F4A38BA-8803-4B74-96F8-54C997A43A97}" uniqueName="3" name="Date" queryTableFieldId="3" dataDxfId="194"/>
    <tableColumn id="4" xr3:uid="{EDD497BF-B2E8-4C4E-AB5C-61153944BA6A}" uniqueName="4" name="Item" queryTableFieldId="4" dataDxfId="193"/>
    <tableColumn id="5" xr3:uid="{E9A15ECB-6503-4A68-8EF1-544F1C836049}" uniqueName="5" name="List Price" queryTableFieldId="5" dataDxfId="192"/>
    <tableColumn id="6" xr3:uid="{552F1537-4666-4021-93A2-0E1052785F20}" uniqueName="6" name="Quantity" queryTableFieldId="6" dataDxfId="191"/>
    <tableColumn id="7" xr3:uid="{9A550958-8337-4458-A791-A3CFE1C174F2}" uniqueName="7" name="Revenue" queryTableFieldId="7" dataDxfId="190"/>
    <tableColumn id="8" xr3:uid="{759AD439-9081-43AE-8E1F-17D9AF07D382}" uniqueName="8" name="Month Name" queryTableFieldId="8" dataDxfId="189"/>
  </tableColumns>
  <tableStyleInfo name="TableStyleMedium10"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40"/>
  <sheetViews>
    <sheetView tabSelected="1" zoomScaleNormal="100" workbookViewId="0">
      <selection activeCell="I14" sqref="I14"/>
    </sheetView>
  </sheetViews>
  <sheetFormatPr defaultRowHeight="14.5" x14ac:dyDescent="0.35"/>
  <cols>
    <col min="1" max="1" width="9.1640625" style="3" customWidth="1"/>
    <col min="2" max="2" width="14.6640625" style="3" customWidth="1"/>
    <col min="3" max="3" width="13.25" style="3" customWidth="1"/>
    <col min="4" max="4" width="8.4140625" style="3" customWidth="1"/>
    <col min="5" max="5" width="18.1640625" style="8" customWidth="1"/>
    <col min="6" max="6" width="15.6640625" style="3" customWidth="1"/>
    <col min="7" max="7" width="19" style="3" customWidth="1"/>
    <col min="8" max="8" width="10.1640625" style="3" customWidth="1"/>
    <col min="9" max="9" width="12.58203125" style="3" customWidth="1"/>
    <col min="10" max="10" width="12" style="3" customWidth="1"/>
    <col min="11" max="11" width="12.6640625" style="3" customWidth="1"/>
    <col min="12" max="12" width="12.5" customWidth="1"/>
  </cols>
  <sheetData>
    <row r="1" spans="1:12" x14ac:dyDescent="0.35">
      <c r="A1" s="1" t="s">
        <v>0</v>
      </c>
      <c r="B1" s="2" t="s">
        <v>1</v>
      </c>
      <c r="C1" s="2" t="s">
        <v>2</v>
      </c>
      <c r="D1" s="2" t="s">
        <v>3</v>
      </c>
      <c r="E1" s="6" t="s">
        <v>4</v>
      </c>
      <c r="F1" s="2" t="s">
        <v>5</v>
      </c>
      <c r="G1" s="2" t="s">
        <v>6</v>
      </c>
      <c r="H1" s="2" t="s">
        <v>7</v>
      </c>
      <c r="I1" s="2" t="s">
        <v>8</v>
      </c>
      <c r="J1" s="2" t="s">
        <v>9</v>
      </c>
      <c r="K1" s="1" t="s">
        <v>10</v>
      </c>
      <c r="L1" s="2" t="s">
        <v>2961</v>
      </c>
    </row>
    <row r="2" spans="1:12" x14ac:dyDescent="0.35">
      <c r="A2" s="3" t="s">
        <v>11</v>
      </c>
      <c r="B2" s="4" t="s">
        <v>12</v>
      </c>
      <c r="C2" s="4" t="s">
        <v>13</v>
      </c>
      <c r="D2" s="4" t="s">
        <v>14</v>
      </c>
      <c r="E2" s="7">
        <v>43261</v>
      </c>
      <c r="F2" s="4" t="s">
        <v>15</v>
      </c>
      <c r="G2" s="4" t="s">
        <v>16</v>
      </c>
      <c r="H2" s="4">
        <v>80</v>
      </c>
      <c r="I2" s="4">
        <v>79</v>
      </c>
      <c r="J2" s="5">
        <v>1.2500000000000001E-2</v>
      </c>
      <c r="K2" s="3">
        <v>83</v>
      </c>
      <c r="L2" s="4">
        <f>tblSales[[#This Row],[Quantity]]*tblSales[[#This Row],[Actual Price]]</f>
        <v>6557</v>
      </c>
    </row>
    <row r="3" spans="1:12" x14ac:dyDescent="0.35">
      <c r="A3" s="3" t="s">
        <v>17</v>
      </c>
      <c r="B3" s="4" t="s">
        <v>18</v>
      </c>
      <c r="C3" s="4" t="s">
        <v>19</v>
      </c>
      <c r="D3" s="4" t="s">
        <v>20</v>
      </c>
      <c r="E3" s="7">
        <v>42117</v>
      </c>
      <c r="F3" s="4" t="s">
        <v>15</v>
      </c>
      <c r="G3" s="4" t="s">
        <v>21</v>
      </c>
      <c r="H3" s="4">
        <v>80</v>
      </c>
      <c r="I3" s="4">
        <v>54</v>
      </c>
      <c r="J3" s="5">
        <v>0.32500000000000001</v>
      </c>
      <c r="K3" s="3">
        <v>8</v>
      </c>
      <c r="L3" s="4">
        <f>tblSales[[#This Row],[Quantity]]*tblSales[[#This Row],[Actual Price]]</f>
        <v>432</v>
      </c>
    </row>
    <row r="4" spans="1:12" x14ac:dyDescent="0.35">
      <c r="A4" s="3" t="s">
        <v>22</v>
      </c>
      <c r="B4" s="4" t="s">
        <v>23</v>
      </c>
      <c r="C4" s="4" t="s">
        <v>24</v>
      </c>
      <c r="D4" s="4" t="s">
        <v>25</v>
      </c>
      <c r="E4" s="7">
        <v>42798</v>
      </c>
      <c r="F4" s="4" t="s">
        <v>26</v>
      </c>
      <c r="G4" s="4" t="s">
        <v>27</v>
      </c>
      <c r="H4" s="4">
        <v>700</v>
      </c>
      <c r="I4" s="4">
        <v>686</v>
      </c>
      <c r="J4" s="5">
        <v>0.02</v>
      </c>
      <c r="K4" s="3">
        <v>91</v>
      </c>
      <c r="L4" s="4">
        <f>tblSales[[#This Row],[Quantity]]*tblSales[[#This Row],[Actual Price]]</f>
        <v>62426</v>
      </c>
    </row>
    <row r="5" spans="1:12" x14ac:dyDescent="0.35">
      <c r="A5" s="3" t="s">
        <v>28</v>
      </c>
      <c r="B5" s="4" t="s">
        <v>29</v>
      </c>
      <c r="C5" s="4" t="s">
        <v>30</v>
      </c>
      <c r="D5" s="4" t="s">
        <v>14</v>
      </c>
      <c r="E5" s="7">
        <v>43326</v>
      </c>
      <c r="F5" s="4" t="s">
        <v>31</v>
      </c>
      <c r="G5" s="4" t="s">
        <v>32</v>
      </c>
      <c r="H5" s="4">
        <v>150</v>
      </c>
      <c r="I5" s="4">
        <v>137</v>
      </c>
      <c r="J5" s="5">
        <v>8.6699999999999999E-2</v>
      </c>
      <c r="K5" s="3">
        <v>2</v>
      </c>
      <c r="L5" s="4">
        <f>tblSales[[#This Row],[Quantity]]*tblSales[[#This Row],[Actual Price]]</f>
        <v>274</v>
      </c>
    </row>
    <row r="6" spans="1:12" x14ac:dyDescent="0.35">
      <c r="A6" s="3" t="s">
        <v>33</v>
      </c>
      <c r="B6" s="4" t="s">
        <v>34</v>
      </c>
      <c r="C6" s="4" t="s">
        <v>35</v>
      </c>
      <c r="D6" s="4" t="s">
        <v>36</v>
      </c>
      <c r="E6" s="7">
        <v>42066</v>
      </c>
      <c r="F6" s="4" t="s">
        <v>37</v>
      </c>
      <c r="G6" s="4" t="s">
        <v>38</v>
      </c>
      <c r="H6" s="4">
        <v>50</v>
      </c>
      <c r="I6" s="4">
        <v>37</v>
      </c>
      <c r="J6" s="5">
        <v>0.26</v>
      </c>
      <c r="K6" s="3">
        <v>40</v>
      </c>
      <c r="L6" s="4">
        <f>tblSales[[#This Row],[Quantity]]*tblSales[[#This Row],[Actual Price]]</f>
        <v>1480</v>
      </c>
    </row>
    <row r="7" spans="1:12" x14ac:dyDescent="0.35">
      <c r="A7" s="3" t="s">
        <v>39</v>
      </c>
      <c r="B7" s="4" t="s">
        <v>40</v>
      </c>
      <c r="C7" s="4" t="s">
        <v>41</v>
      </c>
      <c r="D7" s="4" t="s">
        <v>36</v>
      </c>
      <c r="E7" s="7">
        <v>42485</v>
      </c>
      <c r="F7" s="4" t="s">
        <v>42</v>
      </c>
      <c r="G7" s="4" t="s">
        <v>43</v>
      </c>
      <c r="H7" s="4">
        <v>30</v>
      </c>
      <c r="I7" s="4">
        <v>29</v>
      </c>
      <c r="J7" s="5">
        <v>3.3300000000000003E-2</v>
      </c>
      <c r="K7" s="3">
        <v>27</v>
      </c>
      <c r="L7" s="4">
        <f>tblSales[[#This Row],[Quantity]]*tblSales[[#This Row],[Actual Price]]</f>
        <v>783</v>
      </c>
    </row>
    <row r="8" spans="1:12" x14ac:dyDescent="0.35">
      <c r="A8" s="3" t="s">
        <v>44</v>
      </c>
      <c r="B8" s="4" t="s">
        <v>45</v>
      </c>
      <c r="C8" s="4" t="s">
        <v>46</v>
      </c>
      <c r="D8" s="4" t="s">
        <v>25</v>
      </c>
      <c r="E8" s="7">
        <v>42527</v>
      </c>
      <c r="F8" s="4" t="s">
        <v>47</v>
      </c>
      <c r="G8" s="4" t="s">
        <v>48</v>
      </c>
      <c r="H8" s="4">
        <v>500</v>
      </c>
      <c r="I8" s="4">
        <v>465</v>
      </c>
      <c r="J8" s="5">
        <v>7.0000000000000007E-2</v>
      </c>
      <c r="K8" s="3">
        <v>70</v>
      </c>
      <c r="L8" s="4"/>
    </row>
    <row r="9" spans="1:12" x14ac:dyDescent="0.35">
      <c r="A9" s="3" t="s">
        <v>49</v>
      </c>
      <c r="B9" s="4" t="s">
        <v>50</v>
      </c>
      <c r="C9" s="4" t="s">
        <v>51</v>
      </c>
      <c r="D9" s="4" t="s">
        <v>25</v>
      </c>
      <c r="E9" s="7">
        <v>42557</v>
      </c>
      <c r="F9" s="4" t="s">
        <v>42</v>
      </c>
      <c r="G9" s="4" t="s">
        <v>52</v>
      </c>
      <c r="H9" s="4">
        <v>30</v>
      </c>
      <c r="I9" s="4">
        <v>28</v>
      </c>
      <c r="J9" s="5">
        <v>6.6699999999999995E-2</v>
      </c>
      <c r="K9" s="3">
        <v>42</v>
      </c>
      <c r="L9" s="4">
        <f>tblSales[[#This Row],[Quantity]]*tblSales[[#This Row],[Actual Price]]</f>
        <v>1176</v>
      </c>
    </row>
    <row r="10" spans="1:12" x14ac:dyDescent="0.35">
      <c r="A10" s="3" t="s">
        <v>53</v>
      </c>
      <c r="B10" s="4" t="s">
        <v>54</v>
      </c>
      <c r="C10" s="4" t="s">
        <v>55</v>
      </c>
      <c r="D10" s="4" t="s">
        <v>14</v>
      </c>
      <c r="E10" s="7">
        <v>42320</v>
      </c>
      <c r="F10" s="4" t="s">
        <v>56</v>
      </c>
      <c r="G10" s="4" t="s">
        <v>57</v>
      </c>
      <c r="H10" s="4">
        <v>800</v>
      </c>
      <c r="I10" s="4">
        <v>760</v>
      </c>
      <c r="J10" s="5">
        <v>0.05</v>
      </c>
      <c r="K10" s="3">
        <v>76</v>
      </c>
      <c r="L10" s="4">
        <f>tblSales[[#This Row],[Quantity]]*tblSales[[#This Row],[Actual Price]]</f>
        <v>57760</v>
      </c>
    </row>
    <row r="11" spans="1:12" x14ac:dyDescent="0.35">
      <c r="A11" s="3" t="s">
        <v>58</v>
      </c>
      <c r="B11" s="4" t="s">
        <v>45</v>
      </c>
      <c r="C11" s="4" t="s">
        <v>46</v>
      </c>
      <c r="D11" s="4" t="s">
        <v>25</v>
      </c>
      <c r="E11" s="7">
        <v>41829</v>
      </c>
      <c r="F11" s="4" t="s">
        <v>42</v>
      </c>
      <c r="G11" s="4" t="s">
        <v>48</v>
      </c>
      <c r="H11" s="4">
        <v>30</v>
      </c>
      <c r="I11" s="4">
        <v>28</v>
      </c>
      <c r="J11" s="5">
        <v>6.6699999999999995E-2</v>
      </c>
      <c r="K11" s="3">
        <v>68</v>
      </c>
      <c r="L11" s="4">
        <f>tblSales[[#This Row],[Quantity]]*tblSales[[#This Row],[Actual Price]]</f>
        <v>1904</v>
      </c>
    </row>
    <row r="12" spans="1:12" x14ac:dyDescent="0.35">
      <c r="A12" s="3" t="s">
        <v>59</v>
      </c>
      <c r="B12" s="4" t="s">
        <v>60</v>
      </c>
      <c r="C12" s="4" t="s">
        <v>61</v>
      </c>
      <c r="D12" s="4" t="s">
        <v>14</v>
      </c>
      <c r="E12" s="7">
        <v>42926</v>
      </c>
      <c r="F12" s="4" t="s">
        <v>62</v>
      </c>
      <c r="G12" s="4" t="s">
        <v>63</v>
      </c>
      <c r="H12" s="4">
        <v>1000</v>
      </c>
      <c r="I12" s="4">
        <v>500</v>
      </c>
      <c r="J12" s="5">
        <v>0.5</v>
      </c>
      <c r="K12" s="3">
        <v>52</v>
      </c>
      <c r="L12" s="4">
        <f>tblSales[[#This Row],[Quantity]]*tblSales[[#This Row],[Actual Price]]</f>
        <v>26000</v>
      </c>
    </row>
    <row r="13" spans="1:12" x14ac:dyDescent="0.35">
      <c r="A13" s="3" t="s">
        <v>64</v>
      </c>
      <c r="B13" s="4" t="s">
        <v>65</v>
      </c>
      <c r="C13" s="4" t="s">
        <v>66</v>
      </c>
      <c r="D13" s="4" t="s">
        <v>36</v>
      </c>
      <c r="E13" s="7">
        <v>41872</v>
      </c>
      <c r="F13" s="4" t="s">
        <v>26</v>
      </c>
      <c r="G13" s="4" t="s">
        <v>67</v>
      </c>
      <c r="H13" s="4">
        <v>700</v>
      </c>
      <c r="I13" s="4">
        <v>679</v>
      </c>
      <c r="J13" s="5">
        <v>0.03</v>
      </c>
      <c r="K13" s="3">
        <v>71</v>
      </c>
      <c r="L13" s="4">
        <f>tblSales[[#This Row],[Quantity]]*tblSales[[#This Row],[Actual Price]]</f>
        <v>48209</v>
      </c>
    </row>
    <row r="14" spans="1:12" x14ac:dyDescent="0.35">
      <c r="A14" s="3" t="s">
        <v>68</v>
      </c>
      <c r="B14" s="4" t="s">
        <v>50</v>
      </c>
      <c r="C14" s="4" t="s">
        <v>51</v>
      </c>
      <c r="D14" s="4" t="s">
        <v>25</v>
      </c>
      <c r="E14" s="7">
        <v>42250</v>
      </c>
      <c r="F14" s="4" t="s">
        <v>42</v>
      </c>
      <c r="G14" s="4" t="s">
        <v>69</v>
      </c>
      <c r="H14" s="4">
        <v>30</v>
      </c>
      <c r="I14" s="4">
        <v>28</v>
      </c>
      <c r="J14" s="5">
        <v>6.6699999999999995E-2</v>
      </c>
      <c r="K14" s="3">
        <v>5</v>
      </c>
      <c r="L14" s="4">
        <f>tblSales[[#This Row],[Quantity]]*tblSales[[#This Row],[Actual Price]]</f>
        <v>140</v>
      </c>
    </row>
    <row r="15" spans="1:12" x14ac:dyDescent="0.35">
      <c r="A15" s="3" t="s">
        <v>70</v>
      </c>
      <c r="B15" s="4" t="s">
        <v>71</v>
      </c>
      <c r="C15" s="4" t="s">
        <v>72</v>
      </c>
      <c r="D15" s="4" t="s">
        <v>36</v>
      </c>
      <c r="E15" s="7">
        <v>41789</v>
      </c>
      <c r="F15" s="4" t="s">
        <v>73</v>
      </c>
      <c r="G15" s="4" t="s">
        <v>74</v>
      </c>
      <c r="H15" s="4">
        <v>500</v>
      </c>
      <c r="I15" s="4">
        <v>490</v>
      </c>
      <c r="J15" s="5">
        <v>0.02</v>
      </c>
      <c r="K15" s="3">
        <v>57</v>
      </c>
      <c r="L15" s="4">
        <f>tblSales[[#This Row],[Quantity]]*tblSales[[#This Row],[Actual Price]]</f>
        <v>27930</v>
      </c>
    </row>
    <row r="16" spans="1:12" x14ac:dyDescent="0.35">
      <c r="A16" s="3" t="s">
        <v>75</v>
      </c>
      <c r="B16" s="4" t="s">
        <v>34</v>
      </c>
      <c r="C16" s="4" t="s">
        <v>35</v>
      </c>
      <c r="D16" s="4" t="s">
        <v>36</v>
      </c>
      <c r="E16" s="7">
        <v>43445</v>
      </c>
      <c r="F16" s="4" t="s">
        <v>56</v>
      </c>
      <c r="G16" s="4" t="s">
        <v>76</v>
      </c>
      <c r="H16" s="4">
        <v>800</v>
      </c>
      <c r="I16" s="4">
        <v>672</v>
      </c>
      <c r="J16" s="5">
        <v>0.16</v>
      </c>
      <c r="K16" s="3">
        <v>1</v>
      </c>
      <c r="L16" s="4">
        <f>tblSales[[#This Row],[Quantity]]*tblSales[[#This Row],[Actual Price]]</f>
        <v>672</v>
      </c>
    </row>
    <row r="17" spans="1:12" x14ac:dyDescent="0.35">
      <c r="A17" s="3" t="s">
        <v>77</v>
      </c>
      <c r="B17" s="4" t="s">
        <v>78</v>
      </c>
      <c r="C17" s="4" t="s">
        <v>79</v>
      </c>
      <c r="D17" s="4" t="s">
        <v>36</v>
      </c>
      <c r="E17" s="7">
        <v>42148</v>
      </c>
      <c r="F17" s="4" t="s">
        <v>15</v>
      </c>
      <c r="G17" s="4" t="s">
        <v>80</v>
      </c>
      <c r="H17" s="4">
        <v>80</v>
      </c>
      <c r="I17" s="4">
        <v>78</v>
      </c>
      <c r="J17" s="5">
        <v>2.5000000000000001E-2</v>
      </c>
      <c r="K17" s="3">
        <v>11</v>
      </c>
      <c r="L17" s="4">
        <f>tblSales[[#This Row],[Quantity]]*tblSales[[#This Row],[Actual Price]]</f>
        <v>858</v>
      </c>
    </row>
    <row r="18" spans="1:12" x14ac:dyDescent="0.35">
      <c r="A18" s="3" t="s">
        <v>81</v>
      </c>
      <c r="B18" s="4" t="s">
        <v>82</v>
      </c>
      <c r="C18" s="4" t="s">
        <v>83</v>
      </c>
      <c r="D18" s="4" t="s">
        <v>14</v>
      </c>
      <c r="E18" s="7">
        <v>41802</v>
      </c>
      <c r="F18" s="4" t="s">
        <v>62</v>
      </c>
      <c r="G18" s="4" t="s">
        <v>84</v>
      </c>
      <c r="H18" s="4">
        <v>1000</v>
      </c>
      <c r="I18" s="4">
        <v>620</v>
      </c>
      <c r="J18" s="5">
        <v>0.38</v>
      </c>
      <c r="K18" s="3">
        <v>45</v>
      </c>
      <c r="L18" s="4">
        <f>tblSales[[#This Row],[Quantity]]*tblSales[[#This Row],[Actual Price]]</f>
        <v>27900</v>
      </c>
    </row>
    <row r="19" spans="1:12" x14ac:dyDescent="0.35">
      <c r="A19" s="3" t="s">
        <v>85</v>
      </c>
      <c r="B19" s="4" t="s">
        <v>86</v>
      </c>
      <c r="C19" s="4" t="s">
        <v>87</v>
      </c>
      <c r="D19" s="4" t="s">
        <v>14</v>
      </c>
      <c r="E19" s="7">
        <v>43046</v>
      </c>
      <c r="F19" s="4" t="s">
        <v>73</v>
      </c>
      <c r="G19" s="4" t="s">
        <v>88</v>
      </c>
      <c r="H19" s="4">
        <v>500</v>
      </c>
      <c r="I19" s="4">
        <v>500</v>
      </c>
      <c r="J19" s="5">
        <v>0</v>
      </c>
      <c r="K19" s="3">
        <v>59</v>
      </c>
      <c r="L19" s="4">
        <f>tblSales[[#This Row],[Quantity]]*tblSales[[#This Row],[Actual Price]]</f>
        <v>29500</v>
      </c>
    </row>
    <row r="20" spans="1:12" x14ac:dyDescent="0.35">
      <c r="A20" s="3" t="s">
        <v>89</v>
      </c>
      <c r="B20" s="4" t="s">
        <v>18</v>
      </c>
      <c r="C20" s="4" t="s">
        <v>19</v>
      </c>
      <c r="D20" s="4" t="s">
        <v>20</v>
      </c>
      <c r="E20" s="7">
        <v>41946</v>
      </c>
      <c r="F20" s="4" t="s">
        <v>31</v>
      </c>
      <c r="G20" s="4" t="s">
        <v>90</v>
      </c>
      <c r="H20" s="4">
        <v>150</v>
      </c>
      <c r="I20" s="4">
        <v>150</v>
      </c>
      <c r="J20" s="5">
        <v>0</v>
      </c>
      <c r="K20" s="3">
        <v>5</v>
      </c>
      <c r="L20" s="4">
        <f>tblSales[[#This Row],[Quantity]]*tblSales[[#This Row],[Actual Price]]</f>
        <v>750</v>
      </c>
    </row>
    <row r="21" spans="1:12" x14ac:dyDescent="0.35">
      <c r="A21" s="3" t="s">
        <v>91</v>
      </c>
      <c r="B21" s="4" t="s">
        <v>92</v>
      </c>
      <c r="C21" s="4" t="s">
        <v>93</v>
      </c>
      <c r="D21" s="4" t="s">
        <v>36</v>
      </c>
      <c r="E21" s="7">
        <v>42574</v>
      </c>
      <c r="F21" s="4" t="s">
        <v>62</v>
      </c>
      <c r="G21" s="4" t="s">
        <v>94</v>
      </c>
      <c r="H21" s="4">
        <v>1000</v>
      </c>
      <c r="I21" s="4">
        <v>950</v>
      </c>
      <c r="J21" s="5">
        <v>0.05</v>
      </c>
      <c r="K21" s="3">
        <v>89</v>
      </c>
      <c r="L21" s="4">
        <f>tblSales[[#This Row],[Quantity]]*tblSales[[#This Row],[Actual Price]]</f>
        <v>84550</v>
      </c>
    </row>
    <row r="22" spans="1:12" x14ac:dyDescent="0.35">
      <c r="A22" s="3" t="s">
        <v>95</v>
      </c>
      <c r="B22" s="4" t="s">
        <v>96</v>
      </c>
      <c r="C22" s="4" t="s">
        <v>97</v>
      </c>
      <c r="D22" s="4" t="s">
        <v>14</v>
      </c>
      <c r="E22" s="7">
        <v>43006</v>
      </c>
      <c r="F22" s="4" t="s">
        <v>56</v>
      </c>
      <c r="G22" s="4" t="s">
        <v>98</v>
      </c>
      <c r="H22" s="4">
        <v>800</v>
      </c>
      <c r="I22" s="4">
        <v>736</v>
      </c>
      <c r="J22" s="5">
        <v>0.08</v>
      </c>
      <c r="K22" s="3">
        <v>34</v>
      </c>
      <c r="L22" s="4">
        <f>tblSales[[#This Row],[Quantity]]*tblSales[[#This Row],[Actual Price]]</f>
        <v>25024</v>
      </c>
    </row>
    <row r="23" spans="1:12" x14ac:dyDescent="0.35">
      <c r="A23" s="3" t="s">
        <v>99</v>
      </c>
      <c r="B23" s="4" t="s">
        <v>100</v>
      </c>
      <c r="C23" s="4" t="s">
        <v>101</v>
      </c>
      <c r="D23" s="4" t="s">
        <v>14</v>
      </c>
      <c r="E23" s="7">
        <v>42111</v>
      </c>
      <c r="F23" s="4" t="s">
        <v>42</v>
      </c>
      <c r="G23" s="4" t="s">
        <v>102</v>
      </c>
      <c r="H23" s="4">
        <v>30</v>
      </c>
      <c r="I23" s="4">
        <v>22</v>
      </c>
      <c r="J23" s="5">
        <v>0.26669999999999999</v>
      </c>
      <c r="K23" s="3">
        <v>50</v>
      </c>
      <c r="L23" s="4">
        <f>tblSales[[#This Row],[Quantity]]*tblSales[[#This Row],[Actual Price]]</f>
        <v>1100</v>
      </c>
    </row>
    <row r="24" spans="1:12" x14ac:dyDescent="0.35">
      <c r="A24" s="3" t="s">
        <v>103</v>
      </c>
      <c r="B24" s="4" t="s">
        <v>104</v>
      </c>
      <c r="C24" s="4" t="s">
        <v>72</v>
      </c>
      <c r="D24" s="4" t="s">
        <v>36</v>
      </c>
      <c r="E24" s="7">
        <v>43417</v>
      </c>
      <c r="F24" s="4" t="s">
        <v>105</v>
      </c>
      <c r="G24" s="4" t="s">
        <v>106</v>
      </c>
      <c r="H24" s="4">
        <v>70</v>
      </c>
      <c r="I24" s="4">
        <v>67</v>
      </c>
      <c r="J24" s="5">
        <v>4.2900000000000001E-2</v>
      </c>
      <c r="K24" s="3">
        <v>31</v>
      </c>
      <c r="L24" s="4">
        <f>tblSales[[#This Row],[Quantity]]*tblSales[[#This Row],[Actual Price]]</f>
        <v>2077</v>
      </c>
    </row>
    <row r="25" spans="1:12" x14ac:dyDescent="0.35">
      <c r="A25" s="3" t="s">
        <v>107</v>
      </c>
      <c r="B25" s="4" t="s">
        <v>108</v>
      </c>
      <c r="C25" s="4" t="s">
        <v>109</v>
      </c>
      <c r="D25" s="4" t="s">
        <v>20</v>
      </c>
      <c r="E25" s="7">
        <v>43144</v>
      </c>
      <c r="F25" s="4" t="s">
        <v>42</v>
      </c>
      <c r="G25" s="4" t="s">
        <v>110</v>
      </c>
      <c r="H25" s="4">
        <v>30</v>
      </c>
      <c r="I25" s="4">
        <v>27</v>
      </c>
      <c r="J25" s="5">
        <v>0.1</v>
      </c>
      <c r="K25" s="3">
        <v>12</v>
      </c>
      <c r="L25" s="4">
        <f>tblSales[[#This Row],[Quantity]]*tblSales[[#This Row],[Actual Price]]</f>
        <v>324</v>
      </c>
    </row>
    <row r="26" spans="1:12" x14ac:dyDescent="0.35">
      <c r="A26" s="3" t="s">
        <v>111</v>
      </c>
      <c r="B26" s="4" t="s">
        <v>112</v>
      </c>
      <c r="C26" s="4" t="s">
        <v>83</v>
      </c>
      <c r="D26" s="4" t="s">
        <v>14</v>
      </c>
      <c r="E26" s="7">
        <v>43151</v>
      </c>
      <c r="F26" s="4" t="s">
        <v>73</v>
      </c>
      <c r="G26" s="4" t="s">
        <v>113</v>
      </c>
      <c r="H26" s="4">
        <v>500</v>
      </c>
      <c r="I26" s="4">
        <v>495</v>
      </c>
      <c r="J26" s="5">
        <v>0.01</v>
      </c>
      <c r="K26" s="3">
        <v>26</v>
      </c>
      <c r="L26" s="4">
        <f>tblSales[[#This Row],[Quantity]]*tblSales[[#This Row],[Actual Price]]</f>
        <v>12870</v>
      </c>
    </row>
    <row r="27" spans="1:12" x14ac:dyDescent="0.35">
      <c r="A27" s="3" t="s">
        <v>114</v>
      </c>
      <c r="B27" s="4" t="s">
        <v>115</v>
      </c>
      <c r="C27" s="4" t="s">
        <v>55</v>
      </c>
      <c r="D27" s="4" t="s">
        <v>14</v>
      </c>
      <c r="E27" s="7">
        <v>42451</v>
      </c>
      <c r="F27" s="4" t="s">
        <v>116</v>
      </c>
      <c r="G27" s="4" t="s">
        <v>117</v>
      </c>
      <c r="H27" s="4">
        <v>250</v>
      </c>
      <c r="I27" s="4">
        <v>238</v>
      </c>
      <c r="J27" s="5">
        <v>4.8000000000000001E-2</v>
      </c>
      <c r="K27" s="3">
        <v>83</v>
      </c>
      <c r="L27" s="4">
        <f>tblSales[[#This Row],[Quantity]]*tblSales[[#This Row],[Actual Price]]</f>
        <v>19754</v>
      </c>
    </row>
    <row r="28" spans="1:12" x14ac:dyDescent="0.35">
      <c r="A28" s="3" t="s">
        <v>118</v>
      </c>
      <c r="B28" s="4" t="s">
        <v>119</v>
      </c>
      <c r="C28" s="4" t="s">
        <v>120</v>
      </c>
      <c r="D28" s="4" t="s">
        <v>36</v>
      </c>
      <c r="E28" s="7">
        <v>42773</v>
      </c>
      <c r="F28" s="4" t="s">
        <v>116</v>
      </c>
      <c r="G28" s="4" t="s">
        <v>121</v>
      </c>
      <c r="H28" s="4">
        <v>250</v>
      </c>
      <c r="I28" s="4">
        <v>240</v>
      </c>
      <c r="J28" s="5">
        <v>0.04</v>
      </c>
      <c r="K28" s="3">
        <v>68</v>
      </c>
      <c r="L28" s="4">
        <f>tblSales[[#This Row],[Quantity]]*tblSales[[#This Row],[Actual Price]]</f>
        <v>16320</v>
      </c>
    </row>
    <row r="29" spans="1:12" x14ac:dyDescent="0.35">
      <c r="A29" s="3" t="s">
        <v>122</v>
      </c>
      <c r="B29" s="4" t="s">
        <v>18</v>
      </c>
      <c r="C29" s="4" t="s">
        <v>19</v>
      </c>
      <c r="D29" s="4" t="s">
        <v>20</v>
      </c>
      <c r="E29" s="7">
        <v>42392</v>
      </c>
      <c r="F29" s="4" t="s">
        <v>123</v>
      </c>
      <c r="G29" s="4" t="s">
        <v>21</v>
      </c>
      <c r="H29" s="4">
        <v>50</v>
      </c>
      <c r="I29" s="4">
        <v>43</v>
      </c>
      <c r="J29" s="5">
        <v>0.14000000000000001</v>
      </c>
      <c r="K29" s="3">
        <v>87</v>
      </c>
      <c r="L29" s="4">
        <f>tblSales[[#This Row],[Quantity]]*tblSales[[#This Row],[Actual Price]]</f>
        <v>3741</v>
      </c>
    </row>
    <row r="30" spans="1:12" x14ac:dyDescent="0.35">
      <c r="A30" s="3" t="s">
        <v>124</v>
      </c>
      <c r="B30" s="4" t="s">
        <v>125</v>
      </c>
      <c r="C30" s="4" t="s">
        <v>41</v>
      </c>
      <c r="D30" s="4" t="s">
        <v>36</v>
      </c>
      <c r="E30" s="7">
        <v>42305</v>
      </c>
      <c r="F30" s="4" t="s">
        <v>73</v>
      </c>
      <c r="G30" s="4" t="s">
        <v>126</v>
      </c>
      <c r="H30" s="4">
        <v>500</v>
      </c>
      <c r="I30" s="4">
        <v>495</v>
      </c>
      <c r="J30" s="5">
        <v>0.01</v>
      </c>
      <c r="K30" s="3">
        <v>58</v>
      </c>
      <c r="L30" s="4">
        <f>tblSales[[#This Row],[Quantity]]*tblSales[[#This Row],[Actual Price]]</f>
        <v>28710</v>
      </c>
    </row>
    <row r="31" spans="1:12" x14ac:dyDescent="0.35">
      <c r="A31" s="3" t="s">
        <v>127</v>
      </c>
      <c r="B31" s="4" t="s">
        <v>128</v>
      </c>
      <c r="C31" s="4" t="s">
        <v>129</v>
      </c>
      <c r="D31" s="4" t="s">
        <v>14</v>
      </c>
      <c r="E31" s="7">
        <v>43083</v>
      </c>
      <c r="F31" s="4" t="s">
        <v>105</v>
      </c>
      <c r="G31" s="4" t="s">
        <v>130</v>
      </c>
      <c r="H31" s="4">
        <v>70</v>
      </c>
      <c r="I31" s="4">
        <v>64</v>
      </c>
      <c r="J31" s="5">
        <v>8.5699999999999998E-2</v>
      </c>
      <c r="K31" s="3">
        <v>92</v>
      </c>
      <c r="L31" s="4">
        <f>tblSales[[#This Row],[Quantity]]*tblSales[[#This Row],[Actual Price]]</f>
        <v>5888</v>
      </c>
    </row>
    <row r="32" spans="1:12" x14ac:dyDescent="0.35">
      <c r="A32" s="3" t="s">
        <v>131</v>
      </c>
      <c r="B32" s="4" t="s">
        <v>132</v>
      </c>
      <c r="C32" s="4" t="s">
        <v>109</v>
      </c>
      <c r="D32" s="4" t="s">
        <v>20</v>
      </c>
      <c r="E32" s="7">
        <v>41830</v>
      </c>
      <c r="F32" s="4" t="s">
        <v>31</v>
      </c>
      <c r="G32" s="4" t="s">
        <v>133</v>
      </c>
      <c r="H32" s="4">
        <v>150</v>
      </c>
      <c r="I32" s="4">
        <v>138</v>
      </c>
      <c r="J32" s="5">
        <v>0.08</v>
      </c>
      <c r="K32" s="3">
        <v>81</v>
      </c>
      <c r="L32" s="4">
        <f>tblSales[[#This Row],[Quantity]]*tblSales[[#This Row],[Actual Price]]</f>
        <v>11178</v>
      </c>
    </row>
    <row r="33" spans="1:12" x14ac:dyDescent="0.35">
      <c r="A33" s="3" t="s">
        <v>134</v>
      </c>
      <c r="B33" s="4" t="s">
        <v>135</v>
      </c>
      <c r="C33" s="4" t="s">
        <v>93</v>
      </c>
      <c r="D33" s="4" t="s">
        <v>36</v>
      </c>
      <c r="E33" s="7">
        <v>41931</v>
      </c>
      <c r="F33" s="4" t="s">
        <v>31</v>
      </c>
      <c r="G33" s="4" t="s">
        <v>136</v>
      </c>
      <c r="H33" s="4">
        <v>150</v>
      </c>
      <c r="I33" s="4">
        <v>117</v>
      </c>
      <c r="J33" s="5">
        <v>0.22</v>
      </c>
      <c r="K33" s="3">
        <v>18</v>
      </c>
      <c r="L33" s="4">
        <f>tblSales[[#This Row],[Quantity]]*tblSales[[#This Row],[Actual Price]]</f>
        <v>2106</v>
      </c>
    </row>
    <row r="34" spans="1:12" x14ac:dyDescent="0.35">
      <c r="A34" s="3" t="s">
        <v>137</v>
      </c>
      <c r="B34" s="4" t="s">
        <v>12</v>
      </c>
      <c r="C34" s="4" t="s">
        <v>13</v>
      </c>
      <c r="D34" s="4" t="s">
        <v>14</v>
      </c>
      <c r="E34" s="7">
        <v>41931</v>
      </c>
      <c r="F34" s="4" t="s">
        <v>62</v>
      </c>
      <c r="G34" s="4" t="s">
        <v>138</v>
      </c>
      <c r="H34" s="4">
        <v>1000</v>
      </c>
      <c r="I34" s="4">
        <v>910</v>
      </c>
      <c r="J34" s="5">
        <v>0.09</v>
      </c>
      <c r="K34" s="3">
        <v>68</v>
      </c>
      <c r="L34" s="4">
        <f>tblSales[[#This Row],[Quantity]]*tblSales[[#This Row],[Actual Price]]</f>
        <v>61880</v>
      </c>
    </row>
    <row r="35" spans="1:12" x14ac:dyDescent="0.35">
      <c r="A35" s="3" t="s">
        <v>139</v>
      </c>
      <c r="B35" s="4" t="s">
        <v>100</v>
      </c>
      <c r="C35" s="4" t="s">
        <v>101</v>
      </c>
      <c r="D35" s="4" t="s">
        <v>14</v>
      </c>
      <c r="E35" s="7">
        <v>43447</v>
      </c>
      <c r="F35" s="4" t="s">
        <v>56</v>
      </c>
      <c r="G35" s="4" t="s">
        <v>102</v>
      </c>
      <c r="H35" s="4">
        <v>800</v>
      </c>
      <c r="I35" s="4">
        <v>584</v>
      </c>
      <c r="J35" s="5">
        <v>0.27</v>
      </c>
      <c r="K35" s="3">
        <v>21</v>
      </c>
      <c r="L35" s="4">
        <f>tblSales[[#This Row],[Quantity]]*tblSales[[#This Row],[Actual Price]]</f>
        <v>12264</v>
      </c>
    </row>
    <row r="36" spans="1:12" x14ac:dyDescent="0.35">
      <c r="A36" s="3" t="s">
        <v>140</v>
      </c>
      <c r="B36" s="4" t="s">
        <v>65</v>
      </c>
      <c r="C36" s="4" t="s">
        <v>66</v>
      </c>
      <c r="D36" s="4" t="s">
        <v>36</v>
      </c>
      <c r="E36" s="7">
        <v>42290</v>
      </c>
      <c r="F36" s="4" t="s">
        <v>15</v>
      </c>
      <c r="G36" s="4" t="s">
        <v>141</v>
      </c>
      <c r="H36" s="4">
        <v>80</v>
      </c>
      <c r="I36" s="4">
        <v>77</v>
      </c>
      <c r="J36" s="5">
        <v>3.7499999999999999E-2</v>
      </c>
      <c r="K36" s="3">
        <v>72</v>
      </c>
      <c r="L36" s="4">
        <f>tblSales[[#This Row],[Quantity]]*tblSales[[#This Row],[Actual Price]]</f>
        <v>5544</v>
      </c>
    </row>
    <row r="37" spans="1:12" x14ac:dyDescent="0.35">
      <c r="A37" s="3" t="s">
        <v>142</v>
      </c>
      <c r="B37" s="4" t="s">
        <v>71</v>
      </c>
      <c r="C37" s="4" t="s">
        <v>72</v>
      </c>
      <c r="D37" s="4" t="s">
        <v>36</v>
      </c>
      <c r="E37" s="7">
        <v>43427</v>
      </c>
      <c r="F37" s="4" t="s">
        <v>73</v>
      </c>
      <c r="G37" s="4" t="s">
        <v>143</v>
      </c>
      <c r="H37" s="4">
        <v>500</v>
      </c>
      <c r="I37" s="4">
        <v>500</v>
      </c>
      <c r="J37" s="5">
        <v>0</v>
      </c>
      <c r="K37" s="3">
        <v>90</v>
      </c>
      <c r="L37" s="4">
        <f>tblSales[[#This Row],[Quantity]]*tblSales[[#This Row],[Actual Price]]</f>
        <v>45000</v>
      </c>
    </row>
    <row r="38" spans="1:12" x14ac:dyDescent="0.35">
      <c r="A38" s="3" t="s">
        <v>144</v>
      </c>
      <c r="B38" s="4" t="s">
        <v>23</v>
      </c>
      <c r="C38" s="4" t="s">
        <v>24</v>
      </c>
      <c r="D38" s="4" t="s">
        <v>25</v>
      </c>
      <c r="E38" s="7">
        <v>42582</v>
      </c>
      <c r="F38" s="4" t="s">
        <v>31</v>
      </c>
      <c r="G38" s="4" t="s">
        <v>145</v>
      </c>
      <c r="H38" s="4">
        <v>150</v>
      </c>
      <c r="I38" s="4">
        <v>146</v>
      </c>
      <c r="J38" s="5">
        <v>2.6700000000000002E-2</v>
      </c>
      <c r="K38" s="3">
        <v>26</v>
      </c>
      <c r="L38" s="4">
        <f>tblSales[[#This Row],[Quantity]]*tblSales[[#This Row],[Actual Price]]</f>
        <v>3796</v>
      </c>
    </row>
    <row r="39" spans="1:12" x14ac:dyDescent="0.35">
      <c r="A39" s="3" t="s">
        <v>146</v>
      </c>
      <c r="B39" s="4" t="s">
        <v>147</v>
      </c>
      <c r="C39" s="4" t="s">
        <v>148</v>
      </c>
      <c r="D39" s="4" t="s">
        <v>14</v>
      </c>
      <c r="E39" s="7">
        <v>42338</v>
      </c>
      <c r="F39" s="4" t="s">
        <v>47</v>
      </c>
      <c r="G39" s="4" t="s">
        <v>149</v>
      </c>
      <c r="H39" s="4">
        <v>500</v>
      </c>
      <c r="I39" s="4">
        <v>460</v>
      </c>
      <c r="J39" s="5">
        <v>0.08</v>
      </c>
      <c r="K39" s="3">
        <v>54</v>
      </c>
      <c r="L39" s="4">
        <f>tblSales[[#This Row],[Quantity]]*tblSales[[#This Row],[Actual Price]]</f>
        <v>24840</v>
      </c>
    </row>
    <row r="40" spans="1:12" x14ac:dyDescent="0.35">
      <c r="A40" s="3" t="s">
        <v>150</v>
      </c>
      <c r="B40" s="4" t="s">
        <v>151</v>
      </c>
      <c r="C40" s="4" t="s">
        <v>152</v>
      </c>
      <c r="D40" s="4" t="s">
        <v>14</v>
      </c>
      <c r="E40" s="7">
        <v>43327</v>
      </c>
      <c r="F40" s="4" t="s">
        <v>123</v>
      </c>
      <c r="G40" s="4" t="s">
        <v>153</v>
      </c>
      <c r="H40" s="4">
        <v>50</v>
      </c>
      <c r="I40" s="4">
        <v>43</v>
      </c>
      <c r="J40" s="5">
        <v>0.14000000000000001</v>
      </c>
      <c r="K40" s="3">
        <v>74</v>
      </c>
      <c r="L40" s="4">
        <f>tblSales[[#This Row],[Quantity]]*tblSales[[#This Row],[Actual Price]]</f>
        <v>3182</v>
      </c>
    </row>
    <row r="41" spans="1:12" x14ac:dyDescent="0.35">
      <c r="A41" s="3" t="s">
        <v>154</v>
      </c>
      <c r="B41" s="4" t="s">
        <v>155</v>
      </c>
      <c r="C41" s="4" t="s">
        <v>109</v>
      </c>
      <c r="D41" s="4" t="s">
        <v>20</v>
      </c>
      <c r="E41" s="7">
        <v>42993</v>
      </c>
      <c r="F41" s="4" t="s">
        <v>15</v>
      </c>
      <c r="G41" s="4" t="s">
        <v>156</v>
      </c>
      <c r="H41" s="4">
        <v>80</v>
      </c>
      <c r="I41" s="4">
        <v>72</v>
      </c>
      <c r="J41" s="5">
        <v>0.1</v>
      </c>
      <c r="K41" s="3">
        <v>63</v>
      </c>
      <c r="L41" s="4">
        <f>tblSales[[#This Row],[Quantity]]*tblSales[[#This Row],[Actual Price]]</f>
        <v>4536</v>
      </c>
    </row>
    <row r="42" spans="1:12" x14ac:dyDescent="0.35">
      <c r="A42" s="3" t="s">
        <v>157</v>
      </c>
      <c r="B42" s="4" t="s">
        <v>158</v>
      </c>
      <c r="C42" s="4" t="s">
        <v>109</v>
      </c>
      <c r="D42" s="4" t="s">
        <v>20</v>
      </c>
      <c r="E42" s="7">
        <v>42936</v>
      </c>
      <c r="F42" s="4" t="s">
        <v>15</v>
      </c>
      <c r="G42" s="4" t="s">
        <v>159</v>
      </c>
      <c r="H42" s="4">
        <v>80</v>
      </c>
      <c r="I42" s="4">
        <v>75</v>
      </c>
      <c r="J42" s="5">
        <v>6.25E-2</v>
      </c>
      <c r="K42" s="3">
        <v>85</v>
      </c>
      <c r="L42" s="4">
        <f>tblSales[[#This Row],[Quantity]]*tblSales[[#This Row],[Actual Price]]</f>
        <v>6375</v>
      </c>
    </row>
    <row r="43" spans="1:12" x14ac:dyDescent="0.35">
      <c r="A43" s="3" t="s">
        <v>160</v>
      </c>
      <c r="B43" s="4" t="s">
        <v>34</v>
      </c>
      <c r="C43" s="4" t="s">
        <v>35</v>
      </c>
      <c r="D43" s="4" t="s">
        <v>36</v>
      </c>
      <c r="E43" s="7">
        <v>42673</v>
      </c>
      <c r="F43" s="4" t="s">
        <v>42</v>
      </c>
      <c r="G43" s="4" t="s">
        <v>161</v>
      </c>
      <c r="H43" s="4">
        <v>30</v>
      </c>
      <c r="I43" s="4">
        <v>26</v>
      </c>
      <c r="J43" s="5">
        <v>0.1333</v>
      </c>
      <c r="K43" s="3">
        <v>54</v>
      </c>
      <c r="L43" s="4">
        <f>tblSales[[#This Row],[Quantity]]*tblSales[[#This Row],[Actual Price]]</f>
        <v>1404</v>
      </c>
    </row>
    <row r="44" spans="1:12" x14ac:dyDescent="0.35">
      <c r="A44" s="3" t="s">
        <v>162</v>
      </c>
      <c r="B44" s="4" t="s">
        <v>78</v>
      </c>
      <c r="C44" s="4" t="s">
        <v>79</v>
      </c>
      <c r="D44" s="4" t="s">
        <v>36</v>
      </c>
      <c r="E44" s="7">
        <v>43184</v>
      </c>
      <c r="F44" s="4" t="s">
        <v>42</v>
      </c>
      <c r="G44" s="4" t="s">
        <v>163</v>
      </c>
      <c r="H44" s="4">
        <v>30</v>
      </c>
      <c r="I44" s="4">
        <v>26</v>
      </c>
      <c r="J44" s="5">
        <v>0.1333</v>
      </c>
      <c r="K44" s="3">
        <v>75</v>
      </c>
      <c r="L44" s="4">
        <f>tblSales[[#This Row],[Quantity]]*tblSales[[#This Row],[Actual Price]]</f>
        <v>1950</v>
      </c>
    </row>
    <row r="45" spans="1:12" x14ac:dyDescent="0.35">
      <c r="A45" s="3" t="s">
        <v>164</v>
      </c>
      <c r="B45" s="4" t="s">
        <v>40</v>
      </c>
      <c r="C45" s="4" t="s">
        <v>41</v>
      </c>
      <c r="D45" s="4" t="s">
        <v>36</v>
      </c>
      <c r="E45" s="7">
        <v>42943</v>
      </c>
      <c r="F45" s="4" t="s">
        <v>56</v>
      </c>
      <c r="G45" s="4" t="s">
        <v>165</v>
      </c>
      <c r="H45" s="4">
        <v>800</v>
      </c>
      <c r="I45" s="4">
        <v>640</v>
      </c>
      <c r="J45" s="5">
        <v>0.2</v>
      </c>
      <c r="K45" s="3">
        <v>85</v>
      </c>
      <c r="L45" s="4">
        <f>tblSales[[#This Row],[Quantity]]*tblSales[[#This Row],[Actual Price]]</f>
        <v>54400</v>
      </c>
    </row>
    <row r="46" spans="1:12" x14ac:dyDescent="0.35">
      <c r="A46" s="3" t="s">
        <v>166</v>
      </c>
      <c r="B46" s="4" t="s">
        <v>86</v>
      </c>
      <c r="C46" s="4" t="s">
        <v>87</v>
      </c>
      <c r="D46" s="4" t="s">
        <v>14</v>
      </c>
      <c r="E46" s="7">
        <v>42690</v>
      </c>
      <c r="F46" s="4" t="s">
        <v>56</v>
      </c>
      <c r="G46" s="4" t="s">
        <v>167</v>
      </c>
      <c r="H46" s="4">
        <v>800</v>
      </c>
      <c r="I46" s="4">
        <v>520</v>
      </c>
      <c r="J46" s="5">
        <v>0.35</v>
      </c>
      <c r="K46" s="3">
        <v>83</v>
      </c>
      <c r="L46" s="4">
        <f>tblSales[[#This Row],[Quantity]]*tblSales[[#This Row],[Actual Price]]</f>
        <v>43160</v>
      </c>
    </row>
    <row r="47" spans="1:12" x14ac:dyDescent="0.35">
      <c r="A47" s="3" t="s">
        <v>168</v>
      </c>
      <c r="B47" s="4" t="s">
        <v>115</v>
      </c>
      <c r="C47" s="4" t="s">
        <v>55</v>
      </c>
      <c r="D47" s="4" t="s">
        <v>14</v>
      </c>
      <c r="E47" s="7">
        <v>43120</v>
      </c>
      <c r="F47" s="4" t="s">
        <v>116</v>
      </c>
      <c r="G47" s="4" t="s">
        <v>169</v>
      </c>
      <c r="H47" s="4">
        <v>250</v>
      </c>
      <c r="I47" s="4">
        <v>220</v>
      </c>
      <c r="J47" s="5">
        <v>0.12</v>
      </c>
      <c r="K47" s="3">
        <v>86</v>
      </c>
      <c r="L47" s="4">
        <f>tblSales[[#This Row],[Quantity]]*tblSales[[#This Row],[Actual Price]]</f>
        <v>18920</v>
      </c>
    </row>
    <row r="48" spans="1:12" x14ac:dyDescent="0.35">
      <c r="A48" s="3" t="s">
        <v>170</v>
      </c>
      <c r="B48" s="4" t="s">
        <v>171</v>
      </c>
      <c r="C48" s="4" t="s">
        <v>172</v>
      </c>
      <c r="D48" s="4" t="s">
        <v>14</v>
      </c>
      <c r="E48" s="7">
        <v>42065</v>
      </c>
      <c r="F48" s="4" t="s">
        <v>26</v>
      </c>
      <c r="G48" s="4" t="s">
        <v>173</v>
      </c>
      <c r="H48" s="4">
        <v>700</v>
      </c>
      <c r="I48" s="4">
        <v>434</v>
      </c>
      <c r="J48" s="5">
        <v>0.38</v>
      </c>
      <c r="K48" s="3">
        <v>73</v>
      </c>
      <c r="L48" s="4">
        <f>tblSales[[#This Row],[Quantity]]*tblSales[[#This Row],[Actual Price]]</f>
        <v>31682</v>
      </c>
    </row>
    <row r="49" spans="1:12" x14ac:dyDescent="0.35">
      <c r="A49" s="3" t="s">
        <v>174</v>
      </c>
      <c r="B49" s="4" t="s">
        <v>175</v>
      </c>
      <c r="C49" s="4" t="s">
        <v>176</v>
      </c>
      <c r="D49" s="4" t="s">
        <v>14</v>
      </c>
      <c r="E49" s="7">
        <v>42046</v>
      </c>
      <c r="F49" s="4" t="s">
        <v>15</v>
      </c>
      <c r="G49" s="4" t="s">
        <v>177</v>
      </c>
      <c r="H49" s="4">
        <v>80</v>
      </c>
      <c r="I49" s="4">
        <v>50</v>
      </c>
      <c r="J49" s="5">
        <v>0.375</v>
      </c>
      <c r="K49" s="3">
        <v>26</v>
      </c>
      <c r="L49" s="4">
        <f>tblSales[[#This Row],[Quantity]]*tblSales[[#This Row],[Actual Price]]</f>
        <v>1300</v>
      </c>
    </row>
    <row r="50" spans="1:12" x14ac:dyDescent="0.35">
      <c r="A50" s="3" t="s">
        <v>178</v>
      </c>
      <c r="B50" s="4" t="s">
        <v>18</v>
      </c>
      <c r="C50" s="4" t="s">
        <v>19</v>
      </c>
      <c r="D50" s="4" t="s">
        <v>20</v>
      </c>
      <c r="E50" s="7">
        <v>42984</v>
      </c>
      <c r="F50" s="4" t="s">
        <v>116</v>
      </c>
      <c r="G50" s="4" t="s">
        <v>179</v>
      </c>
      <c r="H50" s="4">
        <v>250</v>
      </c>
      <c r="I50" s="4">
        <v>238</v>
      </c>
      <c r="J50" s="5">
        <v>4.8000000000000001E-2</v>
      </c>
      <c r="K50" s="3">
        <v>23</v>
      </c>
      <c r="L50" s="4">
        <f>tblSales[[#This Row],[Quantity]]*tblSales[[#This Row],[Actual Price]]</f>
        <v>5474</v>
      </c>
    </row>
    <row r="51" spans="1:12" x14ac:dyDescent="0.35">
      <c r="A51" s="3" t="s">
        <v>180</v>
      </c>
      <c r="B51" s="4" t="s">
        <v>96</v>
      </c>
      <c r="C51" s="4" t="s">
        <v>97</v>
      </c>
      <c r="D51" s="4" t="s">
        <v>14</v>
      </c>
      <c r="E51" s="7">
        <v>43032</v>
      </c>
      <c r="F51" s="4" t="s">
        <v>31</v>
      </c>
      <c r="G51" s="4" t="s">
        <v>181</v>
      </c>
      <c r="H51" s="4">
        <v>150</v>
      </c>
      <c r="I51" s="4">
        <v>140</v>
      </c>
      <c r="J51" s="5">
        <v>6.6699999999999995E-2</v>
      </c>
      <c r="K51" s="3">
        <v>14</v>
      </c>
      <c r="L51" s="4">
        <f>tblSales[[#This Row],[Quantity]]*tblSales[[#This Row],[Actual Price]]</f>
        <v>1960</v>
      </c>
    </row>
    <row r="52" spans="1:12" x14ac:dyDescent="0.35">
      <c r="A52" s="3" t="s">
        <v>182</v>
      </c>
      <c r="B52" s="4" t="s">
        <v>183</v>
      </c>
      <c r="C52" s="4" t="s">
        <v>109</v>
      </c>
      <c r="D52" s="4" t="s">
        <v>20</v>
      </c>
      <c r="E52" s="7">
        <v>42329</v>
      </c>
      <c r="F52" s="4" t="s">
        <v>62</v>
      </c>
      <c r="G52" s="4" t="s">
        <v>184</v>
      </c>
      <c r="H52" s="4">
        <v>1000</v>
      </c>
      <c r="I52" s="4">
        <v>740</v>
      </c>
      <c r="J52" s="5">
        <v>0.26</v>
      </c>
      <c r="K52" s="3">
        <v>66</v>
      </c>
      <c r="L52" s="4">
        <f>tblSales[[#This Row],[Quantity]]*tblSales[[#This Row],[Actual Price]]</f>
        <v>48840</v>
      </c>
    </row>
    <row r="53" spans="1:12" x14ac:dyDescent="0.35">
      <c r="A53" s="3" t="s">
        <v>185</v>
      </c>
      <c r="B53" s="4" t="s">
        <v>151</v>
      </c>
      <c r="C53" s="4" t="s">
        <v>152</v>
      </c>
      <c r="D53" s="4" t="s">
        <v>14</v>
      </c>
      <c r="E53" s="7">
        <v>41799</v>
      </c>
      <c r="F53" s="4" t="s">
        <v>42</v>
      </c>
      <c r="G53" s="4" t="s">
        <v>186</v>
      </c>
      <c r="H53" s="4">
        <v>30</v>
      </c>
      <c r="I53" s="4">
        <v>25</v>
      </c>
      <c r="J53" s="5">
        <v>0.16669999999999999</v>
      </c>
      <c r="K53" s="3">
        <v>60</v>
      </c>
      <c r="L53" s="4">
        <f>tblSales[[#This Row],[Quantity]]*tblSales[[#This Row],[Actual Price]]</f>
        <v>1500</v>
      </c>
    </row>
    <row r="54" spans="1:12" x14ac:dyDescent="0.35">
      <c r="A54" s="3" t="s">
        <v>187</v>
      </c>
      <c r="B54" s="4" t="s">
        <v>188</v>
      </c>
      <c r="C54" s="4" t="s">
        <v>189</v>
      </c>
      <c r="D54" s="4" t="s">
        <v>14</v>
      </c>
      <c r="E54" s="7">
        <v>43031</v>
      </c>
      <c r="F54" s="4" t="s">
        <v>26</v>
      </c>
      <c r="G54" s="4" t="s">
        <v>190</v>
      </c>
      <c r="H54" s="4">
        <v>700</v>
      </c>
      <c r="I54" s="4">
        <v>665</v>
      </c>
      <c r="J54" s="5">
        <v>0.05</v>
      </c>
      <c r="K54" s="3">
        <v>89</v>
      </c>
      <c r="L54" s="4">
        <f>tblSales[[#This Row],[Quantity]]*tblSales[[#This Row],[Actual Price]]</f>
        <v>59185</v>
      </c>
    </row>
    <row r="55" spans="1:12" x14ac:dyDescent="0.35">
      <c r="A55" s="3" t="s">
        <v>191</v>
      </c>
      <c r="B55" s="4" t="s">
        <v>104</v>
      </c>
      <c r="C55" s="4" t="s">
        <v>72</v>
      </c>
      <c r="D55" s="4" t="s">
        <v>36</v>
      </c>
      <c r="E55" s="7">
        <v>41835</v>
      </c>
      <c r="F55" s="4" t="s">
        <v>47</v>
      </c>
      <c r="G55" s="4" t="s">
        <v>192</v>
      </c>
      <c r="H55" s="4">
        <v>500</v>
      </c>
      <c r="I55" s="4">
        <v>425</v>
      </c>
      <c r="J55" s="5">
        <v>0.15</v>
      </c>
      <c r="K55" s="3">
        <v>11</v>
      </c>
      <c r="L55" s="4">
        <f>tblSales[[#This Row],[Quantity]]*tblSales[[#This Row],[Actual Price]]</f>
        <v>4675</v>
      </c>
    </row>
    <row r="56" spans="1:12" x14ac:dyDescent="0.35">
      <c r="A56" s="3" t="s">
        <v>193</v>
      </c>
      <c r="B56" s="4" t="s">
        <v>12</v>
      </c>
      <c r="C56" s="4" t="s">
        <v>13</v>
      </c>
      <c r="D56" s="4" t="s">
        <v>14</v>
      </c>
      <c r="E56" s="7">
        <v>41898</v>
      </c>
      <c r="F56" s="4" t="s">
        <v>15</v>
      </c>
      <c r="G56" s="4" t="s">
        <v>194</v>
      </c>
      <c r="H56" s="4">
        <v>80</v>
      </c>
      <c r="I56" s="4">
        <v>78</v>
      </c>
      <c r="J56" s="5">
        <v>2.5000000000000001E-2</v>
      </c>
      <c r="K56" s="3">
        <v>6</v>
      </c>
      <c r="L56" s="4">
        <f>tblSales[[#This Row],[Quantity]]*tblSales[[#This Row],[Actual Price]]</f>
        <v>468</v>
      </c>
    </row>
    <row r="57" spans="1:12" x14ac:dyDescent="0.35">
      <c r="A57" s="3" t="s">
        <v>195</v>
      </c>
      <c r="B57" s="4" t="s">
        <v>82</v>
      </c>
      <c r="C57" s="4" t="s">
        <v>83</v>
      </c>
      <c r="D57" s="4" t="s">
        <v>14</v>
      </c>
      <c r="E57" s="7">
        <v>42134</v>
      </c>
      <c r="F57" s="4" t="s">
        <v>123</v>
      </c>
      <c r="G57" s="4" t="s">
        <v>196</v>
      </c>
      <c r="H57" s="4">
        <v>50</v>
      </c>
      <c r="I57" s="4">
        <v>39</v>
      </c>
      <c r="J57" s="5">
        <v>0.22</v>
      </c>
      <c r="K57" s="3">
        <v>75</v>
      </c>
      <c r="L57" s="4">
        <f>tblSales[[#This Row],[Quantity]]*tblSales[[#This Row],[Actual Price]]</f>
        <v>2925</v>
      </c>
    </row>
    <row r="58" spans="1:12" x14ac:dyDescent="0.35">
      <c r="A58" s="3" t="s">
        <v>197</v>
      </c>
      <c r="B58" s="4" t="s">
        <v>34</v>
      </c>
      <c r="C58" s="4" t="s">
        <v>35</v>
      </c>
      <c r="D58" s="4" t="s">
        <v>36</v>
      </c>
      <c r="E58" s="7">
        <v>42571</v>
      </c>
      <c r="F58" s="4" t="s">
        <v>42</v>
      </c>
      <c r="G58" s="4" t="s">
        <v>198</v>
      </c>
      <c r="H58" s="4">
        <v>30</v>
      </c>
      <c r="I58" s="4">
        <v>27</v>
      </c>
      <c r="J58" s="5">
        <v>0.1</v>
      </c>
      <c r="K58" s="3">
        <v>50</v>
      </c>
      <c r="L58" s="4">
        <f>tblSales[[#This Row],[Quantity]]*tblSales[[#This Row],[Actual Price]]</f>
        <v>1350</v>
      </c>
    </row>
    <row r="59" spans="1:12" x14ac:dyDescent="0.35">
      <c r="A59" s="3" t="s">
        <v>199</v>
      </c>
      <c r="B59" s="4" t="s">
        <v>92</v>
      </c>
      <c r="C59" s="4" t="s">
        <v>93</v>
      </c>
      <c r="D59" s="4" t="s">
        <v>36</v>
      </c>
      <c r="E59" s="7">
        <v>43185</v>
      </c>
      <c r="F59" s="4" t="s">
        <v>105</v>
      </c>
      <c r="G59" s="4" t="s">
        <v>200</v>
      </c>
      <c r="H59" s="4">
        <v>70</v>
      </c>
      <c r="I59" s="4">
        <v>64</v>
      </c>
      <c r="J59" s="5">
        <v>8.5699999999999998E-2</v>
      </c>
      <c r="K59" s="3">
        <v>39</v>
      </c>
      <c r="L59" s="4">
        <f>tblSales[[#This Row],[Quantity]]*tblSales[[#This Row],[Actual Price]]</f>
        <v>2496</v>
      </c>
    </row>
    <row r="60" spans="1:12" x14ac:dyDescent="0.35">
      <c r="A60" s="3" t="s">
        <v>201</v>
      </c>
      <c r="B60" s="4" t="s">
        <v>45</v>
      </c>
      <c r="C60" s="4" t="s">
        <v>46</v>
      </c>
      <c r="D60" s="4" t="s">
        <v>25</v>
      </c>
      <c r="E60" s="7">
        <v>41813</v>
      </c>
      <c r="F60" s="4" t="s">
        <v>37</v>
      </c>
      <c r="G60" s="4" t="s">
        <v>202</v>
      </c>
      <c r="H60" s="4">
        <v>50</v>
      </c>
      <c r="I60" s="4">
        <v>36</v>
      </c>
      <c r="J60" s="5">
        <v>0.28000000000000003</v>
      </c>
      <c r="K60" s="3">
        <v>26</v>
      </c>
      <c r="L60" s="4">
        <f>tblSales[[#This Row],[Quantity]]*tblSales[[#This Row],[Actual Price]]</f>
        <v>936</v>
      </c>
    </row>
    <row r="61" spans="1:12" x14ac:dyDescent="0.35">
      <c r="A61" s="3" t="s">
        <v>203</v>
      </c>
      <c r="B61" s="4" t="s">
        <v>183</v>
      </c>
      <c r="C61" s="4" t="s">
        <v>109</v>
      </c>
      <c r="D61" s="4" t="s">
        <v>20</v>
      </c>
      <c r="E61" s="7">
        <v>43342</v>
      </c>
      <c r="F61" s="4" t="s">
        <v>123</v>
      </c>
      <c r="G61" s="4" t="s">
        <v>204</v>
      </c>
      <c r="H61" s="4">
        <v>50</v>
      </c>
      <c r="I61" s="4">
        <v>43</v>
      </c>
      <c r="J61" s="5">
        <v>0.14000000000000001</v>
      </c>
      <c r="K61" s="3">
        <v>27</v>
      </c>
      <c r="L61" s="4">
        <f>tblSales[[#This Row],[Quantity]]*tblSales[[#This Row],[Actual Price]]</f>
        <v>1161</v>
      </c>
    </row>
    <row r="62" spans="1:12" x14ac:dyDescent="0.35">
      <c r="A62" s="3" t="s">
        <v>205</v>
      </c>
      <c r="B62" s="4" t="s">
        <v>206</v>
      </c>
      <c r="C62" s="4" t="s">
        <v>207</v>
      </c>
      <c r="D62" s="4" t="s">
        <v>25</v>
      </c>
      <c r="E62" s="7">
        <v>43191</v>
      </c>
      <c r="F62" s="4" t="s">
        <v>26</v>
      </c>
      <c r="G62" s="4" t="s">
        <v>208</v>
      </c>
      <c r="H62" s="4">
        <v>700</v>
      </c>
      <c r="I62" s="4">
        <v>693</v>
      </c>
      <c r="J62" s="5">
        <v>0.01</v>
      </c>
      <c r="K62" s="3">
        <v>75</v>
      </c>
      <c r="L62" s="4">
        <f>tblSales[[#This Row],[Quantity]]*tblSales[[#This Row],[Actual Price]]</f>
        <v>51975</v>
      </c>
    </row>
    <row r="63" spans="1:12" x14ac:dyDescent="0.35">
      <c r="A63" s="3" t="s">
        <v>209</v>
      </c>
      <c r="B63" s="4" t="s">
        <v>171</v>
      </c>
      <c r="C63" s="4" t="s">
        <v>172</v>
      </c>
      <c r="D63" s="4" t="s">
        <v>14</v>
      </c>
      <c r="E63" s="7">
        <v>41783</v>
      </c>
      <c r="F63" s="4" t="s">
        <v>62</v>
      </c>
      <c r="G63" s="4" t="s">
        <v>173</v>
      </c>
      <c r="H63" s="4">
        <v>1000</v>
      </c>
      <c r="I63" s="4">
        <v>810</v>
      </c>
      <c r="J63" s="5">
        <v>0.19</v>
      </c>
      <c r="K63" s="3">
        <v>12</v>
      </c>
      <c r="L63" s="4">
        <f>tblSales[[#This Row],[Quantity]]*tblSales[[#This Row],[Actual Price]]</f>
        <v>9720</v>
      </c>
    </row>
    <row r="64" spans="1:12" x14ac:dyDescent="0.35">
      <c r="A64" s="3" t="s">
        <v>210</v>
      </c>
      <c r="B64" s="4" t="s">
        <v>128</v>
      </c>
      <c r="C64" s="4" t="s">
        <v>129</v>
      </c>
      <c r="D64" s="4" t="s">
        <v>14</v>
      </c>
      <c r="E64" s="7">
        <v>42188</v>
      </c>
      <c r="F64" s="4" t="s">
        <v>42</v>
      </c>
      <c r="G64" s="4" t="s">
        <v>211</v>
      </c>
      <c r="H64" s="4">
        <v>30</v>
      </c>
      <c r="I64" s="4">
        <v>24</v>
      </c>
      <c r="J64" s="5">
        <v>0.2</v>
      </c>
      <c r="K64" s="3">
        <v>28</v>
      </c>
      <c r="L64" s="4">
        <f>tblSales[[#This Row],[Quantity]]*tblSales[[#This Row],[Actual Price]]</f>
        <v>672</v>
      </c>
    </row>
    <row r="65" spans="1:12" x14ac:dyDescent="0.35">
      <c r="A65" s="3" t="s">
        <v>212</v>
      </c>
      <c r="B65" s="4" t="s">
        <v>132</v>
      </c>
      <c r="C65" s="4" t="s">
        <v>109</v>
      </c>
      <c r="D65" s="4" t="s">
        <v>20</v>
      </c>
      <c r="E65" s="7">
        <v>42783</v>
      </c>
      <c r="F65" s="4" t="s">
        <v>56</v>
      </c>
      <c r="G65" s="4" t="s">
        <v>213</v>
      </c>
      <c r="H65" s="4">
        <v>800</v>
      </c>
      <c r="I65" s="4">
        <v>648</v>
      </c>
      <c r="J65" s="5">
        <v>0.19</v>
      </c>
      <c r="K65" s="3">
        <v>100</v>
      </c>
      <c r="L65" s="4">
        <f>tblSales[[#This Row],[Quantity]]*tblSales[[#This Row],[Actual Price]]</f>
        <v>64800</v>
      </c>
    </row>
    <row r="66" spans="1:12" x14ac:dyDescent="0.35">
      <c r="A66" s="3" t="s">
        <v>214</v>
      </c>
      <c r="B66" s="4" t="s">
        <v>40</v>
      </c>
      <c r="C66" s="4" t="s">
        <v>41</v>
      </c>
      <c r="D66" s="4" t="s">
        <v>36</v>
      </c>
      <c r="E66" s="7">
        <v>41714</v>
      </c>
      <c r="F66" s="4" t="s">
        <v>62</v>
      </c>
      <c r="G66" s="4" t="s">
        <v>215</v>
      </c>
      <c r="H66" s="4">
        <v>1000</v>
      </c>
      <c r="I66" s="4">
        <v>990</v>
      </c>
      <c r="J66" s="5">
        <v>0.01</v>
      </c>
      <c r="K66" s="3">
        <v>29</v>
      </c>
      <c r="L66" s="4">
        <f>tblSales[[#This Row],[Quantity]]*tblSales[[#This Row],[Actual Price]]</f>
        <v>28710</v>
      </c>
    </row>
    <row r="67" spans="1:12" x14ac:dyDescent="0.35">
      <c r="A67" s="3" t="s">
        <v>216</v>
      </c>
      <c r="B67" s="4" t="s">
        <v>96</v>
      </c>
      <c r="C67" s="4" t="s">
        <v>97</v>
      </c>
      <c r="D67" s="4" t="s">
        <v>14</v>
      </c>
      <c r="E67" s="7">
        <v>42848</v>
      </c>
      <c r="F67" s="4" t="s">
        <v>56</v>
      </c>
      <c r="G67" s="4" t="s">
        <v>217</v>
      </c>
      <c r="H67" s="4">
        <v>800</v>
      </c>
      <c r="I67" s="4">
        <v>720</v>
      </c>
      <c r="J67" s="5">
        <v>0.1</v>
      </c>
      <c r="K67" s="3">
        <v>23</v>
      </c>
      <c r="L67" s="4">
        <f>tblSales[[#This Row],[Quantity]]*tblSales[[#This Row],[Actual Price]]</f>
        <v>16560</v>
      </c>
    </row>
    <row r="68" spans="1:12" x14ac:dyDescent="0.35">
      <c r="A68" s="3" t="s">
        <v>218</v>
      </c>
      <c r="B68" s="4" t="s">
        <v>40</v>
      </c>
      <c r="C68" s="4" t="s">
        <v>41</v>
      </c>
      <c r="D68" s="4" t="s">
        <v>36</v>
      </c>
      <c r="E68" s="7">
        <v>41977</v>
      </c>
      <c r="F68" s="4" t="s">
        <v>37</v>
      </c>
      <c r="G68" s="4" t="s">
        <v>43</v>
      </c>
      <c r="H68" s="4">
        <v>50</v>
      </c>
      <c r="I68" s="4">
        <v>39</v>
      </c>
      <c r="J68" s="5">
        <v>0.22</v>
      </c>
      <c r="K68" s="3">
        <v>53</v>
      </c>
      <c r="L68" s="4">
        <f>tblSales[[#This Row],[Quantity]]*tblSales[[#This Row],[Actual Price]]</f>
        <v>2067</v>
      </c>
    </row>
    <row r="69" spans="1:12" x14ac:dyDescent="0.35">
      <c r="A69" s="3" t="s">
        <v>219</v>
      </c>
      <c r="B69" s="4" t="s">
        <v>175</v>
      </c>
      <c r="C69" s="4" t="s">
        <v>176</v>
      </c>
      <c r="D69" s="4" t="s">
        <v>14</v>
      </c>
      <c r="E69" s="7">
        <v>42714</v>
      </c>
      <c r="F69" s="4" t="s">
        <v>31</v>
      </c>
      <c r="G69" s="4" t="s">
        <v>220</v>
      </c>
      <c r="H69" s="4">
        <v>150</v>
      </c>
      <c r="I69" s="4">
        <v>144</v>
      </c>
      <c r="J69" s="5">
        <v>0.04</v>
      </c>
      <c r="K69" s="3">
        <v>97</v>
      </c>
      <c r="L69" s="4">
        <f>tblSales[[#This Row],[Quantity]]*tblSales[[#This Row],[Actual Price]]</f>
        <v>13968</v>
      </c>
    </row>
    <row r="70" spans="1:12" x14ac:dyDescent="0.35">
      <c r="A70" s="3" t="s">
        <v>221</v>
      </c>
      <c r="B70" s="4" t="s">
        <v>222</v>
      </c>
      <c r="C70" s="4" t="s">
        <v>41</v>
      </c>
      <c r="D70" s="4" t="s">
        <v>36</v>
      </c>
      <c r="E70" s="7">
        <v>42628</v>
      </c>
      <c r="F70" s="4" t="s">
        <v>26</v>
      </c>
      <c r="G70" s="4" t="s">
        <v>223</v>
      </c>
      <c r="H70" s="4">
        <v>700</v>
      </c>
      <c r="I70" s="4">
        <v>693</v>
      </c>
      <c r="J70" s="5">
        <v>0.01</v>
      </c>
      <c r="K70" s="3">
        <v>66</v>
      </c>
      <c r="L70" s="4">
        <f>tblSales[[#This Row],[Quantity]]*tblSales[[#This Row],[Actual Price]]</f>
        <v>45738</v>
      </c>
    </row>
    <row r="71" spans="1:12" x14ac:dyDescent="0.35">
      <c r="A71" s="3" t="s">
        <v>224</v>
      </c>
      <c r="B71" s="4" t="s">
        <v>225</v>
      </c>
      <c r="C71" s="4" t="s">
        <v>51</v>
      </c>
      <c r="D71" s="4" t="s">
        <v>25</v>
      </c>
      <c r="E71" s="7">
        <v>43307</v>
      </c>
      <c r="F71" s="4" t="s">
        <v>37</v>
      </c>
      <c r="G71" s="4" t="s">
        <v>226</v>
      </c>
      <c r="H71" s="4">
        <v>50</v>
      </c>
      <c r="I71" s="4">
        <v>45</v>
      </c>
      <c r="J71" s="5">
        <v>0.1</v>
      </c>
      <c r="K71" s="3">
        <v>77</v>
      </c>
      <c r="L71" s="4">
        <f>tblSales[[#This Row],[Quantity]]*tblSales[[#This Row],[Actual Price]]</f>
        <v>3465</v>
      </c>
    </row>
    <row r="72" spans="1:12" x14ac:dyDescent="0.35">
      <c r="A72" s="3" t="s">
        <v>227</v>
      </c>
      <c r="B72" s="4" t="s">
        <v>228</v>
      </c>
      <c r="C72" s="4" t="s">
        <v>229</v>
      </c>
      <c r="D72" s="4" t="s">
        <v>25</v>
      </c>
      <c r="E72" s="7">
        <v>43374</v>
      </c>
      <c r="F72" s="4" t="s">
        <v>62</v>
      </c>
      <c r="G72" s="4" t="s">
        <v>230</v>
      </c>
      <c r="H72" s="4">
        <v>1000</v>
      </c>
      <c r="I72" s="4">
        <v>570</v>
      </c>
      <c r="J72" s="5">
        <v>0.43</v>
      </c>
      <c r="K72" s="3">
        <v>89</v>
      </c>
      <c r="L72" s="4">
        <f>tblSales[[#This Row],[Quantity]]*tblSales[[#This Row],[Actual Price]]</f>
        <v>50730</v>
      </c>
    </row>
    <row r="73" spans="1:12" x14ac:dyDescent="0.35">
      <c r="A73" s="3" t="s">
        <v>231</v>
      </c>
      <c r="B73" s="4" t="s">
        <v>222</v>
      </c>
      <c r="C73" s="4" t="s">
        <v>41</v>
      </c>
      <c r="D73" s="4" t="s">
        <v>36</v>
      </c>
      <c r="E73" s="7">
        <v>41689</v>
      </c>
      <c r="F73" s="4" t="s">
        <v>123</v>
      </c>
      <c r="G73" s="4" t="s">
        <v>232</v>
      </c>
      <c r="H73" s="4">
        <v>50</v>
      </c>
      <c r="I73" s="4">
        <v>40</v>
      </c>
      <c r="J73" s="5">
        <v>0.2</v>
      </c>
      <c r="K73" s="3">
        <v>57</v>
      </c>
      <c r="L73" s="4">
        <f>tblSales[[#This Row],[Quantity]]*tblSales[[#This Row],[Actual Price]]</f>
        <v>2280</v>
      </c>
    </row>
    <row r="74" spans="1:12" x14ac:dyDescent="0.35">
      <c r="A74" s="3" t="s">
        <v>233</v>
      </c>
      <c r="B74" s="4" t="s">
        <v>128</v>
      </c>
      <c r="C74" s="4" t="s">
        <v>129</v>
      </c>
      <c r="D74" s="4" t="s">
        <v>14</v>
      </c>
      <c r="E74" s="7">
        <v>43056</v>
      </c>
      <c r="F74" s="4" t="s">
        <v>56</v>
      </c>
      <c r="G74" s="4" t="s">
        <v>234</v>
      </c>
      <c r="H74" s="4">
        <v>800</v>
      </c>
      <c r="I74" s="4">
        <v>608</v>
      </c>
      <c r="J74" s="5">
        <v>0.24</v>
      </c>
      <c r="K74" s="3">
        <v>64</v>
      </c>
      <c r="L74" s="4">
        <f>tblSales[[#This Row],[Quantity]]*tblSales[[#This Row],[Actual Price]]</f>
        <v>38912</v>
      </c>
    </row>
    <row r="75" spans="1:12" x14ac:dyDescent="0.35">
      <c r="A75" s="3" t="s">
        <v>235</v>
      </c>
      <c r="B75" s="4" t="s">
        <v>115</v>
      </c>
      <c r="C75" s="4" t="s">
        <v>55</v>
      </c>
      <c r="D75" s="4" t="s">
        <v>14</v>
      </c>
      <c r="E75" s="7">
        <v>42568</v>
      </c>
      <c r="F75" s="4" t="s">
        <v>15</v>
      </c>
      <c r="G75" s="4" t="s">
        <v>236</v>
      </c>
      <c r="H75" s="4">
        <v>80</v>
      </c>
      <c r="I75" s="4">
        <v>76</v>
      </c>
      <c r="J75" s="5">
        <v>0.05</v>
      </c>
      <c r="K75" s="3">
        <v>35</v>
      </c>
      <c r="L75" s="4">
        <f>tblSales[[#This Row],[Quantity]]*tblSales[[#This Row],[Actual Price]]</f>
        <v>2660</v>
      </c>
    </row>
    <row r="76" spans="1:12" x14ac:dyDescent="0.35">
      <c r="A76" s="3" t="s">
        <v>237</v>
      </c>
      <c r="B76" s="4" t="s">
        <v>188</v>
      </c>
      <c r="C76" s="4" t="s">
        <v>189</v>
      </c>
      <c r="D76" s="4" t="s">
        <v>14</v>
      </c>
      <c r="E76" s="7">
        <v>42854</v>
      </c>
      <c r="F76" s="4" t="s">
        <v>26</v>
      </c>
      <c r="G76" s="4" t="s">
        <v>238</v>
      </c>
      <c r="H76" s="4">
        <v>700</v>
      </c>
      <c r="I76" s="4">
        <v>679</v>
      </c>
      <c r="J76" s="5">
        <v>0.03</v>
      </c>
      <c r="K76" s="3">
        <v>43</v>
      </c>
      <c r="L76" s="4">
        <f>tblSales[[#This Row],[Quantity]]*tblSales[[#This Row],[Actual Price]]</f>
        <v>29197</v>
      </c>
    </row>
    <row r="77" spans="1:12" x14ac:dyDescent="0.35">
      <c r="A77" s="3" t="s">
        <v>239</v>
      </c>
      <c r="B77" s="4" t="s">
        <v>108</v>
      </c>
      <c r="C77" s="4" t="s">
        <v>109</v>
      </c>
      <c r="D77" s="4" t="s">
        <v>20</v>
      </c>
      <c r="E77" s="7">
        <v>41866</v>
      </c>
      <c r="F77" s="4" t="s">
        <v>15</v>
      </c>
      <c r="G77" s="4" t="s">
        <v>240</v>
      </c>
      <c r="H77" s="4">
        <v>80</v>
      </c>
      <c r="I77" s="4">
        <v>58</v>
      </c>
      <c r="J77" s="5">
        <v>0.27500000000000002</v>
      </c>
      <c r="K77" s="3">
        <v>51</v>
      </c>
      <c r="L77" s="4">
        <f>tblSales[[#This Row],[Quantity]]*tblSales[[#This Row],[Actual Price]]</f>
        <v>2958</v>
      </c>
    </row>
    <row r="78" spans="1:12" x14ac:dyDescent="0.35">
      <c r="A78" s="3" t="s">
        <v>241</v>
      </c>
      <c r="B78" s="4" t="s">
        <v>242</v>
      </c>
      <c r="C78" s="4" t="s">
        <v>243</v>
      </c>
      <c r="D78" s="4" t="s">
        <v>14</v>
      </c>
      <c r="E78" s="7">
        <v>43173</v>
      </c>
      <c r="F78" s="4" t="s">
        <v>42</v>
      </c>
      <c r="G78" s="4" t="s">
        <v>244</v>
      </c>
      <c r="H78" s="4">
        <v>30</v>
      </c>
      <c r="I78" s="4">
        <v>26</v>
      </c>
      <c r="J78" s="5">
        <v>0.1333</v>
      </c>
      <c r="K78" s="3">
        <v>27</v>
      </c>
      <c r="L78" s="4">
        <f>tblSales[[#This Row],[Quantity]]*tblSales[[#This Row],[Actual Price]]</f>
        <v>702</v>
      </c>
    </row>
    <row r="79" spans="1:12" x14ac:dyDescent="0.35">
      <c r="A79" s="3" t="s">
        <v>245</v>
      </c>
      <c r="B79" s="4" t="s">
        <v>222</v>
      </c>
      <c r="C79" s="4" t="s">
        <v>41</v>
      </c>
      <c r="D79" s="4" t="s">
        <v>36</v>
      </c>
      <c r="E79" s="7">
        <v>43014</v>
      </c>
      <c r="F79" s="4" t="s">
        <v>31</v>
      </c>
      <c r="G79" s="4" t="s">
        <v>246</v>
      </c>
      <c r="H79" s="4">
        <v>150</v>
      </c>
      <c r="I79" s="4">
        <v>140</v>
      </c>
      <c r="J79" s="5">
        <v>6.6699999999999995E-2</v>
      </c>
      <c r="K79" s="3">
        <v>43</v>
      </c>
      <c r="L79" s="4">
        <f>tblSales[[#This Row],[Quantity]]*tblSales[[#This Row],[Actual Price]]</f>
        <v>6020</v>
      </c>
    </row>
    <row r="80" spans="1:12" x14ac:dyDescent="0.35">
      <c r="A80" s="3" t="s">
        <v>247</v>
      </c>
      <c r="B80" s="4" t="s">
        <v>104</v>
      </c>
      <c r="C80" s="4" t="s">
        <v>72</v>
      </c>
      <c r="D80" s="4" t="s">
        <v>36</v>
      </c>
      <c r="E80" s="7">
        <v>42613</v>
      </c>
      <c r="F80" s="4" t="s">
        <v>73</v>
      </c>
      <c r="G80" s="4" t="s">
        <v>248</v>
      </c>
      <c r="H80" s="4">
        <v>500</v>
      </c>
      <c r="I80" s="4">
        <v>490</v>
      </c>
      <c r="J80" s="5">
        <v>0.02</v>
      </c>
      <c r="K80" s="3">
        <v>42</v>
      </c>
      <c r="L80" s="4">
        <f>tblSales[[#This Row],[Quantity]]*tblSales[[#This Row],[Actual Price]]</f>
        <v>20580</v>
      </c>
    </row>
    <row r="81" spans="1:12" x14ac:dyDescent="0.35">
      <c r="A81" s="3" t="s">
        <v>249</v>
      </c>
      <c r="B81" s="4" t="s">
        <v>29</v>
      </c>
      <c r="C81" s="4" t="s">
        <v>30</v>
      </c>
      <c r="D81" s="4" t="s">
        <v>14</v>
      </c>
      <c r="E81" s="7">
        <v>42239</v>
      </c>
      <c r="F81" s="4" t="s">
        <v>116</v>
      </c>
      <c r="G81" s="4" t="s">
        <v>250</v>
      </c>
      <c r="H81" s="4">
        <v>250</v>
      </c>
      <c r="I81" s="4">
        <v>155</v>
      </c>
      <c r="J81" s="5">
        <v>0.38</v>
      </c>
      <c r="K81" s="3">
        <v>35</v>
      </c>
      <c r="L81" s="4">
        <f>tblSales[[#This Row],[Quantity]]*tblSales[[#This Row],[Actual Price]]</f>
        <v>5425</v>
      </c>
    </row>
    <row r="82" spans="1:12" x14ac:dyDescent="0.35">
      <c r="A82" s="3" t="s">
        <v>251</v>
      </c>
      <c r="B82" s="4" t="s">
        <v>206</v>
      </c>
      <c r="C82" s="4" t="s">
        <v>207</v>
      </c>
      <c r="D82" s="4" t="s">
        <v>25</v>
      </c>
      <c r="E82" s="7">
        <v>42240</v>
      </c>
      <c r="F82" s="4" t="s">
        <v>105</v>
      </c>
      <c r="G82" s="4" t="s">
        <v>252</v>
      </c>
      <c r="H82" s="4">
        <v>70</v>
      </c>
      <c r="I82" s="4">
        <v>48</v>
      </c>
      <c r="J82" s="5">
        <v>0.31430000000000002</v>
      </c>
      <c r="K82" s="3">
        <v>55</v>
      </c>
      <c r="L82" s="4">
        <f>tblSales[[#This Row],[Quantity]]*tblSales[[#This Row],[Actual Price]]</f>
        <v>2640</v>
      </c>
    </row>
    <row r="83" spans="1:12" x14ac:dyDescent="0.35">
      <c r="A83" s="3" t="s">
        <v>253</v>
      </c>
      <c r="B83" s="4" t="s">
        <v>45</v>
      </c>
      <c r="C83" s="4" t="s">
        <v>46</v>
      </c>
      <c r="D83" s="4" t="s">
        <v>25</v>
      </c>
      <c r="E83" s="7">
        <v>43201</v>
      </c>
      <c r="F83" s="4" t="s">
        <v>105</v>
      </c>
      <c r="G83" s="4" t="s">
        <v>254</v>
      </c>
      <c r="H83" s="4">
        <v>70</v>
      </c>
      <c r="I83" s="4">
        <v>69</v>
      </c>
      <c r="J83" s="5">
        <v>1.43E-2</v>
      </c>
      <c r="K83" s="3">
        <v>84</v>
      </c>
      <c r="L83" s="4">
        <f>tblSales[[#This Row],[Quantity]]*tblSales[[#This Row],[Actual Price]]</f>
        <v>5796</v>
      </c>
    </row>
    <row r="84" spans="1:12" x14ac:dyDescent="0.35">
      <c r="A84" s="3" t="s">
        <v>255</v>
      </c>
      <c r="B84" s="4" t="s">
        <v>256</v>
      </c>
      <c r="C84" s="4" t="s">
        <v>257</v>
      </c>
      <c r="D84" s="4" t="s">
        <v>14</v>
      </c>
      <c r="E84" s="7">
        <v>43085</v>
      </c>
      <c r="F84" s="4" t="s">
        <v>37</v>
      </c>
      <c r="G84" s="4" t="s">
        <v>258</v>
      </c>
      <c r="H84" s="4">
        <v>50</v>
      </c>
      <c r="I84" s="4">
        <v>47</v>
      </c>
      <c r="J84" s="5">
        <v>0.06</v>
      </c>
      <c r="K84" s="3">
        <v>98</v>
      </c>
      <c r="L84" s="4">
        <f>tblSales[[#This Row],[Quantity]]*tblSales[[#This Row],[Actual Price]]</f>
        <v>4606</v>
      </c>
    </row>
    <row r="85" spans="1:12" x14ac:dyDescent="0.35">
      <c r="A85" s="3" t="s">
        <v>259</v>
      </c>
      <c r="B85" s="4" t="s">
        <v>23</v>
      </c>
      <c r="C85" s="4" t="s">
        <v>24</v>
      </c>
      <c r="D85" s="4" t="s">
        <v>25</v>
      </c>
      <c r="E85" s="7">
        <v>41968</v>
      </c>
      <c r="F85" s="4" t="s">
        <v>116</v>
      </c>
      <c r="G85" s="4" t="s">
        <v>27</v>
      </c>
      <c r="H85" s="4">
        <v>250</v>
      </c>
      <c r="I85" s="4">
        <v>195</v>
      </c>
      <c r="J85" s="5">
        <v>0.22</v>
      </c>
      <c r="K85" s="3">
        <v>30</v>
      </c>
      <c r="L85" s="4">
        <f>tblSales[[#This Row],[Quantity]]*tblSales[[#This Row],[Actual Price]]</f>
        <v>5850</v>
      </c>
    </row>
    <row r="86" spans="1:12" x14ac:dyDescent="0.35">
      <c r="A86" s="3" t="s">
        <v>260</v>
      </c>
      <c r="B86" s="4" t="s">
        <v>222</v>
      </c>
      <c r="C86" s="4" t="s">
        <v>41</v>
      </c>
      <c r="D86" s="4" t="s">
        <v>36</v>
      </c>
      <c r="E86" s="7">
        <v>43441</v>
      </c>
      <c r="F86" s="4" t="s">
        <v>56</v>
      </c>
      <c r="G86" s="4" t="s">
        <v>261</v>
      </c>
      <c r="H86" s="4">
        <v>800</v>
      </c>
      <c r="I86" s="4">
        <v>512</v>
      </c>
      <c r="J86" s="5">
        <v>0.36</v>
      </c>
      <c r="K86" s="3">
        <v>20</v>
      </c>
      <c r="L86" s="4">
        <f>tblSales[[#This Row],[Quantity]]*tblSales[[#This Row],[Actual Price]]</f>
        <v>10240</v>
      </c>
    </row>
    <row r="87" spans="1:12" x14ac:dyDescent="0.35">
      <c r="A87" s="3" t="s">
        <v>262</v>
      </c>
      <c r="B87" s="4" t="s">
        <v>222</v>
      </c>
      <c r="C87" s="4" t="s">
        <v>41</v>
      </c>
      <c r="D87" s="4" t="s">
        <v>36</v>
      </c>
      <c r="E87" s="7">
        <v>43175</v>
      </c>
      <c r="F87" s="4" t="s">
        <v>15</v>
      </c>
      <c r="G87" s="4" t="s">
        <v>263</v>
      </c>
      <c r="H87" s="4">
        <v>80</v>
      </c>
      <c r="I87" s="4">
        <v>79</v>
      </c>
      <c r="J87" s="5">
        <v>1.2500000000000001E-2</v>
      </c>
      <c r="K87" s="3">
        <v>52</v>
      </c>
      <c r="L87" s="4">
        <f>tblSales[[#This Row],[Quantity]]*tblSales[[#This Row],[Actual Price]]</f>
        <v>4108</v>
      </c>
    </row>
    <row r="88" spans="1:12" x14ac:dyDescent="0.35">
      <c r="A88" s="3" t="s">
        <v>264</v>
      </c>
      <c r="B88" s="4" t="s">
        <v>265</v>
      </c>
      <c r="C88" s="4" t="s">
        <v>266</v>
      </c>
      <c r="D88" s="4" t="s">
        <v>14</v>
      </c>
      <c r="E88" s="7">
        <v>42169</v>
      </c>
      <c r="F88" s="4" t="s">
        <v>105</v>
      </c>
      <c r="G88" s="4" t="s">
        <v>267</v>
      </c>
      <c r="H88" s="4">
        <v>70</v>
      </c>
      <c r="I88" s="4">
        <v>50</v>
      </c>
      <c r="J88" s="5">
        <v>0.28570000000000001</v>
      </c>
      <c r="K88" s="3">
        <v>62</v>
      </c>
      <c r="L88" s="4">
        <f>tblSales[[#This Row],[Quantity]]*tblSales[[#This Row],[Actual Price]]</f>
        <v>3100</v>
      </c>
    </row>
    <row r="89" spans="1:12" x14ac:dyDescent="0.35">
      <c r="A89" s="3" t="s">
        <v>268</v>
      </c>
      <c r="B89" s="4" t="s">
        <v>132</v>
      </c>
      <c r="C89" s="4" t="s">
        <v>109</v>
      </c>
      <c r="D89" s="4" t="s">
        <v>20</v>
      </c>
      <c r="E89" s="7">
        <v>41835</v>
      </c>
      <c r="F89" s="4" t="s">
        <v>31</v>
      </c>
      <c r="G89" s="4" t="s">
        <v>269</v>
      </c>
      <c r="H89" s="4">
        <v>150</v>
      </c>
      <c r="I89" s="4">
        <v>150</v>
      </c>
      <c r="J89" s="5">
        <v>0</v>
      </c>
      <c r="K89" s="3">
        <v>97</v>
      </c>
      <c r="L89" s="4">
        <f>tblSales[[#This Row],[Quantity]]*tblSales[[#This Row],[Actual Price]]</f>
        <v>14550</v>
      </c>
    </row>
    <row r="90" spans="1:12" x14ac:dyDescent="0.35">
      <c r="A90" s="3" t="s">
        <v>270</v>
      </c>
      <c r="B90" s="4" t="s">
        <v>271</v>
      </c>
      <c r="C90" s="4" t="s">
        <v>272</v>
      </c>
      <c r="D90" s="4" t="s">
        <v>36</v>
      </c>
      <c r="E90" s="7">
        <v>42482</v>
      </c>
      <c r="F90" s="4" t="s">
        <v>105</v>
      </c>
      <c r="G90" s="4" t="s">
        <v>273</v>
      </c>
      <c r="H90" s="4">
        <v>70</v>
      </c>
      <c r="I90" s="4">
        <v>64</v>
      </c>
      <c r="J90" s="5">
        <v>8.5699999999999998E-2</v>
      </c>
      <c r="K90" s="3">
        <v>85</v>
      </c>
      <c r="L90" s="4">
        <f>tblSales[[#This Row],[Quantity]]*tblSales[[#This Row],[Actual Price]]</f>
        <v>5440</v>
      </c>
    </row>
    <row r="91" spans="1:12" x14ac:dyDescent="0.35">
      <c r="A91" s="3" t="s">
        <v>274</v>
      </c>
      <c r="B91" s="4" t="s">
        <v>171</v>
      </c>
      <c r="C91" s="4" t="s">
        <v>172</v>
      </c>
      <c r="D91" s="4" t="s">
        <v>14</v>
      </c>
      <c r="E91" s="7">
        <v>42066</v>
      </c>
      <c r="F91" s="4" t="s">
        <v>37</v>
      </c>
      <c r="G91" s="4" t="s">
        <v>275</v>
      </c>
      <c r="H91" s="4">
        <v>50</v>
      </c>
      <c r="I91" s="4">
        <v>46</v>
      </c>
      <c r="J91" s="5">
        <v>0.08</v>
      </c>
      <c r="K91" s="3">
        <v>79</v>
      </c>
      <c r="L91" s="4">
        <f>tblSales[[#This Row],[Quantity]]*tblSales[[#This Row],[Actual Price]]</f>
        <v>3634</v>
      </c>
    </row>
    <row r="92" spans="1:12" x14ac:dyDescent="0.35">
      <c r="A92" s="3" t="s">
        <v>276</v>
      </c>
      <c r="B92" s="4" t="s">
        <v>12</v>
      </c>
      <c r="C92" s="4" t="s">
        <v>13</v>
      </c>
      <c r="D92" s="4" t="s">
        <v>14</v>
      </c>
      <c r="E92" s="7">
        <v>41963</v>
      </c>
      <c r="F92" s="4" t="s">
        <v>62</v>
      </c>
      <c r="G92" s="4" t="s">
        <v>277</v>
      </c>
      <c r="H92" s="4">
        <v>1000</v>
      </c>
      <c r="I92" s="4">
        <v>880</v>
      </c>
      <c r="J92" s="5">
        <v>0.12</v>
      </c>
      <c r="K92" s="3">
        <v>95</v>
      </c>
      <c r="L92" s="4">
        <f>tblSales[[#This Row],[Quantity]]*tblSales[[#This Row],[Actual Price]]</f>
        <v>83600</v>
      </c>
    </row>
    <row r="93" spans="1:12" x14ac:dyDescent="0.35">
      <c r="A93" s="3" t="s">
        <v>278</v>
      </c>
      <c r="B93" s="4" t="s">
        <v>228</v>
      </c>
      <c r="C93" s="4" t="s">
        <v>229</v>
      </c>
      <c r="D93" s="4" t="s">
        <v>25</v>
      </c>
      <c r="E93" s="7">
        <v>41699</v>
      </c>
      <c r="F93" s="4" t="s">
        <v>56</v>
      </c>
      <c r="G93" s="4" t="s">
        <v>279</v>
      </c>
      <c r="H93" s="4">
        <v>800</v>
      </c>
      <c r="I93" s="4">
        <v>712</v>
      </c>
      <c r="J93" s="5">
        <v>0.11</v>
      </c>
      <c r="K93" s="3">
        <v>79</v>
      </c>
      <c r="L93" s="4">
        <f>tblSales[[#This Row],[Quantity]]*tblSales[[#This Row],[Actual Price]]</f>
        <v>56248</v>
      </c>
    </row>
    <row r="94" spans="1:12" x14ac:dyDescent="0.35">
      <c r="A94" s="3" t="s">
        <v>280</v>
      </c>
      <c r="B94" s="4" t="s">
        <v>65</v>
      </c>
      <c r="C94" s="4" t="s">
        <v>66</v>
      </c>
      <c r="D94" s="4" t="s">
        <v>36</v>
      </c>
      <c r="E94" s="7">
        <v>42931</v>
      </c>
      <c r="F94" s="4" t="s">
        <v>62</v>
      </c>
      <c r="G94" s="4" t="s">
        <v>281</v>
      </c>
      <c r="H94" s="4">
        <v>1000</v>
      </c>
      <c r="I94" s="4">
        <v>740</v>
      </c>
      <c r="J94" s="5">
        <v>0.26</v>
      </c>
      <c r="K94" s="3">
        <v>83</v>
      </c>
      <c r="L94" s="4">
        <f>tblSales[[#This Row],[Quantity]]*tblSales[[#This Row],[Actual Price]]</f>
        <v>61420</v>
      </c>
    </row>
    <row r="95" spans="1:12" x14ac:dyDescent="0.35">
      <c r="A95" s="3" t="s">
        <v>282</v>
      </c>
      <c r="B95" s="4" t="s">
        <v>82</v>
      </c>
      <c r="C95" s="4" t="s">
        <v>83</v>
      </c>
      <c r="D95" s="4" t="s">
        <v>14</v>
      </c>
      <c r="E95" s="7">
        <v>42050</v>
      </c>
      <c r="F95" s="4" t="s">
        <v>123</v>
      </c>
      <c r="G95" s="4" t="s">
        <v>283</v>
      </c>
      <c r="H95" s="4">
        <v>50</v>
      </c>
      <c r="I95" s="4">
        <v>35</v>
      </c>
      <c r="J95" s="5">
        <v>0.3</v>
      </c>
      <c r="K95" s="3">
        <v>73</v>
      </c>
      <c r="L95" s="4">
        <f>tblSales[[#This Row],[Quantity]]*tblSales[[#This Row],[Actual Price]]</f>
        <v>2555</v>
      </c>
    </row>
    <row r="96" spans="1:12" x14ac:dyDescent="0.35">
      <c r="A96" s="3" t="s">
        <v>284</v>
      </c>
      <c r="B96" s="4" t="s">
        <v>96</v>
      </c>
      <c r="C96" s="4" t="s">
        <v>97</v>
      </c>
      <c r="D96" s="4" t="s">
        <v>14</v>
      </c>
      <c r="E96" s="7">
        <v>43066</v>
      </c>
      <c r="F96" s="4" t="s">
        <v>56</v>
      </c>
      <c r="G96" s="4" t="s">
        <v>98</v>
      </c>
      <c r="H96" s="4">
        <v>800</v>
      </c>
      <c r="I96" s="4">
        <v>704</v>
      </c>
      <c r="J96" s="5">
        <v>0.12</v>
      </c>
      <c r="K96" s="3">
        <v>40</v>
      </c>
      <c r="L96" s="4">
        <f>tblSales[[#This Row],[Quantity]]*tblSales[[#This Row],[Actual Price]]</f>
        <v>28160</v>
      </c>
    </row>
    <row r="97" spans="1:12" x14ac:dyDescent="0.35">
      <c r="A97" s="3" t="s">
        <v>285</v>
      </c>
      <c r="B97" s="4" t="s">
        <v>92</v>
      </c>
      <c r="C97" s="4" t="s">
        <v>93</v>
      </c>
      <c r="D97" s="4" t="s">
        <v>36</v>
      </c>
      <c r="E97" s="7">
        <v>43198</v>
      </c>
      <c r="F97" s="4" t="s">
        <v>62</v>
      </c>
      <c r="G97" s="4" t="s">
        <v>286</v>
      </c>
      <c r="H97" s="4">
        <v>1000</v>
      </c>
      <c r="I97" s="4">
        <v>930</v>
      </c>
      <c r="J97" s="5">
        <v>7.0000000000000007E-2</v>
      </c>
      <c r="K97" s="3">
        <v>94</v>
      </c>
      <c r="L97" s="4">
        <f>tblSales[[#This Row],[Quantity]]*tblSales[[#This Row],[Actual Price]]</f>
        <v>87420</v>
      </c>
    </row>
    <row r="98" spans="1:12" x14ac:dyDescent="0.35">
      <c r="A98" s="3" t="s">
        <v>287</v>
      </c>
      <c r="B98" s="4" t="s">
        <v>242</v>
      </c>
      <c r="C98" s="4" t="s">
        <v>243</v>
      </c>
      <c r="D98" s="4" t="s">
        <v>14</v>
      </c>
      <c r="E98" s="7">
        <v>42916</v>
      </c>
      <c r="F98" s="4" t="s">
        <v>47</v>
      </c>
      <c r="G98" s="4" t="s">
        <v>288</v>
      </c>
      <c r="H98" s="4">
        <v>500</v>
      </c>
      <c r="I98" s="4">
        <v>455</v>
      </c>
      <c r="J98" s="5">
        <v>0.09</v>
      </c>
      <c r="K98" s="3">
        <v>1</v>
      </c>
      <c r="L98" s="4">
        <f>tblSales[[#This Row],[Quantity]]*tblSales[[#This Row],[Actual Price]]</f>
        <v>455</v>
      </c>
    </row>
    <row r="99" spans="1:12" x14ac:dyDescent="0.35">
      <c r="A99" s="3" t="s">
        <v>289</v>
      </c>
      <c r="B99" s="4" t="s">
        <v>290</v>
      </c>
      <c r="C99" s="4" t="s">
        <v>109</v>
      </c>
      <c r="D99" s="4" t="s">
        <v>20</v>
      </c>
      <c r="E99" s="7">
        <v>41941</v>
      </c>
      <c r="F99" s="4" t="s">
        <v>26</v>
      </c>
      <c r="G99" s="4" t="s">
        <v>291</v>
      </c>
      <c r="H99" s="4">
        <v>700</v>
      </c>
      <c r="I99" s="4">
        <v>700</v>
      </c>
      <c r="J99" s="5">
        <v>0</v>
      </c>
      <c r="K99" s="3">
        <v>97</v>
      </c>
      <c r="L99" s="4">
        <f>tblSales[[#This Row],[Quantity]]*tblSales[[#This Row],[Actual Price]]</f>
        <v>67900</v>
      </c>
    </row>
    <row r="100" spans="1:12" x14ac:dyDescent="0.35">
      <c r="A100" s="3" t="s">
        <v>292</v>
      </c>
      <c r="B100" s="4" t="s">
        <v>271</v>
      </c>
      <c r="C100" s="4" t="s">
        <v>272</v>
      </c>
      <c r="D100" s="4" t="s">
        <v>36</v>
      </c>
      <c r="E100" s="7">
        <v>42715</v>
      </c>
      <c r="F100" s="4" t="s">
        <v>15</v>
      </c>
      <c r="G100" s="4" t="s">
        <v>273</v>
      </c>
      <c r="H100" s="4">
        <v>80</v>
      </c>
      <c r="I100" s="4">
        <v>77</v>
      </c>
      <c r="J100" s="5">
        <v>3.7499999999999999E-2</v>
      </c>
      <c r="K100" s="3">
        <v>94</v>
      </c>
      <c r="L100" s="4">
        <f>tblSales[[#This Row],[Quantity]]*tblSales[[#This Row],[Actual Price]]</f>
        <v>7238</v>
      </c>
    </row>
    <row r="101" spans="1:12" x14ac:dyDescent="0.35">
      <c r="A101" s="3" t="s">
        <v>293</v>
      </c>
      <c r="B101" s="4" t="s">
        <v>12</v>
      </c>
      <c r="C101" s="4" t="s">
        <v>13</v>
      </c>
      <c r="D101" s="4" t="s">
        <v>14</v>
      </c>
      <c r="E101" s="7">
        <v>43217</v>
      </c>
      <c r="F101" s="4" t="s">
        <v>42</v>
      </c>
      <c r="G101" s="4" t="s">
        <v>294</v>
      </c>
      <c r="H101" s="4">
        <v>30</v>
      </c>
      <c r="I101" s="4">
        <v>29</v>
      </c>
      <c r="J101" s="5">
        <v>3.3300000000000003E-2</v>
      </c>
      <c r="K101" s="3">
        <v>66</v>
      </c>
      <c r="L101" s="4">
        <f>tblSales[[#This Row],[Quantity]]*tblSales[[#This Row],[Actual Price]]</f>
        <v>1914</v>
      </c>
    </row>
    <row r="102" spans="1:12" x14ac:dyDescent="0.35">
      <c r="A102" s="3" t="s">
        <v>295</v>
      </c>
      <c r="B102" s="4" t="s">
        <v>112</v>
      </c>
      <c r="C102" s="4" t="s">
        <v>83</v>
      </c>
      <c r="D102" s="4" t="s">
        <v>14</v>
      </c>
      <c r="E102" s="7">
        <v>42830</v>
      </c>
      <c r="F102" s="4" t="s">
        <v>123</v>
      </c>
      <c r="G102" s="4" t="s">
        <v>296</v>
      </c>
      <c r="H102" s="4">
        <v>50</v>
      </c>
      <c r="I102" s="4">
        <v>50</v>
      </c>
      <c r="J102" s="5">
        <v>0</v>
      </c>
      <c r="K102" s="3">
        <v>90</v>
      </c>
      <c r="L102" s="4">
        <f>tblSales[[#This Row],[Quantity]]*tblSales[[#This Row],[Actual Price]]</f>
        <v>4500</v>
      </c>
    </row>
    <row r="103" spans="1:12" x14ac:dyDescent="0.35">
      <c r="A103" s="3" t="s">
        <v>297</v>
      </c>
      <c r="B103" s="4" t="s">
        <v>12</v>
      </c>
      <c r="C103" s="4" t="s">
        <v>13</v>
      </c>
      <c r="D103" s="4" t="s">
        <v>14</v>
      </c>
      <c r="E103" s="7">
        <v>43207</v>
      </c>
      <c r="F103" s="4" t="s">
        <v>26</v>
      </c>
      <c r="G103" s="4" t="s">
        <v>194</v>
      </c>
      <c r="H103" s="4">
        <v>700</v>
      </c>
      <c r="I103" s="4">
        <v>679</v>
      </c>
      <c r="J103" s="5">
        <v>0.03</v>
      </c>
      <c r="K103" s="3">
        <v>53</v>
      </c>
      <c r="L103" s="4">
        <f>tblSales[[#This Row],[Quantity]]*tblSales[[#This Row],[Actual Price]]</f>
        <v>35987</v>
      </c>
    </row>
    <row r="104" spans="1:12" x14ac:dyDescent="0.35">
      <c r="A104" s="3" t="s">
        <v>298</v>
      </c>
      <c r="B104" s="4" t="s">
        <v>40</v>
      </c>
      <c r="C104" s="4" t="s">
        <v>41</v>
      </c>
      <c r="D104" s="4" t="s">
        <v>36</v>
      </c>
      <c r="E104" s="7">
        <v>41833</v>
      </c>
      <c r="F104" s="4" t="s">
        <v>123</v>
      </c>
      <c r="G104" s="4" t="s">
        <v>43</v>
      </c>
      <c r="H104" s="4">
        <v>50</v>
      </c>
      <c r="I104" s="4">
        <v>45</v>
      </c>
      <c r="J104" s="5">
        <v>0.1</v>
      </c>
      <c r="K104" s="3">
        <v>65</v>
      </c>
      <c r="L104" s="4">
        <f>tblSales[[#This Row],[Quantity]]*tblSales[[#This Row],[Actual Price]]</f>
        <v>2925</v>
      </c>
    </row>
    <row r="105" spans="1:12" x14ac:dyDescent="0.35">
      <c r="A105" s="3" t="s">
        <v>299</v>
      </c>
      <c r="B105" s="4" t="s">
        <v>65</v>
      </c>
      <c r="C105" s="4" t="s">
        <v>66</v>
      </c>
      <c r="D105" s="4" t="s">
        <v>36</v>
      </c>
      <c r="E105" s="7">
        <v>42446</v>
      </c>
      <c r="F105" s="4" t="s">
        <v>42</v>
      </c>
      <c r="G105" s="4" t="s">
        <v>300</v>
      </c>
      <c r="H105" s="4">
        <v>30</v>
      </c>
      <c r="I105" s="4">
        <v>30</v>
      </c>
      <c r="J105" s="5">
        <v>0</v>
      </c>
      <c r="K105" s="3">
        <v>41</v>
      </c>
      <c r="L105" s="4">
        <f>tblSales[[#This Row],[Quantity]]*tblSales[[#This Row],[Actual Price]]</f>
        <v>1230</v>
      </c>
    </row>
    <row r="106" spans="1:12" x14ac:dyDescent="0.35">
      <c r="A106" s="3" t="s">
        <v>301</v>
      </c>
      <c r="B106" s="4" t="s">
        <v>45</v>
      </c>
      <c r="C106" s="4" t="s">
        <v>46</v>
      </c>
      <c r="D106" s="4" t="s">
        <v>25</v>
      </c>
      <c r="E106" s="7">
        <v>43305</v>
      </c>
      <c r="F106" s="4" t="s">
        <v>42</v>
      </c>
      <c r="G106" s="4" t="s">
        <v>302</v>
      </c>
      <c r="H106" s="4">
        <v>30</v>
      </c>
      <c r="I106" s="4">
        <v>30</v>
      </c>
      <c r="J106" s="5">
        <v>0</v>
      </c>
      <c r="K106" s="3">
        <v>20</v>
      </c>
      <c r="L106" s="4">
        <f>tblSales[[#This Row],[Quantity]]*tblSales[[#This Row],[Actual Price]]</f>
        <v>600</v>
      </c>
    </row>
    <row r="107" spans="1:12" x14ac:dyDescent="0.35">
      <c r="A107" s="3" t="s">
        <v>303</v>
      </c>
      <c r="B107" s="4" t="s">
        <v>128</v>
      </c>
      <c r="C107" s="4" t="s">
        <v>129</v>
      </c>
      <c r="D107" s="4" t="s">
        <v>14</v>
      </c>
      <c r="E107" s="7">
        <v>42326</v>
      </c>
      <c r="F107" s="4" t="s">
        <v>15</v>
      </c>
      <c r="G107" s="4" t="s">
        <v>211</v>
      </c>
      <c r="H107" s="4">
        <v>80</v>
      </c>
      <c r="I107" s="4">
        <v>62</v>
      </c>
      <c r="J107" s="5">
        <v>0.22500000000000001</v>
      </c>
      <c r="K107" s="3">
        <v>17</v>
      </c>
      <c r="L107" s="4">
        <f>tblSales[[#This Row],[Quantity]]*tblSales[[#This Row],[Actual Price]]</f>
        <v>1054</v>
      </c>
    </row>
    <row r="108" spans="1:12" x14ac:dyDescent="0.35">
      <c r="A108" s="3" t="s">
        <v>304</v>
      </c>
      <c r="B108" s="4" t="s">
        <v>158</v>
      </c>
      <c r="C108" s="4" t="s">
        <v>109</v>
      </c>
      <c r="D108" s="4" t="s">
        <v>20</v>
      </c>
      <c r="E108" s="7">
        <v>41904</v>
      </c>
      <c r="F108" s="4" t="s">
        <v>15</v>
      </c>
      <c r="G108" s="4" t="s">
        <v>305</v>
      </c>
      <c r="H108" s="4">
        <v>80</v>
      </c>
      <c r="I108" s="4">
        <v>76</v>
      </c>
      <c r="J108" s="5">
        <v>0.05</v>
      </c>
      <c r="K108" s="3">
        <v>69</v>
      </c>
      <c r="L108" s="4">
        <f>tblSales[[#This Row],[Quantity]]*tblSales[[#This Row],[Actual Price]]</f>
        <v>5244</v>
      </c>
    </row>
    <row r="109" spans="1:12" x14ac:dyDescent="0.35">
      <c r="A109" s="3" t="s">
        <v>306</v>
      </c>
      <c r="B109" s="4" t="s">
        <v>151</v>
      </c>
      <c r="C109" s="4" t="s">
        <v>152</v>
      </c>
      <c r="D109" s="4" t="s">
        <v>14</v>
      </c>
      <c r="E109" s="7">
        <v>42765</v>
      </c>
      <c r="F109" s="4" t="s">
        <v>37</v>
      </c>
      <c r="G109" s="4" t="s">
        <v>307</v>
      </c>
      <c r="H109" s="4">
        <v>50</v>
      </c>
      <c r="I109" s="4">
        <v>45</v>
      </c>
      <c r="J109" s="5">
        <v>0.1</v>
      </c>
      <c r="K109" s="3">
        <v>94</v>
      </c>
      <c r="L109" s="4">
        <f>tblSales[[#This Row],[Quantity]]*tblSales[[#This Row],[Actual Price]]</f>
        <v>4230</v>
      </c>
    </row>
    <row r="110" spans="1:12" x14ac:dyDescent="0.35">
      <c r="A110" s="3" t="s">
        <v>308</v>
      </c>
      <c r="B110" s="4" t="s">
        <v>265</v>
      </c>
      <c r="C110" s="4" t="s">
        <v>266</v>
      </c>
      <c r="D110" s="4" t="s">
        <v>14</v>
      </c>
      <c r="E110" s="7">
        <v>42133</v>
      </c>
      <c r="F110" s="4" t="s">
        <v>62</v>
      </c>
      <c r="G110" s="4" t="s">
        <v>309</v>
      </c>
      <c r="H110" s="4">
        <v>1000</v>
      </c>
      <c r="I110" s="4">
        <v>610</v>
      </c>
      <c r="J110" s="5">
        <v>0.39</v>
      </c>
      <c r="K110" s="3">
        <v>44</v>
      </c>
      <c r="L110" s="4">
        <f>tblSales[[#This Row],[Quantity]]*tblSales[[#This Row],[Actual Price]]</f>
        <v>26840</v>
      </c>
    </row>
    <row r="111" spans="1:12" x14ac:dyDescent="0.35">
      <c r="A111" s="3" t="s">
        <v>310</v>
      </c>
      <c r="B111" s="4" t="s">
        <v>23</v>
      </c>
      <c r="C111" s="4" t="s">
        <v>24</v>
      </c>
      <c r="D111" s="4" t="s">
        <v>25</v>
      </c>
      <c r="E111" s="7">
        <v>42294</v>
      </c>
      <c r="F111" s="4" t="s">
        <v>105</v>
      </c>
      <c r="G111" s="4" t="s">
        <v>311</v>
      </c>
      <c r="H111" s="4">
        <v>70</v>
      </c>
      <c r="I111" s="4">
        <v>67</v>
      </c>
      <c r="J111" s="5">
        <v>4.2900000000000001E-2</v>
      </c>
      <c r="K111" s="3">
        <v>91</v>
      </c>
      <c r="L111" s="4">
        <f>tblSales[[#This Row],[Quantity]]*tblSales[[#This Row],[Actual Price]]</f>
        <v>6097</v>
      </c>
    </row>
    <row r="112" spans="1:12" x14ac:dyDescent="0.35">
      <c r="A112" s="3" t="s">
        <v>312</v>
      </c>
      <c r="B112" s="4" t="s">
        <v>60</v>
      </c>
      <c r="C112" s="4" t="s">
        <v>61</v>
      </c>
      <c r="D112" s="4" t="s">
        <v>14</v>
      </c>
      <c r="E112" s="7">
        <v>42835</v>
      </c>
      <c r="F112" s="4" t="s">
        <v>105</v>
      </c>
      <c r="G112" s="4" t="s">
        <v>313</v>
      </c>
      <c r="H112" s="4">
        <v>70</v>
      </c>
      <c r="I112" s="4">
        <v>68</v>
      </c>
      <c r="J112" s="5">
        <v>2.86E-2</v>
      </c>
      <c r="K112" s="3">
        <v>93</v>
      </c>
      <c r="L112" s="4">
        <f>tblSales[[#This Row],[Quantity]]*tblSales[[#This Row],[Actual Price]]</f>
        <v>6324</v>
      </c>
    </row>
    <row r="113" spans="1:12" x14ac:dyDescent="0.35">
      <c r="A113" s="3" t="s">
        <v>314</v>
      </c>
      <c r="B113" s="4" t="s">
        <v>265</v>
      </c>
      <c r="C113" s="4" t="s">
        <v>266</v>
      </c>
      <c r="D113" s="4" t="s">
        <v>14</v>
      </c>
      <c r="E113" s="7">
        <v>43024</v>
      </c>
      <c r="F113" s="4" t="s">
        <v>37</v>
      </c>
      <c r="G113" s="4" t="s">
        <v>315</v>
      </c>
      <c r="H113" s="4">
        <v>50</v>
      </c>
      <c r="I113" s="4">
        <v>50</v>
      </c>
      <c r="J113" s="5">
        <v>0</v>
      </c>
      <c r="K113" s="3">
        <v>55</v>
      </c>
      <c r="L113" s="4">
        <f>tblSales[[#This Row],[Quantity]]*tblSales[[#This Row],[Actual Price]]</f>
        <v>2750</v>
      </c>
    </row>
    <row r="114" spans="1:12" x14ac:dyDescent="0.35">
      <c r="A114" s="3" t="s">
        <v>316</v>
      </c>
      <c r="B114" s="4" t="s">
        <v>128</v>
      </c>
      <c r="C114" s="4" t="s">
        <v>129</v>
      </c>
      <c r="D114" s="4" t="s">
        <v>14</v>
      </c>
      <c r="E114" s="7">
        <v>41841</v>
      </c>
      <c r="F114" s="4" t="s">
        <v>73</v>
      </c>
      <c r="G114" s="4" t="s">
        <v>130</v>
      </c>
      <c r="H114" s="4">
        <v>500</v>
      </c>
      <c r="I114" s="4">
        <v>495</v>
      </c>
      <c r="J114" s="5">
        <v>0.01</v>
      </c>
      <c r="K114" s="3">
        <v>5</v>
      </c>
      <c r="L114" s="4">
        <f>tblSales[[#This Row],[Quantity]]*tblSales[[#This Row],[Actual Price]]</f>
        <v>2475</v>
      </c>
    </row>
    <row r="115" spans="1:12" x14ac:dyDescent="0.35">
      <c r="A115" s="3" t="s">
        <v>317</v>
      </c>
      <c r="B115" s="4" t="s">
        <v>78</v>
      </c>
      <c r="C115" s="4" t="s">
        <v>79</v>
      </c>
      <c r="D115" s="4" t="s">
        <v>36</v>
      </c>
      <c r="E115" s="7">
        <v>41889</v>
      </c>
      <c r="F115" s="4" t="s">
        <v>105</v>
      </c>
      <c r="G115" s="4" t="s">
        <v>318</v>
      </c>
      <c r="H115" s="4">
        <v>70</v>
      </c>
      <c r="I115" s="4">
        <v>62</v>
      </c>
      <c r="J115" s="5">
        <v>0.1143</v>
      </c>
      <c r="K115" s="3">
        <v>93</v>
      </c>
      <c r="L115" s="4">
        <f>tblSales[[#This Row],[Quantity]]*tblSales[[#This Row],[Actual Price]]</f>
        <v>5766</v>
      </c>
    </row>
    <row r="116" spans="1:12" x14ac:dyDescent="0.35">
      <c r="A116" s="3" t="s">
        <v>319</v>
      </c>
      <c r="B116" s="4" t="s">
        <v>175</v>
      </c>
      <c r="C116" s="4" t="s">
        <v>176</v>
      </c>
      <c r="D116" s="4" t="s">
        <v>14</v>
      </c>
      <c r="E116" s="7">
        <v>43043</v>
      </c>
      <c r="F116" s="4" t="s">
        <v>73</v>
      </c>
      <c r="G116" s="4" t="s">
        <v>320</v>
      </c>
      <c r="H116" s="4">
        <v>500</v>
      </c>
      <c r="I116" s="4">
        <v>490</v>
      </c>
      <c r="J116" s="5">
        <v>0.02</v>
      </c>
      <c r="K116" s="3">
        <v>99</v>
      </c>
      <c r="L116" s="4">
        <f>tblSales[[#This Row],[Quantity]]*tblSales[[#This Row],[Actual Price]]</f>
        <v>48510</v>
      </c>
    </row>
    <row r="117" spans="1:12" x14ac:dyDescent="0.35">
      <c r="A117" s="3" t="s">
        <v>321</v>
      </c>
      <c r="B117" s="4" t="s">
        <v>45</v>
      </c>
      <c r="C117" s="4" t="s">
        <v>46</v>
      </c>
      <c r="D117" s="4" t="s">
        <v>25</v>
      </c>
      <c r="E117" s="7">
        <v>42805</v>
      </c>
      <c r="F117" s="4" t="s">
        <v>15</v>
      </c>
      <c r="G117" s="4" t="s">
        <v>322</v>
      </c>
      <c r="H117" s="4">
        <v>80</v>
      </c>
      <c r="I117" s="4">
        <v>73</v>
      </c>
      <c r="J117" s="5">
        <v>8.7499999999999994E-2</v>
      </c>
      <c r="K117" s="3">
        <v>20</v>
      </c>
      <c r="L117" s="4">
        <f>tblSales[[#This Row],[Quantity]]*tblSales[[#This Row],[Actual Price]]</f>
        <v>1460</v>
      </c>
    </row>
    <row r="118" spans="1:12" x14ac:dyDescent="0.35">
      <c r="A118" s="3" t="s">
        <v>323</v>
      </c>
      <c r="B118" s="4" t="s">
        <v>29</v>
      </c>
      <c r="C118" s="4" t="s">
        <v>30</v>
      </c>
      <c r="D118" s="4" t="s">
        <v>14</v>
      </c>
      <c r="E118" s="7">
        <v>42380</v>
      </c>
      <c r="F118" s="4" t="s">
        <v>26</v>
      </c>
      <c r="G118" s="4" t="s">
        <v>32</v>
      </c>
      <c r="H118" s="4">
        <v>700</v>
      </c>
      <c r="I118" s="4">
        <v>616</v>
      </c>
      <c r="J118" s="5">
        <v>0.12</v>
      </c>
      <c r="K118" s="3">
        <v>74</v>
      </c>
      <c r="L118" s="4">
        <f>tblSales[[#This Row],[Quantity]]*tblSales[[#This Row],[Actual Price]]</f>
        <v>45584</v>
      </c>
    </row>
    <row r="119" spans="1:12" x14ac:dyDescent="0.35">
      <c r="A119" s="3" t="s">
        <v>324</v>
      </c>
      <c r="B119" s="4" t="s">
        <v>325</v>
      </c>
      <c r="C119" s="4" t="s">
        <v>326</v>
      </c>
      <c r="D119" s="4" t="s">
        <v>14</v>
      </c>
      <c r="E119" s="7">
        <v>42716</v>
      </c>
      <c r="F119" s="4" t="s">
        <v>42</v>
      </c>
      <c r="G119" s="4" t="s">
        <v>327</v>
      </c>
      <c r="H119" s="4">
        <v>30</v>
      </c>
      <c r="I119" s="4">
        <v>30</v>
      </c>
      <c r="J119" s="5">
        <v>0</v>
      </c>
      <c r="K119" s="3">
        <v>35</v>
      </c>
      <c r="L119" s="4">
        <f>tblSales[[#This Row],[Quantity]]*tblSales[[#This Row],[Actual Price]]</f>
        <v>1050</v>
      </c>
    </row>
    <row r="120" spans="1:12" x14ac:dyDescent="0.35">
      <c r="A120" s="3" t="s">
        <v>328</v>
      </c>
      <c r="B120" s="4" t="s">
        <v>71</v>
      </c>
      <c r="C120" s="4" t="s">
        <v>72</v>
      </c>
      <c r="D120" s="4" t="s">
        <v>36</v>
      </c>
      <c r="E120" s="7">
        <v>42324</v>
      </c>
      <c r="F120" s="4" t="s">
        <v>42</v>
      </c>
      <c r="G120" s="4" t="s">
        <v>329</v>
      </c>
      <c r="H120" s="4">
        <v>30</v>
      </c>
      <c r="I120" s="4">
        <v>23</v>
      </c>
      <c r="J120" s="5">
        <v>0.23330000000000001</v>
      </c>
      <c r="K120" s="3">
        <v>71</v>
      </c>
      <c r="L120" s="4">
        <f>tblSales[[#This Row],[Quantity]]*tblSales[[#This Row],[Actual Price]]</f>
        <v>1633</v>
      </c>
    </row>
    <row r="121" spans="1:12" x14ac:dyDescent="0.35">
      <c r="A121" s="3" t="s">
        <v>330</v>
      </c>
      <c r="B121" s="4" t="s">
        <v>132</v>
      </c>
      <c r="C121" s="4" t="s">
        <v>109</v>
      </c>
      <c r="D121" s="4" t="s">
        <v>20</v>
      </c>
      <c r="E121" s="7">
        <v>42266</v>
      </c>
      <c r="F121" s="4" t="s">
        <v>37</v>
      </c>
      <c r="G121" s="4" t="s">
        <v>213</v>
      </c>
      <c r="H121" s="4">
        <v>50</v>
      </c>
      <c r="I121" s="4">
        <v>36</v>
      </c>
      <c r="J121" s="5">
        <v>0.28000000000000003</v>
      </c>
      <c r="K121" s="3">
        <v>51</v>
      </c>
      <c r="L121" s="4">
        <f>tblSales[[#This Row],[Quantity]]*tblSales[[#This Row],[Actual Price]]</f>
        <v>1836</v>
      </c>
    </row>
    <row r="122" spans="1:12" x14ac:dyDescent="0.35">
      <c r="A122" s="3" t="s">
        <v>331</v>
      </c>
      <c r="B122" s="4" t="s">
        <v>242</v>
      </c>
      <c r="C122" s="4" t="s">
        <v>243</v>
      </c>
      <c r="D122" s="4" t="s">
        <v>14</v>
      </c>
      <c r="E122" s="7">
        <v>41746</v>
      </c>
      <c r="F122" s="4" t="s">
        <v>73</v>
      </c>
      <c r="G122" s="4" t="s">
        <v>332</v>
      </c>
      <c r="H122" s="4">
        <v>500</v>
      </c>
      <c r="I122" s="4">
        <v>490</v>
      </c>
      <c r="J122" s="5">
        <v>0.02</v>
      </c>
      <c r="K122" s="3">
        <v>99</v>
      </c>
      <c r="L122" s="4">
        <f>tblSales[[#This Row],[Quantity]]*tblSales[[#This Row],[Actual Price]]</f>
        <v>48510</v>
      </c>
    </row>
    <row r="123" spans="1:12" x14ac:dyDescent="0.35">
      <c r="A123" s="3" t="s">
        <v>333</v>
      </c>
      <c r="B123" s="4" t="s">
        <v>96</v>
      </c>
      <c r="C123" s="4" t="s">
        <v>97</v>
      </c>
      <c r="D123" s="4" t="s">
        <v>14</v>
      </c>
      <c r="E123" s="7">
        <v>41892</v>
      </c>
      <c r="F123" s="4" t="s">
        <v>56</v>
      </c>
      <c r="G123" s="4" t="s">
        <v>334</v>
      </c>
      <c r="H123" s="4">
        <v>800</v>
      </c>
      <c r="I123" s="4">
        <v>672</v>
      </c>
      <c r="J123" s="5">
        <v>0.16</v>
      </c>
      <c r="K123" s="3">
        <v>50</v>
      </c>
      <c r="L123" s="4">
        <f>tblSales[[#This Row],[Quantity]]*tblSales[[#This Row],[Actual Price]]</f>
        <v>33600</v>
      </c>
    </row>
    <row r="124" spans="1:12" x14ac:dyDescent="0.35">
      <c r="A124" s="3" t="s">
        <v>335</v>
      </c>
      <c r="B124" s="4" t="s">
        <v>29</v>
      </c>
      <c r="C124" s="4" t="s">
        <v>30</v>
      </c>
      <c r="D124" s="4" t="s">
        <v>14</v>
      </c>
      <c r="E124" s="7">
        <v>43041</v>
      </c>
      <c r="F124" s="4" t="s">
        <v>73</v>
      </c>
      <c r="G124" s="4" t="s">
        <v>336</v>
      </c>
      <c r="H124" s="4">
        <v>500</v>
      </c>
      <c r="I124" s="4">
        <v>490</v>
      </c>
      <c r="J124" s="5">
        <v>0.02</v>
      </c>
      <c r="K124" s="3">
        <v>94</v>
      </c>
      <c r="L124" s="4">
        <f>tblSales[[#This Row],[Quantity]]*tblSales[[#This Row],[Actual Price]]</f>
        <v>46060</v>
      </c>
    </row>
    <row r="125" spans="1:12" x14ac:dyDescent="0.35">
      <c r="A125" s="3" t="s">
        <v>337</v>
      </c>
      <c r="B125" s="4" t="s">
        <v>271</v>
      </c>
      <c r="C125" s="4" t="s">
        <v>272</v>
      </c>
      <c r="D125" s="4" t="s">
        <v>36</v>
      </c>
      <c r="E125" s="7">
        <v>42444</v>
      </c>
      <c r="F125" s="4" t="s">
        <v>31</v>
      </c>
      <c r="G125" s="4" t="s">
        <v>338</v>
      </c>
      <c r="H125" s="4">
        <v>150</v>
      </c>
      <c r="I125" s="4">
        <v>140</v>
      </c>
      <c r="J125" s="5">
        <v>6.6699999999999995E-2</v>
      </c>
      <c r="K125" s="3">
        <v>75</v>
      </c>
      <c r="L125" s="4">
        <f>tblSales[[#This Row],[Quantity]]*tblSales[[#This Row],[Actual Price]]</f>
        <v>10500</v>
      </c>
    </row>
    <row r="126" spans="1:12" x14ac:dyDescent="0.35">
      <c r="A126" s="3" t="s">
        <v>339</v>
      </c>
      <c r="B126" s="4" t="s">
        <v>183</v>
      </c>
      <c r="C126" s="4" t="s">
        <v>109</v>
      </c>
      <c r="D126" s="4" t="s">
        <v>20</v>
      </c>
      <c r="E126" s="7">
        <v>43119</v>
      </c>
      <c r="F126" s="4" t="s">
        <v>73</v>
      </c>
      <c r="G126" s="4" t="s">
        <v>204</v>
      </c>
      <c r="H126" s="4">
        <v>500</v>
      </c>
      <c r="I126" s="4">
        <v>495</v>
      </c>
      <c r="J126" s="5">
        <v>0.01</v>
      </c>
      <c r="K126" s="3">
        <v>96</v>
      </c>
      <c r="L126" s="4">
        <f>tblSales[[#This Row],[Quantity]]*tblSales[[#This Row],[Actual Price]]</f>
        <v>47520</v>
      </c>
    </row>
    <row r="127" spans="1:12" x14ac:dyDescent="0.35">
      <c r="A127" s="3" t="s">
        <v>340</v>
      </c>
      <c r="B127" s="4" t="s">
        <v>86</v>
      </c>
      <c r="C127" s="4" t="s">
        <v>87</v>
      </c>
      <c r="D127" s="4" t="s">
        <v>14</v>
      </c>
      <c r="E127" s="7">
        <v>43218</v>
      </c>
      <c r="F127" s="4" t="s">
        <v>31</v>
      </c>
      <c r="G127" s="4" t="s">
        <v>341</v>
      </c>
      <c r="H127" s="4">
        <v>150</v>
      </c>
      <c r="I127" s="4">
        <v>150</v>
      </c>
      <c r="J127" s="5">
        <v>0</v>
      </c>
      <c r="K127" s="3">
        <v>79</v>
      </c>
      <c r="L127" s="4">
        <f>tblSales[[#This Row],[Quantity]]*tblSales[[#This Row],[Actual Price]]</f>
        <v>11850</v>
      </c>
    </row>
    <row r="128" spans="1:12" x14ac:dyDescent="0.35">
      <c r="A128" s="3" t="s">
        <v>342</v>
      </c>
      <c r="B128" s="4" t="s">
        <v>115</v>
      </c>
      <c r="C128" s="4" t="s">
        <v>55</v>
      </c>
      <c r="D128" s="4" t="s">
        <v>14</v>
      </c>
      <c r="E128" s="7">
        <v>41711</v>
      </c>
      <c r="F128" s="4" t="s">
        <v>42</v>
      </c>
      <c r="G128" s="4" t="s">
        <v>169</v>
      </c>
      <c r="H128" s="4">
        <v>30</v>
      </c>
      <c r="I128" s="4">
        <v>29</v>
      </c>
      <c r="J128" s="5">
        <v>3.3300000000000003E-2</v>
      </c>
      <c r="K128" s="3">
        <v>61</v>
      </c>
      <c r="L128" s="4">
        <f>tblSales[[#This Row],[Quantity]]*tblSales[[#This Row],[Actual Price]]</f>
        <v>1769</v>
      </c>
    </row>
    <row r="129" spans="1:12" x14ac:dyDescent="0.35">
      <c r="A129" s="3" t="s">
        <v>343</v>
      </c>
      <c r="B129" s="4" t="s">
        <v>183</v>
      </c>
      <c r="C129" s="4" t="s">
        <v>109</v>
      </c>
      <c r="D129" s="4" t="s">
        <v>20</v>
      </c>
      <c r="E129" s="7">
        <v>42244</v>
      </c>
      <c r="F129" s="4" t="s">
        <v>73</v>
      </c>
      <c r="G129" s="4" t="s">
        <v>184</v>
      </c>
      <c r="H129" s="4">
        <v>500</v>
      </c>
      <c r="I129" s="4">
        <v>500</v>
      </c>
      <c r="J129" s="5">
        <v>0</v>
      </c>
      <c r="K129" s="3">
        <v>47</v>
      </c>
      <c r="L129" s="4">
        <f>tblSales[[#This Row],[Quantity]]*tblSales[[#This Row],[Actual Price]]</f>
        <v>23500</v>
      </c>
    </row>
    <row r="130" spans="1:12" x14ac:dyDescent="0.35">
      <c r="A130" s="3" t="s">
        <v>344</v>
      </c>
      <c r="B130" s="4" t="s">
        <v>92</v>
      </c>
      <c r="C130" s="4" t="s">
        <v>93</v>
      </c>
      <c r="D130" s="4" t="s">
        <v>36</v>
      </c>
      <c r="E130" s="7">
        <v>41827</v>
      </c>
      <c r="F130" s="4" t="s">
        <v>62</v>
      </c>
      <c r="G130" s="4" t="s">
        <v>345</v>
      </c>
      <c r="H130" s="4">
        <v>1000</v>
      </c>
      <c r="I130" s="4">
        <v>510</v>
      </c>
      <c r="J130" s="5">
        <v>0.49</v>
      </c>
      <c r="K130" s="3">
        <v>18</v>
      </c>
      <c r="L130" s="4">
        <f>tblSales[[#This Row],[Quantity]]*tblSales[[#This Row],[Actual Price]]</f>
        <v>9180</v>
      </c>
    </row>
    <row r="131" spans="1:12" x14ac:dyDescent="0.35">
      <c r="A131" s="3" t="s">
        <v>346</v>
      </c>
      <c r="B131" s="4" t="s">
        <v>290</v>
      </c>
      <c r="C131" s="4" t="s">
        <v>109</v>
      </c>
      <c r="D131" s="4" t="s">
        <v>20</v>
      </c>
      <c r="E131" s="7">
        <v>42422</v>
      </c>
      <c r="F131" s="4" t="s">
        <v>73</v>
      </c>
      <c r="G131" s="4" t="s">
        <v>347</v>
      </c>
      <c r="H131" s="4">
        <v>500</v>
      </c>
      <c r="I131" s="4">
        <v>490</v>
      </c>
      <c r="J131" s="5">
        <v>0.02</v>
      </c>
      <c r="K131" s="3">
        <v>11</v>
      </c>
      <c r="L131" s="4">
        <f>tblSales[[#This Row],[Quantity]]*tblSales[[#This Row],[Actual Price]]</f>
        <v>5390</v>
      </c>
    </row>
    <row r="132" spans="1:12" x14ac:dyDescent="0.35">
      <c r="A132" s="3" t="s">
        <v>348</v>
      </c>
      <c r="B132" s="4" t="s">
        <v>12</v>
      </c>
      <c r="C132" s="4" t="s">
        <v>13</v>
      </c>
      <c r="D132" s="4" t="s">
        <v>14</v>
      </c>
      <c r="E132" s="7">
        <v>43080</v>
      </c>
      <c r="F132" s="4" t="s">
        <v>37</v>
      </c>
      <c r="G132" s="4" t="s">
        <v>349</v>
      </c>
      <c r="H132" s="4">
        <v>50</v>
      </c>
      <c r="I132" s="4">
        <v>50</v>
      </c>
      <c r="J132" s="5">
        <v>0</v>
      </c>
      <c r="K132" s="3">
        <v>53</v>
      </c>
      <c r="L132" s="4">
        <f>tblSales[[#This Row],[Quantity]]*tblSales[[#This Row],[Actual Price]]</f>
        <v>2650</v>
      </c>
    </row>
    <row r="133" spans="1:12" x14ac:dyDescent="0.35">
      <c r="A133" s="3" t="s">
        <v>350</v>
      </c>
      <c r="B133" s="4" t="s">
        <v>242</v>
      </c>
      <c r="C133" s="4" t="s">
        <v>243</v>
      </c>
      <c r="D133" s="4" t="s">
        <v>14</v>
      </c>
      <c r="E133" s="7">
        <v>42557</v>
      </c>
      <c r="F133" s="4" t="s">
        <v>26</v>
      </c>
      <c r="G133" s="4" t="s">
        <v>351</v>
      </c>
      <c r="H133" s="4">
        <v>700</v>
      </c>
      <c r="I133" s="4">
        <v>665</v>
      </c>
      <c r="J133" s="5">
        <v>0.05</v>
      </c>
      <c r="K133" s="3">
        <v>20</v>
      </c>
      <c r="L133" s="4">
        <f>tblSales[[#This Row],[Quantity]]*tblSales[[#This Row],[Actual Price]]</f>
        <v>13300</v>
      </c>
    </row>
    <row r="134" spans="1:12" x14ac:dyDescent="0.35">
      <c r="A134" s="3" t="s">
        <v>352</v>
      </c>
      <c r="B134" s="4" t="s">
        <v>155</v>
      </c>
      <c r="C134" s="4" t="s">
        <v>109</v>
      </c>
      <c r="D134" s="4" t="s">
        <v>20</v>
      </c>
      <c r="E134" s="7">
        <v>41853</v>
      </c>
      <c r="F134" s="4" t="s">
        <v>116</v>
      </c>
      <c r="G134" s="4" t="s">
        <v>353</v>
      </c>
      <c r="H134" s="4">
        <v>250</v>
      </c>
      <c r="I134" s="4">
        <v>175</v>
      </c>
      <c r="J134" s="5">
        <v>0.3</v>
      </c>
      <c r="K134" s="3">
        <v>73</v>
      </c>
      <c r="L134" s="4">
        <f>tblSales[[#This Row],[Quantity]]*tblSales[[#This Row],[Actual Price]]</f>
        <v>12775</v>
      </c>
    </row>
    <row r="135" spans="1:12" x14ac:dyDescent="0.35">
      <c r="A135" s="3" t="s">
        <v>354</v>
      </c>
      <c r="B135" s="4" t="s">
        <v>108</v>
      </c>
      <c r="C135" s="4" t="s">
        <v>109</v>
      </c>
      <c r="D135" s="4" t="s">
        <v>20</v>
      </c>
      <c r="E135" s="7">
        <v>42673</v>
      </c>
      <c r="F135" s="4" t="s">
        <v>123</v>
      </c>
      <c r="G135" s="4" t="s">
        <v>355</v>
      </c>
      <c r="H135" s="4">
        <v>50</v>
      </c>
      <c r="I135" s="4">
        <v>48</v>
      </c>
      <c r="J135" s="5">
        <v>0.04</v>
      </c>
      <c r="K135" s="3">
        <v>68</v>
      </c>
      <c r="L135" s="4">
        <f>tblSales[[#This Row],[Quantity]]*tblSales[[#This Row],[Actual Price]]</f>
        <v>3264</v>
      </c>
    </row>
    <row r="136" spans="1:12" x14ac:dyDescent="0.35">
      <c r="A136" s="3" t="s">
        <v>356</v>
      </c>
      <c r="B136" s="4" t="s">
        <v>242</v>
      </c>
      <c r="C136" s="4" t="s">
        <v>243</v>
      </c>
      <c r="D136" s="4" t="s">
        <v>14</v>
      </c>
      <c r="E136" s="7">
        <v>42479</v>
      </c>
      <c r="F136" s="4" t="s">
        <v>31</v>
      </c>
      <c r="G136" s="4" t="s">
        <v>244</v>
      </c>
      <c r="H136" s="4">
        <v>150</v>
      </c>
      <c r="I136" s="4">
        <v>146</v>
      </c>
      <c r="J136" s="5">
        <v>2.6700000000000002E-2</v>
      </c>
      <c r="K136" s="3">
        <v>5</v>
      </c>
      <c r="L136" s="4">
        <f>tblSales[[#This Row],[Quantity]]*tblSales[[#This Row],[Actual Price]]</f>
        <v>730</v>
      </c>
    </row>
    <row r="137" spans="1:12" x14ac:dyDescent="0.35">
      <c r="A137" s="3" t="s">
        <v>357</v>
      </c>
      <c r="B137" s="4" t="s">
        <v>65</v>
      </c>
      <c r="C137" s="4" t="s">
        <v>66</v>
      </c>
      <c r="D137" s="4" t="s">
        <v>36</v>
      </c>
      <c r="E137" s="7">
        <v>42149</v>
      </c>
      <c r="F137" s="4" t="s">
        <v>31</v>
      </c>
      <c r="G137" s="4" t="s">
        <v>281</v>
      </c>
      <c r="H137" s="4">
        <v>150</v>
      </c>
      <c r="I137" s="4">
        <v>143</v>
      </c>
      <c r="J137" s="5">
        <v>4.6699999999999998E-2</v>
      </c>
      <c r="K137" s="3">
        <v>3</v>
      </c>
      <c r="L137" s="4">
        <f>tblSales[[#This Row],[Quantity]]*tblSales[[#This Row],[Actual Price]]</f>
        <v>429</v>
      </c>
    </row>
    <row r="138" spans="1:12" x14ac:dyDescent="0.35">
      <c r="A138" s="3" t="s">
        <v>358</v>
      </c>
      <c r="B138" s="4" t="s">
        <v>147</v>
      </c>
      <c r="C138" s="4" t="s">
        <v>148</v>
      </c>
      <c r="D138" s="4" t="s">
        <v>14</v>
      </c>
      <c r="E138" s="7">
        <v>42282</v>
      </c>
      <c r="F138" s="4" t="s">
        <v>105</v>
      </c>
      <c r="G138" s="4" t="s">
        <v>359</v>
      </c>
      <c r="H138" s="4">
        <v>70</v>
      </c>
      <c r="I138" s="4">
        <v>57</v>
      </c>
      <c r="J138" s="5">
        <v>0.1857</v>
      </c>
      <c r="K138" s="3">
        <v>73</v>
      </c>
      <c r="L138" s="4">
        <f>tblSales[[#This Row],[Quantity]]*tblSales[[#This Row],[Actual Price]]</f>
        <v>4161</v>
      </c>
    </row>
    <row r="139" spans="1:12" x14ac:dyDescent="0.35">
      <c r="A139" s="3" t="s">
        <v>360</v>
      </c>
      <c r="B139" s="4" t="s">
        <v>60</v>
      </c>
      <c r="C139" s="4" t="s">
        <v>61</v>
      </c>
      <c r="D139" s="4" t="s">
        <v>14</v>
      </c>
      <c r="E139" s="7">
        <v>43046</v>
      </c>
      <c r="F139" s="4" t="s">
        <v>123</v>
      </c>
      <c r="G139" s="4" t="s">
        <v>313</v>
      </c>
      <c r="H139" s="4">
        <v>50</v>
      </c>
      <c r="I139" s="4">
        <v>46</v>
      </c>
      <c r="J139" s="5">
        <v>0.08</v>
      </c>
      <c r="K139" s="3">
        <v>80</v>
      </c>
      <c r="L139" s="4">
        <f>tblSales[[#This Row],[Quantity]]*tblSales[[#This Row],[Actual Price]]</f>
        <v>3680</v>
      </c>
    </row>
    <row r="140" spans="1:12" x14ac:dyDescent="0.35">
      <c r="A140" s="3" t="s">
        <v>361</v>
      </c>
      <c r="B140" s="4" t="s">
        <v>206</v>
      </c>
      <c r="C140" s="4" t="s">
        <v>207</v>
      </c>
      <c r="D140" s="4" t="s">
        <v>25</v>
      </c>
      <c r="E140" s="7">
        <v>43094</v>
      </c>
      <c r="F140" s="4" t="s">
        <v>42</v>
      </c>
      <c r="G140" s="4" t="s">
        <v>362</v>
      </c>
      <c r="H140" s="4">
        <v>30</v>
      </c>
      <c r="I140" s="4">
        <v>27</v>
      </c>
      <c r="J140" s="5">
        <v>0.1</v>
      </c>
      <c r="K140" s="3">
        <v>49</v>
      </c>
      <c r="L140" s="4">
        <f>tblSales[[#This Row],[Quantity]]*tblSales[[#This Row],[Actual Price]]</f>
        <v>1323</v>
      </c>
    </row>
    <row r="141" spans="1:12" x14ac:dyDescent="0.35">
      <c r="A141" s="3" t="s">
        <v>363</v>
      </c>
      <c r="B141" s="4" t="s">
        <v>86</v>
      </c>
      <c r="C141" s="4" t="s">
        <v>87</v>
      </c>
      <c r="D141" s="4" t="s">
        <v>14</v>
      </c>
      <c r="E141" s="7">
        <v>41734</v>
      </c>
      <c r="F141" s="4" t="s">
        <v>47</v>
      </c>
      <c r="G141" s="4" t="s">
        <v>364</v>
      </c>
      <c r="H141" s="4">
        <v>500</v>
      </c>
      <c r="I141" s="4">
        <v>500</v>
      </c>
      <c r="J141" s="5">
        <v>0</v>
      </c>
      <c r="K141" s="3">
        <v>71</v>
      </c>
      <c r="L141" s="4">
        <f>tblSales[[#This Row],[Quantity]]*tblSales[[#This Row],[Actual Price]]</f>
        <v>35500</v>
      </c>
    </row>
    <row r="142" spans="1:12" x14ac:dyDescent="0.35">
      <c r="A142" s="3" t="s">
        <v>365</v>
      </c>
      <c r="B142" s="4" t="s">
        <v>325</v>
      </c>
      <c r="C142" s="4" t="s">
        <v>326</v>
      </c>
      <c r="D142" s="4" t="s">
        <v>14</v>
      </c>
      <c r="E142" s="7">
        <v>43288</v>
      </c>
      <c r="F142" s="4" t="s">
        <v>47</v>
      </c>
      <c r="G142" s="4" t="s">
        <v>366</v>
      </c>
      <c r="H142" s="4">
        <v>500</v>
      </c>
      <c r="I142" s="4">
        <v>500</v>
      </c>
      <c r="J142" s="5">
        <v>0</v>
      </c>
      <c r="K142" s="3">
        <v>88</v>
      </c>
      <c r="L142" s="4">
        <f>tblSales[[#This Row],[Quantity]]*tblSales[[#This Row],[Actual Price]]</f>
        <v>44000</v>
      </c>
    </row>
    <row r="143" spans="1:12" x14ac:dyDescent="0.35">
      <c r="A143" s="3" t="s">
        <v>367</v>
      </c>
      <c r="B143" s="4" t="s">
        <v>115</v>
      </c>
      <c r="C143" s="4" t="s">
        <v>55</v>
      </c>
      <c r="D143" s="4" t="s">
        <v>14</v>
      </c>
      <c r="E143" s="7">
        <v>43407</v>
      </c>
      <c r="F143" s="4" t="s">
        <v>116</v>
      </c>
      <c r="G143" s="4" t="s">
        <v>368</v>
      </c>
      <c r="H143" s="4">
        <v>250</v>
      </c>
      <c r="I143" s="4">
        <v>225</v>
      </c>
      <c r="J143" s="5">
        <v>0.1</v>
      </c>
      <c r="K143" s="3">
        <v>36</v>
      </c>
      <c r="L143" s="4">
        <f>tblSales[[#This Row],[Quantity]]*tblSales[[#This Row],[Actual Price]]</f>
        <v>8100</v>
      </c>
    </row>
    <row r="144" spans="1:12" x14ac:dyDescent="0.35">
      <c r="A144" s="3" t="s">
        <v>369</v>
      </c>
      <c r="B144" s="4" t="s">
        <v>265</v>
      </c>
      <c r="C144" s="4" t="s">
        <v>266</v>
      </c>
      <c r="D144" s="4" t="s">
        <v>14</v>
      </c>
      <c r="E144" s="7">
        <v>42282</v>
      </c>
      <c r="F144" s="4" t="s">
        <v>42</v>
      </c>
      <c r="G144" s="4" t="s">
        <v>370</v>
      </c>
      <c r="H144" s="4">
        <v>30</v>
      </c>
      <c r="I144" s="4">
        <v>26</v>
      </c>
      <c r="J144" s="5">
        <v>0.1333</v>
      </c>
      <c r="K144" s="3">
        <v>77</v>
      </c>
      <c r="L144" s="4">
        <f>tblSales[[#This Row],[Quantity]]*tblSales[[#This Row],[Actual Price]]</f>
        <v>2002</v>
      </c>
    </row>
    <row r="145" spans="1:12" x14ac:dyDescent="0.35">
      <c r="A145" s="3" t="s">
        <v>371</v>
      </c>
      <c r="B145" s="4" t="s">
        <v>206</v>
      </c>
      <c r="C145" s="4" t="s">
        <v>207</v>
      </c>
      <c r="D145" s="4" t="s">
        <v>25</v>
      </c>
      <c r="E145" s="7">
        <v>42397</v>
      </c>
      <c r="F145" s="4" t="s">
        <v>42</v>
      </c>
      <c r="G145" s="4" t="s">
        <v>362</v>
      </c>
      <c r="H145" s="4">
        <v>30</v>
      </c>
      <c r="I145" s="4">
        <v>27</v>
      </c>
      <c r="J145" s="5">
        <v>0.1</v>
      </c>
      <c r="K145" s="3">
        <v>35</v>
      </c>
      <c r="L145" s="4">
        <f>tblSales[[#This Row],[Quantity]]*tblSales[[#This Row],[Actual Price]]</f>
        <v>945</v>
      </c>
    </row>
    <row r="146" spans="1:12" x14ac:dyDescent="0.35">
      <c r="A146" s="3" t="s">
        <v>372</v>
      </c>
      <c r="B146" s="4" t="s">
        <v>112</v>
      </c>
      <c r="C146" s="4" t="s">
        <v>83</v>
      </c>
      <c r="D146" s="4" t="s">
        <v>14</v>
      </c>
      <c r="E146" s="7">
        <v>42347</v>
      </c>
      <c r="F146" s="4" t="s">
        <v>123</v>
      </c>
      <c r="G146" s="4" t="s">
        <v>373</v>
      </c>
      <c r="H146" s="4">
        <v>50</v>
      </c>
      <c r="I146" s="4">
        <v>34</v>
      </c>
      <c r="J146" s="5">
        <v>0.32</v>
      </c>
      <c r="K146" s="3">
        <v>41</v>
      </c>
      <c r="L146" s="4">
        <f>tblSales[[#This Row],[Quantity]]*tblSales[[#This Row],[Actual Price]]</f>
        <v>1394</v>
      </c>
    </row>
    <row r="147" spans="1:12" x14ac:dyDescent="0.35">
      <c r="A147" s="3" t="s">
        <v>374</v>
      </c>
      <c r="B147" s="4" t="s">
        <v>135</v>
      </c>
      <c r="C147" s="4" t="s">
        <v>93</v>
      </c>
      <c r="D147" s="4" t="s">
        <v>36</v>
      </c>
      <c r="E147" s="7">
        <v>43412</v>
      </c>
      <c r="F147" s="4" t="s">
        <v>73</v>
      </c>
      <c r="G147" s="4" t="s">
        <v>375</v>
      </c>
      <c r="H147" s="4">
        <v>500</v>
      </c>
      <c r="I147" s="4">
        <v>500</v>
      </c>
      <c r="J147" s="5">
        <v>0</v>
      </c>
      <c r="K147" s="3">
        <v>24</v>
      </c>
      <c r="L147" s="4">
        <f>tblSales[[#This Row],[Quantity]]*tblSales[[#This Row],[Actual Price]]</f>
        <v>12000</v>
      </c>
    </row>
    <row r="148" spans="1:12" x14ac:dyDescent="0.35">
      <c r="A148" s="3" t="s">
        <v>376</v>
      </c>
      <c r="B148" s="4" t="s">
        <v>256</v>
      </c>
      <c r="C148" s="4" t="s">
        <v>257</v>
      </c>
      <c r="D148" s="4" t="s">
        <v>14</v>
      </c>
      <c r="E148" s="7">
        <v>42855</v>
      </c>
      <c r="F148" s="4" t="s">
        <v>62</v>
      </c>
      <c r="G148" s="4" t="s">
        <v>377</v>
      </c>
      <c r="H148" s="4">
        <v>1000</v>
      </c>
      <c r="I148" s="4">
        <v>780</v>
      </c>
      <c r="J148" s="5">
        <v>0.22</v>
      </c>
      <c r="K148" s="3">
        <v>68</v>
      </c>
      <c r="L148" s="4">
        <f>tblSales[[#This Row],[Quantity]]*tblSales[[#This Row],[Actual Price]]</f>
        <v>53040</v>
      </c>
    </row>
    <row r="149" spans="1:12" x14ac:dyDescent="0.35">
      <c r="A149" s="3" t="s">
        <v>378</v>
      </c>
      <c r="B149" s="4" t="s">
        <v>50</v>
      </c>
      <c r="C149" s="4" t="s">
        <v>51</v>
      </c>
      <c r="D149" s="4" t="s">
        <v>25</v>
      </c>
      <c r="E149" s="7">
        <v>42799</v>
      </c>
      <c r="F149" s="4" t="s">
        <v>116</v>
      </c>
      <c r="G149" s="4" t="s">
        <v>379</v>
      </c>
      <c r="H149" s="4">
        <v>250</v>
      </c>
      <c r="I149" s="4">
        <v>245</v>
      </c>
      <c r="J149" s="5">
        <v>0.02</v>
      </c>
      <c r="K149" s="3">
        <v>10</v>
      </c>
      <c r="L149" s="4">
        <f>tblSales[[#This Row],[Quantity]]*tblSales[[#This Row],[Actual Price]]</f>
        <v>2450</v>
      </c>
    </row>
    <row r="150" spans="1:12" x14ac:dyDescent="0.35">
      <c r="A150" s="3" t="s">
        <v>380</v>
      </c>
      <c r="B150" s="4" t="s">
        <v>242</v>
      </c>
      <c r="C150" s="4" t="s">
        <v>243</v>
      </c>
      <c r="D150" s="4" t="s">
        <v>14</v>
      </c>
      <c r="E150" s="7">
        <v>42755</v>
      </c>
      <c r="F150" s="4" t="s">
        <v>56</v>
      </c>
      <c r="G150" s="4" t="s">
        <v>381</v>
      </c>
      <c r="H150" s="4">
        <v>800</v>
      </c>
      <c r="I150" s="4">
        <v>784</v>
      </c>
      <c r="J150" s="5">
        <v>0.02</v>
      </c>
      <c r="K150" s="3">
        <v>92</v>
      </c>
      <c r="L150" s="4">
        <f>tblSales[[#This Row],[Quantity]]*tblSales[[#This Row],[Actual Price]]</f>
        <v>72128</v>
      </c>
    </row>
    <row r="151" spans="1:12" x14ac:dyDescent="0.35">
      <c r="A151" s="3" t="s">
        <v>382</v>
      </c>
      <c r="B151" s="4" t="s">
        <v>132</v>
      </c>
      <c r="C151" s="4" t="s">
        <v>109</v>
      </c>
      <c r="D151" s="4" t="s">
        <v>20</v>
      </c>
      <c r="E151" s="7">
        <v>43227</v>
      </c>
      <c r="F151" s="4" t="s">
        <v>105</v>
      </c>
      <c r="G151" s="4" t="s">
        <v>383</v>
      </c>
      <c r="H151" s="4">
        <v>70</v>
      </c>
      <c r="I151" s="4">
        <v>60</v>
      </c>
      <c r="J151" s="5">
        <v>0.1429</v>
      </c>
      <c r="K151" s="3">
        <v>69</v>
      </c>
      <c r="L151" s="4">
        <f>tblSales[[#This Row],[Quantity]]*tblSales[[#This Row],[Actual Price]]</f>
        <v>4140</v>
      </c>
    </row>
    <row r="152" spans="1:12" x14ac:dyDescent="0.35">
      <c r="A152" s="3" t="s">
        <v>384</v>
      </c>
      <c r="B152" s="4" t="s">
        <v>18</v>
      </c>
      <c r="C152" s="4" t="s">
        <v>19</v>
      </c>
      <c r="D152" s="4" t="s">
        <v>20</v>
      </c>
      <c r="E152" s="7">
        <v>43388</v>
      </c>
      <c r="F152" s="4" t="s">
        <v>73</v>
      </c>
      <c r="G152" s="4" t="s">
        <v>179</v>
      </c>
      <c r="H152" s="4">
        <v>500</v>
      </c>
      <c r="I152" s="4">
        <v>500</v>
      </c>
      <c r="J152" s="5">
        <v>0</v>
      </c>
      <c r="K152" s="3">
        <v>58</v>
      </c>
      <c r="L152" s="4">
        <f>tblSales[[#This Row],[Quantity]]*tblSales[[#This Row],[Actual Price]]</f>
        <v>29000</v>
      </c>
    </row>
    <row r="153" spans="1:12" x14ac:dyDescent="0.35">
      <c r="A153" s="3" t="s">
        <v>385</v>
      </c>
      <c r="B153" s="4" t="s">
        <v>128</v>
      </c>
      <c r="C153" s="4" t="s">
        <v>129</v>
      </c>
      <c r="D153" s="4" t="s">
        <v>14</v>
      </c>
      <c r="E153" s="7">
        <v>43347</v>
      </c>
      <c r="F153" s="4" t="s">
        <v>56</v>
      </c>
      <c r="G153" s="4" t="s">
        <v>386</v>
      </c>
      <c r="H153" s="4">
        <v>800</v>
      </c>
      <c r="I153" s="4">
        <v>496</v>
      </c>
      <c r="J153" s="5">
        <v>0.38</v>
      </c>
      <c r="K153" s="3">
        <v>99</v>
      </c>
      <c r="L153" s="4">
        <f>tblSales[[#This Row],[Quantity]]*tblSales[[#This Row],[Actual Price]]</f>
        <v>49104</v>
      </c>
    </row>
    <row r="154" spans="1:12" x14ac:dyDescent="0.35">
      <c r="A154" s="3" t="s">
        <v>387</v>
      </c>
      <c r="B154" s="4" t="s">
        <v>82</v>
      </c>
      <c r="C154" s="4" t="s">
        <v>83</v>
      </c>
      <c r="D154" s="4" t="s">
        <v>14</v>
      </c>
      <c r="E154" s="7">
        <v>43343</v>
      </c>
      <c r="F154" s="4" t="s">
        <v>105</v>
      </c>
      <c r="G154" s="4" t="s">
        <v>388</v>
      </c>
      <c r="H154" s="4">
        <v>70</v>
      </c>
      <c r="I154" s="4">
        <v>69</v>
      </c>
      <c r="J154" s="5">
        <v>1.43E-2</v>
      </c>
      <c r="K154" s="3">
        <v>84</v>
      </c>
      <c r="L154" s="4">
        <f>tblSales[[#This Row],[Quantity]]*tblSales[[#This Row],[Actual Price]]</f>
        <v>5796</v>
      </c>
    </row>
    <row r="155" spans="1:12" x14ac:dyDescent="0.35">
      <c r="A155" s="3" t="s">
        <v>389</v>
      </c>
      <c r="B155" s="4" t="s">
        <v>104</v>
      </c>
      <c r="C155" s="4" t="s">
        <v>72</v>
      </c>
      <c r="D155" s="4" t="s">
        <v>36</v>
      </c>
      <c r="E155" s="7">
        <v>43330</v>
      </c>
      <c r="F155" s="4" t="s">
        <v>42</v>
      </c>
      <c r="G155" s="4" t="s">
        <v>248</v>
      </c>
      <c r="H155" s="4">
        <v>30</v>
      </c>
      <c r="I155" s="4">
        <v>29</v>
      </c>
      <c r="J155" s="5">
        <v>3.3300000000000003E-2</v>
      </c>
      <c r="K155" s="3">
        <v>44</v>
      </c>
      <c r="L155" s="4">
        <f>tblSales[[#This Row],[Quantity]]*tblSales[[#This Row],[Actual Price]]</f>
        <v>1276</v>
      </c>
    </row>
    <row r="156" spans="1:12" x14ac:dyDescent="0.35">
      <c r="A156" s="3" t="s">
        <v>390</v>
      </c>
      <c r="B156" s="4" t="s">
        <v>151</v>
      </c>
      <c r="C156" s="4" t="s">
        <v>152</v>
      </c>
      <c r="D156" s="4" t="s">
        <v>14</v>
      </c>
      <c r="E156" s="7">
        <v>42536</v>
      </c>
      <c r="F156" s="4" t="s">
        <v>105</v>
      </c>
      <c r="G156" s="4" t="s">
        <v>153</v>
      </c>
      <c r="H156" s="4">
        <v>70</v>
      </c>
      <c r="I156" s="4">
        <v>65</v>
      </c>
      <c r="J156" s="5">
        <v>7.1400000000000005E-2</v>
      </c>
      <c r="K156" s="3">
        <v>13</v>
      </c>
      <c r="L156" s="4">
        <f>tblSales[[#This Row],[Quantity]]*tblSales[[#This Row],[Actual Price]]</f>
        <v>845</v>
      </c>
    </row>
    <row r="157" spans="1:12" x14ac:dyDescent="0.35">
      <c r="A157" s="3" t="s">
        <v>391</v>
      </c>
      <c r="B157" s="4" t="s">
        <v>71</v>
      </c>
      <c r="C157" s="4" t="s">
        <v>72</v>
      </c>
      <c r="D157" s="4" t="s">
        <v>36</v>
      </c>
      <c r="E157" s="7">
        <v>42465</v>
      </c>
      <c r="F157" s="4" t="s">
        <v>15</v>
      </c>
      <c r="G157" s="4" t="s">
        <v>392</v>
      </c>
      <c r="H157" s="4">
        <v>80</v>
      </c>
      <c r="I157" s="4">
        <v>78</v>
      </c>
      <c r="J157" s="5">
        <v>2.5000000000000001E-2</v>
      </c>
      <c r="K157" s="3">
        <v>83</v>
      </c>
      <c r="L157" s="4">
        <f>tblSales[[#This Row],[Quantity]]*tblSales[[#This Row],[Actual Price]]</f>
        <v>6474</v>
      </c>
    </row>
    <row r="158" spans="1:12" x14ac:dyDescent="0.35">
      <c r="A158" s="3" t="s">
        <v>393</v>
      </c>
      <c r="B158" s="4" t="s">
        <v>222</v>
      </c>
      <c r="C158" s="4" t="s">
        <v>41</v>
      </c>
      <c r="D158" s="4" t="s">
        <v>36</v>
      </c>
      <c r="E158" s="7">
        <v>42171</v>
      </c>
      <c r="F158" s="4" t="s">
        <v>123</v>
      </c>
      <c r="G158" s="4" t="s">
        <v>232</v>
      </c>
      <c r="H158" s="4">
        <v>50</v>
      </c>
      <c r="I158" s="4">
        <v>39</v>
      </c>
      <c r="J158" s="5">
        <v>0.22</v>
      </c>
      <c r="K158" s="3">
        <v>20</v>
      </c>
      <c r="L158" s="4">
        <f>tblSales[[#This Row],[Quantity]]*tblSales[[#This Row],[Actual Price]]</f>
        <v>780</v>
      </c>
    </row>
    <row r="159" spans="1:12" x14ac:dyDescent="0.35">
      <c r="A159" s="3" t="s">
        <v>394</v>
      </c>
      <c r="B159" s="4" t="s">
        <v>78</v>
      </c>
      <c r="C159" s="4" t="s">
        <v>79</v>
      </c>
      <c r="D159" s="4" t="s">
        <v>36</v>
      </c>
      <c r="E159" s="7">
        <v>42840</v>
      </c>
      <c r="F159" s="4" t="s">
        <v>42</v>
      </c>
      <c r="G159" s="4" t="s">
        <v>395</v>
      </c>
      <c r="H159" s="4">
        <v>30</v>
      </c>
      <c r="I159" s="4">
        <v>28</v>
      </c>
      <c r="J159" s="5">
        <v>6.6699999999999995E-2</v>
      </c>
      <c r="K159" s="3">
        <v>59</v>
      </c>
      <c r="L159" s="4">
        <f>tblSales[[#This Row],[Quantity]]*tblSales[[#This Row],[Actual Price]]</f>
        <v>1652</v>
      </c>
    </row>
    <row r="160" spans="1:12" x14ac:dyDescent="0.35">
      <c r="A160" s="3" t="s">
        <v>396</v>
      </c>
      <c r="B160" s="4" t="s">
        <v>29</v>
      </c>
      <c r="C160" s="4" t="s">
        <v>30</v>
      </c>
      <c r="D160" s="4" t="s">
        <v>14</v>
      </c>
      <c r="E160" s="7">
        <v>42180</v>
      </c>
      <c r="F160" s="4" t="s">
        <v>47</v>
      </c>
      <c r="G160" s="4" t="s">
        <v>397</v>
      </c>
      <c r="H160" s="4">
        <v>500</v>
      </c>
      <c r="I160" s="4">
        <v>315</v>
      </c>
      <c r="J160" s="5">
        <v>0.37</v>
      </c>
      <c r="K160" s="3">
        <v>63</v>
      </c>
      <c r="L160" s="4">
        <f>tblSales[[#This Row],[Quantity]]*tblSales[[#This Row],[Actual Price]]</f>
        <v>19845</v>
      </c>
    </row>
    <row r="161" spans="1:12" x14ac:dyDescent="0.35">
      <c r="A161" s="3" t="s">
        <v>398</v>
      </c>
      <c r="B161" s="4" t="s">
        <v>50</v>
      </c>
      <c r="C161" s="4" t="s">
        <v>51</v>
      </c>
      <c r="D161" s="4" t="s">
        <v>25</v>
      </c>
      <c r="E161" s="7">
        <v>42495</v>
      </c>
      <c r="F161" s="4" t="s">
        <v>42</v>
      </c>
      <c r="G161" s="4" t="s">
        <v>399</v>
      </c>
      <c r="H161" s="4">
        <v>30</v>
      </c>
      <c r="I161" s="4">
        <v>29</v>
      </c>
      <c r="J161" s="5">
        <v>3.3300000000000003E-2</v>
      </c>
      <c r="K161" s="3">
        <v>47</v>
      </c>
      <c r="L161" s="4">
        <f>tblSales[[#This Row],[Quantity]]*tblSales[[#This Row],[Actual Price]]</f>
        <v>1363</v>
      </c>
    </row>
    <row r="162" spans="1:12" x14ac:dyDescent="0.35">
      <c r="A162" s="3" t="s">
        <v>400</v>
      </c>
      <c r="B162" s="4" t="s">
        <v>401</v>
      </c>
      <c r="C162" s="4" t="s">
        <v>402</v>
      </c>
      <c r="D162" s="4" t="s">
        <v>14</v>
      </c>
      <c r="E162" s="7">
        <v>42509</v>
      </c>
      <c r="F162" s="4" t="s">
        <v>26</v>
      </c>
      <c r="G162" s="4" t="s">
        <v>403</v>
      </c>
      <c r="H162" s="4">
        <v>700</v>
      </c>
      <c r="I162" s="4">
        <v>595</v>
      </c>
      <c r="J162" s="5">
        <v>0.15</v>
      </c>
      <c r="K162" s="3">
        <v>5</v>
      </c>
      <c r="L162" s="4">
        <f>tblSales[[#This Row],[Quantity]]*tblSales[[#This Row],[Actual Price]]</f>
        <v>2975</v>
      </c>
    </row>
    <row r="163" spans="1:12" x14ac:dyDescent="0.35">
      <c r="A163" s="3" t="s">
        <v>404</v>
      </c>
      <c r="B163" s="4" t="s">
        <v>54</v>
      </c>
      <c r="C163" s="4" t="s">
        <v>55</v>
      </c>
      <c r="D163" s="4" t="s">
        <v>14</v>
      </c>
      <c r="E163" s="7">
        <v>41696</v>
      </c>
      <c r="F163" s="4" t="s">
        <v>73</v>
      </c>
      <c r="G163" s="4" t="s">
        <v>405</v>
      </c>
      <c r="H163" s="4">
        <v>500</v>
      </c>
      <c r="I163" s="4">
        <v>500</v>
      </c>
      <c r="J163" s="5">
        <v>0</v>
      </c>
      <c r="K163" s="3">
        <v>27</v>
      </c>
      <c r="L163" s="4">
        <f>tblSales[[#This Row],[Quantity]]*tblSales[[#This Row],[Actual Price]]</f>
        <v>13500</v>
      </c>
    </row>
    <row r="164" spans="1:12" x14ac:dyDescent="0.35">
      <c r="A164" s="3" t="s">
        <v>406</v>
      </c>
      <c r="B164" s="4" t="s">
        <v>50</v>
      </c>
      <c r="C164" s="4" t="s">
        <v>51</v>
      </c>
      <c r="D164" s="4" t="s">
        <v>25</v>
      </c>
      <c r="E164" s="7">
        <v>41969</v>
      </c>
      <c r="F164" s="4" t="s">
        <v>116</v>
      </c>
      <c r="G164" s="4" t="s">
        <v>52</v>
      </c>
      <c r="H164" s="4">
        <v>250</v>
      </c>
      <c r="I164" s="4">
        <v>243</v>
      </c>
      <c r="J164" s="5">
        <v>2.8000000000000001E-2</v>
      </c>
      <c r="K164" s="3">
        <v>62</v>
      </c>
      <c r="L164" s="4">
        <f>tblSales[[#This Row],[Quantity]]*tblSales[[#This Row],[Actual Price]]</f>
        <v>15066</v>
      </c>
    </row>
    <row r="165" spans="1:12" x14ac:dyDescent="0.35">
      <c r="A165" s="3" t="s">
        <v>407</v>
      </c>
      <c r="B165" s="4" t="s">
        <v>132</v>
      </c>
      <c r="C165" s="4" t="s">
        <v>109</v>
      </c>
      <c r="D165" s="4" t="s">
        <v>20</v>
      </c>
      <c r="E165" s="7">
        <v>41665</v>
      </c>
      <c r="F165" s="4" t="s">
        <v>37</v>
      </c>
      <c r="G165" s="4" t="s">
        <v>133</v>
      </c>
      <c r="H165" s="4">
        <v>50</v>
      </c>
      <c r="I165" s="4">
        <v>40</v>
      </c>
      <c r="J165" s="5">
        <v>0.2</v>
      </c>
      <c r="K165" s="3">
        <v>24</v>
      </c>
      <c r="L165" s="4">
        <f>tblSales[[#This Row],[Quantity]]*tblSales[[#This Row],[Actual Price]]</f>
        <v>960</v>
      </c>
    </row>
    <row r="166" spans="1:12" x14ac:dyDescent="0.35">
      <c r="A166" s="3" t="s">
        <v>408</v>
      </c>
      <c r="B166" s="4" t="s">
        <v>92</v>
      </c>
      <c r="C166" s="4" t="s">
        <v>93</v>
      </c>
      <c r="D166" s="4" t="s">
        <v>36</v>
      </c>
      <c r="E166" s="7">
        <v>42120</v>
      </c>
      <c r="F166" s="4" t="s">
        <v>105</v>
      </c>
      <c r="G166" s="4" t="s">
        <v>286</v>
      </c>
      <c r="H166" s="4">
        <v>70</v>
      </c>
      <c r="I166" s="4">
        <v>47</v>
      </c>
      <c r="J166" s="5">
        <v>0.3286</v>
      </c>
      <c r="K166" s="3">
        <v>10</v>
      </c>
      <c r="L166" s="4">
        <f>tblSales[[#This Row],[Quantity]]*tblSales[[#This Row],[Actual Price]]</f>
        <v>470</v>
      </c>
    </row>
    <row r="167" spans="1:12" x14ac:dyDescent="0.35">
      <c r="A167" s="3" t="s">
        <v>409</v>
      </c>
      <c r="B167" s="4" t="s">
        <v>151</v>
      </c>
      <c r="C167" s="4" t="s">
        <v>152</v>
      </c>
      <c r="D167" s="4" t="s">
        <v>14</v>
      </c>
      <c r="E167" s="7">
        <v>42100</v>
      </c>
      <c r="F167" s="4" t="s">
        <v>123</v>
      </c>
      <c r="G167" s="4" t="s">
        <v>410</v>
      </c>
      <c r="H167" s="4">
        <v>50</v>
      </c>
      <c r="I167" s="4">
        <v>46</v>
      </c>
      <c r="J167" s="5">
        <v>0.08</v>
      </c>
      <c r="K167" s="3">
        <v>76</v>
      </c>
      <c r="L167" s="4">
        <f>tblSales[[#This Row],[Quantity]]*tblSales[[#This Row],[Actual Price]]</f>
        <v>3496</v>
      </c>
    </row>
    <row r="168" spans="1:12" x14ac:dyDescent="0.35">
      <c r="A168" s="3" t="s">
        <v>411</v>
      </c>
      <c r="B168" s="4" t="s">
        <v>171</v>
      </c>
      <c r="C168" s="4" t="s">
        <v>172</v>
      </c>
      <c r="D168" s="4" t="s">
        <v>14</v>
      </c>
      <c r="E168" s="7">
        <v>42158</v>
      </c>
      <c r="F168" s="4" t="s">
        <v>73</v>
      </c>
      <c r="G168" s="4" t="s">
        <v>412</v>
      </c>
      <c r="H168" s="4">
        <v>500</v>
      </c>
      <c r="I168" s="4">
        <v>500</v>
      </c>
      <c r="J168" s="5">
        <v>0</v>
      </c>
      <c r="K168" s="3">
        <v>21</v>
      </c>
      <c r="L168" s="4">
        <f>tblSales[[#This Row],[Quantity]]*tblSales[[#This Row],[Actual Price]]</f>
        <v>10500</v>
      </c>
    </row>
    <row r="169" spans="1:12" x14ac:dyDescent="0.35">
      <c r="A169" s="3" t="s">
        <v>413</v>
      </c>
      <c r="B169" s="4" t="s">
        <v>225</v>
      </c>
      <c r="C169" s="4" t="s">
        <v>51</v>
      </c>
      <c r="D169" s="4" t="s">
        <v>25</v>
      </c>
      <c r="E169" s="7">
        <v>42819</v>
      </c>
      <c r="F169" s="4" t="s">
        <v>15</v>
      </c>
      <c r="G169" s="4" t="s">
        <v>414</v>
      </c>
      <c r="H169" s="4">
        <v>80</v>
      </c>
      <c r="I169" s="4">
        <v>77</v>
      </c>
      <c r="J169" s="5">
        <v>3.7499999999999999E-2</v>
      </c>
      <c r="K169" s="3">
        <v>33</v>
      </c>
      <c r="L169" s="4">
        <f>tblSales[[#This Row],[Quantity]]*tblSales[[#This Row],[Actual Price]]</f>
        <v>2541</v>
      </c>
    </row>
    <row r="170" spans="1:12" x14ac:dyDescent="0.35">
      <c r="A170" s="3" t="s">
        <v>415</v>
      </c>
      <c r="B170" s="4" t="s">
        <v>188</v>
      </c>
      <c r="C170" s="4" t="s">
        <v>189</v>
      </c>
      <c r="D170" s="4" t="s">
        <v>14</v>
      </c>
      <c r="E170" s="7">
        <v>43116</v>
      </c>
      <c r="F170" s="4" t="s">
        <v>123</v>
      </c>
      <c r="G170" s="4" t="s">
        <v>416</v>
      </c>
      <c r="H170" s="4">
        <v>50</v>
      </c>
      <c r="I170" s="4">
        <v>43</v>
      </c>
      <c r="J170" s="5">
        <v>0.14000000000000001</v>
      </c>
      <c r="K170" s="3">
        <v>3</v>
      </c>
      <c r="L170" s="4">
        <f>tblSales[[#This Row],[Quantity]]*tblSales[[#This Row],[Actual Price]]</f>
        <v>129</v>
      </c>
    </row>
    <row r="171" spans="1:12" x14ac:dyDescent="0.35">
      <c r="A171" s="3" t="s">
        <v>417</v>
      </c>
      <c r="B171" s="4" t="s">
        <v>71</v>
      </c>
      <c r="C171" s="4" t="s">
        <v>72</v>
      </c>
      <c r="D171" s="4" t="s">
        <v>36</v>
      </c>
      <c r="E171" s="7">
        <v>43319</v>
      </c>
      <c r="F171" s="4" t="s">
        <v>31</v>
      </c>
      <c r="G171" s="4" t="s">
        <v>418</v>
      </c>
      <c r="H171" s="4">
        <v>150</v>
      </c>
      <c r="I171" s="4">
        <v>143</v>
      </c>
      <c r="J171" s="5">
        <v>4.6699999999999998E-2</v>
      </c>
      <c r="K171" s="3">
        <v>95</v>
      </c>
      <c r="L171" s="4">
        <f>tblSales[[#This Row],[Quantity]]*tblSales[[#This Row],[Actual Price]]</f>
        <v>13585</v>
      </c>
    </row>
    <row r="172" spans="1:12" x14ac:dyDescent="0.35">
      <c r="A172" s="3" t="s">
        <v>419</v>
      </c>
      <c r="B172" s="4" t="s">
        <v>65</v>
      </c>
      <c r="C172" s="4" t="s">
        <v>66</v>
      </c>
      <c r="D172" s="4" t="s">
        <v>36</v>
      </c>
      <c r="E172" s="7">
        <v>42164</v>
      </c>
      <c r="F172" s="4" t="s">
        <v>62</v>
      </c>
      <c r="G172" s="4" t="s">
        <v>67</v>
      </c>
      <c r="H172" s="4">
        <v>1000</v>
      </c>
      <c r="I172" s="4">
        <v>610</v>
      </c>
      <c r="J172" s="5">
        <v>0.39</v>
      </c>
      <c r="K172" s="3">
        <v>53</v>
      </c>
      <c r="L172" s="4">
        <f>tblSales[[#This Row],[Quantity]]*tblSales[[#This Row],[Actual Price]]</f>
        <v>32330</v>
      </c>
    </row>
    <row r="173" spans="1:12" x14ac:dyDescent="0.35">
      <c r="A173" s="3" t="s">
        <v>420</v>
      </c>
      <c r="B173" s="4" t="s">
        <v>82</v>
      </c>
      <c r="C173" s="4" t="s">
        <v>83</v>
      </c>
      <c r="D173" s="4" t="s">
        <v>14</v>
      </c>
      <c r="E173" s="7">
        <v>41795</v>
      </c>
      <c r="F173" s="4" t="s">
        <v>37</v>
      </c>
      <c r="G173" s="4" t="s">
        <v>388</v>
      </c>
      <c r="H173" s="4">
        <v>50</v>
      </c>
      <c r="I173" s="4">
        <v>41</v>
      </c>
      <c r="J173" s="5">
        <v>0.18</v>
      </c>
      <c r="K173" s="3">
        <v>69</v>
      </c>
      <c r="L173" s="4">
        <f>tblSales[[#This Row],[Quantity]]*tblSales[[#This Row],[Actual Price]]</f>
        <v>2829</v>
      </c>
    </row>
    <row r="174" spans="1:12" x14ac:dyDescent="0.35">
      <c r="A174" s="3" t="s">
        <v>421</v>
      </c>
      <c r="B174" s="4" t="s">
        <v>290</v>
      </c>
      <c r="C174" s="4" t="s">
        <v>109</v>
      </c>
      <c r="D174" s="4" t="s">
        <v>20</v>
      </c>
      <c r="E174" s="7">
        <v>42175</v>
      </c>
      <c r="F174" s="4" t="s">
        <v>42</v>
      </c>
      <c r="G174" s="4" t="s">
        <v>422</v>
      </c>
      <c r="H174" s="4">
        <v>30</v>
      </c>
      <c r="I174" s="4">
        <v>29</v>
      </c>
      <c r="J174" s="5">
        <v>3.3300000000000003E-2</v>
      </c>
      <c r="K174" s="3">
        <v>36</v>
      </c>
      <c r="L174" s="4">
        <f>tblSales[[#This Row],[Quantity]]*tblSales[[#This Row],[Actual Price]]</f>
        <v>1044</v>
      </c>
    </row>
    <row r="175" spans="1:12" x14ac:dyDescent="0.35">
      <c r="A175" s="3" t="s">
        <v>423</v>
      </c>
      <c r="B175" s="4" t="s">
        <v>128</v>
      </c>
      <c r="C175" s="4" t="s">
        <v>129</v>
      </c>
      <c r="D175" s="4" t="s">
        <v>14</v>
      </c>
      <c r="E175" s="7">
        <v>41941</v>
      </c>
      <c r="F175" s="4" t="s">
        <v>15</v>
      </c>
      <c r="G175" s="4" t="s">
        <v>386</v>
      </c>
      <c r="H175" s="4">
        <v>80</v>
      </c>
      <c r="I175" s="4">
        <v>70</v>
      </c>
      <c r="J175" s="5">
        <v>0.125</v>
      </c>
      <c r="K175" s="3">
        <v>46</v>
      </c>
      <c r="L175" s="4">
        <f>tblSales[[#This Row],[Quantity]]*tblSales[[#This Row],[Actual Price]]</f>
        <v>3220</v>
      </c>
    </row>
    <row r="176" spans="1:12" x14ac:dyDescent="0.35">
      <c r="A176" s="3" t="s">
        <v>424</v>
      </c>
      <c r="B176" s="4" t="s">
        <v>29</v>
      </c>
      <c r="C176" s="4" t="s">
        <v>30</v>
      </c>
      <c r="D176" s="4" t="s">
        <v>14</v>
      </c>
      <c r="E176" s="7">
        <v>43444</v>
      </c>
      <c r="F176" s="4" t="s">
        <v>116</v>
      </c>
      <c r="G176" s="4" t="s">
        <v>425</v>
      </c>
      <c r="H176" s="4">
        <v>250</v>
      </c>
      <c r="I176" s="4">
        <v>240</v>
      </c>
      <c r="J176" s="5">
        <v>0.04</v>
      </c>
      <c r="K176" s="3">
        <v>73</v>
      </c>
      <c r="L176" s="4">
        <f>tblSales[[#This Row],[Quantity]]*tblSales[[#This Row],[Actual Price]]</f>
        <v>17520</v>
      </c>
    </row>
    <row r="177" spans="1:12" x14ac:dyDescent="0.35">
      <c r="A177" s="3" t="s">
        <v>426</v>
      </c>
      <c r="B177" s="4" t="s">
        <v>242</v>
      </c>
      <c r="C177" s="4" t="s">
        <v>243</v>
      </c>
      <c r="D177" s="4" t="s">
        <v>14</v>
      </c>
      <c r="E177" s="7">
        <v>43240</v>
      </c>
      <c r="F177" s="4" t="s">
        <v>42</v>
      </c>
      <c r="G177" s="4" t="s">
        <v>427</v>
      </c>
      <c r="H177" s="4">
        <v>30</v>
      </c>
      <c r="I177" s="4">
        <v>28</v>
      </c>
      <c r="J177" s="5">
        <v>6.6699999999999995E-2</v>
      </c>
      <c r="K177" s="3">
        <v>86</v>
      </c>
      <c r="L177" s="4">
        <f>tblSales[[#This Row],[Quantity]]*tblSales[[#This Row],[Actual Price]]</f>
        <v>2408</v>
      </c>
    </row>
    <row r="178" spans="1:12" x14ac:dyDescent="0.35">
      <c r="A178" s="3" t="s">
        <v>428</v>
      </c>
      <c r="B178" s="4" t="s">
        <v>71</v>
      </c>
      <c r="C178" s="4" t="s">
        <v>72</v>
      </c>
      <c r="D178" s="4" t="s">
        <v>36</v>
      </c>
      <c r="E178" s="7">
        <v>43121</v>
      </c>
      <c r="F178" s="4" t="s">
        <v>105</v>
      </c>
      <c r="G178" s="4" t="s">
        <v>143</v>
      </c>
      <c r="H178" s="4">
        <v>70</v>
      </c>
      <c r="I178" s="4">
        <v>64</v>
      </c>
      <c r="J178" s="5">
        <v>8.5699999999999998E-2</v>
      </c>
      <c r="K178" s="3">
        <v>15</v>
      </c>
      <c r="L178" s="4">
        <f>tblSales[[#This Row],[Quantity]]*tblSales[[#This Row],[Actual Price]]</f>
        <v>960</v>
      </c>
    </row>
    <row r="179" spans="1:12" x14ac:dyDescent="0.35">
      <c r="A179" s="3" t="s">
        <v>429</v>
      </c>
      <c r="B179" s="4" t="s">
        <v>108</v>
      </c>
      <c r="C179" s="4" t="s">
        <v>109</v>
      </c>
      <c r="D179" s="4" t="s">
        <v>20</v>
      </c>
      <c r="E179" s="7">
        <v>42200</v>
      </c>
      <c r="F179" s="4" t="s">
        <v>105</v>
      </c>
      <c r="G179" s="4" t="s">
        <v>110</v>
      </c>
      <c r="H179" s="4">
        <v>70</v>
      </c>
      <c r="I179" s="4">
        <v>51</v>
      </c>
      <c r="J179" s="5">
        <v>0.27139999999999997</v>
      </c>
      <c r="K179" s="3">
        <v>34</v>
      </c>
      <c r="L179" s="4">
        <f>tblSales[[#This Row],[Quantity]]*tblSales[[#This Row],[Actual Price]]</f>
        <v>1734</v>
      </c>
    </row>
    <row r="180" spans="1:12" x14ac:dyDescent="0.35">
      <c r="A180" s="3" t="s">
        <v>430</v>
      </c>
      <c r="B180" s="4" t="s">
        <v>23</v>
      </c>
      <c r="C180" s="4" t="s">
        <v>24</v>
      </c>
      <c r="D180" s="4" t="s">
        <v>25</v>
      </c>
      <c r="E180" s="7">
        <v>42196</v>
      </c>
      <c r="F180" s="4" t="s">
        <v>37</v>
      </c>
      <c r="G180" s="4" t="s">
        <v>145</v>
      </c>
      <c r="H180" s="4">
        <v>50</v>
      </c>
      <c r="I180" s="4">
        <v>41</v>
      </c>
      <c r="J180" s="5">
        <v>0.18</v>
      </c>
      <c r="K180" s="3">
        <v>64</v>
      </c>
      <c r="L180" s="4">
        <f>tblSales[[#This Row],[Quantity]]*tblSales[[#This Row],[Actual Price]]</f>
        <v>2624</v>
      </c>
    </row>
    <row r="181" spans="1:12" x14ac:dyDescent="0.35">
      <c r="A181" s="3" t="s">
        <v>431</v>
      </c>
      <c r="B181" s="4" t="s">
        <v>45</v>
      </c>
      <c r="C181" s="4" t="s">
        <v>46</v>
      </c>
      <c r="D181" s="4" t="s">
        <v>25</v>
      </c>
      <c r="E181" s="7">
        <v>43307</v>
      </c>
      <c r="F181" s="4" t="s">
        <v>73</v>
      </c>
      <c r="G181" s="4" t="s">
        <v>432</v>
      </c>
      <c r="H181" s="4">
        <v>500</v>
      </c>
      <c r="I181" s="4">
        <v>490</v>
      </c>
      <c r="J181" s="5">
        <v>0.02</v>
      </c>
      <c r="K181" s="3">
        <v>16</v>
      </c>
      <c r="L181" s="4">
        <f>tblSales[[#This Row],[Quantity]]*tblSales[[#This Row],[Actual Price]]</f>
        <v>7840</v>
      </c>
    </row>
    <row r="182" spans="1:12" x14ac:dyDescent="0.35">
      <c r="A182" s="3" t="s">
        <v>433</v>
      </c>
      <c r="B182" s="4" t="s">
        <v>45</v>
      </c>
      <c r="C182" s="4" t="s">
        <v>46</v>
      </c>
      <c r="D182" s="4" t="s">
        <v>25</v>
      </c>
      <c r="E182" s="7">
        <v>41806</v>
      </c>
      <c r="F182" s="4" t="s">
        <v>73</v>
      </c>
      <c r="G182" s="4" t="s">
        <v>48</v>
      </c>
      <c r="H182" s="4">
        <v>500</v>
      </c>
      <c r="I182" s="4">
        <v>490</v>
      </c>
      <c r="J182" s="5">
        <v>0.02</v>
      </c>
      <c r="K182" s="3">
        <v>77</v>
      </c>
      <c r="L182" s="4">
        <f>tblSales[[#This Row],[Quantity]]*tblSales[[#This Row],[Actual Price]]</f>
        <v>37730</v>
      </c>
    </row>
    <row r="183" spans="1:12" x14ac:dyDescent="0.35">
      <c r="A183" s="3" t="s">
        <v>434</v>
      </c>
      <c r="B183" s="4" t="s">
        <v>435</v>
      </c>
      <c r="C183" s="4" t="s">
        <v>436</v>
      </c>
      <c r="D183" s="4" t="s">
        <v>25</v>
      </c>
      <c r="E183" s="7">
        <v>42194</v>
      </c>
      <c r="F183" s="4" t="s">
        <v>62</v>
      </c>
      <c r="G183" s="4" t="s">
        <v>437</v>
      </c>
      <c r="H183" s="4">
        <v>1000</v>
      </c>
      <c r="I183" s="4">
        <v>910</v>
      </c>
      <c r="J183" s="5">
        <v>0.09</v>
      </c>
      <c r="K183" s="3">
        <v>17</v>
      </c>
      <c r="L183" s="4">
        <f>tblSales[[#This Row],[Quantity]]*tblSales[[#This Row],[Actual Price]]</f>
        <v>15470</v>
      </c>
    </row>
    <row r="184" spans="1:12" x14ac:dyDescent="0.35">
      <c r="A184" s="3" t="s">
        <v>438</v>
      </c>
      <c r="B184" s="4" t="s">
        <v>228</v>
      </c>
      <c r="C184" s="4" t="s">
        <v>229</v>
      </c>
      <c r="D184" s="4" t="s">
        <v>25</v>
      </c>
      <c r="E184" s="7">
        <v>42601</v>
      </c>
      <c r="F184" s="4" t="s">
        <v>42</v>
      </c>
      <c r="G184" s="4" t="s">
        <v>439</v>
      </c>
      <c r="H184" s="4">
        <v>30</v>
      </c>
      <c r="I184" s="4">
        <v>28</v>
      </c>
      <c r="J184" s="5">
        <v>6.6699999999999995E-2</v>
      </c>
      <c r="K184" s="3">
        <v>24</v>
      </c>
      <c r="L184" s="4">
        <f>tblSales[[#This Row],[Quantity]]*tblSales[[#This Row],[Actual Price]]</f>
        <v>672</v>
      </c>
    </row>
    <row r="185" spans="1:12" x14ac:dyDescent="0.35">
      <c r="A185" s="3" t="s">
        <v>440</v>
      </c>
      <c r="B185" s="4" t="s">
        <v>171</v>
      </c>
      <c r="C185" s="4" t="s">
        <v>172</v>
      </c>
      <c r="D185" s="4" t="s">
        <v>14</v>
      </c>
      <c r="E185" s="7">
        <v>41671</v>
      </c>
      <c r="F185" s="4" t="s">
        <v>37</v>
      </c>
      <c r="G185" s="4" t="s">
        <v>441</v>
      </c>
      <c r="H185" s="4">
        <v>50</v>
      </c>
      <c r="I185" s="4">
        <v>44</v>
      </c>
      <c r="J185" s="5">
        <v>0.12</v>
      </c>
      <c r="K185" s="3">
        <v>75</v>
      </c>
      <c r="L185" s="4">
        <f>tblSales[[#This Row],[Quantity]]*tblSales[[#This Row],[Actual Price]]</f>
        <v>3300</v>
      </c>
    </row>
    <row r="186" spans="1:12" x14ac:dyDescent="0.35">
      <c r="A186" s="3" t="s">
        <v>442</v>
      </c>
      <c r="B186" s="4" t="s">
        <v>242</v>
      </c>
      <c r="C186" s="4" t="s">
        <v>243</v>
      </c>
      <c r="D186" s="4" t="s">
        <v>14</v>
      </c>
      <c r="E186" s="7">
        <v>42515</v>
      </c>
      <c r="F186" s="4" t="s">
        <v>15</v>
      </c>
      <c r="G186" s="4" t="s">
        <v>288</v>
      </c>
      <c r="H186" s="4">
        <v>80</v>
      </c>
      <c r="I186" s="4">
        <v>75</v>
      </c>
      <c r="J186" s="5">
        <v>6.25E-2</v>
      </c>
      <c r="K186" s="3">
        <v>6</v>
      </c>
      <c r="L186" s="4">
        <f>tblSales[[#This Row],[Quantity]]*tblSales[[#This Row],[Actual Price]]</f>
        <v>450</v>
      </c>
    </row>
    <row r="187" spans="1:12" x14ac:dyDescent="0.35">
      <c r="A187" s="3" t="s">
        <v>443</v>
      </c>
      <c r="B187" s="4" t="s">
        <v>401</v>
      </c>
      <c r="C187" s="4" t="s">
        <v>402</v>
      </c>
      <c r="D187" s="4" t="s">
        <v>14</v>
      </c>
      <c r="E187" s="7">
        <v>42177</v>
      </c>
      <c r="F187" s="4" t="s">
        <v>116</v>
      </c>
      <c r="G187" s="4" t="s">
        <v>444</v>
      </c>
      <c r="H187" s="4">
        <v>250</v>
      </c>
      <c r="I187" s="4">
        <v>225</v>
      </c>
      <c r="J187" s="5">
        <v>0.1</v>
      </c>
      <c r="K187" s="3">
        <v>7</v>
      </c>
      <c r="L187" s="4">
        <f>tblSales[[#This Row],[Quantity]]*tblSales[[#This Row],[Actual Price]]</f>
        <v>1575</v>
      </c>
    </row>
    <row r="188" spans="1:12" x14ac:dyDescent="0.35">
      <c r="A188" s="3" t="s">
        <v>445</v>
      </c>
      <c r="B188" s="4" t="s">
        <v>29</v>
      </c>
      <c r="C188" s="4" t="s">
        <v>30</v>
      </c>
      <c r="D188" s="4" t="s">
        <v>14</v>
      </c>
      <c r="E188" s="7">
        <v>42637</v>
      </c>
      <c r="F188" s="4" t="s">
        <v>42</v>
      </c>
      <c r="G188" s="4" t="s">
        <v>446</v>
      </c>
      <c r="H188" s="4">
        <v>30</v>
      </c>
      <c r="I188" s="4">
        <v>30</v>
      </c>
      <c r="J188" s="5">
        <v>0</v>
      </c>
      <c r="K188" s="3">
        <v>59</v>
      </c>
      <c r="L188" s="4">
        <f>tblSales[[#This Row],[Quantity]]*tblSales[[#This Row],[Actual Price]]</f>
        <v>1770</v>
      </c>
    </row>
    <row r="189" spans="1:12" x14ac:dyDescent="0.35">
      <c r="A189" s="3" t="s">
        <v>447</v>
      </c>
      <c r="B189" s="4" t="s">
        <v>228</v>
      </c>
      <c r="C189" s="4" t="s">
        <v>229</v>
      </c>
      <c r="D189" s="4" t="s">
        <v>25</v>
      </c>
      <c r="E189" s="7">
        <v>41903</v>
      </c>
      <c r="F189" s="4" t="s">
        <v>116</v>
      </c>
      <c r="G189" s="4" t="s">
        <v>279</v>
      </c>
      <c r="H189" s="4">
        <v>250</v>
      </c>
      <c r="I189" s="4">
        <v>210</v>
      </c>
      <c r="J189" s="5">
        <v>0.16</v>
      </c>
      <c r="K189" s="3">
        <v>78</v>
      </c>
      <c r="L189" s="4">
        <f>tblSales[[#This Row],[Quantity]]*tblSales[[#This Row],[Actual Price]]</f>
        <v>16380</v>
      </c>
    </row>
    <row r="190" spans="1:12" x14ac:dyDescent="0.35">
      <c r="A190" s="3" t="s">
        <v>448</v>
      </c>
      <c r="B190" s="4" t="s">
        <v>12</v>
      </c>
      <c r="C190" s="4" t="s">
        <v>13</v>
      </c>
      <c r="D190" s="4" t="s">
        <v>14</v>
      </c>
      <c r="E190" s="7">
        <v>42851</v>
      </c>
      <c r="F190" s="4" t="s">
        <v>116</v>
      </c>
      <c r="G190" s="4" t="s">
        <v>194</v>
      </c>
      <c r="H190" s="4">
        <v>250</v>
      </c>
      <c r="I190" s="4">
        <v>250</v>
      </c>
      <c r="J190" s="5">
        <v>0</v>
      </c>
      <c r="K190" s="3">
        <v>14</v>
      </c>
      <c r="L190" s="4">
        <f>tblSales[[#This Row],[Quantity]]*tblSales[[#This Row],[Actual Price]]</f>
        <v>3500</v>
      </c>
    </row>
    <row r="191" spans="1:12" x14ac:dyDescent="0.35">
      <c r="A191" s="3" t="s">
        <v>449</v>
      </c>
      <c r="B191" s="4" t="s">
        <v>171</v>
      </c>
      <c r="C191" s="4" t="s">
        <v>172</v>
      </c>
      <c r="D191" s="4" t="s">
        <v>14</v>
      </c>
      <c r="E191" s="7">
        <v>43096</v>
      </c>
      <c r="F191" s="4" t="s">
        <v>47</v>
      </c>
      <c r="G191" s="4" t="s">
        <v>450</v>
      </c>
      <c r="H191" s="4">
        <v>500</v>
      </c>
      <c r="I191" s="4">
        <v>480</v>
      </c>
      <c r="J191" s="5">
        <v>0.04</v>
      </c>
      <c r="K191" s="3">
        <v>38</v>
      </c>
      <c r="L191" s="4">
        <f>tblSales[[#This Row],[Quantity]]*tblSales[[#This Row],[Actual Price]]</f>
        <v>18240</v>
      </c>
    </row>
    <row r="192" spans="1:12" x14ac:dyDescent="0.35">
      <c r="A192" s="3" t="s">
        <v>451</v>
      </c>
      <c r="B192" s="4" t="s">
        <v>34</v>
      </c>
      <c r="C192" s="4" t="s">
        <v>35</v>
      </c>
      <c r="D192" s="4" t="s">
        <v>36</v>
      </c>
      <c r="E192" s="7">
        <v>42433</v>
      </c>
      <c r="F192" s="4" t="s">
        <v>62</v>
      </c>
      <c r="G192" s="4" t="s">
        <v>452</v>
      </c>
      <c r="H192" s="4">
        <v>1000</v>
      </c>
      <c r="I192" s="4">
        <v>970</v>
      </c>
      <c r="J192" s="5">
        <v>0.03</v>
      </c>
      <c r="K192" s="3">
        <v>32</v>
      </c>
      <c r="L192" s="4">
        <f>tblSales[[#This Row],[Quantity]]*tblSales[[#This Row],[Actual Price]]</f>
        <v>31040</v>
      </c>
    </row>
    <row r="193" spans="1:12" x14ac:dyDescent="0.35">
      <c r="A193" s="3" t="s">
        <v>453</v>
      </c>
      <c r="B193" s="4" t="s">
        <v>325</v>
      </c>
      <c r="C193" s="4" t="s">
        <v>326</v>
      </c>
      <c r="D193" s="4" t="s">
        <v>14</v>
      </c>
      <c r="E193" s="7">
        <v>41841</v>
      </c>
      <c r="F193" s="4" t="s">
        <v>31</v>
      </c>
      <c r="G193" s="4" t="s">
        <v>454</v>
      </c>
      <c r="H193" s="4">
        <v>150</v>
      </c>
      <c r="I193" s="4">
        <v>144</v>
      </c>
      <c r="J193" s="5">
        <v>0.04</v>
      </c>
      <c r="K193" s="3">
        <v>81</v>
      </c>
      <c r="L193" s="4">
        <f>tblSales[[#This Row],[Quantity]]*tblSales[[#This Row],[Actual Price]]</f>
        <v>11664</v>
      </c>
    </row>
    <row r="194" spans="1:12" x14ac:dyDescent="0.35">
      <c r="A194" s="3" t="s">
        <v>455</v>
      </c>
      <c r="B194" s="4" t="s">
        <v>132</v>
      </c>
      <c r="C194" s="4" t="s">
        <v>109</v>
      </c>
      <c r="D194" s="4" t="s">
        <v>20</v>
      </c>
      <c r="E194" s="7">
        <v>42820</v>
      </c>
      <c r="F194" s="4" t="s">
        <v>26</v>
      </c>
      <c r="G194" s="4" t="s">
        <v>133</v>
      </c>
      <c r="H194" s="4">
        <v>700</v>
      </c>
      <c r="I194" s="4">
        <v>637</v>
      </c>
      <c r="J194" s="5">
        <v>0.09</v>
      </c>
      <c r="K194" s="3">
        <v>15</v>
      </c>
      <c r="L194" s="4">
        <f>tblSales[[#This Row],[Quantity]]*tblSales[[#This Row],[Actual Price]]</f>
        <v>9555</v>
      </c>
    </row>
    <row r="195" spans="1:12" x14ac:dyDescent="0.35">
      <c r="A195" s="3" t="s">
        <v>456</v>
      </c>
      <c r="B195" s="4" t="s">
        <v>112</v>
      </c>
      <c r="C195" s="4" t="s">
        <v>83</v>
      </c>
      <c r="D195" s="4" t="s">
        <v>14</v>
      </c>
      <c r="E195" s="7">
        <v>42473</v>
      </c>
      <c r="F195" s="4" t="s">
        <v>105</v>
      </c>
      <c r="G195" s="4" t="s">
        <v>457</v>
      </c>
      <c r="H195" s="4">
        <v>70</v>
      </c>
      <c r="I195" s="4">
        <v>63</v>
      </c>
      <c r="J195" s="5">
        <v>0.1</v>
      </c>
      <c r="K195" s="3">
        <v>99</v>
      </c>
      <c r="L195" s="4">
        <f>tblSales[[#This Row],[Quantity]]*tblSales[[#This Row],[Actual Price]]</f>
        <v>6237</v>
      </c>
    </row>
    <row r="196" spans="1:12" x14ac:dyDescent="0.35">
      <c r="A196" s="3" t="s">
        <v>458</v>
      </c>
      <c r="B196" s="4" t="s">
        <v>112</v>
      </c>
      <c r="C196" s="4" t="s">
        <v>83</v>
      </c>
      <c r="D196" s="4" t="s">
        <v>14</v>
      </c>
      <c r="E196" s="7">
        <v>43286</v>
      </c>
      <c r="F196" s="4" t="s">
        <v>26</v>
      </c>
      <c r="G196" s="4" t="s">
        <v>373</v>
      </c>
      <c r="H196" s="4">
        <v>700</v>
      </c>
      <c r="I196" s="4">
        <v>672</v>
      </c>
      <c r="J196" s="5">
        <v>0.04</v>
      </c>
      <c r="K196" s="3">
        <v>11</v>
      </c>
      <c r="L196" s="4">
        <f>tblSales[[#This Row],[Quantity]]*tblSales[[#This Row],[Actual Price]]</f>
        <v>7392</v>
      </c>
    </row>
    <row r="197" spans="1:12" x14ac:dyDescent="0.35">
      <c r="A197" s="3" t="s">
        <v>459</v>
      </c>
      <c r="B197" s="4" t="s">
        <v>222</v>
      </c>
      <c r="C197" s="4" t="s">
        <v>41</v>
      </c>
      <c r="D197" s="4" t="s">
        <v>36</v>
      </c>
      <c r="E197" s="7">
        <v>42031</v>
      </c>
      <c r="F197" s="4" t="s">
        <v>123</v>
      </c>
      <c r="G197" s="4" t="s">
        <v>263</v>
      </c>
      <c r="H197" s="4">
        <v>50</v>
      </c>
      <c r="I197" s="4">
        <v>42</v>
      </c>
      <c r="J197" s="5">
        <v>0.16</v>
      </c>
      <c r="K197" s="3">
        <v>75</v>
      </c>
      <c r="L197" s="4">
        <f>tblSales[[#This Row],[Quantity]]*tblSales[[#This Row],[Actual Price]]</f>
        <v>3150</v>
      </c>
    </row>
    <row r="198" spans="1:12" x14ac:dyDescent="0.35">
      <c r="A198" s="3" t="s">
        <v>460</v>
      </c>
      <c r="B198" s="4" t="s">
        <v>96</v>
      </c>
      <c r="C198" s="4" t="s">
        <v>97</v>
      </c>
      <c r="D198" s="4" t="s">
        <v>14</v>
      </c>
      <c r="E198" s="7">
        <v>43434</v>
      </c>
      <c r="F198" s="4" t="s">
        <v>15</v>
      </c>
      <c r="G198" s="4" t="s">
        <v>461</v>
      </c>
      <c r="H198" s="4">
        <v>80</v>
      </c>
      <c r="I198" s="4">
        <v>78</v>
      </c>
      <c r="J198" s="5">
        <v>2.5000000000000001E-2</v>
      </c>
      <c r="K198" s="3">
        <v>93</v>
      </c>
      <c r="L198" s="4">
        <f>tblSales[[#This Row],[Quantity]]*tblSales[[#This Row],[Actual Price]]</f>
        <v>7254</v>
      </c>
    </row>
    <row r="199" spans="1:12" x14ac:dyDescent="0.35">
      <c r="A199" s="3" t="s">
        <v>462</v>
      </c>
      <c r="B199" s="4" t="s">
        <v>435</v>
      </c>
      <c r="C199" s="4" t="s">
        <v>436</v>
      </c>
      <c r="D199" s="4" t="s">
        <v>25</v>
      </c>
      <c r="E199" s="7">
        <v>43064</v>
      </c>
      <c r="F199" s="4" t="s">
        <v>37</v>
      </c>
      <c r="G199" s="4" t="s">
        <v>463</v>
      </c>
      <c r="H199" s="4">
        <v>50</v>
      </c>
      <c r="I199" s="4">
        <v>49</v>
      </c>
      <c r="J199" s="5">
        <v>0.02</v>
      </c>
      <c r="K199" s="3">
        <v>84</v>
      </c>
      <c r="L199" s="4">
        <f>tblSales[[#This Row],[Quantity]]*tblSales[[#This Row],[Actual Price]]</f>
        <v>4116</v>
      </c>
    </row>
    <row r="200" spans="1:12" x14ac:dyDescent="0.35">
      <c r="A200" s="3" t="s">
        <v>464</v>
      </c>
      <c r="B200" s="4" t="s">
        <v>158</v>
      </c>
      <c r="C200" s="4" t="s">
        <v>109</v>
      </c>
      <c r="D200" s="4" t="s">
        <v>20</v>
      </c>
      <c r="E200" s="7">
        <v>41644</v>
      </c>
      <c r="F200" s="4" t="s">
        <v>116</v>
      </c>
      <c r="G200" s="4" t="s">
        <v>465</v>
      </c>
      <c r="H200" s="4">
        <v>250</v>
      </c>
      <c r="I200" s="4">
        <v>193</v>
      </c>
      <c r="J200" s="5">
        <v>0.22800000000000001</v>
      </c>
      <c r="K200" s="3">
        <v>53</v>
      </c>
      <c r="L200" s="4">
        <f>tblSales[[#This Row],[Quantity]]*tblSales[[#This Row],[Actual Price]]</f>
        <v>10229</v>
      </c>
    </row>
    <row r="201" spans="1:12" x14ac:dyDescent="0.35">
      <c r="A201" s="3" t="s">
        <v>466</v>
      </c>
      <c r="B201" s="4" t="s">
        <v>12</v>
      </c>
      <c r="C201" s="4" t="s">
        <v>13</v>
      </c>
      <c r="D201" s="4" t="s">
        <v>14</v>
      </c>
      <c r="E201" s="7">
        <v>42782</v>
      </c>
      <c r="F201" s="4" t="s">
        <v>15</v>
      </c>
      <c r="G201" s="4" t="s">
        <v>294</v>
      </c>
      <c r="H201" s="4">
        <v>80</v>
      </c>
      <c r="I201" s="4">
        <v>76</v>
      </c>
      <c r="J201" s="5">
        <v>0.05</v>
      </c>
      <c r="K201" s="3">
        <v>57</v>
      </c>
      <c r="L201" s="4">
        <f>tblSales[[#This Row],[Quantity]]*tblSales[[#This Row],[Actual Price]]</f>
        <v>4332</v>
      </c>
    </row>
    <row r="202" spans="1:12" x14ac:dyDescent="0.35">
      <c r="A202" s="3" t="s">
        <v>467</v>
      </c>
      <c r="B202" s="4" t="s">
        <v>132</v>
      </c>
      <c r="C202" s="4" t="s">
        <v>109</v>
      </c>
      <c r="D202" s="4" t="s">
        <v>20</v>
      </c>
      <c r="E202" s="7">
        <v>42300</v>
      </c>
      <c r="F202" s="4" t="s">
        <v>26</v>
      </c>
      <c r="G202" s="4" t="s">
        <v>213</v>
      </c>
      <c r="H202" s="4">
        <v>700</v>
      </c>
      <c r="I202" s="4">
        <v>672</v>
      </c>
      <c r="J202" s="5">
        <v>0.04</v>
      </c>
      <c r="K202" s="3">
        <v>66</v>
      </c>
      <c r="L202" s="4">
        <f>tblSales[[#This Row],[Quantity]]*tblSales[[#This Row],[Actual Price]]</f>
        <v>44352</v>
      </c>
    </row>
    <row r="203" spans="1:12" x14ac:dyDescent="0.35">
      <c r="A203" s="3" t="s">
        <v>468</v>
      </c>
      <c r="B203" s="4" t="s">
        <v>175</v>
      </c>
      <c r="C203" s="4" t="s">
        <v>176</v>
      </c>
      <c r="D203" s="4" t="s">
        <v>14</v>
      </c>
      <c r="E203" s="7">
        <v>42364</v>
      </c>
      <c r="F203" s="4" t="s">
        <v>42</v>
      </c>
      <c r="G203" s="4" t="s">
        <v>320</v>
      </c>
      <c r="H203" s="4">
        <v>30</v>
      </c>
      <c r="I203" s="4">
        <v>28</v>
      </c>
      <c r="J203" s="5">
        <v>6.6699999999999995E-2</v>
      </c>
      <c r="K203" s="3">
        <v>79</v>
      </c>
      <c r="L203" s="4">
        <f>tblSales[[#This Row],[Quantity]]*tblSales[[#This Row],[Actual Price]]</f>
        <v>2212</v>
      </c>
    </row>
    <row r="204" spans="1:12" x14ac:dyDescent="0.35">
      <c r="A204" s="3" t="s">
        <v>469</v>
      </c>
      <c r="B204" s="4" t="s">
        <v>29</v>
      </c>
      <c r="C204" s="4" t="s">
        <v>30</v>
      </c>
      <c r="D204" s="4" t="s">
        <v>14</v>
      </c>
      <c r="E204" s="7">
        <v>41951</v>
      </c>
      <c r="F204" s="4" t="s">
        <v>15</v>
      </c>
      <c r="G204" s="4" t="s">
        <v>470</v>
      </c>
      <c r="H204" s="4">
        <v>80</v>
      </c>
      <c r="I204" s="4">
        <v>66</v>
      </c>
      <c r="J204" s="5">
        <v>0.17499999999999999</v>
      </c>
      <c r="K204" s="3">
        <v>20</v>
      </c>
      <c r="L204" s="4">
        <f>tblSales[[#This Row],[Quantity]]*tblSales[[#This Row],[Actual Price]]</f>
        <v>1320</v>
      </c>
    </row>
    <row r="205" spans="1:12" x14ac:dyDescent="0.35">
      <c r="A205" s="3" t="s">
        <v>471</v>
      </c>
      <c r="B205" s="4" t="s">
        <v>401</v>
      </c>
      <c r="C205" s="4" t="s">
        <v>402</v>
      </c>
      <c r="D205" s="4" t="s">
        <v>14</v>
      </c>
      <c r="E205" s="7">
        <v>42163</v>
      </c>
      <c r="F205" s="4" t="s">
        <v>123</v>
      </c>
      <c r="G205" s="4" t="s">
        <v>403</v>
      </c>
      <c r="H205" s="4">
        <v>50</v>
      </c>
      <c r="I205" s="4">
        <v>48</v>
      </c>
      <c r="J205" s="5">
        <v>0.04</v>
      </c>
      <c r="K205" s="3">
        <v>89</v>
      </c>
      <c r="L205" s="4">
        <f>tblSales[[#This Row],[Quantity]]*tblSales[[#This Row],[Actual Price]]</f>
        <v>4272</v>
      </c>
    </row>
    <row r="206" spans="1:12" x14ac:dyDescent="0.35">
      <c r="A206" s="3" t="s">
        <v>472</v>
      </c>
      <c r="B206" s="4" t="s">
        <v>175</v>
      </c>
      <c r="C206" s="4" t="s">
        <v>176</v>
      </c>
      <c r="D206" s="4" t="s">
        <v>14</v>
      </c>
      <c r="E206" s="7">
        <v>41682</v>
      </c>
      <c r="F206" s="4" t="s">
        <v>47</v>
      </c>
      <c r="G206" s="4" t="s">
        <v>473</v>
      </c>
      <c r="H206" s="4">
        <v>500</v>
      </c>
      <c r="I206" s="4">
        <v>370</v>
      </c>
      <c r="J206" s="5">
        <v>0.26</v>
      </c>
      <c r="K206" s="3">
        <v>98</v>
      </c>
      <c r="L206" s="4">
        <f>tblSales[[#This Row],[Quantity]]*tblSales[[#This Row],[Actual Price]]</f>
        <v>36260</v>
      </c>
    </row>
    <row r="207" spans="1:12" x14ac:dyDescent="0.35">
      <c r="A207" s="3" t="s">
        <v>474</v>
      </c>
      <c r="B207" s="4" t="s">
        <v>132</v>
      </c>
      <c r="C207" s="4" t="s">
        <v>109</v>
      </c>
      <c r="D207" s="4" t="s">
        <v>20</v>
      </c>
      <c r="E207" s="7">
        <v>42394</v>
      </c>
      <c r="F207" s="4" t="s">
        <v>15</v>
      </c>
      <c r="G207" s="4" t="s">
        <v>475</v>
      </c>
      <c r="H207" s="4">
        <v>80</v>
      </c>
      <c r="I207" s="4">
        <v>72</v>
      </c>
      <c r="J207" s="5">
        <v>0.1</v>
      </c>
      <c r="K207" s="3">
        <v>40</v>
      </c>
      <c r="L207" s="4">
        <f>tblSales[[#This Row],[Quantity]]*tblSales[[#This Row],[Actual Price]]</f>
        <v>2880</v>
      </c>
    </row>
    <row r="208" spans="1:12" x14ac:dyDescent="0.35">
      <c r="A208" s="3" t="s">
        <v>476</v>
      </c>
      <c r="B208" s="4" t="s">
        <v>115</v>
      </c>
      <c r="C208" s="4" t="s">
        <v>55</v>
      </c>
      <c r="D208" s="4" t="s">
        <v>14</v>
      </c>
      <c r="E208" s="7">
        <v>42030</v>
      </c>
      <c r="F208" s="4" t="s">
        <v>15</v>
      </c>
      <c r="G208" s="4" t="s">
        <v>477</v>
      </c>
      <c r="H208" s="4">
        <v>80</v>
      </c>
      <c r="I208" s="4">
        <v>58</v>
      </c>
      <c r="J208" s="5">
        <v>0.27500000000000002</v>
      </c>
      <c r="K208" s="3">
        <v>42</v>
      </c>
      <c r="L208" s="4">
        <f>tblSales[[#This Row],[Quantity]]*tblSales[[#This Row],[Actual Price]]</f>
        <v>2436</v>
      </c>
    </row>
    <row r="209" spans="1:12" x14ac:dyDescent="0.35">
      <c r="A209" s="3" t="s">
        <v>478</v>
      </c>
      <c r="B209" s="4" t="s">
        <v>18</v>
      </c>
      <c r="C209" s="4" t="s">
        <v>19</v>
      </c>
      <c r="D209" s="4" t="s">
        <v>20</v>
      </c>
      <c r="E209" s="7">
        <v>43376</v>
      </c>
      <c r="F209" s="4" t="s">
        <v>15</v>
      </c>
      <c r="G209" s="4" t="s">
        <v>479</v>
      </c>
      <c r="H209" s="4">
        <v>80</v>
      </c>
      <c r="I209" s="4">
        <v>73</v>
      </c>
      <c r="J209" s="5">
        <v>8.7499999999999994E-2</v>
      </c>
      <c r="K209" s="3">
        <v>53</v>
      </c>
      <c r="L209" s="4">
        <f>tblSales[[#This Row],[Quantity]]*tblSales[[#This Row],[Actual Price]]</f>
        <v>3869</v>
      </c>
    </row>
    <row r="210" spans="1:12" x14ac:dyDescent="0.35">
      <c r="A210" s="3" t="s">
        <v>480</v>
      </c>
      <c r="B210" s="4" t="s">
        <v>155</v>
      </c>
      <c r="C210" s="4" t="s">
        <v>109</v>
      </c>
      <c r="D210" s="4" t="s">
        <v>20</v>
      </c>
      <c r="E210" s="7">
        <v>42069</v>
      </c>
      <c r="F210" s="4" t="s">
        <v>56</v>
      </c>
      <c r="G210" s="4" t="s">
        <v>156</v>
      </c>
      <c r="H210" s="4">
        <v>800</v>
      </c>
      <c r="I210" s="4">
        <v>776</v>
      </c>
      <c r="J210" s="5">
        <v>0.03</v>
      </c>
      <c r="K210" s="3">
        <v>76</v>
      </c>
      <c r="L210" s="4">
        <f>tblSales[[#This Row],[Quantity]]*tblSales[[#This Row],[Actual Price]]</f>
        <v>58976</v>
      </c>
    </row>
    <row r="211" spans="1:12" x14ac:dyDescent="0.35">
      <c r="A211" s="3" t="s">
        <v>481</v>
      </c>
      <c r="B211" s="4" t="s">
        <v>290</v>
      </c>
      <c r="C211" s="4" t="s">
        <v>109</v>
      </c>
      <c r="D211" s="4" t="s">
        <v>20</v>
      </c>
      <c r="E211" s="7">
        <v>43338</v>
      </c>
      <c r="F211" s="4" t="s">
        <v>31</v>
      </c>
      <c r="G211" s="4" t="s">
        <v>482</v>
      </c>
      <c r="H211" s="4">
        <v>150</v>
      </c>
      <c r="I211" s="4">
        <v>147</v>
      </c>
      <c r="J211" s="5">
        <v>0.02</v>
      </c>
      <c r="K211" s="3">
        <v>47</v>
      </c>
      <c r="L211" s="4">
        <f>tblSales[[#This Row],[Quantity]]*tblSales[[#This Row],[Actual Price]]</f>
        <v>6909</v>
      </c>
    </row>
    <row r="212" spans="1:12" x14ac:dyDescent="0.35">
      <c r="A212" s="3" t="s">
        <v>483</v>
      </c>
      <c r="B212" s="4" t="s">
        <v>23</v>
      </c>
      <c r="C212" s="4" t="s">
        <v>24</v>
      </c>
      <c r="D212" s="4" t="s">
        <v>25</v>
      </c>
      <c r="E212" s="7">
        <v>42378</v>
      </c>
      <c r="F212" s="4" t="s">
        <v>31</v>
      </c>
      <c r="G212" s="4" t="s">
        <v>484</v>
      </c>
      <c r="H212" s="4">
        <v>150</v>
      </c>
      <c r="I212" s="4">
        <v>134</v>
      </c>
      <c r="J212" s="5">
        <v>0.1067</v>
      </c>
      <c r="K212" s="3">
        <v>19</v>
      </c>
      <c r="L212" s="4">
        <f>tblSales[[#This Row],[Quantity]]*tblSales[[#This Row],[Actual Price]]</f>
        <v>2546</v>
      </c>
    </row>
    <row r="213" spans="1:12" x14ac:dyDescent="0.35">
      <c r="A213" s="3" t="s">
        <v>485</v>
      </c>
      <c r="B213" s="4" t="s">
        <v>171</v>
      </c>
      <c r="C213" s="4" t="s">
        <v>172</v>
      </c>
      <c r="D213" s="4" t="s">
        <v>14</v>
      </c>
      <c r="E213" s="7">
        <v>42566</v>
      </c>
      <c r="F213" s="4" t="s">
        <v>42</v>
      </c>
      <c r="G213" s="4" t="s">
        <v>441</v>
      </c>
      <c r="H213" s="4">
        <v>30</v>
      </c>
      <c r="I213" s="4">
        <v>8</v>
      </c>
      <c r="J213" s="5">
        <v>0.73329999999999995</v>
      </c>
      <c r="K213" s="3">
        <v>64</v>
      </c>
      <c r="L213" s="4">
        <f>tblSales[[#This Row],[Quantity]]*tblSales[[#This Row],[Actual Price]]</f>
        <v>512</v>
      </c>
    </row>
    <row r="214" spans="1:12" x14ac:dyDescent="0.35">
      <c r="A214" s="3" t="s">
        <v>486</v>
      </c>
      <c r="B214" s="4" t="s">
        <v>401</v>
      </c>
      <c r="C214" s="4" t="s">
        <v>402</v>
      </c>
      <c r="D214" s="4" t="s">
        <v>14</v>
      </c>
      <c r="E214" s="7">
        <v>41972</v>
      </c>
      <c r="F214" s="4" t="s">
        <v>31</v>
      </c>
      <c r="G214" s="4" t="s">
        <v>487</v>
      </c>
      <c r="H214" s="4">
        <v>150</v>
      </c>
      <c r="I214" s="4">
        <v>135</v>
      </c>
      <c r="J214" s="5">
        <v>0.1</v>
      </c>
      <c r="K214" s="3">
        <v>66</v>
      </c>
      <c r="L214" s="4">
        <f>tblSales[[#This Row],[Quantity]]*tblSales[[#This Row],[Actual Price]]</f>
        <v>8910</v>
      </c>
    </row>
    <row r="215" spans="1:12" x14ac:dyDescent="0.35">
      <c r="A215" s="3" t="s">
        <v>488</v>
      </c>
      <c r="B215" s="4" t="s">
        <v>435</v>
      </c>
      <c r="C215" s="4" t="s">
        <v>436</v>
      </c>
      <c r="D215" s="4" t="s">
        <v>25</v>
      </c>
      <c r="E215" s="7">
        <v>41904</v>
      </c>
      <c r="F215" s="4" t="s">
        <v>105</v>
      </c>
      <c r="G215" s="4" t="s">
        <v>463</v>
      </c>
      <c r="H215" s="4">
        <v>70</v>
      </c>
      <c r="I215" s="4">
        <v>59</v>
      </c>
      <c r="J215" s="5">
        <v>0.15709999999999999</v>
      </c>
      <c r="K215" s="3">
        <v>69</v>
      </c>
      <c r="L215" s="4">
        <f>tblSales[[#This Row],[Quantity]]*tblSales[[#This Row],[Actual Price]]</f>
        <v>4071</v>
      </c>
    </row>
    <row r="216" spans="1:12" x14ac:dyDescent="0.35">
      <c r="A216" s="3" t="s">
        <v>489</v>
      </c>
      <c r="B216" s="4" t="s">
        <v>104</v>
      </c>
      <c r="C216" s="4" t="s">
        <v>72</v>
      </c>
      <c r="D216" s="4" t="s">
        <v>36</v>
      </c>
      <c r="E216" s="7">
        <v>43089</v>
      </c>
      <c r="F216" s="4" t="s">
        <v>62</v>
      </c>
      <c r="G216" s="4" t="s">
        <v>248</v>
      </c>
      <c r="H216" s="4">
        <v>1000</v>
      </c>
      <c r="I216" s="4">
        <v>500</v>
      </c>
      <c r="J216" s="5">
        <v>0.5</v>
      </c>
      <c r="K216" s="3">
        <v>83</v>
      </c>
      <c r="L216" s="4">
        <f>tblSales[[#This Row],[Quantity]]*tblSales[[#This Row],[Actual Price]]</f>
        <v>41500</v>
      </c>
    </row>
    <row r="217" spans="1:12" x14ac:dyDescent="0.35">
      <c r="A217" s="3" t="s">
        <v>490</v>
      </c>
      <c r="B217" s="4" t="s">
        <v>155</v>
      </c>
      <c r="C217" s="4" t="s">
        <v>109</v>
      </c>
      <c r="D217" s="4" t="s">
        <v>20</v>
      </c>
      <c r="E217" s="7">
        <v>42785</v>
      </c>
      <c r="F217" s="4" t="s">
        <v>47</v>
      </c>
      <c r="G217" s="4" t="s">
        <v>491</v>
      </c>
      <c r="H217" s="4">
        <v>500</v>
      </c>
      <c r="I217" s="4">
        <v>495</v>
      </c>
      <c r="J217" s="5">
        <v>0.01</v>
      </c>
      <c r="K217" s="3">
        <v>71</v>
      </c>
      <c r="L217" s="4">
        <f>tblSales[[#This Row],[Quantity]]*tblSales[[#This Row],[Actual Price]]</f>
        <v>35145</v>
      </c>
    </row>
    <row r="218" spans="1:12" x14ac:dyDescent="0.35">
      <c r="A218" s="3" t="s">
        <v>492</v>
      </c>
      <c r="B218" s="4" t="s">
        <v>325</v>
      </c>
      <c r="C218" s="4" t="s">
        <v>326</v>
      </c>
      <c r="D218" s="4" t="s">
        <v>14</v>
      </c>
      <c r="E218" s="7">
        <v>43147</v>
      </c>
      <c r="F218" s="4" t="s">
        <v>37</v>
      </c>
      <c r="G218" s="4" t="s">
        <v>327</v>
      </c>
      <c r="H218" s="4">
        <v>50</v>
      </c>
      <c r="I218" s="4">
        <v>49</v>
      </c>
      <c r="J218" s="5">
        <v>0.02</v>
      </c>
      <c r="K218" s="3">
        <v>22</v>
      </c>
      <c r="L218" s="4">
        <f>tblSales[[#This Row],[Quantity]]*tblSales[[#This Row],[Actual Price]]</f>
        <v>1078</v>
      </c>
    </row>
    <row r="219" spans="1:12" x14ac:dyDescent="0.35">
      <c r="A219" s="3" t="s">
        <v>493</v>
      </c>
      <c r="B219" s="4" t="s">
        <v>18</v>
      </c>
      <c r="C219" s="4" t="s">
        <v>19</v>
      </c>
      <c r="D219" s="4" t="s">
        <v>20</v>
      </c>
      <c r="E219" s="7">
        <v>41649</v>
      </c>
      <c r="F219" s="4" t="s">
        <v>123</v>
      </c>
      <c r="G219" s="4" t="s">
        <v>494</v>
      </c>
      <c r="H219" s="4">
        <v>50</v>
      </c>
      <c r="I219" s="4">
        <v>48</v>
      </c>
      <c r="J219" s="5">
        <v>0.04</v>
      </c>
      <c r="K219" s="3">
        <v>14</v>
      </c>
      <c r="L219" s="4">
        <f>tblSales[[#This Row],[Quantity]]*tblSales[[#This Row],[Actual Price]]</f>
        <v>672</v>
      </c>
    </row>
    <row r="220" spans="1:12" x14ac:dyDescent="0.35">
      <c r="A220" s="3" t="s">
        <v>495</v>
      </c>
      <c r="B220" s="4" t="s">
        <v>92</v>
      </c>
      <c r="C220" s="4" t="s">
        <v>93</v>
      </c>
      <c r="D220" s="4" t="s">
        <v>36</v>
      </c>
      <c r="E220" s="7">
        <v>42251</v>
      </c>
      <c r="F220" s="4" t="s">
        <v>26</v>
      </c>
      <c r="G220" s="4" t="s">
        <v>496</v>
      </c>
      <c r="H220" s="4">
        <v>700</v>
      </c>
      <c r="I220" s="4">
        <v>560</v>
      </c>
      <c r="J220" s="5">
        <v>0.2</v>
      </c>
      <c r="K220" s="3">
        <v>97</v>
      </c>
      <c r="L220" s="4">
        <f>tblSales[[#This Row],[Quantity]]*tblSales[[#This Row],[Actual Price]]</f>
        <v>54320</v>
      </c>
    </row>
    <row r="221" spans="1:12" x14ac:dyDescent="0.35">
      <c r="A221" s="3" t="s">
        <v>497</v>
      </c>
      <c r="B221" s="4" t="s">
        <v>104</v>
      </c>
      <c r="C221" s="4" t="s">
        <v>72</v>
      </c>
      <c r="D221" s="4" t="s">
        <v>36</v>
      </c>
      <c r="E221" s="7">
        <v>41855</v>
      </c>
      <c r="F221" s="4" t="s">
        <v>62</v>
      </c>
      <c r="G221" s="4" t="s">
        <v>498</v>
      </c>
      <c r="H221" s="4">
        <v>1000</v>
      </c>
      <c r="I221" s="4">
        <v>500</v>
      </c>
      <c r="J221" s="5">
        <v>0.5</v>
      </c>
      <c r="K221" s="3">
        <v>35</v>
      </c>
      <c r="L221" s="4">
        <f>tblSales[[#This Row],[Quantity]]*tblSales[[#This Row],[Actual Price]]</f>
        <v>17500</v>
      </c>
    </row>
    <row r="222" spans="1:12" x14ac:dyDescent="0.35">
      <c r="A222" s="3" t="s">
        <v>499</v>
      </c>
      <c r="B222" s="4" t="s">
        <v>155</v>
      </c>
      <c r="C222" s="4" t="s">
        <v>109</v>
      </c>
      <c r="D222" s="4" t="s">
        <v>20</v>
      </c>
      <c r="E222" s="7">
        <v>43325</v>
      </c>
      <c r="F222" s="4" t="s">
        <v>73</v>
      </c>
      <c r="G222" s="4" t="s">
        <v>491</v>
      </c>
      <c r="H222" s="4">
        <v>500</v>
      </c>
      <c r="I222" s="4">
        <v>495</v>
      </c>
      <c r="J222" s="5">
        <v>0.01</v>
      </c>
      <c r="K222" s="3">
        <v>64</v>
      </c>
      <c r="L222" s="4">
        <f>tblSales[[#This Row],[Quantity]]*tblSales[[#This Row],[Actual Price]]</f>
        <v>31680</v>
      </c>
    </row>
    <row r="223" spans="1:12" x14ac:dyDescent="0.35">
      <c r="A223" s="3" t="s">
        <v>500</v>
      </c>
      <c r="B223" s="4" t="s">
        <v>290</v>
      </c>
      <c r="C223" s="4" t="s">
        <v>109</v>
      </c>
      <c r="D223" s="4" t="s">
        <v>20</v>
      </c>
      <c r="E223" s="7">
        <v>42647</v>
      </c>
      <c r="F223" s="4" t="s">
        <v>42</v>
      </c>
      <c r="G223" s="4" t="s">
        <v>501</v>
      </c>
      <c r="H223" s="4">
        <v>30</v>
      </c>
      <c r="I223" s="4">
        <v>29</v>
      </c>
      <c r="J223" s="5">
        <v>3.3300000000000003E-2</v>
      </c>
      <c r="K223" s="3">
        <v>84</v>
      </c>
      <c r="L223" s="4">
        <f>tblSales[[#This Row],[Quantity]]*tblSales[[#This Row],[Actual Price]]</f>
        <v>2436</v>
      </c>
    </row>
    <row r="224" spans="1:12" x14ac:dyDescent="0.35">
      <c r="A224" s="3" t="s">
        <v>502</v>
      </c>
      <c r="B224" s="4" t="s">
        <v>183</v>
      </c>
      <c r="C224" s="4" t="s">
        <v>109</v>
      </c>
      <c r="D224" s="4" t="s">
        <v>20</v>
      </c>
      <c r="E224" s="7">
        <v>41826</v>
      </c>
      <c r="F224" s="4" t="s">
        <v>123</v>
      </c>
      <c r="G224" s="4" t="s">
        <v>503</v>
      </c>
      <c r="H224" s="4">
        <v>50</v>
      </c>
      <c r="I224" s="4">
        <v>44</v>
      </c>
      <c r="J224" s="5">
        <v>0.12</v>
      </c>
      <c r="K224" s="3">
        <v>68</v>
      </c>
      <c r="L224" s="4">
        <f>tblSales[[#This Row],[Quantity]]*tblSales[[#This Row],[Actual Price]]</f>
        <v>2992</v>
      </c>
    </row>
    <row r="225" spans="1:12" x14ac:dyDescent="0.35">
      <c r="A225" s="3" t="s">
        <v>504</v>
      </c>
      <c r="B225" s="4" t="s">
        <v>112</v>
      </c>
      <c r="C225" s="4" t="s">
        <v>83</v>
      </c>
      <c r="D225" s="4" t="s">
        <v>14</v>
      </c>
      <c r="E225" s="7">
        <v>41885</v>
      </c>
      <c r="F225" s="4" t="s">
        <v>62</v>
      </c>
      <c r="G225" s="4" t="s">
        <v>373</v>
      </c>
      <c r="H225" s="4">
        <v>1000</v>
      </c>
      <c r="I225" s="4">
        <v>710</v>
      </c>
      <c r="J225" s="5">
        <v>0.28999999999999998</v>
      </c>
      <c r="K225" s="3">
        <v>26</v>
      </c>
      <c r="L225" s="4">
        <f>tblSales[[#This Row],[Quantity]]*tblSales[[#This Row],[Actual Price]]</f>
        <v>18460</v>
      </c>
    </row>
    <row r="226" spans="1:12" x14ac:dyDescent="0.35">
      <c r="A226" s="3" t="s">
        <v>505</v>
      </c>
      <c r="B226" s="4" t="s">
        <v>183</v>
      </c>
      <c r="C226" s="4" t="s">
        <v>109</v>
      </c>
      <c r="D226" s="4" t="s">
        <v>20</v>
      </c>
      <c r="E226" s="7">
        <v>42476</v>
      </c>
      <c r="F226" s="4" t="s">
        <v>31</v>
      </c>
      <c r="G226" s="4" t="s">
        <v>506</v>
      </c>
      <c r="H226" s="4">
        <v>150</v>
      </c>
      <c r="I226" s="4">
        <v>150</v>
      </c>
      <c r="J226" s="5">
        <v>0</v>
      </c>
      <c r="K226" s="3">
        <v>56</v>
      </c>
      <c r="L226" s="4">
        <f>tblSales[[#This Row],[Quantity]]*tblSales[[#This Row],[Actual Price]]</f>
        <v>8400</v>
      </c>
    </row>
    <row r="227" spans="1:12" x14ac:dyDescent="0.35">
      <c r="A227" s="3" t="s">
        <v>507</v>
      </c>
      <c r="B227" s="4" t="s">
        <v>92</v>
      </c>
      <c r="C227" s="4" t="s">
        <v>93</v>
      </c>
      <c r="D227" s="4" t="s">
        <v>36</v>
      </c>
      <c r="E227" s="7">
        <v>42666</v>
      </c>
      <c r="F227" s="4" t="s">
        <v>37</v>
      </c>
      <c r="G227" s="4" t="s">
        <v>508</v>
      </c>
      <c r="H227" s="4">
        <v>50</v>
      </c>
      <c r="I227" s="4">
        <v>44</v>
      </c>
      <c r="J227" s="5">
        <v>0.12</v>
      </c>
      <c r="K227" s="3">
        <v>81</v>
      </c>
      <c r="L227" s="4">
        <f>tblSales[[#This Row],[Quantity]]*tblSales[[#This Row],[Actual Price]]</f>
        <v>3564</v>
      </c>
    </row>
    <row r="228" spans="1:12" x14ac:dyDescent="0.35">
      <c r="A228" s="3" t="s">
        <v>509</v>
      </c>
      <c r="B228" s="4" t="s">
        <v>225</v>
      </c>
      <c r="C228" s="4" t="s">
        <v>51</v>
      </c>
      <c r="D228" s="4" t="s">
        <v>25</v>
      </c>
      <c r="E228" s="7">
        <v>42068</v>
      </c>
      <c r="F228" s="4" t="s">
        <v>42</v>
      </c>
      <c r="G228" s="4" t="s">
        <v>510</v>
      </c>
      <c r="H228" s="4">
        <v>30</v>
      </c>
      <c r="I228" s="4">
        <v>24</v>
      </c>
      <c r="J228" s="5">
        <v>0.2</v>
      </c>
      <c r="K228" s="3">
        <v>71</v>
      </c>
      <c r="L228" s="4">
        <f>tblSales[[#This Row],[Quantity]]*tblSales[[#This Row],[Actual Price]]</f>
        <v>1704</v>
      </c>
    </row>
    <row r="229" spans="1:12" x14ac:dyDescent="0.35">
      <c r="A229" s="3" t="s">
        <v>511</v>
      </c>
      <c r="B229" s="4" t="s">
        <v>435</v>
      </c>
      <c r="C229" s="4" t="s">
        <v>436</v>
      </c>
      <c r="D229" s="4" t="s">
        <v>25</v>
      </c>
      <c r="E229" s="7">
        <v>42216</v>
      </c>
      <c r="F229" s="4" t="s">
        <v>116</v>
      </c>
      <c r="G229" s="4" t="s">
        <v>463</v>
      </c>
      <c r="H229" s="4">
        <v>250</v>
      </c>
      <c r="I229" s="4">
        <v>163</v>
      </c>
      <c r="J229" s="5">
        <v>0.34799999999999998</v>
      </c>
      <c r="K229" s="3">
        <v>32</v>
      </c>
      <c r="L229" s="4">
        <f>tblSales[[#This Row],[Quantity]]*tblSales[[#This Row],[Actual Price]]</f>
        <v>5216</v>
      </c>
    </row>
    <row r="230" spans="1:12" x14ac:dyDescent="0.35">
      <c r="A230" s="3" t="s">
        <v>512</v>
      </c>
      <c r="B230" s="4" t="s">
        <v>65</v>
      </c>
      <c r="C230" s="4" t="s">
        <v>66</v>
      </c>
      <c r="D230" s="4" t="s">
        <v>36</v>
      </c>
      <c r="E230" s="7">
        <v>43381</v>
      </c>
      <c r="F230" s="4" t="s">
        <v>15</v>
      </c>
      <c r="G230" s="4" t="s">
        <v>513</v>
      </c>
      <c r="H230" s="4">
        <v>80</v>
      </c>
      <c r="I230" s="4">
        <v>78</v>
      </c>
      <c r="J230" s="5">
        <v>2.5000000000000001E-2</v>
      </c>
      <c r="K230" s="3">
        <v>93</v>
      </c>
      <c r="L230" s="4">
        <f>tblSales[[#This Row],[Quantity]]*tblSales[[#This Row],[Actual Price]]</f>
        <v>7254</v>
      </c>
    </row>
    <row r="231" spans="1:12" x14ac:dyDescent="0.35">
      <c r="A231" s="3" t="s">
        <v>514</v>
      </c>
      <c r="B231" s="4" t="s">
        <v>188</v>
      </c>
      <c r="C231" s="4" t="s">
        <v>189</v>
      </c>
      <c r="D231" s="4" t="s">
        <v>14</v>
      </c>
      <c r="E231" s="7">
        <v>43303</v>
      </c>
      <c r="F231" s="4" t="s">
        <v>15</v>
      </c>
      <c r="G231" s="4" t="s">
        <v>416</v>
      </c>
      <c r="H231" s="4">
        <v>80</v>
      </c>
      <c r="I231" s="4">
        <v>78</v>
      </c>
      <c r="J231" s="5">
        <v>2.5000000000000001E-2</v>
      </c>
      <c r="K231" s="3">
        <v>54</v>
      </c>
      <c r="L231" s="4">
        <f>tblSales[[#This Row],[Quantity]]*tblSales[[#This Row],[Actual Price]]</f>
        <v>4212</v>
      </c>
    </row>
    <row r="232" spans="1:12" x14ac:dyDescent="0.35">
      <c r="A232" s="3" t="s">
        <v>515</v>
      </c>
      <c r="B232" s="4" t="s">
        <v>222</v>
      </c>
      <c r="C232" s="4" t="s">
        <v>41</v>
      </c>
      <c r="D232" s="4" t="s">
        <v>36</v>
      </c>
      <c r="E232" s="7">
        <v>42892</v>
      </c>
      <c r="F232" s="4" t="s">
        <v>26</v>
      </c>
      <c r="G232" s="4" t="s">
        <v>232</v>
      </c>
      <c r="H232" s="4">
        <v>700</v>
      </c>
      <c r="I232" s="4">
        <v>651</v>
      </c>
      <c r="J232" s="5">
        <v>7.0000000000000007E-2</v>
      </c>
      <c r="K232" s="3">
        <v>9</v>
      </c>
      <c r="L232" s="4">
        <f>tblSales[[#This Row],[Quantity]]*tblSales[[#This Row],[Actual Price]]</f>
        <v>5859</v>
      </c>
    </row>
    <row r="233" spans="1:12" x14ac:dyDescent="0.35">
      <c r="A233" s="3" t="s">
        <v>516</v>
      </c>
      <c r="B233" s="4" t="s">
        <v>86</v>
      </c>
      <c r="C233" s="4" t="s">
        <v>87</v>
      </c>
      <c r="D233" s="4" t="s">
        <v>14</v>
      </c>
      <c r="E233" s="7">
        <v>42199</v>
      </c>
      <c r="F233" s="4" t="s">
        <v>37</v>
      </c>
      <c r="G233" s="4" t="s">
        <v>517</v>
      </c>
      <c r="H233" s="4">
        <v>50</v>
      </c>
      <c r="I233" s="4">
        <v>36</v>
      </c>
      <c r="J233" s="5">
        <v>0.28000000000000003</v>
      </c>
      <c r="K233" s="3">
        <v>9</v>
      </c>
      <c r="L233" s="4">
        <f>tblSales[[#This Row],[Quantity]]*tblSales[[#This Row],[Actual Price]]</f>
        <v>324</v>
      </c>
    </row>
    <row r="234" spans="1:12" x14ac:dyDescent="0.35">
      <c r="A234" s="3" t="s">
        <v>518</v>
      </c>
      <c r="B234" s="4" t="s">
        <v>171</v>
      </c>
      <c r="C234" s="4" t="s">
        <v>172</v>
      </c>
      <c r="D234" s="4" t="s">
        <v>14</v>
      </c>
      <c r="E234" s="7">
        <v>41750</v>
      </c>
      <c r="F234" s="4" t="s">
        <v>73</v>
      </c>
      <c r="G234" s="4" t="s">
        <v>519</v>
      </c>
      <c r="H234" s="4">
        <v>500</v>
      </c>
      <c r="I234" s="4">
        <v>500</v>
      </c>
      <c r="J234" s="5">
        <v>0</v>
      </c>
      <c r="K234" s="3">
        <v>41</v>
      </c>
      <c r="L234" s="4">
        <f>tblSales[[#This Row],[Quantity]]*tblSales[[#This Row],[Actual Price]]</f>
        <v>20500</v>
      </c>
    </row>
    <row r="235" spans="1:12" x14ac:dyDescent="0.35">
      <c r="A235" s="3" t="s">
        <v>520</v>
      </c>
      <c r="B235" s="4" t="s">
        <v>242</v>
      </c>
      <c r="C235" s="4" t="s">
        <v>243</v>
      </c>
      <c r="D235" s="4" t="s">
        <v>14</v>
      </c>
      <c r="E235" s="7">
        <v>42211</v>
      </c>
      <c r="F235" s="4" t="s">
        <v>31</v>
      </c>
      <c r="G235" s="4" t="s">
        <v>521</v>
      </c>
      <c r="H235" s="4">
        <v>150</v>
      </c>
      <c r="I235" s="4">
        <v>140</v>
      </c>
      <c r="J235" s="5">
        <v>6.6699999999999995E-2</v>
      </c>
      <c r="K235" s="3">
        <v>36</v>
      </c>
      <c r="L235" s="4">
        <f>tblSales[[#This Row],[Quantity]]*tblSales[[#This Row],[Actual Price]]</f>
        <v>5040</v>
      </c>
    </row>
    <row r="236" spans="1:12" x14ac:dyDescent="0.35">
      <c r="A236" s="3" t="s">
        <v>522</v>
      </c>
      <c r="B236" s="4" t="s">
        <v>256</v>
      </c>
      <c r="C236" s="4" t="s">
        <v>257</v>
      </c>
      <c r="D236" s="4" t="s">
        <v>14</v>
      </c>
      <c r="E236" s="7">
        <v>43073</v>
      </c>
      <c r="F236" s="4" t="s">
        <v>26</v>
      </c>
      <c r="G236" s="4" t="s">
        <v>523</v>
      </c>
      <c r="H236" s="4">
        <v>700</v>
      </c>
      <c r="I236" s="4">
        <v>700</v>
      </c>
      <c r="J236" s="5">
        <v>0</v>
      </c>
      <c r="K236" s="3">
        <v>63</v>
      </c>
      <c r="L236" s="4">
        <f>tblSales[[#This Row],[Quantity]]*tblSales[[#This Row],[Actual Price]]</f>
        <v>44100</v>
      </c>
    </row>
    <row r="237" spans="1:12" x14ac:dyDescent="0.35">
      <c r="A237" s="3" t="s">
        <v>524</v>
      </c>
      <c r="B237" s="4" t="s">
        <v>78</v>
      </c>
      <c r="C237" s="4" t="s">
        <v>79</v>
      </c>
      <c r="D237" s="4" t="s">
        <v>36</v>
      </c>
      <c r="E237" s="7">
        <v>42837</v>
      </c>
      <c r="F237" s="4" t="s">
        <v>31</v>
      </c>
      <c r="G237" s="4" t="s">
        <v>525</v>
      </c>
      <c r="H237" s="4">
        <v>150</v>
      </c>
      <c r="I237" s="4">
        <v>144</v>
      </c>
      <c r="J237" s="5">
        <v>0.04</v>
      </c>
      <c r="K237" s="3">
        <v>11</v>
      </c>
      <c r="L237" s="4">
        <f>tblSales[[#This Row],[Quantity]]*tblSales[[#This Row],[Actual Price]]</f>
        <v>1584</v>
      </c>
    </row>
    <row r="238" spans="1:12" x14ac:dyDescent="0.35">
      <c r="A238" s="3" t="s">
        <v>526</v>
      </c>
      <c r="B238" s="4" t="s">
        <v>128</v>
      </c>
      <c r="C238" s="4" t="s">
        <v>129</v>
      </c>
      <c r="D238" s="4" t="s">
        <v>14</v>
      </c>
      <c r="E238" s="7">
        <v>43001</v>
      </c>
      <c r="F238" s="4" t="s">
        <v>47</v>
      </c>
      <c r="G238" s="4" t="s">
        <v>527</v>
      </c>
      <c r="H238" s="4">
        <v>500</v>
      </c>
      <c r="I238" s="4">
        <v>465</v>
      </c>
      <c r="J238" s="5">
        <v>7.0000000000000007E-2</v>
      </c>
      <c r="K238" s="3">
        <v>62</v>
      </c>
      <c r="L238" s="4">
        <f>tblSales[[#This Row],[Quantity]]*tblSales[[#This Row],[Actual Price]]</f>
        <v>28830</v>
      </c>
    </row>
    <row r="239" spans="1:12" x14ac:dyDescent="0.35">
      <c r="A239" s="3" t="s">
        <v>528</v>
      </c>
      <c r="B239" s="4" t="s">
        <v>271</v>
      </c>
      <c r="C239" s="4" t="s">
        <v>272</v>
      </c>
      <c r="D239" s="4" t="s">
        <v>36</v>
      </c>
      <c r="E239" s="7">
        <v>42434</v>
      </c>
      <c r="F239" s="4" t="s">
        <v>37</v>
      </c>
      <c r="G239" s="4" t="s">
        <v>338</v>
      </c>
      <c r="H239" s="4">
        <v>50</v>
      </c>
      <c r="I239" s="4">
        <v>50</v>
      </c>
      <c r="J239" s="5">
        <v>0</v>
      </c>
      <c r="K239" s="3">
        <v>36</v>
      </c>
      <c r="L239" s="4">
        <f>tblSales[[#This Row],[Quantity]]*tblSales[[#This Row],[Actual Price]]</f>
        <v>1800</v>
      </c>
    </row>
    <row r="240" spans="1:12" x14ac:dyDescent="0.35">
      <c r="A240" s="3" t="s">
        <v>529</v>
      </c>
      <c r="B240" s="4" t="s">
        <v>65</v>
      </c>
      <c r="C240" s="4" t="s">
        <v>66</v>
      </c>
      <c r="D240" s="4" t="s">
        <v>36</v>
      </c>
      <c r="E240" s="7">
        <v>42074</v>
      </c>
      <c r="F240" s="4" t="s">
        <v>123</v>
      </c>
      <c r="G240" s="4" t="s">
        <v>530</v>
      </c>
      <c r="H240" s="4">
        <v>50</v>
      </c>
      <c r="I240" s="4">
        <v>49</v>
      </c>
      <c r="J240" s="5">
        <v>0.02</v>
      </c>
      <c r="K240" s="3">
        <v>64</v>
      </c>
      <c r="L240" s="4">
        <f>tblSales[[#This Row],[Quantity]]*tblSales[[#This Row],[Actual Price]]</f>
        <v>3136</v>
      </c>
    </row>
    <row r="241" spans="1:12" x14ac:dyDescent="0.35">
      <c r="A241" s="3" t="s">
        <v>531</v>
      </c>
      <c r="B241" s="4" t="s">
        <v>108</v>
      </c>
      <c r="C241" s="4" t="s">
        <v>109</v>
      </c>
      <c r="D241" s="4" t="s">
        <v>20</v>
      </c>
      <c r="E241" s="7">
        <v>41868</v>
      </c>
      <c r="F241" s="4" t="s">
        <v>37</v>
      </c>
      <c r="G241" s="4" t="s">
        <v>532</v>
      </c>
      <c r="H241" s="4">
        <v>50</v>
      </c>
      <c r="I241" s="4">
        <v>44</v>
      </c>
      <c r="J241" s="5">
        <v>0.12</v>
      </c>
      <c r="K241" s="3">
        <v>75</v>
      </c>
      <c r="L241" s="4">
        <f>tblSales[[#This Row],[Quantity]]*tblSales[[#This Row],[Actual Price]]</f>
        <v>3300</v>
      </c>
    </row>
    <row r="242" spans="1:12" x14ac:dyDescent="0.35">
      <c r="A242" s="3" t="s">
        <v>533</v>
      </c>
      <c r="B242" s="4" t="s">
        <v>128</v>
      </c>
      <c r="C242" s="4" t="s">
        <v>129</v>
      </c>
      <c r="D242" s="4" t="s">
        <v>14</v>
      </c>
      <c r="E242" s="7">
        <v>42664</v>
      </c>
      <c r="F242" s="4" t="s">
        <v>73</v>
      </c>
      <c r="G242" s="4" t="s">
        <v>386</v>
      </c>
      <c r="H242" s="4">
        <v>500</v>
      </c>
      <c r="I242" s="4">
        <v>490</v>
      </c>
      <c r="J242" s="5">
        <v>0.02</v>
      </c>
      <c r="K242" s="3">
        <v>45</v>
      </c>
      <c r="L242" s="4">
        <f>tblSales[[#This Row],[Quantity]]*tblSales[[#This Row],[Actual Price]]</f>
        <v>22050</v>
      </c>
    </row>
    <row r="243" spans="1:12" x14ac:dyDescent="0.35">
      <c r="A243" s="3" t="s">
        <v>534</v>
      </c>
      <c r="B243" s="4" t="s">
        <v>128</v>
      </c>
      <c r="C243" s="4" t="s">
        <v>129</v>
      </c>
      <c r="D243" s="4" t="s">
        <v>14</v>
      </c>
      <c r="E243" s="7">
        <v>43282</v>
      </c>
      <c r="F243" s="4" t="s">
        <v>26</v>
      </c>
      <c r="G243" s="4" t="s">
        <v>535</v>
      </c>
      <c r="H243" s="4">
        <v>700</v>
      </c>
      <c r="I243" s="4">
        <v>623</v>
      </c>
      <c r="J243" s="5">
        <v>0.11</v>
      </c>
      <c r="K243" s="3">
        <v>18</v>
      </c>
      <c r="L243" s="4">
        <f>tblSales[[#This Row],[Quantity]]*tblSales[[#This Row],[Actual Price]]</f>
        <v>11214</v>
      </c>
    </row>
    <row r="244" spans="1:12" x14ac:dyDescent="0.35">
      <c r="A244" s="3" t="s">
        <v>536</v>
      </c>
      <c r="B244" s="4" t="s">
        <v>132</v>
      </c>
      <c r="C244" s="4" t="s">
        <v>109</v>
      </c>
      <c r="D244" s="4" t="s">
        <v>20</v>
      </c>
      <c r="E244" s="7">
        <v>41801</v>
      </c>
      <c r="F244" s="4" t="s">
        <v>26</v>
      </c>
      <c r="G244" s="4" t="s">
        <v>537</v>
      </c>
      <c r="H244" s="4">
        <v>700</v>
      </c>
      <c r="I244" s="4">
        <v>574</v>
      </c>
      <c r="J244" s="5">
        <v>0.18</v>
      </c>
      <c r="K244" s="3">
        <v>59</v>
      </c>
      <c r="L244" s="4">
        <f>tblSales[[#This Row],[Quantity]]*tblSales[[#This Row],[Actual Price]]</f>
        <v>33866</v>
      </c>
    </row>
    <row r="245" spans="1:12" x14ac:dyDescent="0.35">
      <c r="A245" s="3" t="s">
        <v>538</v>
      </c>
      <c r="B245" s="4" t="s">
        <v>135</v>
      </c>
      <c r="C245" s="4" t="s">
        <v>93</v>
      </c>
      <c r="D245" s="4" t="s">
        <v>36</v>
      </c>
      <c r="E245" s="7">
        <v>42396</v>
      </c>
      <c r="F245" s="4" t="s">
        <v>105</v>
      </c>
      <c r="G245" s="4" t="s">
        <v>539</v>
      </c>
      <c r="H245" s="4">
        <v>70</v>
      </c>
      <c r="I245" s="4">
        <v>68</v>
      </c>
      <c r="J245" s="5">
        <v>2.86E-2</v>
      </c>
      <c r="K245" s="3">
        <v>22</v>
      </c>
      <c r="L245" s="4">
        <f>tblSales[[#This Row],[Quantity]]*tblSales[[#This Row],[Actual Price]]</f>
        <v>1496</v>
      </c>
    </row>
    <row r="246" spans="1:12" x14ac:dyDescent="0.35">
      <c r="A246" s="3" t="s">
        <v>540</v>
      </c>
      <c r="B246" s="4" t="s">
        <v>119</v>
      </c>
      <c r="C246" s="4" t="s">
        <v>120</v>
      </c>
      <c r="D246" s="4" t="s">
        <v>36</v>
      </c>
      <c r="E246" s="7">
        <v>43369</v>
      </c>
      <c r="F246" s="4" t="s">
        <v>105</v>
      </c>
      <c r="G246" s="4" t="s">
        <v>541</v>
      </c>
      <c r="H246" s="4">
        <v>70</v>
      </c>
      <c r="I246" s="4">
        <v>69</v>
      </c>
      <c r="J246" s="5">
        <v>1.43E-2</v>
      </c>
      <c r="K246" s="3">
        <v>48</v>
      </c>
      <c r="L246" s="4">
        <f>tblSales[[#This Row],[Quantity]]*tblSales[[#This Row],[Actual Price]]</f>
        <v>3312</v>
      </c>
    </row>
    <row r="247" spans="1:12" x14ac:dyDescent="0.35">
      <c r="A247" s="3" t="s">
        <v>542</v>
      </c>
      <c r="B247" s="4" t="s">
        <v>435</v>
      </c>
      <c r="C247" s="4" t="s">
        <v>436</v>
      </c>
      <c r="D247" s="4" t="s">
        <v>25</v>
      </c>
      <c r="E247" s="7">
        <v>42440</v>
      </c>
      <c r="F247" s="4" t="s">
        <v>42</v>
      </c>
      <c r="G247" s="4" t="s">
        <v>437</v>
      </c>
      <c r="H247" s="4">
        <v>30</v>
      </c>
      <c r="I247" s="4">
        <v>29</v>
      </c>
      <c r="J247" s="5">
        <v>3.3300000000000003E-2</v>
      </c>
      <c r="K247" s="3">
        <v>87</v>
      </c>
      <c r="L247" s="4">
        <f>tblSales[[#This Row],[Quantity]]*tblSales[[#This Row],[Actual Price]]</f>
        <v>2523</v>
      </c>
    </row>
    <row r="248" spans="1:12" x14ac:dyDescent="0.35">
      <c r="A248" s="3" t="s">
        <v>543</v>
      </c>
      <c r="B248" s="4" t="s">
        <v>18</v>
      </c>
      <c r="C248" s="4" t="s">
        <v>19</v>
      </c>
      <c r="D248" s="4" t="s">
        <v>20</v>
      </c>
      <c r="E248" s="7">
        <v>43359</v>
      </c>
      <c r="F248" s="4" t="s">
        <v>56</v>
      </c>
      <c r="G248" s="4" t="s">
        <v>544</v>
      </c>
      <c r="H248" s="4">
        <v>800</v>
      </c>
      <c r="I248" s="4">
        <v>696</v>
      </c>
      <c r="J248" s="5">
        <v>0.13</v>
      </c>
      <c r="K248" s="3">
        <v>97</v>
      </c>
      <c r="L248" s="4">
        <f>tblSales[[#This Row],[Quantity]]*tblSales[[#This Row],[Actual Price]]</f>
        <v>67512</v>
      </c>
    </row>
    <row r="249" spans="1:12" x14ac:dyDescent="0.35">
      <c r="A249" s="3" t="s">
        <v>545</v>
      </c>
      <c r="B249" s="4" t="s">
        <v>29</v>
      </c>
      <c r="C249" s="4" t="s">
        <v>30</v>
      </c>
      <c r="D249" s="4" t="s">
        <v>14</v>
      </c>
      <c r="E249" s="7">
        <v>42474</v>
      </c>
      <c r="F249" s="4" t="s">
        <v>26</v>
      </c>
      <c r="G249" s="4" t="s">
        <v>425</v>
      </c>
      <c r="H249" s="4">
        <v>700</v>
      </c>
      <c r="I249" s="4">
        <v>602</v>
      </c>
      <c r="J249" s="5">
        <v>0.14000000000000001</v>
      </c>
      <c r="K249" s="3">
        <v>53</v>
      </c>
      <c r="L249" s="4">
        <f>tblSales[[#This Row],[Quantity]]*tblSales[[#This Row],[Actual Price]]</f>
        <v>31906</v>
      </c>
    </row>
    <row r="250" spans="1:12" x14ac:dyDescent="0.35">
      <c r="A250" s="3" t="s">
        <v>546</v>
      </c>
      <c r="B250" s="4" t="s">
        <v>132</v>
      </c>
      <c r="C250" s="4" t="s">
        <v>109</v>
      </c>
      <c r="D250" s="4" t="s">
        <v>20</v>
      </c>
      <c r="E250" s="7">
        <v>41737</v>
      </c>
      <c r="F250" s="4" t="s">
        <v>37</v>
      </c>
      <c r="G250" s="4" t="s">
        <v>547</v>
      </c>
      <c r="H250" s="4">
        <v>50</v>
      </c>
      <c r="I250" s="4">
        <v>40</v>
      </c>
      <c r="J250" s="5">
        <v>0.2</v>
      </c>
      <c r="K250" s="3">
        <v>58</v>
      </c>
      <c r="L250" s="4">
        <f>tblSales[[#This Row],[Quantity]]*tblSales[[#This Row],[Actual Price]]</f>
        <v>2320</v>
      </c>
    </row>
    <row r="251" spans="1:12" x14ac:dyDescent="0.35">
      <c r="A251" s="3" t="s">
        <v>548</v>
      </c>
      <c r="B251" s="4" t="s">
        <v>78</v>
      </c>
      <c r="C251" s="4" t="s">
        <v>79</v>
      </c>
      <c r="D251" s="4" t="s">
        <v>36</v>
      </c>
      <c r="E251" s="7">
        <v>42830</v>
      </c>
      <c r="F251" s="4" t="s">
        <v>123</v>
      </c>
      <c r="G251" s="4" t="s">
        <v>549</v>
      </c>
      <c r="H251" s="4">
        <v>50</v>
      </c>
      <c r="I251" s="4">
        <v>50</v>
      </c>
      <c r="J251" s="5">
        <v>0</v>
      </c>
      <c r="K251" s="3">
        <v>67</v>
      </c>
      <c r="L251" s="4">
        <f>tblSales[[#This Row],[Quantity]]*tblSales[[#This Row],[Actual Price]]</f>
        <v>3350</v>
      </c>
    </row>
    <row r="252" spans="1:12" x14ac:dyDescent="0.35">
      <c r="A252" s="3" t="s">
        <v>550</v>
      </c>
      <c r="B252" s="4" t="s">
        <v>435</v>
      </c>
      <c r="C252" s="4" t="s">
        <v>436</v>
      </c>
      <c r="D252" s="4" t="s">
        <v>25</v>
      </c>
      <c r="E252" s="7">
        <v>43061</v>
      </c>
      <c r="F252" s="4" t="s">
        <v>37</v>
      </c>
      <c r="G252" s="4" t="s">
        <v>551</v>
      </c>
      <c r="H252" s="4">
        <v>50</v>
      </c>
      <c r="I252" s="4">
        <v>49</v>
      </c>
      <c r="J252" s="5">
        <v>0.02</v>
      </c>
      <c r="K252" s="3">
        <v>63</v>
      </c>
      <c r="L252" s="4">
        <f>tblSales[[#This Row],[Quantity]]*tblSales[[#This Row],[Actual Price]]</f>
        <v>3087</v>
      </c>
    </row>
    <row r="253" spans="1:12" x14ac:dyDescent="0.35">
      <c r="A253" s="3" t="s">
        <v>552</v>
      </c>
      <c r="B253" s="4" t="s">
        <v>60</v>
      </c>
      <c r="C253" s="4" t="s">
        <v>61</v>
      </c>
      <c r="D253" s="4" t="s">
        <v>14</v>
      </c>
      <c r="E253" s="7">
        <v>41839</v>
      </c>
      <c r="F253" s="4" t="s">
        <v>47</v>
      </c>
      <c r="G253" s="4" t="s">
        <v>313</v>
      </c>
      <c r="H253" s="4">
        <v>500</v>
      </c>
      <c r="I253" s="4">
        <v>425</v>
      </c>
      <c r="J253" s="5">
        <v>0.15</v>
      </c>
      <c r="K253" s="3">
        <v>79</v>
      </c>
      <c r="L253" s="4">
        <f>tblSales[[#This Row],[Quantity]]*tblSales[[#This Row],[Actual Price]]</f>
        <v>33575</v>
      </c>
    </row>
    <row r="254" spans="1:12" x14ac:dyDescent="0.35">
      <c r="A254" s="3" t="s">
        <v>553</v>
      </c>
      <c r="B254" s="4" t="s">
        <v>171</v>
      </c>
      <c r="C254" s="4" t="s">
        <v>172</v>
      </c>
      <c r="D254" s="4" t="s">
        <v>14</v>
      </c>
      <c r="E254" s="7">
        <v>43364</v>
      </c>
      <c r="F254" s="4" t="s">
        <v>73</v>
      </c>
      <c r="G254" s="4" t="s">
        <v>519</v>
      </c>
      <c r="H254" s="4">
        <v>500</v>
      </c>
      <c r="I254" s="4">
        <v>500</v>
      </c>
      <c r="J254" s="5">
        <v>0</v>
      </c>
      <c r="K254" s="3">
        <v>79</v>
      </c>
      <c r="L254" s="4">
        <f>tblSales[[#This Row],[Quantity]]*tblSales[[#This Row],[Actual Price]]</f>
        <v>39500</v>
      </c>
    </row>
    <row r="255" spans="1:12" x14ac:dyDescent="0.35">
      <c r="A255" s="3" t="s">
        <v>554</v>
      </c>
      <c r="B255" s="4" t="s">
        <v>29</v>
      </c>
      <c r="C255" s="4" t="s">
        <v>30</v>
      </c>
      <c r="D255" s="4" t="s">
        <v>14</v>
      </c>
      <c r="E255" s="7">
        <v>42277</v>
      </c>
      <c r="F255" s="4" t="s">
        <v>56</v>
      </c>
      <c r="G255" s="4" t="s">
        <v>555</v>
      </c>
      <c r="H255" s="4">
        <v>800</v>
      </c>
      <c r="I255" s="4">
        <v>680</v>
      </c>
      <c r="J255" s="5">
        <v>0.15</v>
      </c>
      <c r="K255" s="3">
        <v>11</v>
      </c>
      <c r="L255" s="4">
        <f>tblSales[[#This Row],[Quantity]]*tblSales[[#This Row],[Actual Price]]</f>
        <v>7480</v>
      </c>
    </row>
    <row r="256" spans="1:12" x14ac:dyDescent="0.35">
      <c r="A256" s="3" t="s">
        <v>556</v>
      </c>
      <c r="B256" s="4" t="s">
        <v>82</v>
      </c>
      <c r="C256" s="4" t="s">
        <v>83</v>
      </c>
      <c r="D256" s="4" t="s">
        <v>14</v>
      </c>
      <c r="E256" s="7">
        <v>43081</v>
      </c>
      <c r="F256" s="4" t="s">
        <v>31</v>
      </c>
      <c r="G256" s="4" t="s">
        <v>557</v>
      </c>
      <c r="H256" s="4">
        <v>150</v>
      </c>
      <c r="I256" s="4">
        <v>144</v>
      </c>
      <c r="J256" s="5">
        <v>0.04</v>
      </c>
      <c r="K256" s="3">
        <v>49</v>
      </c>
      <c r="L256" s="4">
        <f>tblSales[[#This Row],[Quantity]]*tblSales[[#This Row],[Actual Price]]</f>
        <v>7056</v>
      </c>
    </row>
    <row r="257" spans="1:12" x14ac:dyDescent="0.35">
      <c r="A257" s="3" t="s">
        <v>558</v>
      </c>
      <c r="B257" s="4" t="s">
        <v>256</v>
      </c>
      <c r="C257" s="4" t="s">
        <v>257</v>
      </c>
      <c r="D257" s="4" t="s">
        <v>14</v>
      </c>
      <c r="E257" s="7">
        <v>42406</v>
      </c>
      <c r="F257" s="4" t="s">
        <v>62</v>
      </c>
      <c r="G257" s="4" t="s">
        <v>377</v>
      </c>
      <c r="H257" s="4">
        <v>1000</v>
      </c>
      <c r="I257" s="4">
        <v>680</v>
      </c>
      <c r="J257" s="5">
        <v>0.32</v>
      </c>
      <c r="K257" s="3">
        <v>13</v>
      </c>
      <c r="L257" s="4">
        <f>tblSales[[#This Row],[Quantity]]*tblSales[[#This Row],[Actual Price]]</f>
        <v>8840</v>
      </c>
    </row>
    <row r="258" spans="1:12" x14ac:dyDescent="0.35">
      <c r="A258" s="3" t="s">
        <v>559</v>
      </c>
      <c r="B258" s="4" t="s">
        <v>23</v>
      </c>
      <c r="C258" s="4" t="s">
        <v>24</v>
      </c>
      <c r="D258" s="4" t="s">
        <v>25</v>
      </c>
      <c r="E258" s="7">
        <v>43099</v>
      </c>
      <c r="F258" s="4" t="s">
        <v>31</v>
      </c>
      <c r="G258" s="4" t="s">
        <v>311</v>
      </c>
      <c r="H258" s="4">
        <v>150</v>
      </c>
      <c r="I258" s="4">
        <v>140</v>
      </c>
      <c r="J258" s="5">
        <v>6.6699999999999995E-2</v>
      </c>
      <c r="K258" s="3">
        <v>17</v>
      </c>
      <c r="L258" s="4">
        <f>tblSales[[#This Row],[Quantity]]*tblSales[[#This Row],[Actual Price]]</f>
        <v>2380</v>
      </c>
    </row>
    <row r="259" spans="1:12" x14ac:dyDescent="0.35">
      <c r="A259" s="3" t="s">
        <v>560</v>
      </c>
      <c r="B259" s="4" t="s">
        <v>112</v>
      </c>
      <c r="C259" s="4" t="s">
        <v>83</v>
      </c>
      <c r="D259" s="4" t="s">
        <v>14</v>
      </c>
      <c r="E259" s="7">
        <v>42875</v>
      </c>
      <c r="F259" s="4" t="s">
        <v>42</v>
      </c>
      <c r="G259" s="4" t="s">
        <v>561</v>
      </c>
      <c r="H259" s="4">
        <v>30</v>
      </c>
      <c r="I259" s="4">
        <v>28</v>
      </c>
      <c r="J259" s="5">
        <v>6.6699999999999995E-2</v>
      </c>
      <c r="K259" s="3">
        <v>90</v>
      </c>
      <c r="L259" s="4">
        <f>tblSales[[#This Row],[Quantity]]*tblSales[[#This Row],[Actual Price]]</f>
        <v>2520</v>
      </c>
    </row>
    <row r="260" spans="1:12" x14ac:dyDescent="0.35">
      <c r="A260" s="3" t="s">
        <v>562</v>
      </c>
      <c r="B260" s="4" t="s">
        <v>206</v>
      </c>
      <c r="C260" s="4" t="s">
        <v>207</v>
      </c>
      <c r="D260" s="4" t="s">
        <v>25</v>
      </c>
      <c r="E260" s="7">
        <v>41662</v>
      </c>
      <c r="F260" s="4" t="s">
        <v>56</v>
      </c>
      <c r="G260" s="4" t="s">
        <v>208</v>
      </c>
      <c r="H260" s="4">
        <v>800</v>
      </c>
      <c r="I260" s="4">
        <v>544</v>
      </c>
      <c r="J260" s="5">
        <v>0.32</v>
      </c>
      <c r="K260" s="3">
        <v>91</v>
      </c>
      <c r="L260" s="4">
        <f>tblSales[[#This Row],[Quantity]]*tblSales[[#This Row],[Actual Price]]</f>
        <v>49504</v>
      </c>
    </row>
    <row r="261" spans="1:12" x14ac:dyDescent="0.35">
      <c r="A261" s="3" t="s">
        <v>563</v>
      </c>
      <c r="B261" s="4" t="s">
        <v>18</v>
      </c>
      <c r="C261" s="4" t="s">
        <v>19</v>
      </c>
      <c r="D261" s="4" t="s">
        <v>20</v>
      </c>
      <c r="E261" s="7">
        <v>42447</v>
      </c>
      <c r="F261" s="4" t="s">
        <v>37</v>
      </c>
      <c r="G261" s="4" t="s">
        <v>90</v>
      </c>
      <c r="H261" s="4">
        <v>50</v>
      </c>
      <c r="I261" s="4">
        <v>47</v>
      </c>
      <c r="J261" s="5">
        <v>0.06</v>
      </c>
      <c r="K261" s="3">
        <v>44</v>
      </c>
      <c r="L261" s="4">
        <f>tblSales[[#This Row],[Quantity]]*tblSales[[#This Row],[Actual Price]]</f>
        <v>2068</v>
      </c>
    </row>
    <row r="262" spans="1:12" x14ac:dyDescent="0.35">
      <c r="A262" s="3" t="s">
        <v>564</v>
      </c>
      <c r="B262" s="4" t="s">
        <v>112</v>
      </c>
      <c r="C262" s="4" t="s">
        <v>83</v>
      </c>
      <c r="D262" s="4" t="s">
        <v>14</v>
      </c>
      <c r="E262" s="7">
        <v>41840</v>
      </c>
      <c r="F262" s="4" t="s">
        <v>15</v>
      </c>
      <c r="G262" s="4" t="s">
        <v>565</v>
      </c>
      <c r="H262" s="4">
        <v>80</v>
      </c>
      <c r="I262" s="4">
        <v>60</v>
      </c>
      <c r="J262" s="5">
        <v>0.25</v>
      </c>
      <c r="K262" s="3">
        <v>77</v>
      </c>
      <c r="L262" s="4">
        <f>tblSales[[#This Row],[Quantity]]*tblSales[[#This Row],[Actual Price]]</f>
        <v>4620</v>
      </c>
    </row>
    <row r="263" spans="1:12" x14ac:dyDescent="0.35">
      <c r="A263" s="3" t="s">
        <v>566</v>
      </c>
      <c r="B263" s="4" t="s">
        <v>271</v>
      </c>
      <c r="C263" s="4" t="s">
        <v>272</v>
      </c>
      <c r="D263" s="4" t="s">
        <v>36</v>
      </c>
      <c r="E263" s="7">
        <v>43268</v>
      </c>
      <c r="F263" s="4" t="s">
        <v>42</v>
      </c>
      <c r="G263" s="4" t="s">
        <v>567</v>
      </c>
      <c r="H263" s="4">
        <v>30</v>
      </c>
      <c r="I263" s="4">
        <v>26</v>
      </c>
      <c r="J263" s="5">
        <v>0.1333</v>
      </c>
      <c r="K263" s="3">
        <v>98</v>
      </c>
      <c r="L263" s="4">
        <f>tblSales[[#This Row],[Quantity]]*tblSales[[#This Row],[Actual Price]]</f>
        <v>2548</v>
      </c>
    </row>
    <row r="264" spans="1:12" x14ac:dyDescent="0.35">
      <c r="A264" s="3" t="s">
        <v>568</v>
      </c>
      <c r="B264" s="4" t="s">
        <v>132</v>
      </c>
      <c r="C264" s="4" t="s">
        <v>109</v>
      </c>
      <c r="D264" s="4" t="s">
        <v>20</v>
      </c>
      <c r="E264" s="7">
        <v>42636</v>
      </c>
      <c r="F264" s="4" t="s">
        <v>73</v>
      </c>
      <c r="G264" s="4" t="s">
        <v>537</v>
      </c>
      <c r="H264" s="4">
        <v>500</v>
      </c>
      <c r="I264" s="4">
        <v>495</v>
      </c>
      <c r="J264" s="5">
        <v>0.01</v>
      </c>
      <c r="K264" s="3">
        <v>60</v>
      </c>
      <c r="L264" s="4">
        <f>tblSales[[#This Row],[Quantity]]*tblSales[[#This Row],[Actual Price]]</f>
        <v>29700</v>
      </c>
    </row>
    <row r="265" spans="1:12" x14ac:dyDescent="0.35">
      <c r="A265" s="3" t="s">
        <v>569</v>
      </c>
      <c r="B265" s="4" t="s">
        <v>125</v>
      </c>
      <c r="C265" s="4" t="s">
        <v>41</v>
      </c>
      <c r="D265" s="4" t="s">
        <v>36</v>
      </c>
      <c r="E265" s="7">
        <v>41768</v>
      </c>
      <c r="F265" s="4" t="s">
        <v>62</v>
      </c>
      <c r="G265" s="4" t="s">
        <v>570</v>
      </c>
      <c r="H265" s="4">
        <v>1000</v>
      </c>
      <c r="I265" s="4">
        <v>620</v>
      </c>
      <c r="J265" s="5">
        <v>0.38</v>
      </c>
      <c r="K265" s="3">
        <v>70</v>
      </c>
      <c r="L265" s="4">
        <f>tblSales[[#This Row],[Quantity]]*tblSales[[#This Row],[Actual Price]]</f>
        <v>43400</v>
      </c>
    </row>
    <row r="266" spans="1:12" x14ac:dyDescent="0.35">
      <c r="A266" s="3" t="s">
        <v>571</v>
      </c>
      <c r="B266" s="4" t="s">
        <v>158</v>
      </c>
      <c r="C266" s="4" t="s">
        <v>109</v>
      </c>
      <c r="D266" s="4" t="s">
        <v>20</v>
      </c>
      <c r="E266" s="7">
        <v>43173</v>
      </c>
      <c r="F266" s="4" t="s">
        <v>73</v>
      </c>
      <c r="G266" s="4" t="s">
        <v>572</v>
      </c>
      <c r="H266" s="4">
        <v>500</v>
      </c>
      <c r="I266" s="4">
        <v>490</v>
      </c>
      <c r="J266" s="5">
        <v>0.02</v>
      </c>
      <c r="K266" s="3">
        <v>42</v>
      </c>
      <c r="L266" s="4">
        <f>tblSales[[#This Row],[Quantity]]*tblSales[[#This Row],[Actual Price]]</f>
        <v>20580</v>
      </c>
    </row>
    <row r="267" spans="1:12" x14ac:dyDescent="0.35">
      <c r="A267" s="3" t="s">
        <v>573</v>
      </c>
      <c r="B267" s="4" t="s">
        <v>86</v>
      </c>
      <c r="C267" s="4" t="s">
        <v>87</v>
      </c>
      <c r="D267" s="4" t="s">
        <v>14</v>
      </c>
      <c r="E267" s="7">
        <v>41862</v>
      </c>
      <c r="F267" s="4" t="s">
        <v>42</v>
      </c>
      <c r="G267" s="4" t="s">
        <v>574</v>
      </c>
      <c r="H267" s="4">
        <v>30</v>
      </c>
      <c r="I267" s="4">
        <v>21</v>
      </c>
      <c r="J267" s="5">
        <v>0.3</v>
      </c>
      <c r="K267" s="3">
        <v>57</v>
      </c>
      <c r="L267" s="4">
        <f>tblSales[[#This Row],[Quantity]]*tblSales[[#This Row],[Actual Price]]</f>
        <v>1197</v>
      </c>
    </row>
    <row r="268" spans="1:12" x14ac:dyDescent="0.35">
      <c r="A268" s="3" t="s">
        <v>575</v>
      </c>
      <c r="B268" s="4" t="s">
        <v>125</v>
      </c>
      <c r="C268" s="4" t="s">
        <v>41</v>
      </c>
      <c r="D268" s="4" t="s">
        <v>36</v>
      </c>
      <c r="E268" s="7">
        <v>42152</v>
      </c>
      <c r="F268" s="4" t="s">
        <v>42</v>
      </c>
      <c r="G268" s="4" t="s">
        <v>576</v>
      </c>
      <c r="H268" s="4">
        <v>30</v>
      </c>
      <c r="I268" s="4">
        <v>20</v>
      </c>
      <c r="J268" s="5">
        <v>0.33329999999999999</v>
      </c>
      <c r="K268" s="3">
        <v>86</v>
      </c>
      <c r="L268" s="4">
        <f>tblSales[[#This Row],[Quantity]]*tblSales[[#This Row],[Actual Price]]</f>
        <v>1720</v>
      </c>
    </row>
    <row r="269" spans="1:12" x14ac:dyDescent="0.35">
      <c r="A269" s="3" t="s">
        <v>577</v>
      </c>
      <c r="B269" s="4" t="s">
        <v>222</v>
      </c>
      <c r="C269" s="4" t="s">
        <v>41</v>
      </c>
      <c r="D269" s="4" t="s">
        <v>36</v>
      </c>
      <c r="E269" s="7">
        <v>42174</v>
      </c>
      <c r="F269" s="4" t="s">
        <v>62</v>
      </c>
      <c r="G269" s="4" t="s">
        <v>246</v>
      </c>
      <c r="H269" s="4">
        <v>1000</v>
      </c>
      <c r="I269" s="4">
        <v>910</v>
      </c>
      <c r="J269" s="5">
        <v>0.09</v>
      </c>
      <c r="K269" s="3">
        <v>25</v>
      </c>
      <c r="L269" s="4">
        <f>tblSales[[#This Row],[Quantity]]*tblSales[[#This Row],[Actual Price]]</f>
        <v>22750</v>
      </c>
    </row>
    <row r="270" spans="1:12" x14ac:dyDescent="0.35">
      <c r="A270" s="3" t="s">
        <v>578</v>
      </c>
      <c r="B270" s="4" t="s">
        <v>65</v>
      </c>
      <c r="C270" s="4" t="s">
        <v>66</v>
      </c>
      <c r="D270" s="4" t="s">
        <v>36</v>
      </c>
      <c r="E270" s="7">
        <v>42666</v>
      </c>
      <c r="F270" s="4" t="s">
        <v>105</v>
      </c>
      <c r="G270" s="4" t="s">
        <v>530</v>
      </c>
      <c r="H270" s="4">
        <v>70</v>
      </c>
      <c r="I270" s="4">
        <v>68</v>
      </c>
      <c r="J270" s="5">
        <v>2.86E-2</v>
      </c>
      <c r="K270" s="3">
        <v>97</v>
      </c>
      <c r="L270" s="4">
        <f>tblSales[[#This Row],[Quantity]]*tblSales[[#This Row],[Actual Price]]</f>
        <v>6596</v>
      </c>
    </row>
    <row r="271" spans="1:12" x14ac:dyDescent="0.35">
      <c r="A271" s="3" t="s">
        <v>579</v>
      </c>
      <c r="B271" s="4" t="s">
        <v>206</v>
      </c>
      <c r="C271" s="4" t="s">
        <v>207</v>
      </c>
      <c r="D271" s="4" t="s">
        <v>25</v>
      </c>
      <c r="E271" s="7">
        <v>42456</v>
      </c>
      <c r="F271" s="4" t="s">
        <v>26</v>
      </c>
      <c r="G271" s="4" t="s">
        <v>580</v>
      </c>
      <c r="H271" s="4">
        <v>700</v>
      </c>
      <c r="I271" s="4">
        <v>623</v>
      </c>
      <c r="J271" s="5">
        <v>0.11</v>
      </c>
      <c r="K271" s="3">
        <v>100</v>
      </c>
      <c r="L271" s="4">
        <f>tblSales[[#This Row],[Quantity]]*tblSales[[#This Row],[Actual Price]]</f>
        <v>62300</v>
      </c>
    </row>
    <row r="272" spans="1:12" x14ac:dyDescent="0.35">
      <c r="A272" s="3" t="s">
        <v>581</v>
      </c>
      <c r="B272" s="4" t="s">
        <v>86</v>
      </c>
      <c r="C272" s="4" t="s">
        <v>87</v>
      </c>
      <c r="D272" s="4" t="s">
        <v>14</v>
      </c>
      <c r="E272" s="7">
        <v>41698</v>
      </c>
      <c r="F272" s="4" t="s">
        <v>73</v>
      </c>
      <c r="G272" s="4" t="s">
        <v>582</v>
      </c>
      <c r="H272" s="4">
        <v>500</v>
      </c>
      <c r="I272" s="4">
        <v>490</v>
      </c>
      <c r="J272" s="5">
        <v>0.02</v>
      </c>
      <c r="K272" s="3">
        <v>12</v>
      </c>
      <c r="L272" s="4">
        <f>tblSales[[#This Row],[Quantity]]*tblSales[[#This Row],[Actual Price]]</f>
        <v>5880</v>
      </c>
    </row>
    <row r="273" spans="1:12" x14ac:dyDescent="0.35">
      <c r="A273" s="3" t="s">
        <v>583</v>
      </c>
      <c r="B273" s="4" t="s">
        <v>119</v>
      </c>
      <c r="C273" s="4" t="s">
        <v>120</v>
      </c>
      <c r="D273" s="4" t="s">
        <v>36</v>
      </c>
      <c r="E273" s="7">
        <v>42678</v>
      </c>
      <c r="F273" s="4" t="s">
        <v>37</v>
      </c>
      <c r="G273" s="4" t="s">
        <v>584</v>
      </c>
      <c r="H273" s="4">
        <v>50</v>
      </c>
      <c r="I273" s="4">
        <v>50</v>
      </c>
      <c r="J273" s="5">
        <v>0</v>
      </c>
      <c r="K273" s="3">
        <v>81</v>
      </c>
      <c r="L273" s="4">
        <f>tblSales[[#This Row],[Quantity]]*tblSales[[#This Row],[Actual Price]]</f>
        <v>4050</v>
      </c>
    </row>
    <row r="274" spans="1:12" x14ac:dyDescent="0.35">
      <c r="A274" s="3" t="s">
        <v>585</v>
      </c>
      <c r="B274" s="4" t="s">
        <v>435</v>
      </c>
      <c r="C274" s="4" t="s">
        <v>436</v>
      </c>
      <c r="D274" s="4" t="s">
        <v>25</v>
      </c>
      <c r="E274" s="7">
        <v>42181</v>
      </c>
      <c r="F274" s="4" t="s">
        <v>62</v>
      </c>
      <c r="G274" s="4" t="s">
        <v>586</v>
      </c>
      <c r="H274" s="4">
        <v>1000</v>
      </c>
      <c r="I274" s="4">
        <v>790</v>
      </c>
      <c r="J274" s="5">
        <v>0.21</v>
      </c>
      <c r="K274" s="3">
        <v>58</v>
      </c>
      <c r="L274" s="4">
        <f>tblSales[[#This Row],[Quantity]]*tblSales[[#This Row],[Actual Price]]</f>
        <v>45820</v>
      </c>
    </row>
    <row r="275" spans="1:12" x14ac:dyDescent="0.35">
      <c r="A275" s="3" t="s">
        <v>587</v>
      </c>
      <c r="B275" s="4" t="s">
        <v>34</v>
      </c>
      <c r="C275" s="4" t="s">
        <v>35</v>
      </c>
      <c r="D275" s="4" t="s">
        <v>36</v>
      </c>
      <c r="E275" s="7">
        <v>41901</v>
      </c>
      <c r="F275" s="4" t="s">
        <v>31</v>
      </c>
      <c r="G275" s="4" t="s">
        <v>38</v>
      </c>
      <c r="H275" s="4">
        <v>150</v>
      </c>
      <c r="I275" s="4">
        <v>144</v>
      </c>
      <c r="J275" s="5">
        <v>0.04</v>
      </c>
      <c r="K275" s="3">
        <v>20</v>
      </c>
      <c r="L275" s="4">
        <f>tblSales[[#This Row],[Quantity]]*tblSales[[#This Row],[Actual Price]]</f>
        <v>2880</v>
      </c>
    </row>
    <row r="276" spans="1:12" x14ac:dyDescent="0.35">
      <c r="A276" s="3" t="s">
        <v>588</v>
      </c>
      <c r="B276" s="4" t="s">
        <v>325</v>
      </c>
      <c r="C276" s="4" t="s">
        <v>326</v>
      </c>
      <c r="D276" s="4" t="s">
        <v>14</v>
      </c>
      <c r="E276" s="7">
        <v>42199</v>
      </c>
      <c r="F276" s="4" t="s">
        <v>62</v>
      </c>
      <c r="G276" s="4" t="s">
        <v>589</v>
      </c>
      <c r="H276" s="4">
        <v>1000</v>
      </c>
      <c r="I276" s="4">
        <v>960</v>
      </c>
      <c r="J276" s="5">
        <v>0.04</v>
      </c>
      <c r="K276" s="3">
        <v>100</v>
      </c>
      <c r="L276" s="4">
        <f>tblSales[[#This Row],[Quantity]]*tblSales[[#This Row],[Actual Price]]</f>
        <v>96000</v>
      </c>
    </row>
    <row r="277" spans="1:12" x14ac:dyDescent="0.35">
      <c r="A277" s="3" t="s">
        <v>590</v>
      </c>
      <c r="B277" s="4" t="s">
        <v>256</v>
      </c>
      <c r="C277" s="4" t="s">
        <v>257</v>
      </c>
      <c r="D277" s="4" t="s">
        <v>14</v>
      </c>
      <c r="E277" s="7">
        <v>43117</v>
      </c>
      <c r="F277" s="4" t="s">
        <v>47</v>
      </c>
      <c r="G277" s="4" t="s">
        <v>591</v>
      </c>
      <c r="H277" s="4">
        <v>500</v>
      </c>
      <c r="I277" s="4">
        <v>445</v>
      </c>
      <c r="J277" s="5">
        <v>0.11</v>
      </c>
      <c r="K277" s="3">
        <v>32</v>
      </c>
      <c r="L277" s="4">
        <f>tblSales[[#This Row],[Quantity]]*tblSales[[#This Row],[Actual Price]]</f>
        <v>14240</v>
      </c>
    </row>
    <row r="278" spans="1:12" x14ac:dyDescent="0.35">
      <c r="A278" s="3" t="s">
        <v>592</v>
      </c>
      <c r="B278" s="4" t="s">
        <v>104</v>
      </c>
      <c r="C278" s="4" t="s">
        <v>72</v>
      </c>
      <c r="D278" s="4" t="s">
        <v>36</v>
      </c>
      <c r="E278" s="7">
        <v>43396</v>
      </c>
      <c r="F278" s="4" t="s">
        <v>47</v>
      </c>
      <c r="G278" s="4" t="s">
        <v>593</v>
      </c>
      <c r="H278" s="4">
        <v>500</v>
      </c>
      <c r="I278" s="4">
        <v>435</v>
      </c>
      <c r="J278" s="5">
        <v>0.13</v>
      </c>
      <c r="K278" s="3">
        <v>9</v>
      </c>
      <c r="L278" s="4">
        <f>tblSales[[#This Row],[Quantity]]*tblSales[[#This Row],[Actual Price]]</f>
        <v>3915</v>
      </c>
    </row>
    <row r="279" spans="1:12" x14ac:dyDescent="0.35">
      <c r="A279" s="3" t="s">
        <v>594</v>
      </c>
      <c r="B279" s="4" t="s">
        <v>100</v>
      </c>
      <c r="C279" s="4" t="s">
        <v>101</v>
      </c>
      <c r="D279" s="4" t="s">
        <v>14</v>
      </c>
      <c r="E279" s="7">
        <v>41878</v>
      </c>
      <c r="F279" s="4" t="s">
        <v>73</v>
      </c>
      <c r="G279" s="4" t="s">
        <v>595</v>
      </c>
      <c r="H279" s="4">
        <v>500</v>
      </c>
      <c r="I279" s="4">
        <v>490</v>
      </c>
      <c r="J279" s="5">
        <v>0.02</v>
      </c>
      <c r="K279" s="3">
        <v>78</v>
      </c>
      <c r="L279" s="4">
        <f>tblSales[[#This Row],[Quantity]]*tblSales[[#This Row],[Actual Price]]</f>
        <v>38220</v>
      </c>
    </row>
    <row r="280" spans="1:12" x14ac:dyDescent="0.35">
      <c r="A280" s="3" t="s">
        <v>596</v>
      </c>
      <c r="B280" s="4" t="s">
        <v>206</v>
      </c>
      <c r="C280" s="4" t="s">
        <v>207</v>
      </c>
      <c r="D280" s="4" t="s">
        <v>25</v>
      </c>
      <c r="E280" s="7">
        <v>43022</v>
      </c>
      <c r="F280" s="4" t="s">
        <v>116</v>
      </c>
      <c r="G280" s="4" t="s">
        <v>597</v>
      </c>
      <c r="H280" s="4">
        <v>250</v>
      </c>
      <c r="I280" s="4">
        <v>230</v>
      </c>
      <c r="J280" s="5">
        <v>0.08</v>
      </c>
      <c r="K280" s="3">
        <v>4</v>
      </c>
      <c r="L280" s="4">
        <f>tblSales[[#This Row],[Quantity]]*tblSales[[#This Row],[Actual Price]]</f>
        <v>920</v>
      </c>
    </row>
    <row r="281" spans="1:12" x14ac:dyDescent="0.35">
      <c r="A281" s="3" t="s">
        <v>598</v>
      </c>
      <c r="B281" s="4" t="s">
        <v>435</v>
      </c>
      <c r="C281" s="4" t="s">
        <v>436</v>
      </c>
      <c r="D281" s="4" t="s">
        <v>25</v>
      </c>
      <c r="E281" s="7">
        <v>42350</v>
      </c>
      <c r="F281" s="4" t="s">
        <v>56</v>
      </c>
      <c r="G281" s="4" t="s">
        <v>437</v>
      </c>
      <c r="H281" s="4">
        <v>800</v>
      </c>
      <c r="I281" s="4">
        <v>472</v>
      </c>
      <c r="J281" s="5">
        <v>0.41</v>
      </c>
      <c r="K281" s="3">
        <v>35</v>
      </c>
      <c r="L281" s="4">
        <f>tblSales[[#This Row],[Quantity]]*tblSales[[#This Row],[Actual Price]]</f>
        <v>16520</v>
      </c>
    </row>
    <row r="282" spans="1:12" x14ac:dyDescent="0.35">
      <c r="A282" s="3" t="s">
        <v>599</v>
      </c>
      <c r="B282" s="4" t="s">
        <v>265</v>
      </c>
      <c r="C282" s="4" t="s">
        <v>266</v>
      </c>
      <c r="D282" s="4" t="s">
        <v>14</v>
      </c>
      <c r="E282" s="7">
        <v>42411</v>
      </c>
      <c r="F282" s="4" t="s">
        <v>62</v>
      </c>
      <c r="G282" s="4" t="s">
        <v>600</v>
      </c>
      <c r="H282" s="4">
        <v>1000</v>
      </c>
      <c r="I282" s="4">
        <v>510</v>
      </c>
      <c r="J282" s="5">
        <v>0.49</v>
      </c>
      <c r="K282" s="3">
        <v>67</v>
      </c>
      <c r="L282" s="4">
        <f>tblSales[[#This Row],[Quantity]]*tblSales[[#This Row],[Actual Price]]</f>
        <v>34170</v>
      </c>
    </row>
    <row r="283" spans="1:12" x14ac:dyDescent="0.35">
      <c r="A283" s="3" t="s">
        <v>601</v>
      </c>
      <c r="B283" s="4" t="s">
        <v>60</v>
      </c>
      <c r="C283" s="4" t="s">
        <v>61</v>
      </c>
      <c r="D283" s="4" t="s">
        <v>14</v>
      </c>
      <c r="E283" s="7">
        <v>42635</v>
      </c>
      <c r="F283" s="4" t="s">
        <v>116</v>
      </c>
      <c r="G283" s="4" t="s">
        <v>63</v>
      </c>
      <c r="H283" s="4">
        <v>250</v>
      </c>
      <c r="I283" s="4">
        <v>230</v>
      </c>
      <c r="J283" s="5">
        <v>0.08</v>
      </c>
      <c r="K283" s="3">
        <v>54</v>
      </c>
      <c r="L283" s="4">
        <f>tblSales[[#This Row],[Quantity]]*tblSales[[#This Row],[Actual Price]]</f>
        <v>12420</v>
      </c>
    </row>
    <row r="284" spans="1:12" x14ac:dyDescent="0.35">
      <c r="A284" s="3" t="s">
        <v>602</v>
      </c>
      <c r="B284" s="4" t="s">
        <v>265</v>
      </c>
      <c r="C284" s="4" t="s">
        <v>266</v>
      </c>
      <c r="D284" s="4" t="s">
        <v>14</v>
      </c>
      <c r="E284" s="7">
        <v>43191</v>
      </c>
      <c r="F284" s="4" t="s">
        <v>123</v>
      </c>
      <c r="G284" s="4" t="s">
        <v>267</v>
      </c>
      <c r="H284" s="4">
        <v>50</v>
      </c>
      <c r="I284" s="4">
        <v>48</v>
      </c>
      <c r="J284" s="5">
        <v>0.04</v>
      </c>
      <c r="K284" s="3">
        <v>39</v>
      </c>
      <c r="L284" s="4">
        <f>tblSales[[#This Row],[Quantity]]*tblSales[[#This Row],[Actual Price]]</f>
        <v>1872</v>
      </c>
    </row>
    <row r="285" spans="1:12" x14ac:dyDescent="0.35">
      <c r="A285" s="3" t="s">
        <v>603</v>
      </c>
      <c r="B285" s="4" t="s">
        <v>104</v>
      </c>
      <c r="C285" s="4" t="s">
        <v>72</v>
      </c>
      <c r="D285" s="4" t="s">
        <v>36</v>
      </c>
      <c r="E285" s="7">
        <v>42065</v>
      </c>
      <c r="F285" s="4" t="s">
        <v>15</v>
      </c>
      <c r="G285" s="4" t="s">
        <v>604</v>
      </c>
      <c r="H285" s="4">
        <v>80</v>
      </c>
      <c r="I285" s="4">
        <v>49</v>
      </c>
      <c r="J285" s="5">
        <v>0.38750000000000001</v>
      </c>
      <c r="K285" s="3">
        <v>7</v>
      </c>
      <c r="L285" s="4">
        <f>tblSales[[#This Row],[Quantity]]*tblSales[[#This Row],[Actual Price]]</f>
        <v>343</v>
      </c>
    </row>
    <row r="286" spans="1:12" x14ac:dyDescent="0.35">
      <c r="A286" s="3" t="s">
        <v>605</v>
      </c>
      <c r="B286" s="4" t="s">
        <v>265</v>
      </c>
      <c r="C286" s="4" t="s">
        <v>266</v>
      </c>
      <c r="D286" s="4" t="s">
        <v>14</v>
      </c>
      <c r="E286" s="7">
        <v>42326</v>
      </c>
      <c r="F286" s="4" t="s">
        <v>73</v>
      </c>
      <c r="G286" s="4" t="s">
        <v>315</v>
      </c>
      <c r="H286" s="4">
        <v>500</v>
      </c>
      <c r="I286" s="4">
        <v>490</v>
      </c>
      <c r="J286" s="5">
        <v>0.02</v>
      </c>
      <c r="K286" s="3">
        <v>86</v>
      </c>
      <c r="L286" s="4">
        <f>tblSales[[#This Row],[Quantity]]*tblSales[[#This Row],[Actual Price]]</f>
        <v>42140</v>
      </c>
    </row>
    <row r="287" spans="1:12" x14ac:dyDescent="0.35">
      <c r="A287" s="3" t="s">
        <v>606</v>
      </c>
      <c r="B287" s="4" t="s">
        <v>228</v>
      </c>
      <c r="C287" s="4" t="s">
        <v>229</v>
      </c>
      <c r="D287" s="4" t="s">
        <v>25</v>
      </c>
      <c r="E287" s="7">
        <v>43164</v>
      </c>
      <c r="F287" s="4" t="s">
        <v>116</v>
      </c>
      <c r="G287" s="4" t="s">
        <v>230</v>
      </c>
      <c r="H287" s="4">
        <v>250</v>
      </c>
      <c r="I287" s="4">
        <v>248</v>
      </c>
      <c r="J287" s="5">
        <v>8.0000000000000002E-3</v>
      </c>
      <c r="K287" s="3">
        <v>2</v>
      </c>
      <c r="L287" s="4">
        <f>tblSales[[#This Row],[Quantity]]*tblSales[[#This Row],[Actual Price]]</f>
        <v>496</v>
      </c>
    </row>
    <row r="288" spans="1:12" x14ac:dyDescent="0.35">
      <c r="A288" s="3" t="s">
        <v>607</v>
      </c>
      <c r="B288" s="4" t="s">
        <v>175</v>
      </c>
      <c r="C288" s="4" t="s">
        <v>176</v>
      </c>
      <c r="D288" s="4" t="s">
        <v>14</v>
      </c>
      <c r="E288" s="7">
        <v>42365</v>
      </c>
      <c r="F288" s="4" t="s">
        <v>62</v>
      </c>
      <c r="G288" s="4" t="s">
        <v>608</v>
      </c>
      <c r="H288" s="4">
        <v>1000</v>
      </c>
      <c r="I288" s="4">
        <v>900</v>
      </c>
      <c r="J288" s="5">
        <v>0.1</v>
      </c>
      <c r="K288" s="3">
        <v>68</v>
      </c>
      <c r="L288" s="4">
        <f>tblSales[[#This Row],[Quantity]]*tblSales[[#This Row],[Actual Price]]</f>
        <v>61200</v>
      </c>
    </row>
    <row r="289" spans="1:12" x14ac:dyDescent="0.35">
      <c r="A289" s="3" t="s">
        <v>609</v>
      </c>
      <c r="B289" s="4" t="s">
        <v>60</v>
      </c>
      <c r="C289" s="4" t="s">
        <v>61</v>
      </c>
      <c r="D289" s="4" t="s">
        <v>14</v>
      </c>
      <c r="E289" s="7">
        <v>43110</v>
      </c>
      <c r="F289" s="4" t="s">
        <v>123</v>
      </c>
      <c r="G289" s="4" t="s">
        <v>63</v>
      </c>
      <c r="H289" s="4">
        <v>50</v>
      </c>
      <c r="I289" s="4">
        <v>45</v>
      </c>
      <c r="J289" s="5">
        <v>0.1</v>
      </c>
      <c r="K289" s="3">
        <v>3</v>
      </c>
      <c r="L289" s="4">
        <f>tblSales[[#This Row],[Quantity]]*tblSales[[#This Row],[Actual Price]]</f>
        <v>135</v>
      </c>
    </row>
    <row r="290" spans="1:12" x14ac:dyDescent="0.35">
      <c r="A290" s="3" t="s">
        <v>610</v>
      </c>
      <c r="B290" s="4" t="s">
        <v>112</v>
      </c>
      <c r="C290" s="4" t="s">
        <v>83</v>
      </c>
      <c r="D290" s="4" t="s">
        <v>14</v>
      </c>
      <c r="E290" s="7">
        <v>42772</v>
      </c>
      <c r="F290" s="4" t="s">
        <v>31</v>
      </c>
      <c r="G290" s="4" t="s">
        <v>611</v>
      </c>
      <c r="H290" s="4">
        <v>150</v>
      </c>
      <c r="I290" s="4">
        <v>144</v>
      </c>
      <c r="J290" s="5">
        <v>0.04</v>
      </c>
      <c r="K290" s="3">
        <v>94</v>
      </c>
      <c r="L290" s="4">
        <f>tblSales[[#This Row],[Quantity]]*tblSales[[#This Row],[Actual Price]]</f>
        <v>13536</v>
      </c>
    </row>
    <row r="291" spans="1:12" x14ac:dyDescent="0.35">
      <c r="A291" s="3" t="s">
        <v>612</v>
      </c>
      <c r="B291" s="4" t="s">
        <v>135</v>
      </c>
      <c r="C291" s="4" t="s">
        <v>93</v>
      </c>
      <c r="D291" s="4" t="s">
        <v>36</v>
      </c>
      <c r="E291" s="7">
        <v>43111</v>
      </c>
      <c r="F291" s="4" t="s">
        <v>73</v>
      </c>
      <c r="G291" s="4" t="s">
        <v>136</v>
      </c>
      <c r="H291" s="4">
        <v>500</v>
      </c>
      <c r="I291" s="4">
        <v>495</v>
      </c>
      <c r="J291" s="5">
        <v>0.01</v>
      </c>
      <c r="K291" s="3">
        <v>49</v>
      </c>
      <c r="L291" s="4">
        <f>tblSales[[#This Row],[Quantity]]*tblSales[[#This Row],[Actual Price]]</f>
        <v>24255</v>
      </c>
    </row>
    <row r="292" spans="1:12" x14ac:dyDescent="0.35">
      <c r="A292" s="3" t="s">
        <v>613</v>
      </c>
      <c r="B292" s="4" t="s">
        <v>96</v>
      </c>
      <c r="C292" s="4" t="s">
        <v>97</v>
      </c>
      <c r="D292" s="4" t="s">
        <v>14</v>
      </c>
      <c r="E292" s="7">
        <v>41902</v>
      </c>
      <c r="F292" s="4" t="s">
        <v>47</v>
      </c>
      <c r="G292" s="4" t="s">
        <v>217</v>
      </c>
      <c r="H292" s="4">
        <v>500</v>
      </c>
      <c r="I292" s="4">
        <v>425</v>
      </c>
      <c r="J292" s="5">
        <v>0.15</v>
      </c>
      <c r="K292" s="3">
        <v>68</v>
      </c>
      <c r="L292" s="4">
        <f>tblSales[[#This Row],[Quantity]]*tblSales[[#This Row],[Actual Price]]</f>
        <v>28900</v>
      </c>
    </row>
    <row r="293" spans="1:12" x14ac:dyDescent="0.35">
      <c r="A293" s="3" t="s">
        <v>614</v>
      </c>
      <c r="B293" s="4" t="s">
        <v>60</v>
      </c>
      <c r="C293" s="4" t="s">
        <v>61</v>
      </c>
      <c r="D293" s="4" t="s">
        <v>14</v>
      </c>
      <c r="E293" s="7">
        <v>43279</v>
      </c>
      <c r="F293" s="4" t="s">
        <v>105</v>
      </c>
      <c r="G293" s="4" t="s">
        <v>615</v>
      </c>
      <c r="H293" s="4">
        <v>70</v>
      </c>
      <c r="I293" s="4">
        <v>60</v>
      </c>
      <c r="J293" s="5">
        <v>0.1429</v>
      </c>
      <c r="K293" s="3">
        <v>92</v>
      </c>
      <c r="L293" s="4">
        <f>tblSales[[#This Row],[Quantity]]*tblSales[[#This Row],[Actual Price]]</f>
        <v>5520</v>
      </c>
    </row>
    <row r="294" spans="1:12" x14ac:dyDescent="0.35">
      <c r="A294" s="3" t="s">
        <v>616</v>
      </c>
      <c r="B294" s="4" t="s">
        <v>18</v>
      </c>
      <c r="C294" s="4" t="s">
        <v>19</v>
      </c>
      <c r="D294" s="4" t="s">
        <v>20</v>
      </c>
      <c r="E294" s="7">
        <v>41970</v>
      </c>
      <c r="F294" s="4" t="s">
        <v>56</v>
      </c>
      <c r="G294" s="4" t="s">
        <v>617</v>
      </c>
      <c r="H294" s="4">
        <v>800</v>
      </c>
      <c r="I294" s="4">
        <v>624</v>
      </c>
      <c r="J294" s="5">
        <v>0.22</v>
      </c>
      <c r="K294" s="3">
        <v>85</v>
      </c>
      <c r="L294" s="4">
        <f>tblSales[[#This Row],[Quantity]]*tblSales[[#This Row],[Actual Price]]</f>
        <v>53040</v>
      </c>
    </row>
    <row r="295" spans="1:12" x14ac:dyDescent="0.35">
      <c r="A295" s="3" t="s">
        <v>618</v>
      </c>
      <c r="B295" s="4" t="s">
        <v>401</v>
      </c>
      <c r="C295" s="4" t="s">
        <v>402</v>
      </c>
      <c r="D295" s="4" t="s">
        <v>14</v>
      </c>
      <c r="E295" s="7">
        <v>43313</v>
      </c>
      <c r="F295" s="4" t="s">
        <v>37</v>
      </c>
      <c r="G295" s="4" t="s">
        <v>619</v>
      </c>
      <c r="H295" s="4">
        <v>50</v>
      </c>
      <c r="I295" s="4">
        <v>47</v>
      </c>
      <c r="J295" s="5">
        <v>0.06</v>
      </c>
      <c r="K295" s="3">
        <v>58</v>
      </c>
      <c r="L295" s="4">
        <f>tblSales[[#This Row],[Quantity]]*tblSales[[#This Row],[Actual Price]]</f>
        <v>2726</v>
      </c>
    </row>
    <row r="296" spans="1:12" x14ac:dyDescent="0.35">
      <c r="A296" s="3" t="s">
        <v>620</v>
      </c>
      <c r="B296" s="4" t="s">
        <v>104</v>
      </c>
      <c r="C296" s="4" t="s">
        <v>72</v>
      </c>
      <c r="D296" s="4" t="s">
        <v>36</v>
      </c>
      <c r="E296" s="7">
        <v>43045</v>
      </c>
      <c r="F296" s="4" t="s">
        <v>42</v>
      </c>
      <c r="G296" s="4" t="s">
        <v>192</v>
      </c>
      <c r="H296" s="4">
        <v>30</v>
      </c>
      <c r="I296" s="4">
        <v>29</v>
      </c>
      <c r="J296" s="5">
        <v>3.3300000000000003E-2</v>
      </c>
      <c r="K296" s="3">
        <v>17</v>
      </c>
      <c r="L296" s="4">
        <f>tblSales[[#This Row],[Quantity]]*tblSales[[#This Row],[Actual Price]]</f>
        <v>493</v>
      </c>
    </row>
    <row r="297" spans="1:12" x14ac:dyDescent="0.35">
      <c r="A297" s="3" t="s">
        <v>621</v>
      </c>
      <c r="B297" s="4" t="s">
        <v>228</v>
      </c>
      <c r="C297" s="4" t="s">
        <v>229</v>
      </c>
      <c r="D297" s="4" t="s">
        <v>25</v>
      </c>
      <c r="E297" s="7">
        <v>42715</v>
      </c>
      <c r="F297" s="4" t="s">
        <v>123</v>
      </c>
      <c r="G297" s="4" t="s">
        <v>622</v>
      </c>
      <c r="H297" s="4">
        <v>50</v>
      </c>
      <c r="I297" s="4">
        <v>50</v>
      </c>
      <c r="J297" s="5">
        <v>0</v>
      </c>
      <c r="K297" s="3">
        <v>43</v>
      </c>
      <c r="L297" s="4">
        <f>tblSales[[#This Row],[Quantity]]*tblSales[[#This Row],[Actual Price]]</f>
        <v>2150</v>
      </c>
    </row>
    <row r="298" spans="1:12" x14ac:dyDescent="0.35">
      <c r="A298" s="3" t="s">
        <v>623</v>
      </c>
      <c r="B298" s="4" t="s">
        <v>188</v>
      </c>
      <c r="C298" s="4" t="s">
        <v>189</v>
      </c>
      <c r="D298" s="4" t="s">
        <v>14</v>
      </c>
      <c r="E298" s="7">
        <v>42994</v>
      </c>
      <c r="F298" s="4" t="s">
        <v>15</v>
      </c>
      <c r="G298" s="4" t="s">
        <v>416</v>
      </c>
      <c r="H298" s="4">
        <v>80</v>
      </c>
      <c r="I298" s="4">
        <v>72</v>
      </c>
      <c r="J298" s="5">
        <v>0.1</v>
      </c>
      <c r="K298" s="3">
        <v>76</v>
      </c>
      <c r="L298" s="4">
        <f>tblSales[[#This Row],[Quantity]]*tblSales[[#This Row],[Actual Price]]</f>
        <v>5472</v>
      </c>
    </row>
    <row r="299" spans="1:12" x14ac:dyDescent="0.35">
      <c r="A299" s="3" t="s">
        <v>624</v>
      </c>
      <c r="B299" s="4" t="s">
        <v>23</v>
      </c>
      <c r="C299" s="4" t="s">
        <v>24</v>
      </c>
      <c r="D299" s="4" t="s">
        <v>25</v>
      </c>
      <c r="E299" s="7">
        <v>42036</v>
      </c>
      <c r="F299" s="4" t="s">
        <v>62</v>
      </c>
      <c r="G299" s="4" t="s">
        <v>625</v>
      </c>
      <c r="H299" s="4">
        <v>1000</v>
      </c>
      <c r="I299" s="4">
        <v>580</v>
      </c>
      <c r="J299" s="5">
        <v>0.42</v>
      </c>
      <c r="K299" s="3">
        <v>45</v>
      </c>
      <c r="L299" s="4">
        <f>tblSales[[#This Row],[Quantity]]*tblSales[[#This Row],[Actual Price]]</f>
        <v>26100</v>
      </c>
    </row>
    <row r="300" spans="1:12" x14ac:dyDescent="0.35">
      <c r="A300" s="3" t="s">
        <v>626</v>
      </c>
      <c r="B300" s="4" t="s">
        <v>242</v>
      </c>
      <c r="C300" s="4" t="s">
        <v>243</v>
      </c>
      <c r="D300" s="4" t="s">
        <v>14</v>
      </c>
      <c r="E300" s="7">
        <v>42502</v>
      </c>
      <c r="F300" s="4" t="s">
        <v>56</v>
      </c>
      <c r="G300" s="4" t="s">
        <v>627</v>
      </c>
      <c r="H300" s="4">
        <v>800</v>
      </c>
      <c r="I300" s="4">
        <v>552</v>
      </c>
      <c r="J300" s="5">
        <v>0.31</v>
      </c>
      <c r="K300" s="3">
        <v>68</v>
      </c>
      <c r="L300" s="4">
        <f>tblSales[[#This Row],[Quantity]]*tblSales[[#This Row],[Actual Price]]</f>
        <v>37536</v>
      </c>
    </row>
    <row r="301" spans="1:12" x14ac:dyDescent="0.35">
      <c r="A301" s="3" t="s">
        <v>628</v>
      </c>
      <c r="B301" s="4" t="s">
        <v>86</v>
      </c>
      <c r="C301" s="4" t="s">
        <v>87</v>
      </c>
      <c r="D301" s="4" t="s">
        <v>14</v>
      </c>
      <c r="E301" s="7">
        <v>42136</v>
      </c>
      <c r="F301" s="4" t="s">
        <v>105</v>
      </c>
      <c r="G301" s="4" t="s">
        <v>629</v>
      </c>
      <c r="H301" s="4">
        <v>70</v>
      </c>
      <c r="I301" s="4">
        <v>67</v>
      </c>
      <c r="J301" s="5">
        <v>4.2900000000000001E-2</v>
      </c>
      <c r="K301" s="3">
        <v>12</v>
      </c>
      <c r="L301" s="4">
        <f>tblSales[[#This Row],[Quantity]]*tblSales[[#This Row],[Actual Price]]</f>
        <v>804</v>
      </c>
    </row>
    <row r="302" spans="1:12" x14ac:dyDescent="0.35">
      <c r="A302" s="3" t="s">
        <v>630</v>
      </c>
      <c r="B302" s="4" t="s">
        <v>50</v>
      </c>
      <c r="C302" s="4" t="s">
        <v>51</v>
      </c>
      <c r="D302" s="4" t="s">
        <v>25</v>
      </c>
      <c r="E302" s="7">
        <v>43275</v>
      </c>
      <c r="F302" s="4" t="s">
        <v>56</v>
      </c>
      <c r="G302" s="4" t="s">
        <v>52</v>
      </c>
      <c r="H302" s="4">
        <v>800</v>
      </c>
      <c r="I302" s="4">
        <v>704</v>
      </c>
      <c r="J302" s="5">
        <v>0.12</v>
      </c>
      <c r="K302" s="3">
        <v>30</v>
      </c>
      <c r="L302" s="4">
        <f>tblSales[[#This Row],[Quantity]]*tblSales[[#This Row],[Actual Price]]</f>
        <v>21120</v>
      </c>
    </row>
    <row r="303" spans="1:12" x14ac:dyDescent="0.35">
      <c r="A303" s="3" t="s">
        <v>631</v>
      </c>
      <c r="B303" s="4" t="s">
        <v>225</v>
      </c>
      <c r="C303" s="4" t="s">
        <v>51</v>
      </c>
      <c r="D303" s="4" t="s">
        <v>25</v>
      </c>
      <c r="E303" s="7">
        <v>42144</v>
      </c>
      <c r="F303" s="4" t="s">
        <v>62</v>
      </c>
      <c r="G303" s="4" t="s">
        <v>632</v>
      </c>
      <c r="H303" s="4">
        <v>1000</v>
      </c>
      <c r="I303" s="4">
        <v>590</v>
      </c>
      <c r="J303" s="5">
        <v>0.41</v>
      </c>
      <c r="K303" s="3">
        <v>32</v>
      </c>
      <c r="L303" s="4">
        <f>tblSales[[#This Row],[Quantity]]*tblSales[[#This Row],[Actual Price]]</f>
        <v>18880</v>
      </c>
    </row>
    <row r="304" spans="1:12" x14ac:dyDescent="0.35">
      <c r="A304" s="3" t="s">
        <v>633</v>
      </c>
      <c r="B304" s="4" t="s">
        <v>158</v>
      </c>
      <c r="C304" s="4" t="s">
        <v>109</v>
      </c>
      <c r="D304" s="4" t="s">
        <v>20</v>
      </c>
      <c r="E304" s="7">
        <v>41775</v>
      </c>
      <c r="F304" s="4" t="s">
        <v>42</v>
      </c>
      <c r="G304" s="4" t="s">
        <v>634</v>
      </c>
      <c r="H304" s="4">
        <v>30</v>
      </c>
      <c r="I304" s="4">
        <v>28</v>
      </c>
      <c r="J304" s="5">
        <v>6.6699999999999995E-2</v>
      </c>
      <c r="K304" s="3">
        <v>9</v>
      </c>
      <c r="L304" s="4">
        <f>tblSales[[#This Row],[Quantity]]*tblSales[[#This Row],[Actual Price]]</f>
        <v>252</v>
      </c>
    </row>
    <row r="305" spans="1:12" x14ac:dyDescent="0.35">
      <c r="A305" s="3" t="s">
        <v>635</v>
      </c>
      <c r="B305" s="4" t="s">
        <v>206</v>
      </c>
      <c r="C305" s="4" t="s">
        <v>207</v>
      </c>
      <c r="D305" s="4" t="s">
        <v>25</v>
      </c>
      <c r="E305" s="7">
        <v>43099</v>
      </c>
      <c r="F305" s="4" t="s">
        <v>56</v>
      </c>
      <c r="G305" s="4" t="s">
        <v>636</v>
      </c>
      <c r="H305" s="4">
        <v>800</v>
      </c>
      <c r="I305" s="4">
        <v>488</v>
      </c>
      <c r="J305" s="5">
        <v>0.39</v>
      </c>
      <c r="K305" s="3">
        <v>65</v>
      </c>
      <c r="L305" s="4">
        <f>tblSales[[#This Row],[Quantity]]*tblSales[[#This Row],[Actual Price]]</f>
        <v>31720</v>
      </c>
    </row>
    <row r="306" spans="1:12" x14ac:dyDescent="0.35">
      <c r="A306" s="3" t="s">
        <v>637</v>
      </c>
      <c r="B306" s="4" t="s">
        <v>18</v>
      </c>
      <c r="C306" s="4" t="s">
        <v>19</v>
      </c>
      <c r="D306" s="4" t="s">
        <v>20</v>
      </c>
      <c r="E306" s="7">
        <v>42109</v>
      </c>
      <c r="F306" s="4" t="s">
        <v>31</v>
      </c>
      <c r="G306" s="4" t="s">
        <v>617</v>
      </c>
      <c r="H306" s="4">
        <v>150</v>
      </c>
      <c r="I306" s="4">
        <v>134</v>
      </c>
      <c r="J306" s="5">
        <v>0.1067</v>
      </c>
      <c r="K306" s="3">
        <v>23</v>
      </c>
      <c r="L306" s="4">
        <f>tblSales[[#This Row],[Quantity]]*tblSales[[#This Row],[Actual Price]]</f>
        <v>3082</v>
      </c>
    </row>
    <row r="307" spans="1:12" x14ac:dyDescent="0.35">
      <c r="A307" s="3" t="s">
        <v>638</v>
      </c>
      <c r="B307" s="4" t="s">
        <v>78</v>
      </c>
      <c r="C307" s="4" t="s">
        <v>79</v>
      </c>
      <c r="D307" s="4" t="s">
        <v>36</v>
      </c>
      <c r="E307" s="7">
        <v>42883</v>
      </c>
      <c r="F307" s="4" t="s">
        <v>123</v>
      </c>
      <c r="G307" s="4" t="s">
        <v>395</v>
      </c>
      <c r="H307" s="4">
        <v>50</v>
      </c>
      <c r="I307" s="4">
        <v>50</v>
      </c>
      <c r="J307" s="5">
        <v>0</v>
      </c>
      <c r="K307" s="3">
        <v>87</v>
      </c>
      <c r="L307" s="4">
        <f>tblSales[[#This Row],[Quantity]]*tblSales[[#This Row],[Actual Price]]</f>
        <v>4350</v>
      </c>
    </row>
    <row r="308" spans="1:12" x14ac:dyDescent="0.35">
      <c r="A308" s="3" t="s">
        <v>639</v>
      </c>
      <c r="B308" s="4" t="s">
        <v>158</v>
      </c>
      <c r="C308" s="4" t="s">
        <v>109</v>
      </c>
      <c r="D308" s="4" t="s">
        <v>20</v>
      </c>
      <c r="E308" s="7">
        <v>42825</v>
      </c>
      <c r="F308" s="4" t="s">
        <v>62</v>
      </c>
      <c r="G308" s="4" t="s">
        <v>634</v>
      </c>
      <c r="H308" s="4">
        <v>1000</v>
      </c>
      <c r="I308" s="4">
        <v>670</v>
      </c>
      <c r="J308" s="5">
        <v>0.33</v>
      </c>
      <c r="K308" s="3">
        <v>5</v>
      </c>
      <c r="L308" s="4">
        <f>tblSales[[#This Row],[Quantity]]*tblSales[[#This Row],[Actual Price]]</f>
        <v>3350</v>
      </c>
    </row>
    <row r="309" spans="1:12" x14ac:dyDescent="0.35">
      <c r="A309" s="3" t="s">
        <v>640</v>
      </c>
      <c r="B309" s="4" t="s">
        <v>104</v>
      </c>
      <c r="C309" s="4" t="s">
        <v>72</v>
      </c>
      <c r="D309" s="4" t="s">
        <v>36</v>
      </c>
      <c r="E309" s="7">
        <v>41714</v>
      </c>
      <c r="F309" s="4" t="s">
        <v>31</v>
      </c>
      <c r="G309" s="4" t="s">
        <v>498</v>
      </c>
      <c r="H309" s="4">
        <v>150</v>
      </c>
      <c r="I309" s="4">
        <v>149</v>
      </c>
      <c r="J309" s="5">
        <v>6.7000000000000002E-3</v>
      </c>
      <c r="K309" s="3">
        <v>18</v>
      </c>
      <c r="L309" s="4">
        <f>tblSales[[#This Row],[Quantity]]*tblSales[[#This Row],[Actual Price]]</f>
        <v>2682</v>
      </c>
    </row>
    <row r="310" spans="1:12" x14ac:dyDescent="0.35">
      <c r="A310" s="3" t="s">
        <v>641</v>
      </c>
      <c r="B310" s="4" t="s">
        <v>82</v>
      </c>
      <c r="C310" s="4" t="s">
        <v>83</v>
      </c>
      <c r="D310" s="4" t="s">
        <v>14</v>
      </c>
      <c r="E310" s="7">
        <v>43360</v>
      </c>
      <c r="F310" s="4" t="s">
        <v>73</v>
      </c>
      <c r="G310" s="4" t="s">
        <v>84</v>
      </c>
      <c r="H310" s="4">
        <v>500</v>
      </c>
      <c r="I310" s="4">
        <v>500</v>
      </c>
      <c r="J310" s="5">
        <v>0</v>
      </c>
      <c r="K310" s="3">
        <v>3</v>
      </c>
      <c r="L310" s="4">
        <f>tblSales[[#This Row],[Quantity]]*tblSales[[#This Row],[Actual Price]]</f>
        <v>1500</v>
      </c>
    </row>
    <row r="311" spans="1:12" x14ac:dyDescent="0.35">
      <c r="A311" s="3" t="s">
        <v>642</v>
      </c>
      <c r="B311" s="4" t="s">
        <v>82</v>
      </c>
      <c r="C311" s="4" t="s">
        <v>83</v>
      </c>
      <c r="D311" s="4" t="s">
        <v>14</v>
      </c>
      <c r="E311" s="7">
        <v>42938</v>
      </c>
      <c r="F311" s="4" t="s">
        <v>31</v>
      </c>
      <c r="G311" s="4" t="s">
        <v>84</v>
      </c>
      <c r="H311" s="4">
        <v>150</v>
      </c>
      <c r="I311" s="4">
        <v>146</v>
      </c>
      <c r="J311" s="5">
        <v>2.6700000000000002E-2</v>
      </c>
      <c r="K311" s="3">
        <v>13</v>
      </c>
      <c r="L311" s="4">
        <f>tblSales[[#This Row],[Quantity]]*tblSales[[#This Row],[Actual Price]]</f>
        <v>1898</v>
      </c>
    </row>
    <row r="312" spans="1:12" x14ac:dyDescent="0.35">
      <c r="A312" s="3" t="s">
        <v>643</v>
      </c>
      <c r="B312" s="4" t="s">
        <v>54</v>
      </c>
      <c r="C312" s="4" t="s">
        <v>55</v>
      </c>
      <c r="D312" s="4" t="s">
        <v>14</v>
      </c>
      <c r="E312" s="7">
        <v>43440</v>
      </c>
      <c r="F312" s="4" t="s">
        <v>62</v>
      </c>
      <c r="G312" s="4" t="s">
        <v>644</v>
      </c>
      <c r="H312" s="4">
        <v>1000</v>
      </c>
      <c r="I312" s="4">
        <v>810</v>
      </c>
      <c r="J312" s="5">
        <v>0.19</v>
      </c>
      <c r="K312" s="3">
        <v>68</v>
      </c>
      <c r="L312" s="4">
        <f>tblSales[[#This Row],[Quantity]]*tblSales[[#This Row],[Actual Price]]</f>
        <v>55080</v>
      </c>
    </row>
    <row r="313" spans="1:12" x14ac:dyDescent="0.35">
      <c r="A313" s="3" t="s">
        <v>645</v>
      </c>
      <c r="B313" s="4" t="s">
        <v>96</v>
      </c>
      <c r="C313" s="4" t="s">
        <v>97</v>
      </c>
      <c r="D313" s="4" t="s">
        <v>14</v>
      </c>
      <c r="E313" s="7">
        <v>42179</v>
      </c>
      <c r="F313" s="4" t="s">
        <v>31</v>
      </c>
      <c r="G313" s="4" t="s">
        <v>646</v>
      </c>
      <c r="H313" s="4">
        <v>150</v>
      </c>
      <c r="I313" s="4">
        <v>147</v>
      </c>
      <c r="J313" s="5">
        <v>0.02</v>
      </c>
      <c r="K313" s="3">
        <v>82</v>
      </c>
      <c r="L313" s="4">
        <f>tblSales[[#This Row],[Quantity]]*tblSales[[#This Row],[Actual Price]]</f>
        <v>12054</v>
      </c>
    </row>
    <row r="314" spans="1:12" x14ac:dyDescent="0.35">
      <c r="A314" s="3" t="s">
        <v>647</v>
      </c>
      <c r="B314" s="4" t="s">
        <v>54</v>
      </c>
      <c r="C314" s="4" t="s">
        <v>55</v>
      </c>
      <c r="D314" s="4" t="s">
        <v>14</v>
      </c>
      <c r="E314" s="7">
        <v>43447</v>
      </c>
      <c r="F314" s="4" t="s">
        <v>62</v>
      </c>
      <c r="G314" s="4" t="s">
        <v>648</v>
      </c>
      <c r="H314" s="4">
        <v>1000</v>
      </c>
      <c r="I314" s="4">
        <v>730</v>
      </c>
      <c r="J314" s="5">
        <v>0.27</v>
      </c>
      <c r="K314" s="3">
        <v>60</v>
      </c>
      <c r="L314" s="4">
        <f>tblSales[[#This Row],[Quantity]]*tblSales[[#This Row],[Actual Price]]</f>
        <v>43800</v>
      </c>
    </row>
    <row r="315" spans="1:12" x14ac:dyDescent="0.35">
      <c r="A315" s="3" t="s">
        <v>649</v>
      </c>
      <c r="B315" s="4" t="s">
        <v>65</v>
      </c>
      <c r="C315" s="4" t="s">
        <v>66</v>
      </c>
      <c r="D315" s="4" t="s">
        <v>36</v>
      </c>
      <c r="E315" s="7">
        <v>42556</v>
      </c>
      <c r="F315" s="4" t="s">
        <v>116</v>
      </c>
      <c r="G315" s="4" t="s">
        <v>281</v>
      </c>
      <c r="H315" s="4">
        <v>250</v>
      </c>
      <c r="I315" s="4">
        <v>248</v>
      </c>
      <c r="J315" s="5">
        <v>8.0000000000000002E-3</v>
      </c>
      <c r="K315" s="3">
        <v>73</v>
      </c>
      <c r="L315" s="4">
        <f>tblSales[[#This Row],[Quantity]]*tblSales[[#This Row],[Actual Price]]</f>
        <v>18104</v>
      </c>
    </row>
    <row r="316" spans="1:12" x14ac:dyDescent="0.35">
      <c r="A316" s="3" t="s">
        <v>650</v>
      </c>
      <c r="B316" s="4" t="s">
        <v>188</v>
      </c>
      <c r="C316" s="4" t="s">
        <v>189</v>
      </c>
      <c r="D316" s="4" t="s">
        <v>14</v>
      </c>
      <c r="E316" s="7">
        <v>43445</v>
      </c>
      <c r="F316" s="4" t="s">
        <v>26</v>
      </c>
      <c r="G316" s="4" t="s">
        <v>416</v>
      </c>
      <c r="H316" s="4">
        <v>700</v>
      </c>
      <c r="I316" s="4">
        <v>609</v>
      </c>
      <c r="J316" s="5">
        <v>0.13</v>
      </c>
      <c r="K316" s="3">
        <v>44</v>
      </c>
      <c r="L316" s="4">
        <f>tblSales[[#This Row],[Quantity]]*tblSales[[#This Row],[Actual Price]]</f>
        <v>26796</v>
      </c>
    </row>
    <row r="317" spans="1:12" x14ac:dyDescent="0.35">
      <c r="A317" s="3" t="s">
        <v>651</v>
      </c>
      <c r="B317" s="4" t="s">
        <v>29</v>
      </c>
      <c r="C317" s="4" t="s">
        <v>30</v>
      </c>
      <c r="D317" s="4" t="s">
        <v>14</v>
      </c>
      <c r="E317" s="7">
        <v>42699</v>
      </c>
      <c r="F317" s="4" t="s">
        <v>31</v>
      </c>
      <c r="G317" s="4" t="s">
        <v>446</v>
      </c>
      <c r="H317" s="4">
        <v>150</v>
      </c>
      <c r="I317" s="4">
        <v>140</v>
      </c>
      <c r="J317" s="5">
        <v>6.6699999999999995E-2</v>
      </c>
      <c r="K317" s="3">
        <v>25</v>
      </c>
      <c r="L317" s="4">
        <f>tblSales[[#This Row],[Quantity]]*tblSales[[#This Row],[Actual Price]]</f>
        <v>3500</v>
      </c>
    </row>
    <row r="318" spans="1:12" x14ac:dyDescent="0.35">
      <c r="A318" s="3" t="s">
        <v>652</v>
      </c>
      <c r="B318" s="4" t="s">
        <v>104</v>
      </c>
      <c r="C318" s="4" t="s">
        <v>72</v>
      </c>
      <c r="D318" s="4" t="s">
        <v>36</v>
      </c>
      <c r="E318" s="7">
        <v>41690</v>
      </c>
      <c r="F318" s="4" t="s">
        <v>73</v>
      </c>
      <c r="G318" s="4" t="s">
        <v>192</v>
      </c>
      <c r="H318" s="4">
        <v>500</v>
      </c>
      <c r="I318" s="4">
        <v>500</v>
      </c>
      <c r="J318" s="5">
        <v>0</v>
      </c>
      <c r="K318" s="3">
        <v>40</v>
      </c>
      <c r="L318" s="4">
        <f>tblSales[[#This Row],[Quantity]]*tblSales[[#This Row],[Actual Price]]</f>
        <v>20000</v>
      </c>
    </row>
    <row r="319" spans="1:12" x14ac:dyDescent="0.35">
      <c r="A319" s="3" t="s">
        <v>653</v>
      </c>
      <c r="B319" s="4" t="s">
        <v>265</v>
      </c>
      <c r="C319" s="4" t="s">
        <v>266</v>
      </c>
      <c r="D319" s="4" t="s">
        <v>14</v>
      </c>
      <c r="E319" s="7">
        <v>43346</v>
      </c>
      <c r="F319" s="4" t="s">
        <v>62</v>
      </c>
      <c r="G319" s="4" t="s">
        <v>267</v>
      </c>
      <c r="H319" s="4">
        <v>1000</v>
      </c>
      <c r="I319" s="4">
        <v>960</v>
      </c>
      <c r="J319" s="5">
        <v>0.04</v>
      </c>
      <c r="K319" s="3">
        <v>45</v>
      </c>
      <c r="L319" s="4">
        <f>tblSales[[#This Row],[Quantity]]*tblSales[[#This Row],[Actual Price]]</f>
        <v>43200</v>
      </c>
    </row>
    <row r="320" spans="1:12" x14ac:dyDescent="0.35">
      <c r="A320" s="3" t="s">
        <v>654</v>
      </c>
      <c r="B320" s="4" t="s">
        <v>225</v>
      </c>
      <c r="C320" s="4" t="s">
        <v>51</v>
      </c>
      <c r="D320" s="4" t="s">
        <v>25</v>
      </c>
      <c r="E320" s="7">
        <v>41830</v>
      </c>
      <c r="F320" s="4" t="s">
        <v>15</v>
      </c>
      <c r="G320" s="4" t="s">
        <v>510</v>
      </c>
      <c r="H320" s="4">
        <v>80</v>
      </c>
      <c r="I320" s="4">
        <v>73</v>
      </c>
      <c r="J320" s="5">
        <v>8.7499999999999994E-2</v>
      </c>
      <c r="K320" s="3">
        <v>96</v>
      </c>
      <c r="L320" s="4">
        <f>tblSales[[#This Row],[Quantity]]*tblSales[[#This Row],[Actual Price]]</f>
        <v>7008</v>
      </c>
    </row>
    <row r="321" spans="1:12" x14ac:dyDescent="0.35">
      <c r="A321" s="3" t="s">
        <v>655</v>
      </c>
      <c r="B321" s="4" t="s">
        <v>65</v>
      </c>
      <c r="C321" s="4" t="s">
        <v>66</v>
      </c>
      <c r="D321" s="4" t="s">
        <v>36</v>
      </c>
      <c r="E321" s="7">
        <v>42623</v>
      </c>
      <c r="F321" s="4" t="s">
        <v>26</v>
      </c>
      <c r="G321" s="4" t="s">
        <v>530</v>
      </c>
      <c r="H321" s="4">
        <v>700</v>
      </c>
      <c r="I321" s="4">
        <v>700</v>
      </c>
      <c r="J321" s="5">
        <v>0</v>
      </c>
      <c r="K321" s="3">
        <v>14</v>
      </c>
      <c r="L321" s="4">
        <f>tblSales[[#This Row],[Quantity]]*tblSales[[#This Row],[Actual Price]]</f>
        <v>9800</v>
      </c>
    </row>
    <row r="322" spans="1:12" x14ac:dyDescent="0.35">
      <c r="A322" s="3" t="s">
        <v>656</v>
      </c>
      <c r="B322" s="4" t="s">
        <v>128</v>
      </c>
      <c r="C322" s="4" t="s">
        <v>129</v>
      </c>
      <c r="D322" s="4" t="s">
        <v>14</v>
      </c>
      <c r="E322" s="7">
        <v>42793</v>
      </c>
      <c r="F322" s="4" t="s">
        <v>26</v>
      </c>
      <c r="G322" s="4" t="s">
        <v>234</v>
      </c>
      <c r="H322" s="4">
        <v>700</v>
      </c>
      <c r="I322" s="4">
        <v>672</v>
      </c>
      <c r="J322" s="5">
        <v>0.04</v>
      </c>
      <c r="K322" s="3">
        <v>73</v>
      </c>
      <c r="L322" s="4">
        <f>tblSales[[#This Row],[Quantity]]*tblSales[[#This Row],[Actual Price]]</f>
        <v>49056</v>
      </c>
    </row>
    <row r="323" spans="1:12" x14ac:dyDescent="0.35">
      <c r="A323" s="3" t="s">
        <v>657</v>
      </c>
      <c r="B323" s="4" t="s">
        <v>271</v>
      </c>
      <c r="C323" s="4" t="s">
        <v>272</v>
      </c>
      <c r="D323" s="4" t="s">
        <v>36</v>
      </c>
      <c r="E323" s="7">
        <v>42877</v>
      </c>
      <c r="F323" s="4" t="s">
        <v>26</v>
      </c>
      <c r="G323" s="4" t="s">
        <v>273</v>
      </c>
      <c r="H323" s="4">
        <v>700</v>
      </c>
      <c r="I323" s="4">
        <v>651</v>
      </c>
      <c r="J323" s="5">
        <v>7.0000000000000007E-2</v>
      </c>
      <c r="K323" s="3">
        <v>23</v>
      </c>
      <c r="L323" s="4">
        <f>tblSales[[#This Row],[Quantity]]*tblSales[[#This Row],[Actual Price]]</f>
        <v>14973</v>
      </c>
    </row>
    <row r="324" spans="1:12" x14ac:dyDescent="0.35">
      <c r="A324" s="3" t="s">
        <v>658</v>
      </c>
      <c r="B324" s="4" t="s">
        <v>50</v>
      </c>
      <c r="C324" s="4" t="s">
        <v>51</v>
      </c>
      <c r="D324" s="4" t="s">
        <v>25</v>
      </c>
      <c r="E324" s="7">
        <v>41896</v>
      </c>
      <c r="F324" s="4" t="s">
        <v>31</v>
      </c>
      <c r="G324" s="4" t="s">
        <v>659</v>
      </c>
      <c r="H324" s="4">
        <v>150</v>
      </c>
      <c r="I324" s="4">
        <v>137</v>
      </c>
      <c r="J324" s="5">
        <v>8.6699999999999999E-2</v>
      </c>
      <c r="K324" s="3">
        <v>57</v>
      </c>
      <c r="L324" s="4">
        <f>tblSales[[#This Row],[Quantity]]*tblSales[[#This Row],[Actual Price]]</f>
        <v>7809</v>
      </c>
    </row>
    <row r="325" spans="1:12" x14ac:dyDescent="0.35">
      <c r="A325" s="3" t="s">
        <v>660</v>
      </c>
      <c r="B325" s="4" t="s">
        <v>206</v>
      </c>
      <c r="C325" s="4" t="s">
        <v>207</v>
      </c>
      <c r="D325" s="4" t="s">
        <v>25</v>
      </c>
      <c r="E325" s="7">
        <v>43264</v>
      </c>
      <c r="F325" s="4" t="s">
        <v>26</v>
      </c>
      <c r="G325" s="4" t="s">
        <v>661</v>
      </c>
      <c r="H325" s="4">
        <v>700</v>
      </c>
      <c r="I325" s="4">
        <v>651</v>
      </c>
      <c r="J325" s="5">
        <v>7.0000000000000007E-2</v>
      </c>
      <c r="K325" s="3">
        <v>17</v>
      </c>
      <c r="L325" s="4">
        <f>tblSales[[#This Row],[Quantity]]*tblSales[[#This Row],[Actual Price]]</f>
        <v>11067</v>
      </c>
    </row>
    <row r="326" spans="1:12" x14ac:dyDescent="0.35">
      <c r="A326" s="3" t="s">
        <v>662</v>
      </c>
      <c r="B326" s="4" t="s">
        <v>40</v>
      </c>
      <c r="C326" s="4" t="s">
        <v>41</v>
      </c>
      <c r="D326" s="4" t="s">
        <v>36</v>
      </c>
      <c r="E326" s="7">
        <v>43194</v>
      </c>
      <c r="F326" s="4" t="s">
        <v>116</v>
      </c>
      <c r="G326" s="4" t="s">
        <v>43</v>
      </c>
      <c r="H326" s="4">
        <v>250</v>
      </c>
      <c r="I326" s="4">
        <v>238</v>
      </c>
      <c r="J326" s="5">
        <v>4.8000000000000001E-2</v>
      </c>
      <c r="K326" s="3">
        <v>82</v>
      </c>
      <c r="L326" s="4">
        <f>tblSales[[#This Row],[Quantity]]*tblSales[[#This Row],[Actual Price]]</f>
        <v>19516</v>
      </c>
    </row>
    <row r="327" spans="1:12" x14ac:dyDescent="0.35">
      <c r="A327" s="3" t="s">
        <v>663</v>
      </c>
      <c r="B327" s="4" t="s">
        <v>23</v>
      </c>
      <c r="C327" s="4" t="s">
        <v>24</v>
      </c>
      <c r="D327" s="4" t="s">
        <v>25</v>
      </c>
      <c r="E327" s="7">
        <v>41897</v>
      </c>
      <c r="F327" s="4" t="s">
        <v>56</v>
      </c>
      <c r="G327" s="4" t="s">
        <v>27</v>
      </c>
      <c r="H327" s="4">
        <v>800</v>
      </c>
      <c r="I327" s="4">
        <v>696</v>
      </c>
      <c r="J327" s="5">
        <v>0.13</v>
      </c>
      <c r="K327" s="3">
        <v>89</v>
      </c>
      <c r="L327" s="4">
        <f>tblSales[[#This Row],[Quantity]]*tblSales[[#This Row],[Actual Price]]</f>
        <v>61944</v>
      </c>
    </row>
    <row r="328" spans="1:12" x14ac:dyDescent="0.35">
      <c r="A328" s="3" t="s">
        <v>664</v>
      </c>
      <c r="B328" s="4" t="s">
        <v>50</v>
      </c>
      <c r="C328" s="4" t="s">
        <v>51</v>
      </c>
      <c r="D328" s="4" t="s">
        <v>25</v>
      </c>
      <c r="E328" s="7">
        <v>41802</v>
      </c>
      <c r="F328" s="4" t="s">
        <v>42</v>
      </c>
      <c r="G328" s="4" t="s">
        <v>399</v>
      </c>
      <c r="H328" s="4">
        <v>30</v>
      </c>
      <c r="I328" s="4">
        <v>21</v>
      </c>
      <c r="J328" s="5">
        <v>0.3</v>
      </c>
      <c r="K328" s="3">
        <v>59</v>
      </c>
      <c r="L328" s="4">
        <f>tblSales[[#This Row],[Quantity]]*tblSales[[#This Row],[Actual Price]]</f>
        <v>1239</v>
      </c>
    </row>
    <row r="329" spans="1:12" x14ac:dyDescent="0.35">
      <c r="A329" s="3" t="s">
        <v>665</v>
      </c>
      <c r="B329" s="4" t="s">
        <v>128</v>
      </c>
      <c r="C329" s="4" t="s">
        <v>129</v>
      </c>
      <c r="D329" s="4" t="s">
        <v>14</v>
      </c>
      <c r="E329" s="7">
        <v>43065</v>
      </c>
      <c r="F329" s="4" t="s">
        <v>15</v>
      </c>
      <c r="G329" s="4" t="s">
        <v>234</v>
      </c>
      <c r="H329" s="4">
        <v>80</v>
      </c>
      <c r="I329" s="4">
        <v>74</v>
      </c>
      <c r="J329" s="5">
        <v>7.4999999999999997E-2</v>
      </c>
      <c r="K329" s="3">
        <v>45</v>
      </c>
      <c r="L329" s="4">
        <f>tblSales[[#This Row],[Quantity]]*tblSales[[#This Row],[Actual Price]]</f>
        <v>3330</v>
      </c>
    </row>
    <row r="330" spans="1:12" x14ac:dyDescent="0.35">
      <c r="A330" s="3" t="s">
        <v>666</v>
      </c>
      <c r="B330" s="4" t="s">
        <v>23</v>
      </c>
      <c r="C330" s="4" t="s">
        <v>24</v>
      </c>
      <c r="D330" s="4" t="s">
        <v>25</v>
      </c>
      <c r="E330" s="7">
        <v>42830</v>
      </c>
      <c r="F330" s="4" t="s">
        <v>116</v>
      </c>
      <c r="G330" s="4" t="s">
        <v>145</v>
      </c>
      <c r="H330" s="4">
        <v>250</v>
      </c>
      <c r="I330" s="4">
        <v>228</v>
      </c>
      <c r="J330" s="5">
        <v>8.7999999999999995E-2</v>
      </c>
      <c r="K330" s="3">
        <v>50</v>
      </c>
      <c r="L330" s="4">
        <f>tblSales[[#This Row],[Quantity]]*tblSales[[#This Row],[Actual Price]]</f>
        <v>11400</v>
      </c>
    </row>
    <row r="331" spans="1:12" x14ac:dyDescent="0.35">
      <c r="A331" s="3" t="s">
        <v>667</v>
      </c>
      <c r="B331" s="4" t="s">
        <v>175</v>
      </c>
      <c r="C331" s="4" t="s">
        <v>176</v>
      </c>
      <c r="D331" s="4" t="s">
        <v>14</v>
      </c>
      <c r="E331" s="7">
        <v>42567</v>
      </c>
      <c r="F331" s="4" t="s">
        <v>26</v>
      </c>
      <c r="G331" s="4" t="s">
        <v>608</v>
      </c>
      <c r="H331" s="4">
        <v>700</v>
      </c>
      <c r="I331" s="4">
        <v>644</v>
      </c>
      <c r="J331" s="5">
        <v>0.08</v>
      </c>
      <c r="K331" s="3">
        <v>26</v>
      </c>
      <c r="L331" s="4">
        <f>tblSales[[#This Row],[Quantity]]*tblSales[[#This Row],[Actual Price]]</f>
        <v>16744</v>
      </c>
    </row>
    <row r="332" spans="1:12" x14ac:dyDescent="0.35">
      <c r="A332" s="3" t="s">
        <v>668</v>
      </c>
      <c r="B332" s="4" t="s">
        <v>78</v>
      </c>
      <c r="C332" s="4" t="s">
        <v>79</v>
      </c>
      <c r="D332" s="4" t="s">
        <v>36</v>
      </c>
      <c r="E332" s="7">
        <v>41666</v>
      </c>
      <c r="F332" s="4" t="s">
        <v>42</v>
      </c>
      <c r="G332" s="4" t="s">
        <v>669</v>
      </c>
      <c r="H332" s="4">
        <v>30</v>
      </c>
      <c r="I332" s="4">
        <v>29</v>
      </c>
      <c r="J332" s="5">
        <v>3.3300000000000003E-2</v>
      </c>
      <c r="K332" s="3">
        <v>28</v>
      </c>
      <c r="L332" s="4">
        <f>tblSales[[#This Row],[Quantity]]*tblSales[[#This Row],[Actual Price]]</f>
        <v>812</v>
      </c>
    </row>
    <row r="333" spans="1:12" x14ac:dyDescent="0.35">
      <c r="A333" s="3" t="s">
        <v>670</v>
      </c>
      <c r="B333" s="4" t="s">
        <v>71</v>
      </c>
      <c r="C333" s="4" t="s">
        <v>72</v>
      </c>
      <c r="D333" s="4" t="s">
        <v>36</v>
      </c>
      <c r="E333" s="7">
        <v>41826</v>
      </c>
      <c r="F333" s="4" t="s">
        <v>56</v>
      </c>
      <c r="G333" s="4" t="s">
        <v>671</v>
      </c>
      <c r="H333" s="4">
        <v>800</v>
      </c>
      <c r="I333" s="4">
        <v>656</v>
      </c>
      <c r="J333" s="5">
        <v>0.18</v>
      </c>
      <c r="K333" s="3">
        <v>61</v>
      </c>
      <c r="L333" s="4">
        <f>tblSales[[#This Row],[Quantity]]*tblSales[[#This Row],[Actual Price]]</f>
        <v>40016</v>
      </c>
    </row>
    <row r="334" spans="1:12" x14ac:dyDescent="0.35">
      <c r="A334" s="3" t="s">
        <v>672</v>
      </c>
      <c r="B334" s="4" t="s">
        <v>151</v>
      </c>
      <c r="C334" s="4" t="s">
        <v>152</v>
      </c>
      <c r="D334" s="4" t="s">
        <v>14</v>
      </c>
      <c r="E334" s="7">
        <v>43015</v>
      </c>
      <c r="F334" s="4" t="s">
        <v>31</v>
      </c>
      <c r="G334" s="4" t="s">
        <v>186</v>
      </c>
      <c r="H334" s="4">
        <v>150</v>
      </c>
      <c r="I334" s="4">
        <v>149</v>
      </c>
      <c r="J334" s="5">
        <v>6.7000000000000002E-3</v>
      </c>
      <c r="K334" s="3">
        <v>6</v>
      </c>
      <c r="L334" s="4">
        <f>tblSales[[#This Row],[Quantity]]*tblSales[[#This Row],[Actual Price]]</f>
        <v>894</v>
      </c>
    </row>
    <row r="335" spans="1:12" x14ac:dyDescent="0.35">
      <c r="A335" s="3" t="s">
        <v>673</v>
      </c>
      <c r="B335" s="4" t="s">
        <v>183</v>
      </c>
      <c r="C335" s="4" t="s">
        <v>109</v>
      </c>
      <c r="D335" s="4" t="s">
        <v>20</v>
      </c>
      <c r="E335" s="7">
        <v>43291</v>
      </c>
      <c r="F335" s="4" t="s">
        <v>31</v>
      </c>
      <c r="G335" s="4" t="s">
        <v>674</v>
      </c>
      <c r="H335" s="4">
        <v>150</v>
      </c>
      <c r="I335" s="4">
        <v>147</v>
      </c>
      <c r="J335" s="5">
        <v>0.02</v>
      </c>
      <c r="K335" s="3">
        <v>12</v>
      </c>
      <c r="L335" s="4">
        <f>tblSales[[#This Row],[Quantity]]*tblSales[[#This Row],[Actual Price]]</f>
        <v>1764</v>
      </c>
    </row>
    <row r="336" spans="1:12" x14ac:dyDescent="0.35">
      <c r="A336" s="3" t="s">
        <v>675</v>
      </c>
      <c r="B336" s="4" t="s">
        <v>112</v>
      </c>
      <c r="C336" s="4" t="s">
        <v>83</v>
      </c>
      <c r="D336" s="4" t="s">
        <v>14</v>
      </c>
      <c r="E336" s="7">
        <v>42348</v>
      </c>
      <c r="F336" s="4" t="s">
        <v>15</v>
      </c>
      <c r="G336" s="4" t="s">
        <v>113</v>
      </c>
      <c r="H336" s="4">
        <v>80</v>
      </c>
      <c r="I336" s="4">
        <v>78</v>
      </c>
      <c r="J336" s="5">
        <v>2.5000000000000001E-2</v>
      </c>
      <c r="K336" s="3">
        <v>99</v>
      </c>
      <c r="L336" s="4">
        <f>tblSales[[#This Row],[Quantity]]*tblSales[[#This Row],[Actual Price]]</f>
        <v>7722</v>
      </c>
    </row>
    <row r="337" spans="1:12" x14ac:dyDescent="0.35">
      <c r="A337" s="3" t="s">
        <v>676</v>
      </c>
      <c r="B337" s="4" t="s">
        <v>325</v>
      </c>
      <c r="C337" s="4" t="s">
        <v>326</v>
      </c>
      <c r="D337" s="4" t="s">
        <v>14</v>
      </c>
      <c r="E337" s="7">
        <v>42245</v>
      </c>
      <c r="F337" s="4" t="s">
        <v>31</v>
      </c>
      <c r="G337" s="4" t="s">
        <v>366</v>
      </c>
      <c r="H337" s="4">
        <v>150</v>
      </c>
      <c r="I337" s="4">
        <v>147</v>
      </c>
      <c r="J337" s="5">
        <v>0.02</v>
      </c>
      <c r="K337" s="3">
        <v>53</v>
      </c>
      <c r="L337" s="4">
        <f>tblSales[[#This Row],[Quantity]]*tblSales[[#This Row],[Actual Price]]</f>
        <v>7791</v>
      </c>
    </row>
    <row r="338" spans="1:12" x14ac:dyDescent="0.35">
      <c r="A338" s="3" t="s">
        <v>677</v>
      </c>
      <c r="B338" s="4" t="s">
        <v>78</v>
      </c>
      <c r="C338" s="4" t="s">
        <v>79</v>
      </c>
      <c r="D338" s="4" t="s">
        <v>36</v>
      </c>
      <c r="E338" s="7">
        <v>42189</v>
      </c>
      <c r="F338" s="4" t="s">
        <v>47</v>
      </c>
      <c r="G338" s="4" t="s">
        <v>549</v>
      </c>
      <c r="H338" s="4">
        <v>500</v>
      </c>
      <c r="I338" s="4">
        <v>360</v>
      </c>
      <c r="J338" s="5">
        <v>0.28000000000000003</v>
      </c>
      <c r="K338" s="3">
        <v>52</v>
      </c>
      <c r="L338" s="4">
        <f>tblSales[[#This Row],[Quantity]]*tblSales[[#This Row],[Actual Price]]</f>
        <v>18720</v>
      </c>
    </row>
    <row r="339" spans="1:12" x14ac:dyDescent="0.35">
      <c r="A339" s="3" t="s">
        <v>678</v>
      </c>
      <c r="B339" s="4" t="s">
        <v>135</v>
      </c>
      <c r="C339" s="4" t="s">
        <v>93</v>
      </c>
      <c r="D339" s="4" t="s">
        <v>36</v>
      </c>
      <c r="E339" s="7">
        <v>43338</v>
      </c>
      <c r="F339" s="4" t="s">
        <v>123</v>
      </c>
      <c r="G339" s="4" t="s">
        <v>679</v>
      </c>
      <c r="H339" s="4">
        <v>50</v>
      </c>
      <c r="I339" s="4">
        <v>45</v>
      </c>
      <c r="J339" s="5">
        <v>0.1</v>
      </c>
      <c r="K339" s="3">
        <v>91</v>
      </c>
      <c r="L339" s="4">
        <f>tblSales[[#This Row],[Quantity]]*tblSales[[#This Row],[Actual Price]]</f>
        <v>4095</v>
      </c>
    </row>
    <row r="340" spans="1:12" x14ac:dyDescent="0.35">
      <c r="A340" s="3" t="s">
        <v>680</v>
      </c>
      <c r="B340" s="4" t="s">
        <v>71</v>
      </c>
      <c r="C340" s="4" t="s">
        <v>72</v>
      </c>
      <c r="D340" s="4" t="s">
        <v>36</v>
      </c>
      <c r="E340" s="7">
        <v>43180</v>
      </c>
      <c r="F340" s="4" t="s">
        <v>123</v>
      </c>
      <c r="G340" s="4" t="s">
        <v>329</v>
      </c>
      <c r="H340" s="4">
        <v>50</v>
      </c>
      <c r="I340" s="4">
        <v>43</v>
      </c>
      <c r="J340" s="5">
        <v>0.14000000000000001</v>
      </c>
      <c r="K340" s="3">
        <v>10</v>
      </c>
      <c r="L340" s="4">
        <f>tblSales[[#This Row],[Quantity]]*tblSales[[#This Row],[Actual Price]]</f>
        <v>430</v>
      </c>
    </row>
    <row r="341" spans="1:12" x14ac:dyDescent="0.35">
      <c r="A341" s="3" t="s">
        <v>681</v>
      </c>
      <c r="B341" s="4" t="s">
        <v>206</v>
      </c>
      <c r="C341" s="4" t="s">
        <v>207</v>
      </c>
      <c r="D341" s="4" t="s">
        <v>25</v>
      </c>
      <c r="E341" s="7">
        <v>41964</v>
      </c>
      <c r="F341" s="4" t="s">
        <v>15</v>
      </c>
      <c r="G341" s="4" t="s">
        <v>682</v>
      </c>
      <c r="H341" s="4">
        <v>80</v>
      </c>
      <c r="I341" s="4">
        <v>75</v>
      </c>
      <c r="J341" s="5">
        <v>6.25E-2</v>
      </c>
      <c r="K341" s="3">
        <v>92</v>
      </c>
      <c r="L341" s="4">
        <f>tblSales[[#This Row],[Quantity]]*tblSales[[#This Row],[Actual Price]]</f>
        <v>6900</v>
      </c>
    </row>
    <row r="342" spans="1:12" x14ac:dyDescent="0.35">
      <c r="A342" s="3" t="s">
        <v>683</v>
      </c>
      <c r="B342" s="4" t="s">
        <v>188</v>
      </c>
      <c r="C342" s="4" t="s">
        <v>189</v>
      </c>
      <c r="D342" s="4" t="s">
        <v>14</v>
      </c>
      <c r="E342" s="7">
        <v>42219</v>
      </c>
      <c r="F342" s="4" t="s">
        <v>123</v>
      </c>
      <c r="G342" s="4" t="s">
        <v>684</v>
      </c>
      <c r="H342" s="4">
        <v>50</v>
      </c>
      <c r="I342" s="4">
        <v>36</v>
      </c>
      <c r="J342" s="5">
        <v>0.28000000000000003</v>
      </c>
      <c r="K342" s="3">
        <v>68</v>
      </c>
      <c r="L342" s="4">
        <f>tblSales[[#This Row],[Quantity]]*tblSales[[#This Row],[Actual Price]]</f>
        <v>2448</v>
      </c>
    </row>
    <row r="343" spans="1:12" x14ac:dyDescent="0.35">
      <c r="A343" s="3" t="s">
        <v>685</v>
      </c>
      <c r="B343" s="4" t="s">
        <v>228</v>
      </c>
      <c r="C343" s="4" t="s">
        <v>229</v>
      </c>
      <c r="D343" s="4" t="s">
        <v>25</v>
      </c>
      <c r="E343" s="7">
        <v>42487</v>
      </c>
      <c r="F343" s="4" t="s">
        <v>56</v>
      </c>
      <c r="G343" s="4" t="s">
        <v>686</v>
      </c>
      <c r="H343" s="4">
        <v>800</v>
      </c>
      <c r="I343" s="4">
        <v>448</v>
      </c>
      <c r="J343" s="5">
        <v>0.44</v>
      </c>
      <c r="K343" s="3">
        <v>46</v>
      </c>
      <c r="L343" s="4">
        <f>tblSales[[#This Row],[Quantity]]*tblSales[[#This Row],[Actual Price]]</f>
        <v>20608</v>
      </c>
    </row>
    <row r="344" spans="1:12" x14ac:dyDescent="0.35">
      <c r="A344" s="3" t="s">
        <v>687</v>
      </c>
      <c r="B344" s="4" t="s">
        <v>242</v>
      </c>
      <c r="C344" s="4" t="s">
        <v>243</v>
      </c>
      <c r="D344" s="4" t="s">
        <v>14</v>
      </c>
      <c r="E344" s="7">
        <v>42739</v>
      </c>
      <c r="F344" s="4" t="s">
        <v>31</v>
      </c>
      <c r="G344" s="4" t="s">
        <v>381</v>
      </c>
      <c r="H344" s="4">
        <v>150</v>
      </c>
      <c r="I344" s="4">
        <v>138</v>
      </c>
      <c r="J344" s="5">
        <v>0.08</v>
      </c>
      <c r="K344" s="3">
        <v>68</v>
      </c>
      <c r="L344" s="4">
        <f>tblSales[[#This Row],[Quantity]]*tblSales[[#This Row],[Actual Price]]</f>
        <v>9384</v>
      </c>
    </row>
    <row r="345" spans="1:12" x14ac:dyDescent="0.35">
      <c r="A345" s="3" t="s">
        <v>688</v>
      </c>
      <c r="B345" s="4" t="s">
        <v>132</v>
      </c>
      <c r="C345" s="4" t="s">
        <v>109</v>
      </c>
      <c r="D345" s="4" t="s">
        <v>20</v>
      </c>
      <c r="E345" s="7">
        <v>42875</v>
      </c>
      <c r="F345" s="4" t="s">
        <v>73</v>
      </c>
      <c r="G345" s="4" t="s">
        <v>689</v>
      </c>
      <c r="H345" s="4">
        <v>500</v>
      </c>
      <c r="I345" s="4">
        <v>500</v>
      </c>
      <c r="J345" s="5">
        <v>0</v>
      </c>
      <c r="K345" s="3">
        <v>51</v>
      </c>
      <c r="L345" s="4">
        <f>tblSales[[#This Row],[Quantity]]*tblSales[[#This Row],[Actual Price]]</f>
        <v>25500</v>
      </c>
    </row>
    <row r="346" spans="1:12" x14ac:dyDescent="0.35">
      <c r="A346" s="3" t="s">
        <v>690</v>
      </c>
      <c r="B346" s="4" t="s">
        <v>29</v>
      </c>
      <c r="C346" s="4" t="s">
        <v>30</v>
      </c>
      <c r="D346" s="4" t="s">
        <v>14</v>
      </c>
      <c r="E346" s="7">
        <v>42026</v>
      </c>
      <c r="F346" s="4" t="s">
        <v>73</v>
      </c>
      <c r="G346" s="4" t="s">
        <v>397</v>
      </c>
      <c r="H346" s="4">
        <v>500</v>
      </c>
      <c r="I346" s="4">
        <v>495</v>
      </c>
      <c r="J346" s="5">
        <v>0.01</v>
      </c>
      <c r="K346" s="3">
        <v>63</v>
      </c>
      <c r="L346" s="4">
        <f>tblSales[[#This Row],[Quantity]]*tblSales[[#This Row],[Actual Price]]</f>
        <v>31185</v>
      </c>
    </row>
    <row r="347" spans="1:12" x14ac:dyDescent="0.35">
      <c r="A347" s="3" t="s">
        <v>691</v>
      </c>
      <c r="B347" s="4" t="s">
        <v>175</v>
      </c>
      <c r="C347" s="4" t="s">
        <v>176</v>
      </c>
      <c r="D347" s="4" t="s">
        <v>14</v>
      </c>
      <c r="E347" s="7">
        <v>41673</v>
      </c>
      <c r="F347" s="4" t="s">
        <v>31</v>
      </c>
      <c r="G347" s="4" t="s">
        <v>608</v>
      </c>
      <c r="H347" s="4">
        <v>150</v>
      </c>
      <c r="I347" s="4">
        <v>128</v>
      </c>
      <c r="J347" s="5">
        <v>0.1467</v>
      </c>
      <c r="K347" s="3">
        <v>51</v>
      </c>
      <c r="L347" s="4">
        <f>tblSales[[#This Row],[Quantity]]*tblSales[[#This Row],[Actual Price]]</f>
        <v>6528</v>
      </c>
    </row>
    <row r="348" spans="1:12" x14ac:dyDescent="0.35">
      <c r="A348" s="3" t="s">
        <v>692</v>
      </c>
      <c r="B348" s="4" t="s">
        <v>71</v>
      </c>
      <c r="C348" s="4" t="s">
        <v>72</v>
      </c>
      <c r="D348" s="4" t="s">
        <v>36</v>
      </c>
      <c r="E348" s="7">
        <v>41817</v>
      </c>
      <c r="F348" s="4" t="s">
        <v>123</v>
      </c>
      <c r="G348" s="4" t="s">
        <v>418</v>
      </c>
      <c r="H348" s="4">
        <v>50</v>
      </c>
      <c r="I348" s="4">
        <v>42</v>
      </c>
      <c r="J348" s="5">
        <v>0.16</v>
      </c>
      <c r="K348" s="3">
        <v>1</v>
      </c>
      <c r="L348" s="4">
        <f>tblSales[[#This Row],[Quantity]]*tblSales[[#This Row],[Actual Price]]</f>
        <v>42</v>
      </c>
    </row>
    <row r="349" spans="1:12" x14ac:dyDescent="0.35">
      <c r="A349" s="3" t="s">
        <v>693</v>
      </c>
      <c r="B349" s="4" t="s">
        <v>401</v>
      </c>
      <c r="C349" s="4" t="s">
        <v>402</v>
      </c>
      <c r="D349" s="4" t="s">
        <v>14</v>
      </c>
      <c r="E349" s="7">
        <v>41699</v>
      </c>
      <c r="F349" s="4" t="s">
        <v>15</v>
      </c>
      <c r="G349" s="4" t="s">
        <v>694</v>
      </c>
      <c r="H349" s="4">
        <v>80</v>
      </c>
      <c r="I349" s="4">
        <v>80</v>
      </c>
      <c r="J349" s="5">
        <v>0</v>
      </c>
      <c r="K349" s="3">
        <v>1</v>
      </c>
      <c r="L349" s="4">
        <f>tblSales[[#This Row],[Quantity]]*tblSales[[#This Row],[Actual Price]]</f>
        <v>80</v>
      </c>
    </row>
    <row r="350" spans="1:12" x14ac:dyDescent="0.35">
      <c r="A350" s="3" t="s">
        <v>695</v>
      </c>
      <c r="B350" s="4" t="s">
        <v>119</v>
      </c>
      <c r="C350" s="4" t="s">
        <v>120</v>
      </c>
      <c r="D350" s="4" t="s">
        <v>36</v>
      </c>
      <c r="E350" s="7">
        <v>43211</v>
      </c>
      <c r="F350" s="4" t="s">
        <v>31</v>
      </c>
      <c r="G350" s="4" t="s">
        <v>696</v>
      </c>
      <c r="H350" s="4">
        <v>150</v>
      </c>
      <c r="I350" s="4">
        <v>147</v>
      </c>
      <c r="J350" s="5">
        <v>0.02</v>
      </c>
      <c r="K350" s="3">
        <v>5</v>
      </c>
      <c r="L350" s="4">
        <f>tblSales[[#This Row],[Quantity]]*tblSales[[#This Row],[Actual Price]]</f>
        <v>735</v>
      </c>
    </row>
    <row r="351" spans="1:12" x14ac:dyDescent="0.35">
      <c r="A351" s="3" t="s">
        <v>697</v>
      </c>
      <c r="B351" s="4" t="s">
        <v>60</v>
      </c>
      <c r="C351" s="4" t="s">
        <v>61</v>
      </c>
      <c r="D351" s="4" t="s">
        <v>14</v>
      </c>
      <c r="E351" s="7">
        <v>41692</v>
      </c>
      <c r="F351" s="4" t="s">
        <v>37</v>
      </c>
      <c r="G351" s="4" t="s">
        <v>698</v>
      </c>
      <c r="H351" s="4">
        <v>50</v>
      </c>
      <c r="I351" s="4">
        <v>44</v>
      </c>
      <c r="J351" s="5">
        <v>0.12</v>
      </c>
      <c r="K351" s="3">
        <v>82</v>
      </c>
      <c r="L351" s="4">
        <f>tblSales[[#This Row],[Quantity]]*tblSales[[#This Row],[Actual Price]]</f>
        <v>3608</v>
      </c>
    </row>
    <row r="352" spans="1:12" x14ac:dyDescent="0.35">
      <c r="A352" s="3" t="s">
        <v>699</v>
      </c>
      <c r="B352" s="4" t="s">
        <v>50</v>
      </c>
      <c r="C352" s="4" t="s">
        <v>51</v>
      </c>
      <c r="D352" s="4" t="s">
        <v>25</v>
      </c>
      <c r="E352" s="7">
        <v>43233</v>
      </c>
      <c r="F352" s="4" t="s">
        <v>105</v>
      </c>
      <c r="G352" s="4" t="s">
        <v>700</v>
      </c>
      <c r="H352" s="4">
        <v>70</v>
      </c>
      <c r="I352" s="4">
        <v>67</v>
      </c>
      <c r="J352" s="5">
        <v>4.2900000000000001E-2</v>
      </c>
      <c r="K352" s="3">
        <v>52</v>
      </c>
      <c r="L352" s="4">
        <f>tblSales[[#This Row],[Quantity]]*tblSales[[#This Row],[Actual Price]]</f>
        <v>3484</v>
      </c>
    </row>
    <row r="353" spans="1:12" x14ac:dyDescent="0.35">
      <c r="A353" s="3" t="s">
        <v>701</v>
      </c>
      <c r="B353" s="4" t="s">
        <v>108</v>
      </c>
      <c r="C353" s="4" t="s">
        <v>109</v>
      </c>
      <c r="D353" s="4" t="s">
        <v>20</v>
      </c>
      <c r="E353" s="7">
        <v>43213</v>
      </c>
      <c r="F353" s="4" t="s">
        <v>105</v>
      </c>
      <c r="G353" s="4" t="s">
        <v>240</v>
      </c>
      <c r="H353" s="4">
        <v>70</v>
      </c>
      <c r="I353" s="4">
        <v>67</v>
      </c>
      <c r="J353" s="5">
        <v>4.2900000000000001E-2</v>
      </c>
      <c r="K353" s="3">
        <v>12</v>
      </c>
      <c r="L353" s="4">
        <f>tblSales[[#This Row],[Quantity]]*tblSales[[#This Row],[Actual Price]]</f>
        <v>804</v>
      </c>
    </row>
    <row r="354" spans="1:12" x14ac:dyDescent="0.35">
      <c r="A354" s="3" t="s">
        <v>702</v>
      </c>
      <c r="B354" s="4" t="s">
        <v>135</v>
      </c>
      <c r="C354" s="4" t="s">
        <v>93</v>
      </c>
      <c r="D354" s="4" t="s">
        <v>36</v>
      </c>
      <c r="E354" s="7">
        <v>42671</v>
      </c>
      <c r="F354" s="4" t="s">
        <v>47</v>
      </c>
      <c r="G354" s="4" t="s">
        <v>703</v>
      </c>
      <c r="H354" s="4">
        <v>500</v>
      </c>
      <c r="I354" s="4">
        <v>460</v>
      </c>
      <c r="J354" s="5">
        <v>0.08</v>
      </c>
      <c r="K354" s="3">
        <v>52</v>
      </c>
      <c r="L354" s="4">
        <f>tblSales[[#This Row],[Quantity]]*tblSales[[#This Row],[Actual Price]]</f>
        <v>23920</v>
      </c>
    </row>
    <row r="355" spans="1:12" x14ac:dyDescent="0.35">
      <c r="A355" s="3" t="s">
        <v>704</v>
      </c>
      <c r="B355" s="4" t="s">
        <v>12</v>
      </c>
      <c r="C355" s="4" t="s">
        <v>13</v>
      </c>
      <c r="D355" s="4" t="s">
        <v>14</v>
      </c>
      <c r="E355" s="7">
        <v>42266</v>
      </c>
      <c r="F355" s="4" t="s">
        <v>73</v>
      </c>
      <c r="G355" s="4" t="s">
        <v>16</v>
      </c>
      <c r="H355" s="4">
        <v>500</v>
      </c>
      <c r="I355" s="4">
        <v>495</v>
      </c>
      <c r="J355" s="5">
        <v>0.01</v>
      </c>
      <c r="K355" s="3">
        <v>15</v>
      </c>
      <c r="L355" s="4">
        <f>tblSales[[#This Row],[Quantity]]*tblSales[[#This Row],[Actual Price]]</f>
        <v>7425</v>
      </c>
    </row>
    <row r="356" spans="1:12" x14ac:dyDescent="0.35">
      <c r="A356" s="3" t="s">
        <v>705</v>
      </c>
      <c r="B356" s="4" t="s">
        <v>96</v>
      </c>
      <c r="C356" s="4" t="s">
        <v>97</v>
      </c>
      <c r="D356" s="4" t="s">
        <v>14</v>
      </c>
      <c r="E356" s="7">
        <v>42588</v>
      </c>
      <c r="F356" s="4" t="s">
        <v>56</v>
      </c>
      <c r="G356" s="4" t="s">
        <v>98</v>
      </c>
      <c r="H356" s="4">
        <v>800</v>
      </c>
      <c r="I356" s="4">
        <v>704</v>
      </c>
      <c r="J356" s="5">
        <v>0.12</v>
      </c>
      <c r="K356" s="3">
        <v>49</v>
      </c>
      <c r="L356" s="4">
        <f>tblSales[[#This Row],[Quantity]]*tblSales[[#This Row],[Actual Price]]</f>
        <v>34496</v>
      </c>
    </row>
    <row r="357" spans="1:12" x14ac:dyDescent="0.35">
      <c r="A357" s="3" t="s">
        <v>706</v>
      </c>
      <c r="B357" s="4" t="s">
        <v>86</v>
      </c>
      <c r="C357" s="4" t="s">
        <v>87</v>
      </c>
      <c r="D357" s="4" t="s">
        <v>14</v>
      </c>
      <c r="E357" s="7">
        <v>41738</v>
      </c>
      <c r="F357" s="4" t="s">
        <v>15</v>
      </c>
      <c r="G357" s="4" t="s">
        <v>364</v>
      </c>
      <c r="H357" s="4">
        <v>80</v>
      </c>
      <c r="I357" s="4">
        <v>60</v>
      </c>
      <c r="J357" s="5">
        <v>0.25</v>
      </c>
      <c r="K357" s="3">
        <v>12</v>
      </c>
      <c r="L357" s="4">
        <f>tblSales[[#This Row],[Quantity]]*tblSales[[#This Row],[Actual Price]]</f>
        <v>720</v>
      </c>
    </row>
    <row r="358" spans="1:12" x14ac:dyDescent="0.35">
      <c r="A358" s="3" t="s">
        <v>707</v>
      </c>
      <c r="B358" s="4" t="s">
        <v>271</v>
      </c>
      <c r="C358" s="4" t="s">
        <v>272</v>
      </c>
      <c r="D358" s="4" t="s">
        <v>36</v>
      </c>
      <c r="E358" s="7">
        <v>43319</v>
      </c>
      <c r="F358" s="4" t="s">
        <v>73</v>
      </c>
      <c r="G358" s="4" t="s">
        <v>273</v>
      </c>
      <c r="H358" s="4">
        <v>500</v>
      </c>
      <c r="I358" s="4">
        <v>500</v>
      </c>
      <c r="J358" s="5">
        <v>0</v>
      </c>
      <c r="K358" s="3">
        <v>33</v>
      </c>
      <c r="L358" s="4">
        <f>tblSales[[#This Row],[Quantity]]*tblSales[[#This Row],[Actual Price]]</f>
        <v>16500</v>
      </c>
    </row>
    <row r="359" spans="1:12" x14ac:dyDescent="0.35">
      <c r="A359" s="3" t="s">
        <v>708</v>
      </c>
      <c r="B359" s="4" t="s">
        <v>155</v>
      </c>
      <c r="C359" s="4" t="s">
        <v>109</v>
      </c>
      <c r="D359" s="4" t="s">
        <v>20</v>
      </c>
      <c r="E359" s="7">
        <v>42391</v>
      </c>
      <c r="F359" s="4" t="s">
        <v>31</v>
      </c>
      <c r="G359" s="4" t="s">
        <v>353</v>
      </c>
      <c r="H359" s="4">
        <v>150</v>
      </c>
      <c r="I359" s="4">
        <v>150</v>
      </c>
      <c r="J359" s="5">
        <v>0</v>
      </c>
      <c r="K359" s="3">
        <v>54</v>
      </c>
      <c r="L359" s="4">
        <f>tblSales[[#This Row],[Quantity]]*tblSales[[#This Row],[Actual Price]]</f>
        <v>8100</v>
      </c>
    </row>
    <row r="360" spans="1:12" x14ac:dyDescent="0.35">
      <c r="A360" s="3" t="s">
        <v>709</v>
      </c>
      <c r="B360" s="4" t="s">
        <v>119</v>
      </c>
      <c r="C360" s="4" t="s">
        <v>120</v>
      </c>
      <c r="D360" s="4" t="s">
        <v>36</v>
      </c>
      <c r="E360" s="7">
        <v>42348</v>
      </c>
      <c r="F360" s="4" t="s">
        <v>105</v>
      </c>
      <c r="G360" s="4" t="s">
        <v>710</v>
      </c>
      <c r="H360" s="4">
        <v>70</v>
      </c>
      <c r="I360" s="4">
        <v>68</v>
      </c>
      <c r="J360" s="5">
        <v>2.86E-2</v>
      </c>
      <c r="K360" s="3">
        <v>28</v>
      </c>
      <c r="L360" s="4">
        <f>tblSales[[#This Row],[Quantity]]*tblSales[[#This Row],[Actual Price]]</f>
        <v>1904</v>
      </c>
    </row>
    <row r="361" spans="1:12" x14ac:dyDescent="0.35">
      <c r="A361" s="3" t="s">
        <v>711</v>
      </c>
      <c r="B361" s="4" t="s">
        <v>401</v>
      </c>
      <c r="C361" s="4" t="s">
        <v>402</v>
      </c>
      <c r="D361" s="4" t="s">
        <v>14</v>
      </c>
      <c r="E361" s="7">
        <v>42300</v>
      </c>
      <c r="F361" s="4" t="s">
        <v>105</v>
      </c>
      <c r="G361" s="4" t="s">
        <v>712</v>
      </c>
      <c r="H361" s="4">
        <v>70</v>
      </c>
      <c r="I361" s="4">
        <v>70</v>
      </c>
      <c r="J361" s="5">
        <v>0</v>
      </c>
      <c r="K361" s="3">
        <v>60</v>
      </c>
      <c r="L361" s="4">
        <f>tblSales[[#This Row],[Quantity]]*tblSales[[#This Row],[Actual Price]]</f>
        <v>4200</v>
      </c>
    </row>
    <row r="362" spans="1:12" x14ac:dyDescent="0.35">
      <c r="A362" s="3" t="s">
        <v>713</v>
      </c>
      <c r="B362" s="4" t="s">
        <v>271</v>
      </c>
      <c r="C362" s="4" t="s">
        <v>272</v>
      </c>
      <c r="D362" s="4" t="s">
        <v>36</v>
      </c>
      <c r="E362" s="7">
        <v>43410</v>
      </c>
      <c r="F362" s="4" t="s">
        <v>42</v>
      </c>
      <c r="G362" s="4" t="s">
        <v>714</v>
      </c>
      <c r="H362" s="4">
        <v>30</v>
      </c>
      <c r="I362" s="4">
        <v>28</v>
      </c>
      <c r="J362" s="5">
        <v>6.6699999999999995E-2</v>
      </c>
      <c r="K362" s="3">
        <v>90</v>
      </c>
      <c r="L362" s="4">
        <f>tblSales[[#This Row],[Quantity]]*tblSales[[#This Row],[Actual Price]]</f>
        <v>2520</v>
      </c>
    </row>
    <row r="363" spans="1:12" x14ac:dyDescent="0.35">
      <c r="A363" s="3" t="s">
        <v>715</v>
      </c>
      <c r="B363" s="4" t="s">
        <v>271</v>
      </c>
      <c r="C363" s="4" t="s">
        <v>272</v>
      </c>
      <c r="D363" s="4" t="s">
        <v>36</v>
      </c>
      <c r="E363" s="7">
        <v>42889</v>
      </c>
      <c r="F363" s="4" t="s">
        <v>105</v>
      </c>
      <c r="G363" s="4" t="s">
        <v>716</v>
      </c>
      <c r="H363" s="4">
        <v>70</v>
      </c>
      <c r="I363" s="4">
        <v>64</v>
      </c>
      <c r="J363" s="5">
        <v>8.5699999999999998E-2</v>
      </c>
      <c r="K363" s="3">
        <v>96</v>
      </c>
      <c r="L363" s="4">
        <f>tblSales[[#This Row],[Quantity]]*tblSales[[#This Row],[Actual Price]]</f>
        <v>6144</v>
      </c>
    </row>
    <row r="364" spans="1:12" x14ac:dyDescent="0.35">
      <c r="A364" s="3" t="s">
        <v>717</v>
      </c>
      <c r="B364" s="4" t="s">
        <v>23</v>
      </c>
      <c r="C364" s="4" t="s">
        <v>24</v>
      </c>
      <c r="D364" s="4" t="s">
        <v>25</v>
      </c>
      <c r="E364" s="7">
        <v>42240</v>
      </c>
      <c r="F364" s="4" t="s">
        <v>123</v>
      </c>
      <c r="G364" s="4" t="s">
        <v>27</v>
      </c>
      <c r="H364" s="4">
        <v>50</v>
      </c>
      <c r="I364" s="4">
        <v>38</v>
      </c>
      <c r="J364" s="5">
        <v>0.24</v>
      </c>
      <c r="K364" s="3">
        <v>12</v>
      </c>
      <c r="L364" s="4">
        <f>tblSales[[#This Row],[Quantity]]*tblSales[[#This Row],[Actual Price]]</f>
        <v>456</v>
      </c>
    </row>
    <row r="365" spans="1:12" x14ac:dyDescent="0.35">
      <c r="A365" s="3" t="s">
        <v>718</v>
      </c>
      <c r="B365" s="4" t="s">
        <v>18</v>
      </c>
      <c r="C365" s="4" t="s">
        <v>19</v>
      </c>
      <c r="D365" s="4" t="s">
        <v>20</v>
      </c>
      <c r="E365" s="7">
        <v>43089</v>
      </c>
      <c r="F365" s="4" t="s">
        <v>123</v>
      </c>
      <c r="G365" s="4" t="s">
        <v>544</v>
      </c>
      <c r="H365" s="4">
        <v>50</v>
      </c>
      <c r="I365" s="4">
        <v>50</v>
      </c>
      <c r="J365" s="5">
        <v>0</v>
      </c>
      <c r="K365" s="3">
        <v>29</v>
      </c>
      <c r="L365" s="4">
        <f>tblSales[[#This Row],[Quantity]]*tblSales[[#This Row],[Actual Price]]</f>
        <v>1450</v>
      </c>
    </row>
    <row r="366" spans="1:12" x14ac:dyDescent="0.35">
      <c r="A366" s="3" t="s">
        <v>719</v>
      </c>
      <c r="B366" s="4" t="s">
        <v>104</v>
      </c>
      <c r="C366" s="4" t="s">
        <v>72</v>
      </c>
      <c r="D366" s="4" t="s">
        <v>36</v>
      </c>
      <c r="E366" s="7">
        <v>42056</v>
      </c>
      <c r="F366" s="4" t="s">
        <v>47</v>
      </c>
      <c r="G366" s="4" t="s">
        <v>248</v>
      </c>
      <c r="H366" s="4">
        <v>500</v>
      </c>
      <c r="I366" s="4">
        <v>465</v>
      </c>
      <c r="J366" s="5">
        <v>7.0000000000000007E-2</v>
      </c>
      <c r="K366" s="3">
        <v>54</v>
      </c>
      <c r="L366" s="4">
        <f>tblSales[[#This Row],[Quantity]]*tblSales[[#This Row],[Actual Price]]</f>
        <v>25110</v>
      </c>
    </row>
    <row r="367" spans="1:12" x14ac:dyDescent="0.35">
      <c r="A367" s="3" t="s">
        <v>720</v>
      </c>
      <c r="B367" s="4" t="s">
        <v>158</v>
      </c>
      <c r="C367" s="4" t="s">
        <v>109</v>
      </c>
      <c r="D367" s="4" t="s">
        <v>20</v>
      </c>
      <c r="E367" s="7">
        <v>41957</v>
      </c>
      <c r="F367" s="4" t="s">
        <v>37</v>
      </c>
      <c r="G367" s="4" t="s">
        <v>721</v>
      </c>
      <c r="H367" s="4">
        <v>50</v>
      </c>
      <c r="I367" s="4">
        <v>44</v>
      </c>
      <c r="J367" s="5">
        <v>0.12</v>
      </c>
      <c r="K367" s="3">
        <v>51</v>
      </c>
      <c r="L367" s="4">
        <f>tblSales[[#This Row],[Quantity]]*tblSales[[#This Row],[Actual Price]]</f>
        <v>2244</v>
      </c>
    </row>
    <row r="368" spans="1:12" x14ac:dyDescent="0.35">
      <c r="A368" s="3" t="s">
        <v>722</v>
      </c>
      <c r="B368" s="4" t="s">
        <v>206</v>
      </c>
      <c r="C368" s="4" t="s">
        <v>207</v>
      </c>
      <c r="D368" s="4" t="s">
        <v>25</v>
      </c>
      <c r="E368" s="7">
        <v>41698</v>
      </c>
      <c r="F368" s="4" t="s">
        <v>37</v>
      </c>
      <c r="G368" s="4" t="s">
        <v>723</v>
      </c>
      <c r="H368" s="4">
        <v>50</v>
      </c>
      <c r="I368" s="4">
        <v>47</v>
      </c>
      <c r="J368" s="5">
        <v>0.06</v>
      </c>
      <c r="K368" s="3">
        <v>58</v>
      </c>
      <c r="L368" s="4">
        <f>tblSales[[#This Row],[Quantity]]*tblSales[[#This Row],[Actual Price]]</f>
        <v>2726</v>
      </c>
    </row>
    <row r="369" spans="1:12" x14ac:dyDescent="0.35">
      <c r="A369" s="3" t="s">
        <v>724</v>
      </c>
      <c r="B369" s="4" t="s">
        <v>171</v>
      </c>
      <c r="C369" s="4" t="s">
        <v>172</v>
      </c>
      <c r="D369" s="4" t="s">
        <v>14</v>
      </c>
      <c r="E369" s="7">
        <v>42032</v>
      </c>
      <c r="F369" s="4" t="s">
        <v>31</v>
      </c>
      <c r="G369" s="4" t="s">
        <v>519</v>
      </c>
      <c r="H369" s="4">
        <v>150</v>
      </c>
      <c r="I369" s="4">
        <v>101</v>
      </c>
      <c r="J369" s="5">
        <v>0.32669999999999999</v>
      </c>
      <c r="K369" s="3">
        <v>29</v>
      </c>
      <c r="L369" s="4">
        <f>tblSales[[#This Row],[Quantity]]*tblSales[[#This Row],[Actual Price]]</f>
        <v>2929</v>
      </c>
    </row>
    <row r="370" spans="1:12" x14ac:dyDescent="0.35">
      <c r="A370" s="3" t="s">
        <v>725</v>
      </c>
      <c r="B370" s="4" t="s">
        <v>147</v>
      </c>
      <c r="C370" s="4" t="s">
        <v>148</v>
      </c>
      <c r="D370" s="4" t="s">
        <v>14</v>
      </c>
      <c r="E370" s="7">
        <v>41950</v>
      </c>
      <c r="F370" s="4" t="s">
        <v>15</v>
      </c>
      <c r="G370" s="4" t="s">
        <v>726</v>
      </c>
      <c r="H370" s="4">
        <v>80</v>
      </c>
      <c r="I370" s="4">
        <v>78</v>
      </c>
      <c r="J370" s="5">
        <v>2.5000000000000001E-2</v>
      </c>
      <c r="K370" s="3">
        <v>19</v>
      </c>
      <c r="L370" s="4">
        <f>tblSales[[#This Row],[Quantity]]*tblSales[[#This Row],[Actual Price]]</f>
        <v>1482</v>
      </c>
    </row>
    <row r="371" spans="1:12" x14ac:dyDescent="0.35">
      <c r="A371" s="3" t="s">
        <v>727</v>
      </c>
      <c r="B371" s="4" t="s">
        <v>104</v>
      </c>
      <c r="C371" s="4" t="s">
        <v>72</v>
      </c>
      <c r="D371" s="4" t="s">
        <v>36</v>
      </c>
      <c r="E371" s="7">
        <v>42056</v>
      </c>
      <c r="F371" s="4" t="s">
        <v>73</v>
      </c>
      <c r="G371" s="4" t="s">
        <v>728</v>
      </c>
      <c r="H371" s="4">
        <v>500</v>
      </c>
      <c r="I371" s="4">
        <v>500</v>
      </c>
      <c r="J371" s="5">
        <v>0</v>
      </c>
      <c r="K371" s="3">
        <v>86</v>
      </c>
      <c r="L371" s="4">
        <f>tblSales[[#This Row],[Quantity]]*tblSales[[#This Row],[Actual Price]]</f>
        <v>43000</v>
      </c>
    </row>
    <row r="372" spans="1:12" x14ac:dyDescent="0.35">
      <c r="A372" s="3" t="s">
        <v>729</v>
      </c>
      <c r="B372" s="4" t="s">
        <v>50</v>
      </c>
      <c r="C372" s="4" t="s">
        <v>51</v>
      </c>
      <c r="D372" s="4" t="s">
        <v>25</v>
      </c>
      <c r="E372" s="7">
        <v>42063</v>
      </c>
      <c r="F372" s="4" t="s">
        <v>15</v>
      </c>
      <c r="G372" s="4" t="s">
        <v>730</v>
      </c>
      <c r="H372" s="4">
        <v>80</v>
      </c>
      <c r="I372" s="4">
        <v>74</v>
      </c>
      <c r="J372" s="5">
        <v>7.4999999999999997E-2</v>
      </c>
      <c r="K372" s="3">
        <v>23</v>
      </c>
      <c r="L372" s="4">
        <f>tblSales[[#This Row],[Quantity]]*tblSales[[#This Row],[Actual Price]]</f>
        <v>1702</v>
      </c>
    </row>
    <row r="373" spans="1:12" x14ac:dyDescent="0.35">
      <c r="A373" s="3" t="s">
        <v>731</v>
      </c>
      <c r="B373" s="4" t="s">
        <v>96</v>
      </c>
      <c r="C373" s="4" t="s">
        <v>97</v>
      </c>
      <c r="D373" s="4" t="s">
        <v>14</v>
      </c>
      <c r="E373" s="7">
        <v>43066</v>
      </c>
      <c r="F373" s="4" t="s">
        <v>105</v>
      </c>
      <c r="G373" s="4" t="s">
        <v>732</v>
      </c>
      <c r="H373" s="4">
        <v>70</v>
      </c>
      <c r="I373" s="4">
        <v>68</v>
      </c>
      <c r="J373" s="5">
        <v>2.86E-2</v>
      </c>
      <c r="K373" s="3">
        <v>55</v>
      </c>
      <c r="L373" s="4">
        <f>tblSales[[#This Row],[Quantity]]*tblSales[[#This Row],[Actual Price]]</f>
        <v>3740</v>
      </c>
    </row>
    <row r="374" spans="1:12" x14ac:dyDescent="0.35">
      <c r="A374" s="3" t="s">
        <v>733</v>
      </c>
      <c r="B374" s="4" t="s">
        <v>265</v>
      </c>
      <c r="C374" s="4" t="s">
        <v>266</v>
      </c>
      <c r="D374" s="4" t="s">
        <v>14</v>
      </c>
      <c r="E374" s="7">
        <v>41681</v>
      </c>
      <c r="F374" s="4" t="s">
        <v>47</v>
      </c>
      <c r="G374" s="4" t="s">
        <v>315</v>
      </c>
      <c r="H374" s="4">
        <v>500</v>
      </c>
      <c r="I374" s="4">
        <v>500</v>
      </c>
      <c r="J374" s="5">
        <v>0</v>
      </c>
      <c r="K374" s="3">
        <v>67</v>
      </c>
      <c r="L374" s="4">
        <f>tblSales[[#This Row],[Quantity]]*tblSales[[#This Row],[Actual Price]]</f>
        <v>33500</v>
      </c>
    </row>
    <row r="375" spans="1:12" x14ac:dyDescent="0.35">
      <c r="A375" s="3" t="s">
        <v>734</v>
      </c>
      <c r="B375" s="4" t="s">
        <v>225</v>
      </c>
      <c r="C375" s="4" t="s">
        <v>51</v>
      </c>
      <c r="D375" s="4" t="s">
        <v>25</v>
      </c>
      <c r="E375" s="7">
        <v>43194</v>
      </c>
      <c r="F375" s="4" t="s">
        <v>62</v>
      </c>
      <c r="G375" s="4" t="s">
        <v>735</v>
      </c>
      <c r="H375" s="4">
        <v>1000</v>
      </c>
      <c r="I375" s="4">
        <v>720</v>
      </c>
      <c r="J375" s="5">
        <v>0.28000000000000003</v>
      </c>
      <c r="K375" s="3">
        <v>47</v>
      </c>
      <c r="L375" s="4">
        <f>tblSales[[#This Row],[Quantity]]*tblSales[[#This Row],[Actual Price]]</f>
        <v>33840</v>
      </c>
    </row>
    <row r="376" spans="1:12" x14ac:dyDescent="0.35">
      <c r="A376" s="3" t="s">
        <v>736</v>
      </c>
      <c r="B376" s="4" t="s">
        <v>18</v>
      </c>
      <c r="C376" s="4" t="s">
        <v>19</v>
      </c>
      <c r="D376" s="4" t="s">
        <v>20</v>
      </c>
      <c r="E376" s="7">
        <v>42790</v>
      </c>
      <c r="F376" s="4" t="s">
        <v>47</v>
      </c>
      <c r="G376" s="4" t="s">
        <v>617</v>
      </c>
      <c r="H376" s="4">
        <v>500</v>
      </c>
      <c r="I376" s="4">
        <v>480</v>
      </c>
      <c r="J376" s="5">
        <v>0.04</v>
      </c>
      <c r="K376" s="3">
        <v>87</v>
      </c>
      <c r="L376" s="4">
        <f>tblSales[[#This Row],[Quantity]]*tblSales[[#This Row],[Actual Price]]</f>
        <v>41760</v>
      </c>
    </row>
    <row r="377" spans="1:12" x14ac:dyDescent="0.35">
      <c r="A377" s="3" t="s">
        <v>737</v>
      </c>
      <c r="B377" s="4" t="s">
        <v>155</v>
      </c>
      <c r="C377" s="4" t="s">
        <v>109</v>
      </c>
      <c r="D377" s="4" t="s">
        <v>20</v>
      </c>
      <c r="E377" s="7">
        <v>41686</v>
      </c>
      <c r="F377" s="4" t="s">
        <v>37</v>
      </c>
      <c r="G377" s="4" t="s">
        <v>738</v>
      </c>
      <c r="H377" s="4">
        <v>50</v>
      </c>
      <c r="I377" s="4">
        <v>43</v>
      </c>
      <c r="J377" s="5">
        <v>0.14000000000000001</v>
      </c>
      <c r="K377" s="3">
        <v>32</v>
      </c>
      <c r="L377" s="4">
        <f>tblSales[[#This Row],[Quantity]]*tblSales[[#This Row],[Actual Price]]</f>
        <v>1376</v>
      </c>
    </row>
    <row r="378" spans="1:12" x14ac:dyDescent="0.35">
      <c r="A378" s="3" t="s">
        <v>739</v>
      </c>
      <c r="B378" s="4" t="s">
        <v>54</v>
      </c>
      <c r="C378" s="4" t="s">
        <v>55</v>
      </c>
      <c r="D378" s="4" t="s">
        <v>14</v>
      </c>
      <c r="E378" s="7">
        <v>43277</v>
      </c>
      <c r="F378" s="4" t="s">
        <v>31</v>
      </c>
      <c r="G378" s="4" t="s">
        <v>644</v>
      </c>
      <c r="H378" s="4">
        <v>150</v>
      </c>
      <c r="I378" s="4">
        <v>150</v>
      </c>
      <c r="J378" s="5">
        <v>0</v>
      </c>
      <c r="K378" s="3">
        <v>79</v>
      </c>
      <c r="L378" s="4">
        <f>tblSales[[#This Row],[Quantity]]*tblSales[[#This Row],[Actual Price]]</f>
        <v>11850</v>
      </c>
    </row>
    <row r="379" spans="1:12" x14ac:dyDescent="0.35">
      <c r="A379" s="3" t="s">
        <v>740</v>
      </c>
      <c r="B379" s="4" t="s">
        <v>12</v>
      </c>
      <c r="C379" s="4" t="s">
        <v>13</v>
      </c>
      <c r="D379" s="4" t="s">
        <v>14</v>
      </c>
      <c r="E379" s="7">
        <v>41656</v>
      </c>
      <c r="F379" s="4" t="s">
        <v>56</v>
      </c>
      <c r="G379" s="4" t="s">
        <v>349</v>
      </c>
      <c r="H379" s="4">
        <v>800</v>
      </c>
      <c r="I379" s="4">
        <v>528</v>
      </c>
      <c r="J379" s="5">
        <v>0.34</v>
      </c>
      <c r="K379" s="3">
        <v>74</v>
      </c>
      <c r="L379" s="4">
        <f>tblSales[[#This Row],[Quantity]]*tblSales[[#This Row],[Actual Price]]</f>
        <v>39072</v>
      </c>
    </row>
    <row r="380" spans="1:12" x14ac:dyDescent="0.35">
      <c r="A380" s="3" t="s">
        <v>741</v>
      </c>
      <c r="B380" s="4" t="s">
        <v>188</v>
      </c>
      <c r="C380" s="4" t="s">
        <v>189</v>
      </c>
      <c r="D380" s="4" t="s">
        <v>14</v>
      </c>
      <c r="E380" s="7">
        <v>42069</v>
      </c>
      <c r="F380" s="4" t="s">
        <v>37</v>
      </c>
      <c r="G380" s="4" t="s">
        <v>742</v>
      </c>
      <c r="H380" s="4">
        <v>50</v>
      </c>
      <c r="I380" s="4">
        <v>39</v>
      </c>
      <c r="J380" s="5">
        <v>0.22</v>
      </c>
      <c r="K380" s="3">
        <v>69</v>
      </c>
      <c r="L380" s="4">
        <f>tblSales[[#This Row],[Quantity]]*tblSales[[#This Row],[Actual Price]]</f>
        <v>2691</v>
      </c>
    </row>
    <row r="381" spans="1:12" x14ac:dyDescent="0.35">
      <c r="A381" s="3" t="s">
        <v>743</v>
      </c>
      <c r="B381" s="4" t="s">
        <v>86</v>
      </c>
      <c r="C381" s="4" t="s">
        <v>87</v>
      </c>
      <c r="D381" s="4" t="s">
        <v>14</v>
      </c>
      <c r="E381" s="7">
        <v>43030</v>
      </c>
      <c r="F381" s="4" t="s">
        <v>123</v>
      </c>
      <c r="G381" s="4" t="s">
        <v>88</v>
      </c>
      <c r="H381" s="4">
        <v>50</v>
      </c>
      <c r="I381" s="4">
        <v>50</v>
      </c>
      <c r="J381" s="5">
        <v>0</v>
      </c>
      <c r="K381" s="3">
        <v>9</v>
      </c>
      <c r="L381" s="4">
        <f>tblSales[[#This Row],[Quantity]]*tblSales[[#This Row],[Actual Price]]</f>
        <v>450</v>
      </c>
    </row>
    <row r="382" spans="1:12" x14ac:dyDescent="0.35">
      <c r="A382" s="3" t="s">
        <v>744</v>
      </c>
      <c r="B382" s="4" t="s">
        <v>104</v>
      </c>
      <c r="C382" s="4" t="s">
        <v>72</v>
      </c>
      <c r="D382" s="4" t="s">
        <v>36</v>
      </c>
      <c r="E382" s="7">
        <v>42483</v>
      </c>
      <c r="F382" s="4" t="s">
        <v>73</v>
      </c>
      <c r="G382" s="4" t="s">
        <v>604</v>
      </c>
      <c r="H382" s="4">
        <v>500</v>
      </c>
      <c r="I382" s="4">
        <v>500</v>
      </c>
      <c r="J382" s="5">
        <v>0</v>
      </c>
      <c r="K382" s="3">
        <v>7</v>
      </c>
      <c r="L382" s="4">
        <f>tblSales[[#This Row],[Quantity]]*tblSales[[#This Row],[Actual Price]]</f>
        <v>3500</v>
      </c>
    </row>
    <row r="383" spans="1:12" x14ac:dyDescent="0.35">
      <c r="A383" s="3" t="s">
        <v>745</v>
      </c>
      <c r="B383" s="4" t="s">
        <v>96</v>
      </c>
      <c r="C383" s="4" t="s">
        <v>97</v>
      </c>
      <c r="D383" s="4" t="s">
        <v>14</v>
      </c>
      <c r="E383" s="7">
        <v>43405</v>
      </c>
      <c r="F383" s="4" t="s">
        <v>37</v>
      </c>
      <c r="G383" s="4" t="s">
        <v>181</v>
      </c>
      <c r="H383" s="4">
        <v>50</v>
      </c>
      <c r="I383" s="4">
        <v>44</v>
      </c>
      <c r="J383" s="5">
        <v>0.12</v>
      </c>
      <c r="K383" s="3">
        <v>42</v>
      </c>
      <c r="L383" s="4">
        <f>tblSales[[#This Row],[Quantity]]*tblSales[[#This Row],[Actual Price]]</f>
        <v>1848</v>
      </c>
    </row>
    <row r="384" spans="1:12" x14ac:dyDescent="0.35">
      <c r="A384" s="3" t="s">
        <v>746</v>
      </c>
      <c r="B384" s="4" t="s">
        <v>225</v>
      </c>
      <c r="C384" s="4" t="s">
        <v>51</v>
      </c>
      <c r="D384" s="4" t="s">
        <v>25</v>
      </c>
      <c r="E384" s="7">
        <v>43037</v>
      </c>
      <c r="F384" s="4" t="s">
        <v>123</v>
      </c>
      <c r="G384" s="4" t="s">
        <v>226</v>
      </c>
      <c r="H384" s="4">
        <v>50</v>
      </c>
      <c r="I384" s="4">
        <v>48</v>
      </c>
      <c r="J384" s="5">
        <v>0.04</v>
      </c>
      <c r="K384" s="3">
        <v>38</v>
      </c>
      <c r="L384" s="4">
        <f>tblSales[[#This Row],[Quantity]]*tblSales[[#This Row],[Actual Price]]</f>
        <v>1824</v>
      </c>
    </row>
    <row r="385" spans="1:12" x14ac:dyDescent="0.35">
      <c r="A385" s="3" t="s">
        <v>747</v>
      </c>
      <c r="B385" s="4" t="s">
        <v>135</v>
      </c>
      <c r="C385" s="4" t="s">
        <v>93</v>
      </c>
      <c r="D385" s="4" t="s">
        <v>36</v>
      </c>
      <c r="E385" s="7">
        <v>42794</v>
      </c>
      <c r="F385" s="4" t="s">
        <v>15</v>
      </c>
      <c r="G385" s="4" t="s">
        <v>748</v>
      </c>
      <c r="H385" s="4">
        <v>80</v>
      </c>
      <c r="I385" s="4">
        <v>72</v>
      </c>
      <c r="J385" s="5">
        <v>0.1</v>
      </c>
      <c r="K385" s="3">
        <v>6</v>
      </c>
      <c r="L385" s="4">
        <f>tblSales[[#This Row],[Quantity]]*tblSales[[#This Row],[Actual Price]]</f>
        <v>432</v>
      </c>
    </row>
    <row r="386" spans="1:12" x14ac:dyDescent="0.35">
      <c r="A386" s="3" t="s">
        <v>749</v>
      </c>
      <c r="B386" s="4" t="s">
        <v>206</v>
      </c>
      <c r="C386" s="4" t="s">
        <v>207</v>
      </c>
      <c r="D386" s="4" t="s">
        <v>25</v>
      </c>
      <c r="E386" s="7">
        <v>42249</v>
      </c>
      <c r="F386" s="4" t="s">
        <v>123</v>
      </c>
      <c r="G386" s="4" t="s">
        <v>597</v>
      </c>
      <c r="H386" s="4">
        <v>50</v>
      </c>
      <c r="I386" s="4">
        <v>32</v>
      </c>
      <c r="J386" s="5">
        <v>0.36</v>
      </c>
      <c r="K386" s="3">
        <v>2</v>
      </c>
      <c r="L386" s="4">
        <f>tblSales[[#This Row],[Quantity]]*tblSales[[#This Row],[Actual Price]]</f>
        <v>64</v>
      </c>
    </row>
    <row r="387" spans="1:12" x14ac:dyDescent="0.35">
      <c r="A387" s="3" t="s">
        <v>750</v>
      </c>
      <c r="B387" s="4" t="s">
        <v>222</v>
      </c>
      <c r="C387" s="4" t="s">
        <v>41</v>
      </c>
      <c r="D387" s="4" t="s">
        <v>36</v>
      </c>
      <c r="E387" s="7">
        <v>42934</v>
      </c>
      <c r="F387" s="4" t="s">
        <v>26</v>
      </c>
      <c r="G387" s="4" t="s">
        <v>232</v>
      </c>
      <c r="H387" s="4">
        <v>700</v>
      </c>
      <c r="I387" s="4">
        <v>651</v>
      </c>
      <c r="J387" s="5">
        <v>7.0000000000000007E-2</v>
      </c>
      <c r="K387" s="3">
        <v>47</v>
      </c>
      <c r="L387" s="4">
        <f>tblSales[[#This Row],[Quantity]]*tblSales[[#This Row],[Actual Price]]</f>
        <v>30597</v>
      </c>
    </row>
    <row r="388" spans="1:12" x14ac:dyDescent="0.35">
      <c r="A388" s="3" t="s">
        <v>751</v>
      </c>
      <c r="B388" s="4" t="s">
        <v>128</v>
      </c>
      <c r="C388" s="4" t="s">
        <v>129</v>
      </c>
      <c r="D388" s="4" t="s">
        <v>14</v>
      </c>
      <c r="E388" s="7">
        <v>42858</v>
      </c>
      <c r="F388" s="4" t="s">
        <v>123</v>
      </c>
      <c r="G388" s="4" t="s">
        <v>211</v>
      </c>
      <c r="H388" s="4">
        <v>50</v>
      </c>
      <c r="I388" s="4">
        <v>49</v>
      </c>
      <c r="J388" s="5">
        <v>0.02</v>
      </c>
      <c r="K388" s="3">
        <v>26</v>
      </c>
      <c r="L388" s="4">
        <f>tblSales[[#This Row],[Quantity]]*tblSales[[#This Row],[Actual Price]]</f>
        <v>1274</v>
      </c>
    </row>
    <row r="389" spans="1:12" x14ac:dyDescent="0.35">
      <c r="A389" s="3" t="s">
        <v>752</v>
      </c>
      <c r="B389" s="4" t="s">
        <v>100</v>
      </c>
      <c r="C389" s="4" t="s">
        <v>101</v>
      </c>
      <c r="D389" s="4" t="s">
        <v>14</v>
      </c>
      <c r="E389" s="7">
        <v>43441</v>
      </c>
      <c r="F389" s="4" t="s">
        <v>47</v>
      </c>
      <c r="G389" s="4" t="s">
        <v>753</v>
      </c>
      <c r="H389" s="4">
        <v>500</v>
      </c>
      <c r="I389" s="4">
        <v>440</v>
      </c>
      <c r="J389" s="5">
        <v>0.12</v>
      </c>
      <c r="K389" s="3">
        <v>55</v>
      </c>
      <c r="L389" s="4">
        <f>tblSales[[#This Row],[Quantity]]*tblSales[[#This Row],[Actual Price]]</f>
        <v>24200</v>
      </c>
    </row>
    <row r="390" spans="1:12" x14ac:dyDescent="0.35">
      <c r="A390" s="3" t="s">
        <v>754</v>
      </c>
      <c r="B390" s="4" t="s">
        <v>188</v>
      </c>
      <c r="C390" s="4" t="s">
        <v>189</v>
      </c>
      <c r="D390" s="4" t="s">
        <v>14</v>
      </c>
      <c r="E390" s="7">
        <v>43277</v>
      </c>
      <c r="F390" s="4" t="s">
        <v>62</v>
      </c>
      <c r="G390" s="4" t="s">
        <v>238</v>
      </c>
      <c r="H390" s="4">
        <v>1000</v>
      </c>
      <c r="I390" s="4">
        <v>680</v>
      </c>
      <c r="J390" s="5">
        <v>0.32</v>
      </c>
      <c r="K390" s="3">
        <v>15</v>
      </c>
      <c r="L390" s="4">
        <f>tblSales[[#This Row],[Quantity]]*tblSales[[#This Row],[Actual Price]]</f>
        <v>10200</v>
      </c>
    </row>
    <row r="391" spans="1:12" x14ac:dyDescent="0.35">
      <c r="A391" s="3" t="s">
        <v>755</v>
      </c>
      <c r="B391" s="4" t="s">
        <v>34</v>
      </c>
      <c r="C391" s="4" t="s">
        <v>35</v>
      </c>
      <c r="D391" s="4" t="s">
        <v>36</v>
      </c>
      <c r="E391" s="7">
        <v>42283</v>
      </c>
      <c r="F391" s="4" t="s">
        <v>26</v>
      </c>
      <c r="G391" s="4" t="s">
        <v>198</v>
      </c>
      <c r="H391" s="4">
        <v>700</v>
      </c>
      <c r="I391" s="4">
        <v>637</v>
      </c>
      <c r="J391" s="5">
        <v>0.09</v>
      </c>
      <c r="K391" s="3">
        <v>30</v>
      </c>
      <c r="L391" s="4">
        <f>tblSales[[#This Row],[Quantity]]*tblSales[[#This Row],[Actual Price]]</f>
        <v>19110</v>
      </c>
    </row>
    <row r="392" spans="1:12" x14ac:dyDescent="0.35">
      <c r="A392" s="3" t="s">
        <v>756</v>
      </c>
      <c r="B392" s="4" t="s">
        <v>115</v>
      </c>
      <c r="C392" s="4" t="s">
        <v>55</v>
      </c>
      <c r="D392" s="4" t="s">
        <v>14</v>
      </c>
      <c r="E392" s="7">
        <v>41784</v>
      </c>
      <c r="F392" s="4" t="s">
        <v>37</v>
      </c>
      <c r="G392" s="4" t="s">
        <v>477</v>
      </c>
      <c r="H392" s="4">
        <v>50</v>
      </c>
      <c r="I392" s="4">
        <v>43</v>
      </c>
      <c r="J392" s="5">
        <v>0.14000000000000001</v>
      </c>
      <c r="K392" s="3">
        <v>77</v>
      </c>
      <c r="L392" s="4">
        <f>tblSales[[#This Row],[Quantity]]*tblSales[[#This Row],[Actual Price]]</f>
        <v>3311</v>
      </c>
    </row>
    <row r="393" spans="1:12" x14ac:dyDescent="0.35">
      <c r="A393" s="3" t="s">
        <v>757</v>
      </c>
      <c r="B393" s="4" t="s">
        <v>71</v>
      </c>
      <c r="C393" s="4" t="s">
        <v>72</v>
      </c>
      <c r="D393" s="4" t="s">
        <v>36</v>
      </c>
      <c r="E393" s="7">
        <v>42546</v>
      </c>
      <c r="F393" s="4" t="s">
        <v>42</v>
      </c>
      <c r="G393" s="4" t="s">
        <v>74</v>
      </c>
      <c r="H393" s="4">
        <v>30</v>
      </c>
      <c r="I393" s="4">
        <v>29</v>
      </c>
      <c r="J393" s="5">
        <v>3.3300000000000003E-2</v>
      </c>
      <c r="K393" s="3">
        <v>25</v>
      </c>
      <c r="L393" s="4">
        <f>tblSales[[#This Row],[Quantity]]*tblSales[[#This Row],[Actual Price]]</f>
        <v>725</v>
      </c>
    </row>
    <row r="394" spans="1:12" x14ac:dyDescent="0.35">
      <c r="A394" s="3" t="s">
        <v>758</v>
      </c>
      <c r="B394" s="4" t="s">
        <v>60</v>
      </c>
      <c r="C394" s="4" t="s">
        <v>61</v>
      </c>
      <c r="D394" s="4" t="s">
        <v>14</v>
      </c>
      <c r="E394" s="7">
        <v>42982</v>
      </c>
      <c r="F394" s="4" t="s">
        <v>37</v>
      </c>
      <c r="G394" s="4" t="s">
        <v>313</v>
      </c>
      <c r="H394" s="4">
        <v>50</v>
      </c>
      <c r="I394" s="4">
        <v>47</v>
      </c>
      <c r="J394" s="5">
        <v>0.06</v>
      </c>
      <c r="K394" s="3">
        <v>18</v>
      </c>
      <c r="L394" s="4">
        <f>tblSales[[#This Row],[Quantity]]*tblSales[[#This Row],[Actual Price]]</f>
        <v>846</v>
      </c>
    </row>
    <row r="395" spans="1:12" x14ac:dyDescent="0.35">
      <c r="A395" s="3" t="s">
        <v>759</v>
      </c>
      <c r="B395" s="4" t="s">
        <v>206</v>
      </c>
      <c r="C395" s="4" t="s">
        <v>207</v>
      </c>
      <c r="D395" s="4" t="s">
        <v>25</v>
      </c>
      <c r="E395" s="7">
        <v>42220</v>
      </c>
      <c r="F395" s="4" t="s">
        <v>31</v>
      </c>
      <c r="G395" s="4" t="s">
        <v>760</v>
      </c>
      <c r="H395" s="4">
        <v>150</v>
      </c>
      <c r="I395" s="4">
        <v>144</v>
      </c>
      <c r="J395" s="5">
        <v>0.04</v>
      </c>
      <c r="K395" s="3">
        <v>47</v>
      </c>
      <c r="L395" s="4">
        <f>tblSales[[#This Row],[Quantity]]*tblSales[[#This Row],[Actual Price]]</f>
        <v>6768</v>
      </c>
    </row>
    <row r="396" spans="1:12" x14ac:dyDescent="0.35">
      <c r="A396" s="3" t="s">
        <v>761</v>
      </c>
      <c r="B396" s="4" t="s">
        <v>175</v>
      </c>
      <c r="C396" s="4" t="s">
        <v>176</v>
      </c>
      <c r="D396" s="4" t="s">
        <v>14</v>
      </c>
      <c r="E396" s="7">
        <v>42239</v>
      </c>
      <c r="F396" s="4" t="s">
        <v>116</v>
      </c>
      <c r="G396" s="4" t="s">
        <v>320</v>
      </c>
      <c r="H396" s="4">
        <v>250</v>
      </c>
      <c r="I396" s="4">
        <v>193</v>
      </c>
      <c r="J396" s="5">
        <v>0.22800000000000001</v>
      </c>
      <c r="K396" s="3">
        <v>86</v>
      </c>
      <c r="L396" s="4">
        <f>tblSales[[#This Row],[Quantity]]*tblSales[[#This Row],[Actual Price]]</f>
        <v>16598</v>
      </c>
    </row>
    <row r="397" spans="1:12" x14ac:dyDescent="0.35">
      <c r="A397" s="3" t="s">
        <v>762</v>
      </c>
      <c r="B397" s="4" t="s">
        <v>78</v>
      </c>
      <c r="C397" s="4" t="s">
        <v>79</v>
      </c>
      <c r="D397" s="4" t="s">
        <v>36</v>
      </c>
      <c r="E397" s="7">
        <v>42379</v>
      </c>
      <c r="F397" s="4" t="s">
        <v>56</v>
      </c>
      <c r="G397" s="4" t="s">
        <v>763</v>
      </c>
      <c r="H397" s="4">
        <v>800</v>
      </c>
      <c r="I397" s="4">
        <v>800</v>
      </c>
      <c r="J397" s="5">
        <v>0</v>
      </c>
      <c r="K397" s="3">
        <v>55</v>
      </c>
      <c r="L397" s="4">
        <f>tblSales[[#This Row],[Quantity]]*tblSales[[#This Row],[Actual Price]]</f>
        <v>44000</v>
      </c>
    </row>
    <row r="398" spans="1:12" x14ac:dyDescent="0.35">
      <c r="A398" s="3" t="s">
        <v>764</v>
      </c>
      <c r="B398" s="4" t="s">
        <v>435</v>
      </c>
      <c r="C398" s="4" t="s">
        <v>436</v>
      </c>
      <c r="D398" s="4" t="s">
        <v>25</v>
      </c>
      <c r="E398" s="7">
        <v>42336</v>
      </c>
      <c r="F398" s="4" t="s">
        <v>26</v>
      </c>
      <c r="G398" s="4" t="s">
        <v>765</v>
      </c>
      <c r="H398" s="4">
        <v>700</v>
      </c>
      <c r="I398" s="4">
        <v>441</v>
      </c>
      <c r="J398" s="5">
        <v>0.37</v>
      </c>
      <c r="K398" s="3">
        <v>48</v>
      </c>
      <c r="L398" s="4">
        <f>tblSales[[#This Row],[Quantity]]*tblSales[[#This Row],[Actual Price]]</f>
        <v>21168</v>
      </c>
    </row>
    <row r="399" spans="1:12" x14ac:dyDescent="0.35">
      <c r="A399" s="3" t="s">
        <v>766</v>
      </c>
      <c r="B399" s="4" t="s">
        <v>151</v>
      </c>
      <c r="C399" s="4" t="s">
        <v>152</v>
      </c>
      <c r="D399" s="4" t="s">
        <v>14</v>
      </c>
      <c r="E399" s="7">
        <v>42570</v>
      </c>
      <c r="F399" s="4" t="s">
        <v>105</v>
      </c>
      <c r="G399" s="4" t="s">
        <v>153</v>
      </c>
      <c r="H399" s="4">
        <v>70</v>
      </c>
      <c r="I399" s="4">
        <v>60</v>
      </c>
      <c r="J399" s="5">
        <v>0.1429</v>
      </c>
      <c r="K399" s="3">
        <v>94</v>
      </c>
      <c r="L399" s="4">
        <f>tblSales[[#This Row],[Quantity]]*tblSales[[#This Row],[Actual Price]]</f>
        <v>5640</v>
      </c>
    </row>
    <row r="400" spans="1:12" x14ac:dyDescent="0.35">
      <c r="A400" s="3" t="s">
        <v>767</v>
      </c>
      <c r="B400" s="4" t="s">
        <v>40</v>
      </c>
      <c r="C400" s="4" t="s">
        <v>41</v>
      </c>
      <c r="D400" s="4" t="s">
        <v>36</v>
      </c>
      <c r="E400" s="7">
        <v>42959</v>
      </c>
      <c r="F400" s="4" t="s">
        <v>47</v>
      </c>
      <c r="G400" s="4" t="s">
        <v>165</v>
      </c>
      <c r="H400" s="4">
        <v>500</v>
      </c>
      <c r="I400" s="4">
        <v>495</v>
      </c>
      <c r="J400" s="5">
        <v>0.01</v>
      </c>
      <c r="K400" s="3">
        <v>71</v>
      </c>
      <c r="L400" s="4">
        <f>tblSales[[#This Row],[Quantity]]*tblSales[[#This Row],[Actual Price]]</f>
        <v>35145</v>
      </c>
    </row>
    <row r="401" spans="1:12" x14ac:dyDescent="0.35">
      <c r="A401" s="3" t="s">
        <v>768</v>
      </c>
      <c r="B401" s="4" t="s">
        <v>188</v>
      </c>
      <c r="C401" s="4" t="s">
        <v>189</v>
      </c>
      <c r="D401" s="4" t="s">
        <v>14</v>
      </c>
      <c r="E401" s="7">
        <v>42949</v>
      </c>
      <c r="F401" s="4" t="s">
        <v>42</v>
      </c>
      <c r="G401" s="4" t="s">
        <v>416</v>
      </c>
      <c r="H401" s="4">
        <v>30</v>
      </c>
      <c r="I401" s="4">
        <v>29</v>
      </c>
      <c r="J401" s="5">
        <v>3.3300000000000003E-2</v>
      </c>
      <c r="K401" s="3">
        <v>77</v>
      </c>
      <c r="L401" s="4">
        <f>tblSales[[#This Row],[Quantity]]*tblSales[[#This Row],[Actual Price]]</f>
        <v>2233</v>
      </c>
    </row>
    <row r="402" spans="1:12" x14ac:dyDescent="0.35">
      <c r="A402" s="3" t="s">
        <v>769</v>
      </c>
      <c r="B402" s="4" t="s">
        <v>96</v>
      </c>
      <c r="C402" s="4" t="s">
        <v>97</v>
      </c>
      <c r="D402" s="4" t="s">
        <v>14</v>
      </c>
      <c r="E402" s="7">
        <v>43371</v>
      </c>
      <c r="F402" s="4" t="s">
        <v>42</v>
      </c>
      <c r="G402" s="4" t="s">
        <v>770</v>
      </c>
      <c r="H402" s="4">
        <v>30</v>
      </c>
      <c r="I402" s="4">
        <v>29</v>
      </c>
      <c r="J402" s="5">
        <v>3.3300000000000003E-2</v>
      </c>
      <c r="K402" s="3">
        <v>94</v>
      </c>
      <c r="L402" s="4">
        <f>tblSales[[#This Row],[Quantity]]*tblSales[[#This Row],[Actual Price]]</f>
        <v>2726</v>
      </c>
    </row>
    <row r="403" spans="1:12" x14ac:dyDescent="0.35">
      <c r="A403" s="3" t="s">
        <v>771</v>
      </c>
      <c r="B403" s="4" t="s">
        <v>151</v>
      </c>
      <c r="C403" s="4" t="s">
        <v>152</v>
      </c>
      <c r="D403" s="4" t="s">
        <v>14</v>
      </c>
      <c r="E403" s="7">
        <v>42845</v>
      </c>
      <c r="F403" s="4" t="s">
        <v>73</v>
      </c>
      <c r="G403" s="4" t="s">
        <v>772</v>
      </c>
      <c r="H403" s="4">
        <v>500</v>
      </c>
      <c r="I403" s="4">
        <v>500</v>
      </c>
      <c r="J403" s="5">
        <v>0</v>
      </c>
      <c r="K403" s="3">
        <v>55</v>
      </c>
      <c r="L403" s="4">
        <f>tblSales[[#This Row],[Quantity]]*tblSales[[#This Row],[Actual Price]]</f>
        <v>27500</v>
      </c>
    </row>
    <row r="404" spans="1:12" x14ac:dyDescent="0.35">
      <c r="A404" s="3" t="s">
        <v>773</v>
      </c>
      <c r="B404" s="4" t="s">
        <v>175</v>
      </c>
      <c r="C404" s="4" t="s">
        <v>176</v>
      </c>
      <c r="D404" s="4" t="s">
        <v>14</v>
      </c>
      <c r="E404" s="7">
        <v>41653</v>
      </c>
      <c r="F404" s="4" t="s">
        <v>62</v>
      </c>
      <c r="G404" s="4" t="s">
        <v>608</v>
      </c>
      <c r="H404" s="4">
        <v>1000</v>
      </c>
      <c r="I404" s="4">
        <v>510</v>
      </c>
      <c r="J404" s="5">
        <v>0.49</v>
      </c>
      <c r="K404" s="3">
        <v>60</v>
      </c>
      <c r="L404" s="4">
        <f>tblSales[[#This Row],[Quantity]]*tblSales[[#This Row],[Actual Price]]</f>
        <v>30600</v>
      </c>
    </row>
    <row r="405" spans="1:12" x14ac:dyDescent="0.35">
      <c r="A405" s="3" t="s">
        <v>774</v>
      </c>
      <c r="B405" s="4" t="s">
        <v>225</v>
      </c>
      <c r="C405" s="4" t="s">
        <v>51</v>
      </c>
      <c r="D405" s="4" t="s">
        <v>25</v>
      </c>
      <c r="E405" s="7">
        <v>42135</v>
      </c>
      <c r="F405" s="4" t="s">
        <v>56</v>
      </c>
      <c r="G405" s="4" t="s">
        <v>775</v>
      </c>
      <c r="H405" s="4">
        <v>800</v>
      </c>
      <c r="I405" s="4">
        <v>488</v>
      </c>
      <c r="J405" s="5">
        <v>0.39</v>
      </c>
      <c r="K405" s="3">
        <v>32</v>
      </c>
      <c r="L405" s="4">
        <f>tblSales[[#This Row],[Quantity]]*tblSales[[#This Row],[Actual Price]]</f>
        <v>15616</v>
      </c>
    </row>
    <row r="406" spans="1:12" x14ac:dyDescent="0.35">
      <c r="A406" s="3" t="s">
        <v>776</v>
      </c>
      <c r="B406" s="4" t="s">
        <v>18</v>
      </c>
      <c r="C406" s="4" t="s">
        <v>19</v>
      </c>
      <c r="D406" s="4" t="s">
        <v>20</v>
      </c>
      <c r="E406" s="7">
        <v>42719</v>
      </c>
      <c r="F406" s="4" t="s">
        <v>37</v>
      </c>
      <c r="G406" s="4" t="s">
        <v>777</v>
      </c>
      <c r="H406" s="4">
        <v>50</v>
      </c>
      <c r="I406" s="4">
        <v>49</v>
      </c>
      <c r="J406" s="5">
        <v>0.02</v>
      </c>
      <c r="K406" s="3">
        <v>49</v>
      </c>
      <c r="L406" s="4">
        <f>tblSales[[#This Row],[Quantity]]*tblSales[[#This Row],[Actual Price]]</f>
        <v>2401</v>
      </c>
    </row>
    <row r="407" spans="1:12" x14ac:dyDescent="0.35">
      <c r="A407" s="3" t="s">
        <v>778</v>
      </c>
      <c r="B407" s="4" t="s">
        <v>256</v>
      </c>
      <c r="C407" s="4" t="s">
        <v>257</v>
      </c>
      <c r="D407" s="4" t="s">
        <v>14</v>
      </c>
      <c r="E407" s="7">
        <v>42893</v>
      </c>
      <c r="F407" s="4" t="s">
        <v>15</v>
      </c>
      <c r="G407" s="4" t="s">
        <v>523</v>
      </c>
      <c r="H407" s="4">
        <v>80</v>
      </c>
      <c r="I407" s="4">
        <v>78</v>
      </c>
      <c r="J407" s="5">
        <v>2.5000000000000001E-2</v>
      </c>
      <c r="K407" s="3">
        <v>59</v>
      </c>
      <c r="L407" s="4">
        <f>tblSales[[#This Row],[Quantity]]*tblSales[[#This Row],[Actual Price]]</f>
        <v>4602</v>
      </c>
    </row>
    <row r="408" spans="1:12" x14ac:dyDescent="0.35">
      <c r="A408" s="3" t="s">
        <v>779</v>
      </c>
      <c r="B408" s="4" t="s">
        <v>242</v>
      </c>
      <c r="C408" s="4" t="s">
        <v>243</v>
      </c>
      <c r="D408" s="4" t="s">
        <v>14</v>
      </c>
      <c r="E408" s="7">
        <v>43325</v>
      </c>
      <c r="F408" s="4" t="s">
        <v>123</v>
      </c>
      <c r="G408" s="4" t="s">
        <v>780</v>
      </c>
      <c r="H408" s="4">
        <v>50</v>
      </c>
      <c r="I408" s="4">
        <v>48</v>
      </c>
      <c r="J408" s="5">
        <v>0.04</v>
      </c>
      <c r="K408" s="3">
        <v>14</v>
      </c>
      <c r="L408" s="4">
        <f>tblSales[[#This Row],[Quantity]]*tblSales[[#This Row],[Actual Price]]</f>
        <v>672</v>
      </c>
    </row>
    <row r="409" spans="1:12" x14ac:dyDescent="0.35">
      <c r="A409" s="3" t="s">
        <v>781</v>
      </c>
      <c r="B409" s="4" t="s">
        <v>60</v>
      </c>
      <c r="C409" s="4" t="s">
        <v>61</v>
      </c>
      <c r="D409" s="4" t="s">
        <v>14</v>
      </c>
      <c r="E409" s="7">
        <v>43190</v>
      </c>
      <c r="F409" s="4" t="s">
        <v>123</v>
      </c>
      <c r="G409" s="4" t="s">
        <v>782</v>
      </c>
      <c r="H409" s="4">
        <v>50</v>
      </c>
      <c r="I409" s="4">
        <v>50</v>
      </c>
      <c r="J409" s="5">
        <v>0</v>
      </c>
      <c r="K409" s="3">
        <v>47</v>
      </c>
      <c r="L409" s="4">
        <f>tblSales[[#This Row],[Quantity]]*tblSales[[#This Row],[Actual Price]]</f>
        <v>2350</v>
      </c>
    </row>
    <row r="410" spans="1:12" x14ac:dyDescent="0.35">
      <c r="A410" s="3" t="s">
        <v>783</v>
      </c>
      <c r="B410" s="4" t="s">
        <v>65</v>
      </c>
      <c r="C410" s="4" t="s">
        <v>66</v>
      </c>
      <c r="D410" s="4" t="s">
        <v>36</v>
      </c>
      <c r="E410" s="7">
        <v>43397</v>
      </c>
      <c r="F410" s="4" t="s">
        <v>116</v>
      </c>
      <c r="G410" s="4" t="s">
        <v>784</v>
      </c>
      <c r="H410" s="4">
        <v>250</v>
      </c>
      <c r="I410" s="4">
        <v>250</v>
      </c>
      <c r="J410" s="5">
        <v>0</v>
      </c>
      <c r="K410" s="3">
        <v>80</v>
      </c>
      <c r="L410" s="4">
        <f>tblSales[[#This Row],[Quantity]]*tblSales[[#This Row],[Actual Price]]</f>
        <v>20000</v>
      </c>
    </row>
    <row r="411" spans="1:12" x14ac:dyDescent="0.35">
      <c r="A411" s="3" t="s">
        <v>785</v>
      </c>
      <c r="B411" s="4" t="s">
        <v>86</v>
      </c>
      <c r="C411" s="4" t="s">
        <v>87</v>
      </c>
      <c r="D411" s="4" t="s">
        <v>14</v>
      </c>
      <c r="E411" s="7">
        <v>42558</v>
      </c>
      <c r="F411" s="4" t="s">
        <v>105</v>
      </c>
      <c r="G411" s="4" t="s">
        <v>582</v>
      </c>
      <c r="H411" s="4">
        <v>70</v>
      </c>
      <c r="I411" s="4">
        <v>67</v>
      </c>
      <c r="J411" s="5">
        <v>4.2900000000000001E-2</v>
      </c>
      <c r="K411" s="3">
        <v>92</v>
      </c>
      <c r="L411" s="4">
        <f>tblSales[[#This Row],[Quantity]]*tblSales[[#This Row],[Actual Price]]</f>
        <v>6164</v>
      </c>
    </row>
    <row r="412" spans="1:12" x14ac:dyDescent="0.35">
      <c r="A412" s="3" t="s">
        <v>786</v>
      </c>
      <c r="B412" s="4" t="s">
        <v>34</v>
      </c>
      <c r="C412" s="4" t="s">
        <v>35</v>
      </c>
      <c r="D412" s="4" t="s">
        <v>36</v>
      </c>
      <c r="E412" s="7">
        <v>43259</v>
      </c>
      <c r="F412" s="4" t="s">
        <v>26</v>
      </c>
      <c r="G412" s="4" t="s">
        <v>38</v>
      </c>
      <c r="H412" s="4">
        <v>700</v>
      </c>
      <c r="I412" s="4">
        <v>693</v>
      </c>
      <c r="J412" s="5">
        <v>0.01</v>
      </c>
      <c r="K412" s="3">
        <v>53</v>
      </c>
      <c r="L412" s="4">
        <f>tblSales[[#This Row],[Quantity]]*tblSales[[#This Row],[Actual Price]]</f>
        <v>36729</v>
      </c>
    </row>
    <row r="413" spans="1:12" x14ac:dyDescent="0.35">
      <c r="A413" s="3" t="s">
        <v>787</v>
      </c>
      <c r="B413" s="4" t="s">
        <v>40</v>
      </c>
      <c r="C413" s="4" t="s">
        <v>41</v>
      </c>
      <c r="D413" s="4" t="s">
        <v>36</v>
      </c>
      <c r="E413" s="7">
        <v>42944</v>
      </c>
      <c r="F413" s="4" t="s">
        <v>42</v>
      </c>
      <c r="G413" s="4" t="s">
        <v>215</v>
      </c>
      <c r="H413" s="4">
        <v>30</v>
      </c>
      <c r="I413" s="4">
        <v>27</v>
      </c>
      <c r="J413" s="5">
        <v>0.1</v>
      </c>
      <c r="K413" s="3">
        <v>34</v>
      </c>
      <c r="L413" s="4">
        <f>tblSales[[#This Row],[Quantity]]*tblSales[[#This Row],[Actual Price]]</f>
        <v>918</v>
      </c>
    </row>
    <row r="414" spans="1:12" x14ac:dyDescent="0.35">
      <c r="A414" s="3" t="s">
        <v>788</v>
      </c>
      <c r="B414" s="4" t="s">
        <v>175</v>
      </c>
      <c r="C414" s="4" t="s">
        <v>176</v>
      </c>
      <c r="D414" s="4" t="s">
        <v>14</v>
      </c>
      <c r="E414" s="7">
        <v>42448</v>
      </c>
      <c r="F414" s="4" t="s">
        <v>37</v>
      </c>
      <c r="G414" s="4" t="s">
        <v>789</v>
      </c>
      <c r="H414" s="4">
        <v>50</v>
      </c>
      <c r="I414" s="4">
        <v>49</v>
      </c>
      <c r="J414" s="5">
        <v>0.02</v>
      </c>
      <c r="K414" s="3">
        <v>35</v>
      </c>
      <c r="L414" s="4">
        <f>tblSales[[#This Row],[Quantity]]*tblSales[[#This Row],[Actual Price]]</f>
        <v>1715</v>
      </c>
    </row>
    <row r="415" spans="1:12" x14ac:dyDescent="0.35">
      <c r="A415" s="3" t="s">
        <v>790</v>
      </c>
      <c r="B415" s="4" t="s">
        <v>29</v>
      </c>
      <c r="C415" s="4" t="s">
        <v>30</v>
      </c>
      <c r="D415" s="4" t="s">
        <v>14</v>
      </c>
      <c r="E415" s="7">
        <v>42158</v>
      </c>
      <c r="F415" s="4" t="s">
        <v>56</v>
      </c>
      <c r="G415" s="4" t="s">
        <v>446</v>
      </c>
      <c r="H415" s="4">
        <v>800</v>
      </c>
      <c r="I415" s="4">
        <v>664</v>
      </c>
      <c r="J415" s="5">
        <v>0.17</v>
      </c>
      <c r="K415" s="3">
        <v>89</v>
      </c>
      <c r="L415" s="4">
        <f>tblSales[[#This Row],[Quantity]]*tblSales[[#This Row],[Actual Price]]</f>
        <v>59096</v>
      </c>
    </row>
    <row r="416" spans="1:12" x14ac:dyDescent="0.35">
      <c r="A416" s="3" t="s">
        <v>791</v>
      </c>
      <c r="B416" s="4" t="s">
        <v>188</v>
      </c>
      <c r="C416" s="4" t="s">
        <v>189</v>
      </c>
      <c r="D416" s="4" t="s">
        <v>14</v>
      </c>
      <c r="E416" s="7">
        <v>42486</v>
      </c>
      <c r="F416" s="4" t="s">
        <v>56</v>
      </c>
      <c r="G416" s="4" t="s">
        <v>792</v>
      </c>
      <c r="H416" s="4">
        <v>800</v>
      </c>
      <c r="I416" s="4">
        <v>648</v>
      </c>
      <c r="J416" s="5">
        <v>0.19</v>
      </c>
      <c r="K416" s="3">
        <v>38</v>
      </c>
      <c r="L416" s="4">
        <f>tblSales[[#This Row],[Quantity]]*tblSales[[#This Row],[Actual Price]]</f>
        <v>24624</v>
      </c>
    </row>
    <row r="417" spans="1:12" x14ac:dyDescent="0.35">
      <c r="A417" s="3" t="s">
        <v>793</v>
      </c>
      <c r="B417" s="4" t="s">
        <v>132</v>
      </c>
      <c r="C417" s="4" t="s">
        <v>109</v>
      </c>
      <c r="D417" s="4" t="s">
        <v>20</v>
      </c>
      <c r="E417" s="7">
        <v>43398</v>
      </c>
      <c r="F417" s="4" t="s">
        <v>42</v>
      </c>
      <c r="G417" s="4" t="s">
        <v>794</v>
      </c>
      <c r="H417" s="4">
        <v>30</v>
      </c>
      <c r="I417" s="4">
        <v>29</v>
      </c>
      <c r="J417" s="5">
        <v>3.3300000000000003E-2</v>
      </c>
      <c r="K417" s="3">
        <v>98</v>
      </c>
      <c r="L417" s="4">
        <f>tblSales[[#This Row],[Quantity]]*tblSales[[#This Row],[Actual Price]]</f>
        <v>2842</v>
      </c>
    </row>
    <row r="418" spans="1:12" x14ac:dyDescent="0.35">
      <c r="A418" s="3" t="s">
        <v>795</v>
      </c>
      <c r="B418" s="4" t="s">
        <v>54</v>
      </c>
      <c r="C418" s="4" t="s">
        <v>55</v>
      </c>
      <c r="D418" s="4" t="s">
        <v>14</v>
      </c>
      <c r="E418" s="7">
        <v>43065</v>
      </c>
      <c r="F418" s="4" t="s">
        <v>47</v>
      </c>
      <c r="G418" s="4" t="s">
        <v>796</v>
      </c>
      <c r="H418" s="4">
        <v>500</v>
      </c>
      <c r="I418" s="4">
        <v>475</v>
      </c>
      <c r="J418" s="5">
        <v>0.05</v>
      </c>
      <c r="K418" s="3">
        <v>4</v>
      </c>
      <c r="L418" s="4">
        <f>tblSales[[#This Row],[Quantity]]*tblSales[[#This Row],[Actual Price]]</f>
        <v>1900</v>
      </c>
    </row>
    <row r="419" spans="1:12" x14ac:dyDescent="0.35">
      <c r="A419" s="3" t="s">
        <v>797</v>
      </c>
      <c r="B419" s="4" t="s">
        <v>188</v>
      </c>
      <c r="C419" s="4" t="s">
        <v>189</v>
      </c>
      <c r="D419" s="4" t="s">
        <v>14</v>
      </c>
      <c r="E419" s="7">
        <v>42059</v>
      </c>
      <c r="F419" s="4" t="s">
        <v>73</v>
      </c>
      <c r="G419" s="4" t="s">
        <v>798</v>
      </c>
      <c r="H419" s="4">
        <v>500</v>
      </c>
      <c r="I419" s="4">
        <v>495</v>
      </c>
      <c r="J419" s="5">
        <v>0.01</v>
      </c>
      <c r="K419" s="3">
        <v>45</v>
      </c>
      <c r="L419" s="4">
        <f>tblSales[[#This Row],[Quantity]]*tblSales[[#This Row],[Actual Price]]</f>
        <v>22275</v>
      </c>
    </row>
    <row r="420" spans="1:12" x14ac:dyDescent="0.35">
      <c r="A420" s="3" t="s">
        <v>799</v>
      </c>
      <c r="B420" s="4" t="s">
        <v>12</v>
      </c>
      <c r="C420" s="4" t="s">
        <v>13</v>
      </c>
      <c r="D420" s="4" t="s">
        <v>14</v>
      </c>
      <c r="E420" s="7">
        <v>41998</v>
      </c>
      <c r="F420" s="4" t="s">
        <v>62</v>
      </c>
      <c r="G420" s="4" t="s">
        <v>277</v>
      </c>
      <c r="H420" s="4">
        <v>1000</v>
      </c>
      <c r="I420" s="4">
        <v>580</v>
      </c>
      <c r="J420" s="5">
        <v>0.42</v>
      </c>
      <c r="K420" s="3">
        <v>99</v>
      </c>
      <c r="L420" s="4">
        <f>tblSales[[#This Row],[Quantity]]*tblSales[[#This Row],[Actual Price]]</f>
        <v>57420</v>
      </c>
    </row>
    <row r="421" spans="1:12" x14ac:dyDescent="0.35">
      <c r="A421" s="3" t="s">
        <v>800</v>
      </c>
      <c r="B421" s="4" t="s">
        <v>256</v>
      </c>
      <c r="C421" s="4" t="s">
        <v>257</v>
      </c>
      <c r="D421" s="4" t="s">
        <v>14</v>
      </c>
      <c r="E421" s="7">
        <v>43053</v>
      </c>
      <c r="F421" s="4" t="s">
        <v>123</v>
      </c>
      <c r="G421" s="4" t="s">
        <v>801</v>
      </c>
      <c r="H421" s="4">
        <v>50</v>
      </c>
      <c r="I421" s="4">
        <v>47</v>
      </c>
      <c r="J421" s="5">
        <v>0.06</v>
      </c>
      <c r="K421" s="3">
        <v>12</v>
      </c>
      <c r="L421" s="4">
        <f>tblSales[[#This Row],[Quantity]]*tblSales[[#This Row],[Actual Price]]</f>
        <v>564</v>
      </c>
    </row>
    <row r="422" spans="1:12" x14ac:dyDescent="0.35">
      <c r="A422" s="3" t="s">
        <v>802</v>
      </c>
      <c r="B422" s="4" t="s">
        <v>265</v>
      </c>
      <c r="C422" s="4" t="s">
        <v>266</v>
      </c>
      <c r="D422" s="4" t="s">
        <v>14</v>
      </c>
      <c r="E422" s="7">
        <v>42129</v>
      </c>
      <c r="F422" s="4" t="s">
        <v>105</v>
      </c>
      <c r="G422" s="4" t="s">
        <v>803</v>
      </c>
      <c r="H422" s="4">
        <v>70</v>
      </c>
      <c r="I422" s="4">
        <v>48</v>
      </c>
      <c r="J422" s="5">
        <v>0.31430000000000002</v>
      </c>
      <c r="K422" s="3">
        <v>59</v>
      </c>
      <c r="L422" s="4">
        <f>tblSales[[#This Row],[Quantity]]*tblSales[[#This Row],[Actual Price]]</f>
        <v>2832</v>
      </c>
    </row>
    <row r="423" spans="1:12" x14ac:dyDescent="0.35">
      <c r="A423" s="3" t="s">
        <v>804</v>
      </c>
      <c r="B423" s="4" t="s">
        <v>188</v>
      </c>
      <c r="C423" s="4" t="s">
        <v>189</v>
      </c>
      <c r="D423" s="4" t="s">
        <v>14</v>
      </c>
      <c r="E423" s="7">
        <v>42104</v>
      </c>
      <c r="F423" s="4" t="s">
        <v>62</v>
      </c>
      <c r="G423" s="4" t="s">
        <v>742</v>
      </c>
      <c r="H423" s="4">
        <v>1000</v>
      </c>
      <c r="I423" s="4">
        <v>750</v>
      </c>
      <c r="J423" s="5">
        <v>0.25</v>
      </c>
      <c r="K423" s="3">
        <v>31</v>
      </c>
      <c r="L423" s="4">
        <f>tblSales[[#This Row],[Quantity]]*tblSales[[#This Row],[Actual Price]]</f>
        <v>23250</v>
      </c>
    </row>
    <row r="424" spans="1:12" x14ac:dyDescent="0.35">
      <c r="A424" s="3" t="s">
        <v>805</v>
      </c>
      <c r="B424" s="4" t="s">
        <v>256</v>
      </c>
      <c r="C424" s="4" t="s">
        <v>257</v>
      </c>
      <c r="D424" s="4" t="s">
        <v>14</v>
      </c>
      <c r="E424" s="7">
        <v>41790</v>
      </c>
      <c r="F424" s="4" t="s">
        <v>42</v>
      </c>
      <c r="G424" s="4" t="s">
        <v>806</v>
      </c>
      <c r="H424" s="4">
        <v>30</v>
      </c>
      <c r="I424" s="4">
        <v>25</v>
      </c>
      <c r="J424" s="5">
        <v>0.16669999999999999</v>
      </c>
      <c r="K424" s="3">
        <v>23</v>
      </c>
      <c r="L424" s="4">
        <f>tblSales[[#This Row],[Quantity]]*tblSales[[#This Row],[Actual Price]]</f>
        <v>575</v>
      </c>
    </row>
    <row r="425" spans="1:12" x14ac:dyDescent="0.35">
      <c r="A425" s="3" t="s">
        <v>807</v>
      </c>
      <c r="B425" s="4" t="s">
        <v>135</v>
      </c>
      <c r="C425" s="4" t="s">
        <v>93</v>
      </c>
      <c r="D425" s="4" t="s">
        <v>36</v>
      </c>
      <c r="E425" s="7">
        <v>43372</v>
      </c>
      <c r="F425" s="4" t="s">
        <v>42</v>
      </c>
      <c r="G425" s="4" t="s">
        <v>808</v>
      </c>
      <c r="H425" s="4">
        <v>30</v>
      </c>
      <c r="I425" s="4">
        <v>27</v>
      </c>
      <c r="J425" s="5">
        <v>0.1</v>
      </c>
      <c r="K425" s="3">
        <v>46</v>
      </c>
      <c r="L425" s="4">
        <f>tblSales[[#This Row],[Quantity]]*tblSales[[#This Row],[Actual Price]]</f>
        <v>1242</v>
      </c>
    </row>
    <row r="426" spans="1:12" x14ac:dyDescent="0.35">
      <c r="A426" s="3" t="s">
        <v>809</v>
      </c>
      <c r="B426" s="4" t="s">
        <v>271</v>
      </c>
      <c r="C426" s="4" t="s">
        <v>272</v>
      </c>
      <c r="D426" s="4" t="s">
        <v>36</v>
      </c>
      <c r="E426" s="7">
        <v>43450</v>
      </c>
      <c r="F426" s="4" t="s">
        <v>73</v>
      </c>
      <c r="G426" s="4" t="s">
        <v>810</v>
      </c>
      <c r="H426" s="4">
        <v>500</v>
      </c>
      <c r="I426" s="4">
        <v>490</v>
      </c>
      <c r="J426" s="5">
        <v>0.02</v>
      </c>
      <c r="K426" s="3">
        <v>75</v>
      </c>
      <c r="L426" s="4">
        <f>tblSales[[#This Row],[Quantity]]*tblSales[[#This Row],[Actual Price]]</f>
        <v>36750</v>
      </c>
    </row>
    <row r="427" spans="1:12" x14ac:dyDescent="0.35">
      <c r="A427" s="3" t="s">
        <v>811</v>
      </c>
      <c r="B427" s="4" t="s">
        <v>108</v>
      </c>
      <c r="C427" s="4" t="s">
        <v>109</v>
      </c>
      <c r="D427" s="4" t="s">
        <v>20</v>
      </c>
      <c r="E427" s="7">
        <v>42019</v>
      </c>
      <c r="F427" s="4" t="s">
        <v>73</v>
      </c>
      <c r="G427" s="4" t="s">
        <v>110</v>
      </c>
      <c r="H427" s="4">
        <v>500</v>
      </c>
      <c r="I427" s="4">
        <v>500</v>
      </c>
      <c r="J427" s="5">
        <v>0</v>
      </c>
      <c r="K427" s="3">
        <v>5</v>
      </c>
      <c r="L427" s="4">
        <f>tblSales[[#This Row],[Quantity]]*tblSales[[#This Row],[Actual Price]]</f>
        <v>2500</v>
      </c>
    </row>
    <row r="428" spans="1:12" x14ac:dyDescent="0.35">
      <c r="A428" s="3" t="s">
        <v>812</v>
      </c>
      <c r="B428" s="4" t="s">
        <v>128</v>
      </c>
      <c r="C428" s="4" t="s">
        <v>129</v>
      </c>
      <c r="D428" s="4" t="s">
        <v>14</v>
      </c>
      <c r="E428" s="7">
        <v>41824</v>
      </c>
      <c r="F428" s="4" t="s">
        <v>73</v>
      </c>
      <c r="G428" s="4" t="s">
        <v>211</v>
      </c>
      <c r="H428" s="4">
        <v>500</v>
      </c>
      <c r="I428" s="4">
        <v>495</v>
      </c>
      <c r="J428" s="5">
        <v>0.01</v>
      </c>
      <c r="K428" s="3">
        <v>55</v>
      </c>
      <c r="L428" s="4">
        <f>tblSales[[#This Row],[Quantity]]*tblSales[[#This Row],[Actual Price]]</f>
        <v>27225</v>
      </c>
    </row>
    <row r="429" spans="1:12" x14ac:dyDescent="0.35">
      <c r="A429" s="3" t="s">
        <v>813</v>
      </c>
      <c r="B429" s="4" t="s">
        <v>435</v>
      </c>
      <c r="C429" s="4" t="s">
        <v>436</v>
      </c>
      <c r="D429" s="4" t="s">
        <v>25</v>
      </c>
      <c r="E429" s="7">
        <v>41780</v>
      </c>
      <c r="F429" s="4" t="s">
        <v>31</v>
      </c>
      <c r="G429" s="4" t="s">
        <v>551</v>
      </c>
      <c r="H429" s="4">
        <v>150</v>
      </c>
      <c r="I429" s="4">
        <v>119</v>
      </c>
      <c r="J429" s="5">
        <v>0.20669999999999999</v>
      </c>
      <c r="K429" s="3">
        <v>97</v>
      </c>
      <c r="L429" s="4">
        <f>tblSales[[#This Row],[Quantity]]*tblSales[[#This Row],[Actual Price]]</f>
        <v>11543</v>
      </c>
    </row>
    <row r="430" spans="1:12" x14ac:dyDescent="0.35">
      <c r="A430" s="3" t="s">
        <v>814</v>
      </c>
      <c r="B430" s="4" t="s">
        <v>54</v>
      </c>
      <c r="C430" s="4" t="s">
        <v>55</v>
      </c>
      <c r="D430" s="4" t="s">
        <v>14</v>
      </c>
      <c r="E430" s="7">
        <v>41684</v>
      </c>
      <c r="F430" s="4" t="s">
        <v>15</v>
      </c>
      <c r="G430" s="4" t="s">
        <v>815</v>
      </c>
      <c r="H430" s="4">
        <v>80</v>
      </c>
      <c r="I430" s="4">
        <v>79</v>
      </c>
      <c r="J430" s="5">
        <v>1.2500000000000001E-2</v>
      </c>
      <c r="K430" s="3">
        <v>54</v>
      </c>
      <c r="L430" s="4">
        <f>tblSales[[#This Row],[Quantity]]*tblSales[[#This Row],[Actual Price]]</f>
        <v>4266</v>
      </c>
    </row>
    <row r="431" spans="1:12" x14ac:dyDescent="0.35">
      <c r="A431" s="3" t="s">
        <v>816</v>
      </c>
      <c r="B431" s="4" t="s">
        <v>401</v>
      </c>
      <c r="C431" s="4" t="s">
        <v>402</v>
      </c>
      <c r="D431" s="4" t="s">
        <v>14</v>
      </c>
      <c r="E431" s="7">
        <v>43044</v>
      </c>
      <c r="F431" s="4" t="s">
        <v>31</v>
      </c>
      <c r="G431" s="4" t="s">
        <v>403</v>
      </c>
      <c r="H431" s="4">
        <v>150</v>
      </c>
      <c r="I431" s="4">
        <v>99</v>
      </c>
      <c r="J431" s="5">
        <v>0.34</v>
      </c>
      <c r="K431" s="3">
        <v>74</v>
      </c>
      <c r="L431" s="4">
        <f>tblSales[[#This Row],[Quantity]]*tblSales[[#This Row],[Actual Price]]</f>
        <v>7326</v>
      </c>
    </row>
    <row r="432" spans="1:12" x14ac:dyDescent="0.35">
      <c r="A432" s="3" t="s">
        <v>817</v>
      </c>
      <c r="B432" s="4" t="s">
        <v>108</v>
      </c>
      <c r="C432" s="4" t="s">
        <v>109</v>
      </c>
      <c r="D432" s="4" t="s">
        <v>20</v>
      </c>
      <c r="E432" s="7">
        <v>42414</v>
      </c>
      <c r="F432" s="4" t="s">
        <v>47</v>
      </c>
      <c r="G432" s="4" t="s">
        <v>818</v>
      </c>
      <c r="H432" s="4">
        <v>500</v>
      </c>
      <c r="I432" s="4">
        <v>425</v>
      </c>
      <c r="J432" s="5">
        <v>0.15</v>
      </c>
      <c r="K432" s="3">
        <v>36</v>
      </c>
      <c r="L432" s="4">
        <f>tblSales[[#This Row],[Quantity]]*tblSales[[#This Row],[Actual Price]]</f>
        <v>15300</v>
      </c>
    </row>
    <row r="433" spans="1:12" x14ac:dyDescent="0.35">
      <c r="A433" s="3" t="s">
        <v>819</v>
      </c>
      <c r="B433" s="4" t="s">
        <v>242</v>
      </c>
      <c r="C433" s="4" t="s">
        <v>243</v>
      </c>
      <c r="D433" s="4" t="s">
        <v>14</v>
      </c>
      <c r="E433" s="7">
        <v>41716</v>
      </c>
      <c r="F433" s="4" t="s">
        <v>62</v>
      </c>
      <c r="G433" s="4" t="s">
        <v>780</v>
      </c>
      <c r="H433" s="4">
        <v>1000</v>
      </c>
      <c r="I433" s="4">
        <v>810</v>
      </c>
      <c r="J433" s="5">
        <v>0.19</v>
      </c>
      <c r="K433" s="3">
        <v>6</v>
      </c>
      <c r="L433" s="4">
        <f>tblSales[[#This Row],[Quantity]]*tblSales[[#This Row],[Actual Price]]</f>
        <v>4860</v>
      </c>
    </row>
    <row r="434" spans="1:12" x14ac:dyDescent="0.35">
      <c r="A434" s="3" t="s">
        <v>820</v>
      </c>
      <c r="B434" s="4" t="s">
        <v>112</v>
      </c>
      <c r="C434" s="4" t="s">
        <v>83</v>
      </c>
      <c r="D434" s="4" t="s">
        <v>14</v>
      </c>
      <c r="E434" s="7">
        <v>43254</v>
      </c>
      <c r="F434" s="4" t="s">
        <v>116</v>
      </c>
      <c r="G434" s="4" t="s">
        <v>821</v>
      </c>
      <c r="H434" s="4">
        <v>250</v>
      </c>
      <c r="I434" s="4">
        <v>245</v>
      </c>
      <c r="J434" s="5">
        <v>0.02</v>
      </c>
      <c r="K434" s="3">
        <v>93</v>
      </c>
      <c r="L434" s="4">
        <f>tblSales[[#This Row],[Quantity]]*tblSales[[#This Row],[Actual Price]]</f>
        <v>22785</v>
      </c>
    </row>
    <row r="435" spans="1:12" x14ac:dyDescent="0.35">
      <c r="A435" s="3" t="s">
        <v>822</v>
      </c>
      <c r="B435" s="4" t="s">
        <v>54</v>
      </c>
      <c r="C435" s="4" t="s">
        <v>55</v>
      </c>
      <c r="D435" s="4" t="s">
        <v>14</v>
      </c>
      <c r="E435" s="7">
        <v>42821</v>
      </c>
      <c r="F435" s="4" t="s">
        <v>123</v>
      </c>
      <c r="G435" s="4" t="s">
        <v>823</v>
      </c>
      <c r="H435" s="4">
        <v>50</v>
      </c>
      <c r="I435" s="4">
        <v>50</v>
      </c>
      <c r="J435" s="5">
        <v>0</v>
      </c>
      <c r="K435" s="3">
        <v>10</v>
      </c>
      <c r="L435" s="4">
        <f>tblSales[[#This Row],[Quantity]]*tblSales[[#This Row],[Actual Price]]</f>
        <v>500</v>
      </c>
    </row>
    <row r="436" spans="1:12" x14ac:dyDescent="0.35">
      <c r="A436" s="3" t="s">
        <v>824</v>
      </c>
      <c r="B436" s="4" t="s">
        <v>151</v>
      </c>
      <c r="C436" s="4" t="s">
        <v>152</v>
      </c>
      <c r="D436" s="4" t="s">
        <v>14</v>
      </c>
      <c r="E436" s="7">
        <v>43275</v>
      </c>
      <c r="F436" s="4" t="s">
        <v>116</v>
      </c>
      <c r="G436" s="4" t="s">
        <v>825</v>
      </c>
      <c r="H436" s="4">
        <v>250</v>
      </c>
      <c r="I436" s="4">
        <v>235</v>
      </c>
      <c r="J436" s="5">
        <v>0.06</v>
      </c>
      <c r="K436" s="3">
        <v>60</v>
      </c>
      <c r="L436" s="4">
        <f>tblSales[[#This Row],[Quantity]]*tblSales[[#This Row],[Actual Price]]</f>
        <v>14100</v>
      </c>
    </row>
    <row r="437" spans="1:12" x14ac:dyDescent="0.35">
      <c r="A437" s="3" t="s">
        <v>826</v>
      </c>
      <c r="B437" s="4" t="s">
        <v>112</v>
      </c>
      <c r="C437" s="4" t="s">
        <v>83</v>
      </c>
      <c r="D437" s="4" t="s">
        <v>14</v>
      </c>
      <c r="E437" s="7">
        <v>42697</v>
      </c>
      <c r="F437" s="4" t="s">
        <v>116</v>
      </c>
      <c r="G437" s="4" t="s">
        <v>827</v>
      </c>
      <c r="H437" s="4">
        <v>250</v>
      </c>
      <c r="I437" s="4">
        <v>240</v>
      </c>
      <c r="J437" s="5">
        <v>0.04</v>
      </c>
      <c r="K437" s="3">
        <v>48</v>
      </c>
      <c r="L437" s="4">
        <f>tblSales[[#This Row],[Quantity]]*tblSales[[#This Row],[Actual Price]]</f>
        <v>11520</v>
      </c>
    </row>
    <row r="438" spans="1:12" x14ac:dyDescent="0.35">
      <c r="A438" s="3" t="s">
        <v>828</v>
      </c>
      <c r="B438" s="4" t="s">
        <v>435</v>
      </c>
      <c r="C438" s="4" t="s">
        <v>436</v>
      </c>
      <c r="D438" s="4" t="s">
        <v>25</v>
      </c>
      <c r="E438" s="7">
        <v>42938</v>
      </c>
      <c r="F438" s="4" t="s">
        <v>105</v>
      </c>
      <c r="G438" s="4" t="s">
        <v>829</v>
      </c>
      <c r="H438" s="4">
        <v>70</v>
      </c>
      <c r="I438" s="4">
        <v>69</v>
      </c>
      <c r="J438" s="5">
        <v>1.43E-2</v>
      </c>
      <c r="K438" s="3">
        <v>10</v>
      </c>
      <c r="L438" s="4">
        <f>tblSales[[#This Row],[Quantity]]*tblSales[[#This Row],[Actual Price]]</f>
        <v>690</v>
      </c>
    </row>
    <row r="439" spans="1:12" x14ac:dyDescent="0.35">
      <c r="A439" s="3" t="s">
        <v>830</v>
      </c>
      <c r="B439" s="4" t="s">
        <v>147</v>
      </c>
      <c r="C439" s="4" t="s">
        <v>148</v>
      </c>
      <c r="D439" s="4" t="s">
        <v>14</v>
      </c>
      <c r="E439" s="7">
        <v>42971</v>
      </c>
      <c r="F439" s="4" t="s">
        <v>105</v>
      </c>
      <c r="G439" s="4" t="s">
        <v>831</v>
      </c>
      <c r="H439" s="4">
        <v>70</v>
      </c>
      <c r="I439" s="4">
        <v>67</v>
      </c>
      <c r="J439" s="5">
        <v>4.2900000000000001E-2</v>
      </c>
      <c r="K439" s="3">
        <v>32</v>
      </c>
      <c r="L439" s="4">
        <f>tblSales[[#This Row],[Quantity]]*tblSales[[#This Row],[Actual Price]]</f>
        <v>2144</v>
      </c>
    </row>
    <row r="440" spans="1:12" x14ac:dyDescent="0.35">
      <c r="A440" s="3" t="s">
        <v>832</v>
      </c>
      <c r="B440" s="4" t="s">
        <v>265</v>
      </c>
      <c r="C440" s="4" t="s">
        <v>266</v>
      </c>
      <c r="D440" s="4" t="s">
        <v>14</v>
      </c>
      <c r="E440" s="7">
        <v>42790</v>
      </c>
      <c r="F440" s="4" t="s">
        <v>37</v>
      </c>
      <c r="G440" s="4" t="s">
        <v>315</v>
      </c>
      <c r="H440" s="4">
        <v>50</v>
      </c>
      <c r="I440" s="4">
        <v>49</v>
      </c>
      <c r="J440" s="5">
        <v>0.02</v>
      </c>
      <c r="K440" s="3">
        <v>10</v>
      </c>
      <c r="L440" s="4">
        <f>tblSales[[#This Row],[Quantity]]*tblSales[[#This Row],[Actual Price]]</f>
        <v>490</v>
      </c>
    </row>
    <row r="441" spans="1:12" x14ac:dyDescent="0.35">
      <c r="A441" s="3" t="s">
        <v>833</v>
      </c>
      <c r="B441" s="4" t="s">
        <v>86</v>
      </c>
      <c r="C441" s="4" t="s">
        <v>87</v>
      </c>
      <c r="D441" s="4" t="s">
        <v>14</v>
      </c>
      <c r="E441" s="7">
        <v>42248</v>
      </c>
      <c r="F441" s="4" t="s">
        <v>31</v>
      </c>
      <c r="G441" s="4" t="s">
        <v>88</v>
      </c>
      <c r="H441" s="4">
        <v>150</v>
      </c>
      <c r="I441" s="4">
        <v>98</v>
      </c>
      <c r="J441" s="5">
        <v>0.34670000000000001</v>
      </c>
      <c r="K441" s="3">
        <v>70</v>
      </c>
      <c r="L441" s="4">
        <f>tblSales[[#This Row],[Quantity]]*tblSales[[#This Row],[Actual Price]]</f>
        <v>6860</v>
      </c>
    </row>
    <row r="442" spans="1:12" x14ac:dyDescent="0.35">
      <c r="A442" s="3" t="s">
        <v>834</v>
      </c>
      <c r="B442" s="4" t="s">
        <v>104</v>
      </c>
      <c r="C442" s="4" t="s">
        <v>72</v>
      </c>
      <c r="D442" s="4" t="s">
        <v>36</v>
      </c>
      <c r="E442" s="7">
        <v>43365</v>
      </c>
      <c r="F442" s="4" t="s">
        <v>37</v>
      </c>
      <c r="G442" s="4" t="s">
        <v>106</v>
      </c>
      <c r="H442" s="4">
        <v>50</v>
      </c>
      <c r="I442" s="4">
        <v>50</v>
      </c>
      <c r="J442" s="5">
        <v>0</v>
      </c>
      <c r="K442" s="3">
        <v>44</v>
      </c>
      <c r="L442" s="4">
        <f>tblSales[[#This Row],[Quantity]]*tblSales[[#This Row],[Actual Price]]</f>
        <v>2200</v>
      </c>
    </row>
    <row r="443" spans="1:12" x14ac:dyDescent="0.35">
      <c r="A443" s="3" t="s">
        <v>835</v>
      </c>
      <c r="B443" s="4" t="s">
        <v>225</v>
      </c>
      <c r="C443" s="4" t="s">
        <v>51</v>
      </c>
      <c r="D443" s="4" t="s">
        <v>25</v>
      </c>
      <c r="E443" s="7">
        <v>42077</v>
      </c>
      <c r="F443" s="4" t="s">
        <v>73</v>
      </c>
      <c r="G443" s="4" t="s">
        <v>735</v>
      </c>
      <c r="H443" s="4">
        <v>500</v>
      </c>
      <c r="I443" s="4">
        <v>495</v>
      </c>
      <c r="J443" s="5">
        <v>0.01</v>
      </c>
      <c r="K443" s="3">
        <v>14</v>
      </c>
      <c r="L443" s="4">
        <f>tblSales[[#This Row],[Quantity]]*tblSales[[#This Row],[Actual Price]]</f>
        <v>6930</v>
      </c>
    </row>
    <row r="444" spans="1:12" x14ac:dyDescent="0.35">
      <c r="A444" s="3" t="s">
        <v>836</v>
      </c>
      <c r="B444" s="4" t="s">
        <v>228</v>
      </c>
      <c r="C444" s="4" t="s">
        <v>229</v>
      </c>
      <c r="D444" s="4" t="s">
        <v>25</v>
      </c>
      <c r="E444" s="7">
        <v>41993</v>
      </c>
      <c r="F444" s="4" t="s">
        <v>105</v>
      </c>
      <c r="G444" s="4" t="s">
        <v>837</v>
      </c>
      <c r="H444" s="4">
        <v>70</v>
      </c>
      <c r="I444" s="4">
        <v>54</v>
      </c>
      <c r="J444" s="5">
        <v>0.2286</v>
      </c>
      <c r="K444" s="3">
        <v>19</v>
      </c>
      <c r="L444" s="4">
        <f>tblSales[[#This Row],[Quantity]]*tblSales[[#This Row],[Actual Price]]</f>
        <v>1026</v>
      </c>
    </row>
    <row r="445" spans="1:12" x14ac:dyDescent="0.35">
      <c r="A445" s="3" t="s">
        <v>838</v>
      </c>
      <c r="B445" s="4" t="s">
        <v>155</v>
      </c>
      <c r="C445" s="4" t="s">
        <v>109</v>
      </c>
      <c r="D445" s="4" t="s">
        <v>20</v>
      </c>
      <c r="E445" s="7">
        <v>43373</v>
      </c>
      <c r="F445" s="4" t="s">
        <v>47</v>
      </c>
      <c r="G445" s="4" t="s">
        <v>491</v>
      </c>
      <c r="H445" s="4">
        <v>500</v>
      </c>
      <c r="I445" s="4">
        <v>485</v>
      </c>
      <c r="J445" s="5">
        <v>0.03</v>
      </c>
      <c r="K445" s="3">
        <v>17</v>
      </c>
      <c r="L445" s="4">
        <f>tblSales[[#This Row],[Quantity]]*tblSales[[#This Row],[Actual Price]]</f>
        <v>8245</v>
      </c>
    </row>
    <row r="446" spans="1:12" x14ac:dyDescent="0.35">
      <c r="A446" s="3" t="s">
        <v>839</v>
      </c>
      <c r="B446" s="4" t="s">
        <v>290</v>
      </c>
      <c r="C446" s="4" t="s">
        <v>109</v>
      </c>
      <c r="D446" s="4" t="s">
        <v>20</v>
      </c>
      <c r="E446" s="7">
        <v>41900</v>
      </c>
      <c r="F446" s="4" t="s">
        <v>15</v>
      </c>
      <c r="G446" s="4" t="s">
        <v>482</v>
      </c>
      <c r="H446" s="4">
        <v>80</v>
      </c>
      <c r="I446" s="4">
        <v>78</v>
      </c>
      <c r="J446" s="5">
        <v>2.5000000000000001E-2</v>
      </c>
      <c r="K446" s="3">
        <v>37</v>
      </c>
      <c r="L446" s="4">
        <f>tblSales[[#This Row],[Quantity]]*tblSales[[#This Row],[Actual Price]]</f>
        <v>2886</v>
      </c>
    </row>
    <row r="447" spans="1:12" x14ac:dyDescent="0.35">
      <c r="A447" s="3" t="s">
        <v>840</v>
      </c>
      <c r="B447" s="4" t="s">
        <v>50</v>
      </c>
      <c r="C447" s="4" t="s">
        <v>51</v>
      </c>
      <c r="D447" s="4" t="s">
        <v>25</v>
      </c>
      <c r="E447" s="7">
        <v>43317</v>
      </c>
      <c r="F447" s="4" t="s">
        <v>56</v>
      </c>
      <c r="G447" s="4" t="s">
        <v>730</v>
      </c>
      <c r="H447" s="4">
        <v>800</v>
      </c>
      <c r="I447" s="4">
        <v>712</v>
      </c>
      <c r="J447" s="5">
        <v>0.11</v>
      </c>
      <c r="K447" s="3">
        <v>94</v>
      </c>
      <c r="L447" s="4">
        <f>tblSales[[#This Row],[Quantity]]*tblSales[[#This Row],[Actual Price]]</f>
        <v>66928</v>
      </c>
    </row>
    <row r="448" spans="1:12" x14ac:dyDescent="0.35">
      <c r="A448" s="3" t="s">
        <v>841</v>
      </c>
      <c r="B448" s="4" t="s">
        <v>60</v>
      </c>
      <c r="C448" s="4" t="s">
        <v>61</v>
      </c>
      <c r="D448" s="4" t="s">
        <v>14</v>
      </c>
      <c r="E448" s="7">
        <v>42316</v>
      </c>
      <c r="F448" s="4" t="s">
        <v>31</v>
      </c>
      <c r="G448" s="4" t="s">
        <v>842</v>
      </c>
      <c r="H448" s="4">
        <v>150</v>
      </c>
      <c r="I448" s="4">
        <v>93</v>
      </c>
      <c r="J448" s="5">
        <v>0.38</v>
      </c>
      <c r="K448" s="3">
        <v>5</v>
      </c>
      <c r="L448" s="4">
        <f>tblSales[[#This Row],[Quantity]]*tblSales[[#This Row],[Actual Price]]</f>
        <v>465</v>
      </c>
    </row>
    <row r="449" spans="1:12" x14ac:dyDescent="0.35">
      <c r="A449" s="3" t="s">
        <v>843</v>
      </c>
      <c r="B449" s="4" t="s">
        <v>222</v>
      </c>
      <c r="C449" s="4" t="s">
        <v>41</v>
      </c>
      <c r="D449" s="4" t="s">
        <v>36</v>
      </c>
      <c r="E449" s="7">
        <v>43391</v>
      </c>
      <c r="F449" s="4" t="s">
        <v>62</v>
      </c>
      <c r="G449" s="4" t="s">
        <v>246</v>
      </c>
      <c r="H449" s="4">
        <v>1000</v>
      </c>
      <c r="I449" s="4">
        <v>710</v>
      </c>
      <c r="J449" s="5">
        <v>0.28999999999999998</v>
      </c>
      <c r="K449" s="3">
        <v>69</v>
      </c>
      <c r="L449" s="4">
        <f>tblSales[[#This Row],[Quantity]]*tblSales[[#This Row],[Actual Price]]</f>
        <v>48990</v>
      </c>
    </row>
    <row r="450" spans="1:12" x14ac:dyDescent="0.35">
      <c r="A450" s="3" t="s">
        <v>844</v>
      </c>
      <c r="B450" s="4" t="s">
        <v>40</v>
      </c>
      <c r="C450" s="4" t="s">
        <v>41</v>
      </c>
      <c r="D450" s="4" t="s">
        <v>36</v>
      </c>
      <c r="E450" s="7">
        <v>43321</v>
      </c>
      <c r="F450" s="4" t="s">
        <v>73</v>
      </c>
      <c r="G450" s="4" t="s">
        <v>845</v>
      </c>
      <c r="H450" s="4">
        <v>500</v>
      </c>
      <c r="I450" s="4">
        <v>495</v>
      </c>
      <c r="J450" s="5">
        <v>0.01</v>
      </c>
      <c r="K450" s="3">
        <v>51</v>
      </c>
      <c r="L450" s="4">
        <f>tblSales[[#This Row],[Quantity]]*tblSales[[#This Row],[Actual Price]]</f>
        <v>25245</v>
      </c>
    </row>
    <row r="451" spans="1:12" x14ac:dyDescent="0.35">
      <c r="A451" s="3" t="s">
        <v>846</v>
      </c>
      <c r="B451" s="4" t="s">
        <v>50</v>
      </c>
      <c r="C451" s="4" t="s">
        <v>51</v>
      </c>
      <c r="D451" s="4" t="s">
        <v>25</v>
      </c>
      <c r="E451" s="7">
        <v>42883</v>
      </c>
      <c r="F451" s="4" t="s">
        <v>73</v>
      </c>
      <c r="G451" s="4" t="s">
        <v>730</v>
      </c>
      <c r="H451" s="4">
        <v>500</v>
      </c>
      <c r="I451" s="4">
        <v>490</v>
      </c>
      <c r="J451" s="5">
        <v>0.02</v>
      </c>
      <c r="K451" s="3">
        <v>96</v>
      </c>
      <c r="L451" s="4">
        <f>tblSales[[#This Row],[Quantity]]*tblSales[[#This Row],[Actual Price]]</f>
        <v>47040</v>
      </c>
    </row>
    <row r="452" spans="1:12" x14ac:dyDescent="0.35">
      <c r="A452" s="3" t="s">
        <v>847</v>
      </c>
      <c r="B452" s="4" t="s">
        <v>119</v>
      </c>
      <c r="C452" s="4" t="s">
        <v>120</v>
      </c>
      <c r="D452" s="4" t="s">
        <v>36</v>
      </c>
      <c r="E452" s="7">
        <v>41721</v>
      </c>
      <c r="F452" s="4" t="s">
        <v>105</v>
      </c>
      <c r="G452" s="4" t="s">
        <v>848</v>
      </c>
      <c r="H452" s="4">
        <v>70</v>
      </c>
      <c r="I452" s="4">
        <v>67</v>
      </c>
      <c r="J452" s="5">
        <v>4.2900000000000001E-2</v>
      </c>
      <c r="K452" s="3">
        <v>53</v>
      </c>
      <c r="L452" s="4">
        <f>tblSales[[#This Row],[Quantity]]*tblSales[[#This Row],[Actual Price]]</f>
        <v>3551</v>
      </c>
    </row>
    <row r="453" spans="1:12" x14ac:dyDescent="0.35">
      <c r="A453" s="3" t="s">
        <v>849</v>
      </c>
      <c r="B453" s="4" t="s">
        <v>135</v>
      </c>
      <c r="C453" s="4" t="s">
        <v>93</v>
      </c>
      <c r="D453" s="4" t="s">
        <v>36</v>
      </c>
      <c r="E453" s="7">
        <v>42278</v>
      </c>
      <c r="F453" s="4" t="s">
        <v>116</v>
      </c>
      <c r="G453" s="4" t="s">
        <v>850</v>
      </c>
      <c r="H453" s="4">
        <v>250</v>
      </c>
      <c r="I453" s="4">
        <v>235</v>
      </c>
      <c r="J453" s="5">
        <v>0.06</v>
      </c>
      <c r="K453" s="3">
        <v>16</v>
      </c>
      <c r="L453" s="4">
        <f>tblSales[[#This Row],[Quantity]]*tblSales[[#This Row],[Actual Price]]</f>
        <v>3760</v>
      </c>
    </row>
    <row r="454" spans="1:12" x14ac:dyDescent="0.35">
      <c r="A454" s="3" t="s">
        <v>851</v>
      </c>
      <c r="B454" s="4" t="s">
        <v>50</v>
      </c>
      <c r="C454" s="4" t="s">
        <v>51</v>
      </c>
      <c r="D454" s="4" t="s">
        <v>25</v>
      </c>
      <c r="E454" s="7">
        <v>43017</v>
      </c>
      <c r="F454" s="4" t="s">
        <v>56</v>
      </c>
      <c r="G454" s="4" t="s">
        <v>659</v>
      </c>
      <c r="H454" s="4">
        <v>800</v>
      </c>
      <c r="I454" s="4">
        <v>584</v>
      </c>
      <c r="J454" s="5">
        <v>0.27</v>
      </c>
      <c r="K454" s="3">
        <v>95</v>
      </c>
      <c r="L454" s="4">
        <f>tblSales[[#This Row],[Quantity]]*tblSales[[#This Row],[Actual Price]]</f>
        <v>55480</v>
      </c>
    </row>
    <row r="455" spans="1:12" x14ac:dyDescent="0.35">
      <c r="A455" s="3" t="s">
        <v>852</v>
      </c>
      <c r="B455" s="4" t="s">
        <v>158</v>
      </c>
      <c r="C455" s="4" t="s">
        <v>109</v>
      </c>
      <c r="D455" s="4" t="s">
        <v>20</v>
      </c>
      <c r="E455" s="7">
        <v>42891</v>
      </c>
      <c r="F455" s="4" t="s">
        <v>15</v>
      </c>
      <c r="G455" s="4" t="s">
        <v>721</v>
      </c>
      <c r="H455" s="4">
        <v>80</v>
      </c>
      <c r="I455" s="4">
        <v>72</v>
      </c>
      <c r="J455" s="5">
        <v>0.1</v>
      </c>
      <c r="K455" s="3">
        <v>57</v>
      </c>
      <c r="L455" s="4">
        <f>tblSales[[#This Row],[Quantity]]*tblSales[[#This Row],[Actual Price]]</f>
        <v>4104</v>
      </c>
    </row>
    <row r="456" spans="1:12" x14ac:dyDescent="0.35">
      <c r="A456" s="3" t="s">
        <v>853</v>
      </c>
      <c r="B456" s="4" t="s">
        <v>18</v>
      </c>
      <c r="C456" s="4" t="s">
        <v>19</v>
      </c>
      <c r="D456" s="4" t="s">
        <v>20</v>
      </c>
      <c r="E456" s="7">
        <v>41672</v>
      </c>
      <c r="F456" s="4" t="s">
        <v>62</v>
      </c>
      <c r="G456" s="4" t="s">
        <v>854</v>
      </c>
      <c r="H456" s="4">
        <v>1000</v>
      </c>
      <c r="I456" s="4">
        <v>750</v>
      </c>
      <c r="J456" s="5">
        <v>0.25</v>
      </c>
      <c r="K456" s="3">
        <v>33</v>
      </c>
      <c r="L456" s="4">
        <f>tblSales[[#This Row],[Quantity]]*tblSales[[#This Row],[Actual Price]]</f>
        <v>24750</v>
      </c>
    </row>
    <row r="457" spans="1:12" x14ac:dyDescent="0.35">
      <c r="A457" s="3" t="s">
        <v>855</v>
      </c>
      <c r="B457" s="4" t="s">
        <v>290</v>
      </c>
      <c r="C457" s="4" t="s">
        <v>109</v>
      </c>
      <c r="D457" s="4" t="s">
        <v>20</v>
      </c>
      <c r="E457" s="7">
        <v>42647</v>
      </c>
      <c r="F457" s="4" t="s">
        <v>56</v>
      </c>
      <c r="G457" s="4" t="s">
        <v>347</v>
      </c>
      <c r="H457" s="4">
        <v>800</v>
      </c>
      <c r="I457" s="4">
        <v>696</v>
      </c>
      <c r="J457" s="5">
        <v>0.13</v>
      </c>
      <c r="K457" s="3">
        <v>48</v>
      </c>
      <c r="L457" s="4">
        <f>tblSales[[#This Row],[Quantity]]*tblSales[[#This Row],[Actual Price]]</f>
        <v>33408</v>
      </c>
    </row>
    <row r="458" spans="1:12" x14ac:dyDescent="0.35">
      <c r="A458" s="3" t="s">
        <v>856</v>
      </c>
      <c r="B458" s="4" t="s">
        <v>401</v>
      </c>
      <c r="C458" s="4" t="s">
        <v>402</v>
      </c>
      <c r="D458" s="4" t="s">
        <v>14</v>
      </c>
      <c r="E458" s="7">
        <v>41750</v>
      </c>
      <c r="F458" s="4" t="s">
        <v>31</v>
      </c>
      <c r="G458" s="4" t="s">
        <v>857</v>
      </c>
      <c r="H458" s="4">
        <v>150</v>
      </c>
      <c r="I458" s="4">
        <v>146</v>
      </c>
      <c r="J458" s="5">
        <v>2.6700000000000002E-2</v>
      </c>
      <c r="K458" s="3">
        <v>13</v>
      </c>
      <c r="L458" s="4">
        <f>tblSales[[#This Row],[Quantity]]*tblSales[[#This Row],[Actual Price]]</f>
        <v>1898</v>
      </c>
    </row>
    <row r="459" spans="1:12" x14ac:dyDescent="0.35">
      <c r="A459" s="3" t="s">
        <v>858</v>
      </c>
      <c r="B459" s="4" t="s">
        <v>435</v>
      </c>
      <c r="C459" s="4" t="s">
        <v>436</v>
      </c>
      <c r="D459" s="4" t="s">
        <v>25</v>
      </c>
      <c r="E459" s="7">
        <v>42288</v>
      </c>
      <c r="F459" s="4" t="s">
        <v>123</v>
      </c>
      <c r="G459" s="4" t="s">
        <v>859</v>
      </c>
      <c r="H459" s="4">
        <v>50</v>
      </c>
      <c r="I459" s="4">
        <v>41</v>
      </c>
      <c r="J459" s="5">
        <v>0.18</v>
      </c>
      <c r="K459" s="3">
        <v>72</v>
      </c>
      <c r="L459" s="4">
        <f>tblSales[[#This Row],[Quantity]]*tblSales[[#This Row],[Actual Price]]</f>
        <v>2952</v>
      </c>
    </row>
    <row r="460" spans="1:12" x14ac:dyDescent="0.35">
      <c r="A460" s="3" t="s">
        <v>860</v>
      </c>
      <c r="B460" s="4" t="s">
        <v>96</v>
      </c>
      <c r="C460" s="4" t="s">
        <v>97</v>
      </c>
      <c r="D460" s="4" t="s">
        <v>14</v>
      </c>
      <c r="E460" s="7">
        <v>42908</v>
      </c>
      <c r="F460" s="4" t="s">
        <v>73</v>
      </c>
      <c r="G460" s="4" t="s">
        <v>646</v>
      </c>
      <c r="H460" s="4">
        <v>500</v>
      </c>
      <c r="I460" s="4">
        <v>495</v>
      </c>
      <c r="J460" s="5">
        <v>0.01</v>
      </c>
      <c r="K460" s="3">
        <v>85</v>
      </c>
      <c r="L460" s="4">
        <f>tblSales[[#This Row],[Quantity]]*tblSales[[#This Row],[Actual Price]]</f>
        <v>42075</v>
      </c>
    </row>
    <row r="461" spans="1:12" x14ac:dyDescent="0.35">
      <c r="A461" s="3" t="s">
        <v>861</v>
      </c>
      <c r="B461" s="4" t="s">
        <v>82</v>
      </c>
      <c r="C461" s="4" t="s">
        <v>83</v>
      </c>
      <c r="D461" s="4" t="s">
        <v>14</v>
      </c>
      <c r="E461" s="7">
        <v>42939</v>
      </c>
      <c r="F461" s="4" t="s">
        <v>37</v>
      </c>
      <c r="G461" s="4" t="s">
        <v>862</v>
      </c>
      <c r="H461" s="4">
        <v>50</v>
      </c>
      <c r="I461" s="4">
        <v>46</v>
      </c>
      <c r="J461" s="5">
        <v>0.08</v>
      </c>
      <c r="K461" s="3">
        <v>84</v>
      </c>
      <c r="L461" s="4">
        <f>tblSales[[#This Row],[Quantity]]*tblSales[[#This Row],[Actual Price]]</f>
        <v>3864</v>
      </c>
    </row>
    <row r="462" spans="1:12" x14ac:dyDescent="0.35">
      <c r="A462" s="3" t="s">
        <v>863</v>
      </c>
      <c r="B462" s="4" t="s">
        <v>125</v>
      </c>
      <c r="C462" s="4" t="s">
        <v>41</v>
      </c>
      <c r="D462" s="4" t="s">
        <v>36</v>
      </c>
      <c r="E462" s="7">
        <v>42332</v>
      </c>
      <c r="F462" s="4" t="s">
        <v>15</v>
      </c>
      <c r="G462" s="4" t="s">
        <v>864</v>
      </c>
      <c r="H462" s="4">
        <v>80</v>
      </c>
      <c r="I462" s="4">
        <v>74</v>
      </c>
      <c r="J462" s="5">
        <v>7.4999999999999997E-2</v>
      </c>
      <c r="K462" s="3">
        <v>78</v>
      </c>
      <c r="L462" s="4">
        <f>tblSales[[#This Row],[Quantity]]*tblSales[[#This Row],[Actual Price]]</f>
        <v>5772</v>
      </c>
    </row>
    <row r="463" spans="1:12" x14ac:dyDescent="0.35">
      <c r="A463" s="3" t="s">
        <v>865</v>
      </c>
      <c r="B463" s="4" t="s">
        <v>265</v>
      </c>
      <c r="C463" s="4" t="s">
        <v>266</v>
      </c>
      <c r="D463" s="4" t="s">
        <v>14</v>
      </c>
      <c r="E463" s="7">
        <v>41796</v>
      </c>
      <c r="F463" s="4" t="s">
        <v>105</v>
      </c>
      <c r="G463" s="4" t="s">
        <v>315</v>
      </c>
      <c r="H463" s="4">
        <v>70</v>
      </c>
      <c r="I463" s="4">
        <v>59</v>
      </c>
      <c r="J463" s="5">
        <v>0.15709999999999999</v>
      </c>
      <c r="K463" s="3">
        <v>41</v>
      </c>
      <c r="L463" s="4">
        <f>tblSales[[#This Row],[Quantity]]*tblSales[[#This Row],[Actual Price]]</f>
        <v>2419</v>
      </c>
    </row>
    <row r="464" spans="1:12" x14ac:dyDescent="0.35">
      <c r="A464" s="3" t="s">
        <v>866</v>
      </c>
      <c r="B464" s="4" t="s">
        <v>60</v>
      </c>
      <c r="C464" s="4" t="s">
        <v>61</v>
      </c>
      <c r="D464" s="4" t="s">
        <v>14</v>
      </c>
      <c r="E464" s="7">
        <v>42946</v>
      </c>
      <c r="F464" s="4" t="s">
        <v>105</v>
      </c>
      <c r="G464" s="4" t="s">
        <v>313</v>
      </c>
      <c r="H464" s="4">
        <v>70</v>
      </c>
      <c r="I464" s="4">
        <v>68</v>
      </c>
      <c r="J464" s="5">
        <v>2.86E-2</v>
      </c>
      <c r="K464" s="3">
        <v>93</v>
      </c>
      <c r="L464" s="4">
        <f>tblSales[[#This Row],[Quantity]]*tblSales[[#This Row],[Actual Price]]</f>
        <v>6324</v>
      </c>
    </row>
    <row r="465" spans="1:12" x14ac:dyDescent="0.35">
      <c r="A465" s="3" t="s">
        <v>867</v>
      </c>
      <c r="B465" s="4" t="s">
        <v>128</v>
      </c>
      <c r="C465" s="4" t="s">
        <v>129</v>
      </c>
      <c r="D465" s="4" t="s">
        <v>14</v>
      </c>
      <c r="E465" s="7">
        <v>43047</v>
      </c>
      <c r="F465" s="4" t="s">
        <v>31</v>
      </c>
      <c r="G465" s="4" t="s">
        <v>868</v>
      </c>
      <c r="H465" s="4">
        <v>150</v>
      </c>
      <c r="I465" s="4">
        <v>146</v>
      </c>
      <c r="J465" s="5">
        <v>2.6700000000000002E-2</v>
      </c>
      <c r="K465" s="3">
        <v>70</v>
      </c>
      <c r="L465" s="4">
        <f>tblSales[[#This Row],[Quantity]]*tblSales[[#This Row],[Actual Price]]</f>
        <v>10220</v>
      </c>
    </row>
    <row r="466" spans="1:12" x14ac:dyDescent="0.35">
      <c r="A466" s="3" t="s">
        <v>869</v>
      </c>
      <c r="B466" s="4" t="s">
        <v>12</v>
      </c>
      <c r="C466" s="4" t="s">
        <v>13</v>
      </c>
      <c r="D466" s="4" t="s">
        <v>14</v>
      </c>
      <c r="E466" s="7">
        <v>41899</v>
      </c>
      <c r="F466" s="4" t="s">
        <v>62</v>
      </c>
      <c r="G466" s="4" t="s">
        <v>194</v>
      </c>
      <c r="H466" s="4">
        <v>1000</v>
      </c>
      <c r="I466" s="4">
        <v>630</v>
      </c>
      <c r="J466" s="5">
        <v>0.37</v>
      </c>
      <c r="K466" s="3">
        <v>26</v>
      </c>
      <c r="L466" s="4">
        <f>tblSales[[#This Row],[Quantity]]*tblSales[[#This Row],[Actual Price]]</f>
        <v>16380</v>
      </c>
    </row>
    <row r="467" spans="1:12" x14ac:dyDescent="0.35">
      <c r="A467" s="3" t="s">
        <v>870</v>
      </c>
      <c r="B467" s="4" t="s">
        <v>228</v>
      </c>
      <c r="C467" s="4" t="s">
        <v>229</v>
      </c>
      <c r="D467" s="4" t="s">
        <v>25</v>
      </c>
      <c r="E467" s="7">
        <v>43391</v>
      </c>
      <c r="F467" s="4" t="s">
        <v>37</v>
      </c>
      <c r="G467" s="4" t="s">
        <v>871</v>
      </c>
      <c r="H467" s="4">
        <v>50</v>
      </c>
      <c r="I467" s="4">
        <v>44</v>
      </c>
      <c r="J467" s="5">
        <v>0.12</v>
      </c>
      <c r="K467" s="3">
        <v>39</v>
      </c>
      <c r="L467" s="4">
        <f>tblSales[[#This Row],[Quantity]]*tblSales[[#This Row],[Actual Price]]</f>
        <v>1716</v>
      </c>
    </row>
    <row r="468" spans="1:12" x14ac:dyDescent="0.35">
      <c r="A468" s="3" t="s">
        <v>872</v>
      </c>
      <c r="B468" s="4" t="s">
        <v>65</v>
      </c>
      <c r="C468" s="4" t="s">
        <v>66</v>
      </c>
      <c r="D468" s="4" t="s">
        <v>36</v>
      </c>
      <c r="E468" s="7">
        <v>42004</v>
      </c>
      <c r="F468" s="4" t="s">
        <v>26</v>
      </c>
      <c r="G468" s="4" t="s">
        <v>873</v>
      </c>
      <c r="H468" s="4">
        <v>700</v>
      </c>
      <c r="I468" s="4">
        <v>693</v>
      </c>
      <c r="J468" s="5">
        <v>0.01</v>
      </c>
      <c r="K468" s="3">
        <v>99</v>
      </c>
      <c r="L468" s="4">
        <f>tblSales[[#This Row],[Quantity]]*tblSales[[#This Row],[Actual Price]]</f>
        <v>68607</v>
      </c>
    </row>
    <row r="469" spans="1:12" x14ac:dyDescent="0.35">
      <c r="A469" s="3" t="s">
        <v>874</v>
      </c>
      <c r="B469" s="4" t="s">
        <v>188</v>
      </c>
      <c r="C469" s="4" t="s">
        <v>189</v>
      </c>
      <c r="D469" s="4" t="s">
        <v>14</v>
      </c>
      <c r="E469" s="7">
        <v>42937</v>
      </c>
      <c r="F469" s="4" t="s">
        <v>26</v>
      </c>
      <c r="G469" s="4" t="s">
        <v>792</v>
      </c>
      <c r="H469" s="4">
        <v>700</v>
      </c>
      <c r="I469" s="4">
        <v>637</v>
      </c>
      <c r="J469" s="5">
        <v>0.09</v>
      </c>
      <c r="K469" s="3">
        <v>39</v>
      </c>
      <c r="L469" s="4">
        <f>tblSales[[#This Row],[Quantity]]*tblSales[[#This Row],[Actual Price]]</f>
        <v>24843</v>
      </c>
    </row>
    <row r="470" spans="1:12" x14ac:dyDescent="0.35">
      <c r="A470" s="3" t="s">
        <v>875</v>
      </c>
      <c r="B470" s="4" t="s">
        <v>45</v>
      </c>
      <c r="C470" s="4" t="s">
        <v>46</v>
      </c>
      <c r="D470" s="4" t="s">
        <v>25</v>
      </c>
      <c r="E470" s="7">
        <v>42497</v>
      </c>
      <c r="F470" s="4" t="s">
        <v>15</v>
      </c>
      <c r="G470" s="4" t="s">
        <v>302</v>
      </c>
      <c r="H470" s="4">
        <v>80</v>
      </c>
      <c r="I470" s="4">
        <v>68</v>
      </c>
      <c r="J470" s="5">
        <v>0.15</v>
      </c>
      <c r="K470" s="3">
        <v>44</v>
      </c>
      <c r="L470" s="4">
        <f>tblSales[[#This Row],[Quantity]]*tblSales[[#This Row],[Actual Price]]</f>
        <v>2992</v>
      </c>
    </row>
    <row r="471" spans="1:12" x14ac:dyDescent="0.35">
      <c r="A471" s="3" t="s">
        <v>876</v>
      </c>
      <c r="B471" s="4" t="s">
        <v>78</v>
      </c>
      <c r="C471" s="4" t="s">
        <v>79</v>
      </c>
      <c r="D471" s="4" t="s">
        <v>36</v>
      </c>
      <c r="E471" s="7">
        <v>41714</v>
      </c>
      <c r="F471" s="4" t="s">
        <v>42</v>
      </c>
      <c r="G471" s="4" t="s">
        <v>163</v>
      </c>
      <c r="H471" s="4">
        <v>30</v>
      </c>
      <c r="I471" s="4">
        <v>26</v>
      </c>
      <c r="J471" s="5">
        <v>0.1333</v>
      </c>
      <c r="K471" s="3">
        <v>85</v>
      </c>
      <c r="L471" s="4">
        <f>tblSales[[#This Row],[Quantity]]*tblSales[[#This Row],[Actual Price]]</f>
        <v>2210</v>
      </c>
    </row>
    <row r="472" spans="1:12" x14ac:dyDescent="0.35">
      <c r="A472" s="3" t="s">
        <v>877</v>
      </c>
      <c r="B472" s="4" t="s">
        <v>290</v>
      </c>
      <c r="C472" s="4" t="s">
        <v>109</v>
      </c>
      <c r="D472" s="4" t="s">
        <v>20</v>
      </c>
      <c r="E472" s="7">
        <v>43005</v>
      </c>
      <c r="F472" s="4" t="s">
        <v>116</v>
      </c>
      <c r="G472" s="4" t="s">
        <v>878</v>
      </c>
      <c r="H472" s="4">
        <v>250</v>
      </c>
      <c r="I472" s="4">
        <v>240</v>
      </c>
      <c r="J472" s="5">
        <v>0.04</v>
      </c>
      <c r="K472" s="3">
        <v>51</v>
      </c>
      <c r="L472" s="4">
        <f>tblSales[[#This Row],[Quantity]]*tblSales[[#This Row],[Actual Price]]</f>
        <v>12240</v>
      </c>
    </row>
    <row r="473" spans="1:12" x14ac:dyDescent="0.35">
      <c r="A473" s="3" t="s">
        <v>879</v>
      </c>
      <c r="B473" s="4" t="s">
        <v>104</v>
      </c>
      <c r="C473" s="4" t="s">
        <v>72</v>
      </c>
      <c r="D473" s="4" t="s">
        <v>36</v>
      </c>
      <c r="E473" s="7">
        <v>43320</v>
      </c>
      <c r="F473" s="4" t="s">
        <v>31</v>
      </c>
      <c r="G473" s="4" t="s">
        <v>106</v>
      </c>
      <c r="H473" s="4">
        <v>150</v>
      </c>
      <c r="I473" s="4">
        <v>131</v>
      </c>
      <c r="J473" s="5">
        <v>0.12670000000000001</v>
      </c>
      <c r="K473" s="3">
        <v>39</v>
      </c>
      <c r="L473" s="4">
        <f>tblSales[[#This Row],[Quantity]]*tblSales[[#This Row],[Actual Price]]</f>
        <v>5109</v>
      </c>
    </row>
    <row r="474" spans="1:12" x14ac:dyDescent="0.35">
      <c r="A474" s="3" t="s">
        <v>880</v>
      </c>
      <c r="B474" s="4" t="s">
        <v>147</v>
      </c>
      <c r="C474" s="4" t="s">
        <v>148</v>
      </c>
      <c r="D474" s="4" t="s">
        <v>14</v>
      </c>
      <c r="E474" s="7">
        <v>42827</v>
      </c>
      <c r="F474" s="4" t="s">
        <v>62</v>
      </c>
      <c r="G474" s="4" t="s">
        <v>726</v>
      </c>
      <c r="H474" s="4">
        <v>1000</v>
      </c>
      <c r="I474" s="4">
        <v>820</v>
      </c>
      <c r="J474" s="5">
        <v>0.18</v>
      </c>
      <c r="K474" s="3">
        <v>20</v>
      </c>
      <c r="L474" s="4">
        <f>tblSales[[#This Row],[Quantity]]*tblSales[[#This Row],[Actual Price]]</f>
        <v>16400</v>
      </c>
    </row>
    <row r="475" spans="1:12" x14ac:dyDescent="0.35">
      <c r="A475" s="3" t="s">
        <v>881</v>
      </c>
      <c r="B475" s="4" t="s">
        <v>435</v>
      </c>
      <c r="C475" s="4" t="s">
        <v>436</v>
      </c>
      <c r="D475" s="4" t="s">
        <v>25</v>
      </c>
      <c r="E475" s="7">
        <v>43331</v>
      </c>
      <c r="F475" s="4" t="s">
        <v>56</v>
      </c>
      <c r="G475" s="4" t="s">
        <v>765</v>
      </c>
      <c r="H475" s="4">
        <v>800</v>
      </c>
      <c r="I475" s="4">
        <v>528</v>
      </c>
      <c r="J475" s="5">
        <v>0.34</v>
      </c>
      <c r="K475" s="3">
        <v>50</v>
      </c>
      <c r="L475" s="4">
        <f>tblSales[[#This Row],[Quantity]]*tblSales[[#This Row],[Actual Price]]</f>
        <v>26400</v>
      </c>
    </row>
    <row r="476" spans="1:12" x14ac:dyDescent="0.35">
      <c r="A476" s="3" t="s">
        <v>882</v>
      </c>
      <c r="B476" s="4" t="s">
        <v>325</v>
      </c>
      <c r="C476" s="4" t="s">
        <v>326</v>
      </c>
      <c r="D476" s="4" t="s">
        <v>14</v>
      </c>
      <c r="E476" s="7">
        <v>41833</v>
      </c>
      <c r="F476" s="4" t="s">
        <v>105</v>
      </c>
      <c r="G476" s="4" t="s">
        <v>454</v>
      </c>
      <c r="H476" s="4">
        <v>70</v>
      </c>
      <c r="I476" s="4">
        <v>69</v>
      </c>
      <c r="J476" s="5">
        <v>1.43E-2</v>
      </c>
      <c r="K476" s="3">
        <v>53</v>
      </c>
      <c r="L476" s="4">
        <f>tblSales[[#This Row],[Quantity]]*tblSales[[#This Row],[Actual Price]]</f>
        <v>3657</v>
      </c>
    </row>
    <row r="477" spans="1:12" x14ac:dyDescent="0.35">
      <c r="A477" s="3" t="s">
        <v>883</v>
      </c>
      <c r="B477" s="4" t="s">
        <v>325</v>
      </c>
      <c r="C477" s="4" t="s">
        <v>326</v>
      </c>
      <c r="D477" s="4" t="s">
        <v>14</v>
      </c>
      <c r="E477" s="7">
        <v>43259</v>
      </c>
      <c r="F477" s="4" t="s">
        <v>47</v>
      </c>
      <c r="G477" s="4" t="s">
        <v>884</v>
      </c>
      <c r="H477" s="4">
        <v>500</v>
      </c>
      <c r="I477" s="4">
        <v>485</v>
      </c>
      <c r="J477" s="5">
        <v>0.03</v>
      </c>
      <c r="K477" s="3">
        <v>36</v>
      </c>
      <c r="L477" s="4">
        <f>tblSales[[#This Row],[Quantity]]*tblSales[[#This Row],[Actual Price]]</f>
        <v>17460</v>
      </c>
    </row>
    <row r="478" spans="1:12" x14ac:dyDescent="0.35">
      <c r="A478" s="3" t="s">
        <v>885</v>
      </c>
      <c r="B478" s="4" t="s">
        <v>115</v>
      </c>
      <c r="C478" s="4" t="s">
        <v>55</v>
      </c>
      <c r="D478" s="4" t="s">
        <v>14</v>
      </c>
      <c r="E478" s="7">
        <v>42113</v>
      </c>
      <c r="F478" s="4" t="s">
        <v>123</v>
      </c>
      <c r="G478" s="4" t="s">
        <v>886</v>
      </c>
      <c r="H478" s="4">
        <v>50</v>
      </c>
      <c r="I478" s="4">
        <v>39</v>
      </c>
      <c r="J478" s="5">
        <v>0.22</v>
      </c>
      <c r="K478" s="3">
        <v>27</v>
      </c>
      <c r="L478" s="4">
        <f>tblSales[[#This Row],[Quantity]]*tblSales[[#This Row],[Actual Price]]</f>
        <v>1053</v>
      </c>
    </row>
    <row r="479" spans="1:12" x14ac:dyDescent="0.35">
      <c r="A479" s="3" t="s">
        <v>887</v>
      </c>
      <c r="B479" s="4" t="s">
        <v>115</v>
      </c>
      <c r="C479" s="4" t="s">
        <v>55</v>
      </c>
      <c r="D479" s="4" t="s">
        <v>14</v>
      </c>
      <c r="E479" s="7">
        <v>42851</v>
      </c>
      <c r="F479" s="4" t="s">
        <v>62</v>
      </c>
      <c r="G479" s="4" t="s">
        <v>888</v>
      </c>
      <c r="H479" s="4">
        <v>1000</v>
      </c>
      <c r="I479" s="4">
        <v>830</v>
      </c>
      <c r="J479" s="5">
        <v>0.17</v>
      </c>
      <c r="K479" s="3">
        <v>81</v>
      </c>
      <c r="L479" s="4">
        <f>tblSales[[#This Row],[Quantity]]*tblSales[[#This Row],[Actual Price]]</f>
        <v>67230</v>
      </c>
    </row>
    <row r="480" spans="1:12" x14ac:dyDescent="0.35">
      <c r="A480" s="3" t="s">
        <v>889</v>
      </c>
      <c r="B480" s="4" t="s">
        <v>158</v>
      </c>
      <c r="C480" s="4" t="s">
        <v>109</v>
      </c>
      <c r="D480" s="4" t="s">
        <v>20</v>
      </c>
      <c r="E480" s="7">
        <v>42627</v>
      </c>
      <c r="F480" s="4" t="s">
        <v>37</v>
      </c>
      <c r="G480" s="4" t="s">
        <v>465</v>
      </c>
      <c r="H480" s="4">
        <v>50</v>
      </c>
      <c r="I480" s="4">
        <v>44</v>
      </c>
      <c r="J480" s="5">
        <v>0.12</v>
      </c>
      <c r="K480" s="3">
        <v>11</v>
      </c>
      <c r="L480" s="4">
        <f>tblSales[[#This Row],[Quantity]]*tblSales[[#This Row],[Actual Price]]</f>
        <v>484</v>
      </c>
    </row>
    <row r="481" spans="1:12" x14ac:dyDescent="0.35">
      <c r="A481" s="3" t="s">
        <v>890</v>
      </c>
      <c r="B481" s="4" t="s">
        <v>54</v>
      </c>
      <c r="C481" s="4" t="s">
        <v>55</v>
      </c>
      <c r="D481" s="4" t="s">
        <v>14</v>
      </c>
      <c r="E481" s="7">
        <v>41940</v>
      </c>
      <c r="F481" s="4" t="s">
        <v>73</v>
      </c>
      <c r="G481" s="4" t="s">
        <v>405</v>
      </c>
      <c r="H481" s="4">
        <v>500</v>
      </c>
      <c r="I481" s="4">
        <v>500</v>
      </c>
      <c r="J481" s="5">
        <v>0</v>
      </c>
      <c r="K481" s="3">
        <v>79</v>
      </c>
      <c r="L481" s="4">
        <f>tblSales[[#This Row],[Quantity]]*tblSales[[#This Row],[Actual Price]]</f>
        <v>39500</v>
      </c>
    </row>
    <row r="482" spans="1:12" x14ac:dyDescent="0.35">
      <c r="A482" s="3" t="s">
        <v>891</v>
      </c>
      <c r="B482" s="4" t="s">
        <v>18</v>
      </c>
      <c r="C482" s="4" t="s">
        <v>19</v>
      </c>
      <c r="D482" s="4" t="s">
        <v>20</v>
      </c>
      <c r="E482" s="7">
        <v>42184</v>
      </c>
      <c r="F482" s="4" t="s">
        <v>37</v>
      </c>
      <c r="G482" s="4" t="s">
        <v>494</v>
      </c>
      <c r="H482" s="4">
        <v>50</v>
      </c>
      <c r="I482" s="4">
        <v>37</v>
      </c>
      <c r="J482" s="5">
        <v>0.26</v>
      </c>
      <c r="K482" s="3">
        <v>97</v>
      </c>
      <c r="L482" s="4">
        <f>tblSales[[#This Row],[Quantity]]*tblSales[[#This Row],[Actual Price]]</f>
        <v>3589</v>
      </c>
    </row>
    <row r="483" spans="1:12" x14ac:dyDescent="0.35">
      <c r="A483" s="3" t="s">
        <v>892</v>
      </c>
      <c r="B483" s="4" t="s">
        <v>183</v>
      </c>
      <c r="C483" s="4" t="s">
        <v>109</v>
      </c>
      <c r="D483" s="4" t="s">
        <v>20</v>
      </c>
      <c r="E483" s="7">
        <v>42812</v>
      </c>
      <c r="F483" s="4" t="s">
        <v>15</v>
      </c>
      <c r="G483" s="4" t="s">
        <v>506</v>
      </c>
      <c r="H483" s="4">
        <v>80</v>
      </c>
      <c r="I483" s="4">
        <v>78</v>
      </c>
      <c r="J483" s="5">
        <v>2.5000000000000001E-2</v>
      </c>
      <c r="K483" s="3">
        <v>76</v>
      </c>
      <c r="L483" s="4">
        <f>tblSales[[#This Row],[Quantity]]*tblSales[[#This Row],[Actual Price]]</f>
        <v>5928</v>
      </c>
    </row>
    <row r="484" spans="1:12" x14ac:dyDescent="0.35">
      <c r="A484" s="3" t="s">
        <v>893</v>
      </c>
      <c r="B484" s="4" t="s">
        <v>271</v>
      </c>
      <c r="C484" s="4" t="s">
        <v>272</v>
      </c>
      <c r="D484" s="4" t="s">
        <v>36</v>
      </c>
      <c r="E484" s="7">
        <v>43342</v>
      </c>
      <c r="F484" s="4" t="s">
        <v>105</v>
      </c>
      <c r="G484" s="4" t="s">
        <v>338</v>
      </c>
      <c r="H484" s="4">
        <v>70</v>
      </c>
      <c r="I484" s="4">
        <v>65</v>
      </c>
      <c r="J484" s="5">
        <v>7.1400000000000005E-2</v>
      </c>
      <c r="K484" s="3">
        <v>23</v>
      </c>
      <c r="L484" s="4">
        <f>tblSales[[#This Row],[Quantity]]*tblSales[[#This Row],[Actual Price]]</f>
        <v>1495</v>
      </c>
    </row>
    <row r="485" spans="1:12" x14ac:dyDescent="0.35">
      <c r="A485" s="3" t="s">
        <v>894</v>
      </c>
      <c r="B485" s="4" t="s">
        <v>108</v>
      </c>
      <c r="C485" s="4" t="s">
        <v>109</v>
      </c>
      <c r="D485" s="4" t="s">
        <v>20</v>
      </c>
      <c r="E485" s="7">
        <v>41845</v>
      </c>
      <c r="F485" s="4" t="s">
        <v>116</v>
      </c>
      <c r="G485" s="4" t="s">
        <v>895</v>
      </c>
      <c r="H485" s="4">
        <v>250</v>
      </c>
      <c r="I485" s="4">
        <v>228</v>
      </c>
      <c r="J485" s="5">
        <v>8.7999999999999995E-2</v>
      </c>
      <c r="K485" s="3">
        <v>80</v>
      </c>
      <c r="L485" s="4">
        <f>tblSales[[#This Row],[Quantity]]*tblSales[[#This Row],[Actual Price]]</f>
        <v>18240</v>
      </c>
    </row>
    <row r="486" spans="1:12" x14ac:dyDescent="0.35">
      <c r="A486" s="3" t="s">
        <v>896</v>
      </c>
      <c r="B486" s="4" t="s">
        <v>119</v>
      </c>
      <c r="C486" s="4" t="s">
        <v>120</v>
      </c>
      <c r="D486" s="4" t="s">
        <v>36</v>
      </c>
      <c r="E486" s="7">
        <v>43078</v>
      </c>
      <c r="F486" s="4" t="s">
        <v>116</v>
      </c>
      <c r="G486" s="4" t="s">
        <v>897</v>
      </c>
      <c r="H486" s="4">
        <v>250</v>
      </c>
      <c r="I486" s="4">
        <v>250</v>
      </c>
      <c r="J486" s="5">
        <v>0</v>
      </c>
      <c r="K486" s="3">
        <v>38</v>
      </c>
      <c r="L486" s="4">
        <f>tblSales[[#This Row],[Quantity]]*tblSales[[#This Row],[Actual Price]]</f>
        <v>9500</v>
      </c>
    </row>
    <row r="487" spans="1:12" x14ac:dyDescent="0.35">
      <c r="A487" s="3" t="s">
        <v>898</v>
      </c>
      <c r="B487" s="4" t="s">
        <v>325</v>
      </c>
      <c r="C487" s="4" t="s">
        <v>326</v>
      </c>
      <c r="D487" s="4" t="s">
        <v>14</v>
      </c>
      <c r="E487" s="7">
        <v>42931</v>
      </c>
      <c r="F487" s="4" t="s">
        <v>42</v>
      </c>
      <c r="G487" s="4" t="s">
        <v>366</v>
      </c>
      <c r="H487" s="4">
        <v>30</v>
      </c>
      <c r="I487" s="4">
        <v>29</v>
      </c>
      <c r="J487" s="5">
        <v>3.3300000000000003E-2</v>
      </c>
      <c r="K487" s="3">
        <v>40</v>
      </c>
      <c r="L487" s="4">
        <f>tblSales[[#This Row],[Quantity]]*tblSales[[#This Row],[Actual Price]]</f>
        <v>1160</v>
      </c>
    </row>
    <row r="488" spans="1:12" x14ac:dyDescent="0.35">
      <c r="A488" s="3" t="s">
        <v>899</v>
      </c>
      <c r="B488" s="4" t="s">
        <v>206</v>
      </c>
      <c r="C488" s="4" t="s">
        <v>207</v>
      </c>
      <c r="D488" s="4" t="s">
        <v>25</v>
      </c>
      <c r="E488" s="7">
        <v>42038</v>
      </c>
      <c r="F488" s="4" t="s">
        <v>123</v>
      </c>
      <c r="G488" s="4" t="s">
        <v>362</v>
      </c>
      <c r="H488" s="4">
        <v>50</v>
      </c>
      <c r="I488" s="4">
        <v>32</v>
      </c>
      <c r="J488" s="5">
        <v>0.36</v>
      </c>
      <c r="K488" s="3">
        <v>46</v>
      </c>
      <c r="L488" s="4">
        <f>tblSales[[#This Row],[Quantity]]*tblSales[[#This Row],[Actual Price]]</f>
        <v>1472</v>
      </c>
    </row>
    <row r="489" spans="1:12" x14ac:dyDescent="0.35">
      <c r="A489" s="3" t="s">
        <v>900</v>
      </c>
      <c r="B489" s="4" t="s">
        <v>92</v>
      </c>
      <c r="C489" s="4" t="s">
        <v>93</v>
      </c>
      <c r="D489" s="4" t="s">
        <v>36</v>
      </c>
      <c r="E489" s="7">
        <v>43331</v>
      </c>
      <c r="F489" s="4" t="s">
        <v>26</v>
      </c>
      <c r="G489" s="4" t="s">
        <v>901</v>
      </c>
      <c r="H489" s="4">
        <v>700</v>
      </c>
      <c r="I489" s="4">
        <v>686</v>
      </c>
      <c r="J489" s="5">
        <v>0.02</v>
      </c>
      <c r="K489" s="3">
        <v>74</v>
      </c>
      <c r="L489" s="4">
        <f>tblSales[[#This Row],[Quantity]]*tblSales[[#This Row],[Actual Price]]</f>
        <v>50764</v>
      </c>
    </row>
    <row r="490" spans="1:12" x14ac:dyDescent="0.35">
      <c r="A490" s="3" t="s">
        <v>902</v>
      </c>
      <c r="B490" s="4" t="s">
        <v>435</v>
      </c>
      <c r="C490" s="4" t="s">
        <v>436</v>
      </c>
      <c r="D490" s="4" t="s">
        <v>25</v>
      </c>
      <c r="E490" s="7">
        <v>42728</v>
      </c>
      <c r="F490" s="4" t="s">
        <v>31</v>
      </c>
      <c r="G490" s="4" t="s">
        <v>551</v>
      </c>
      <c r="H490" s="4">
        <v>150</v>
      </c>
      <c r="I490" s="4">
        <v>131</v>
      </c>
      <c r="J490" s="5">
        <v>0.12670000000000001</v>
      </c>
      <c r="K490" s="3">
        <v>31</v>
      </c>
      <c r="L490" s="4">
        <f>tblSales[[#This Row],[Quantity]]*tblSales[[#This Row],[Actual Price]]</f>
        <v>4061</v>
      </c>
    </row>
    <row r="491" spans="1:12" x14ac:dyDescent="0.35">
      <c r="A491" s="3" t="s">
        <v>903</v>
      </c>
      <c r="B491" s="4" t="s">
        <v>290</v>
      </c>
      <c r="C491" s="4" t="s">
        <v>109</v>
      </c>
      <c r="D491" s="4" t="s">
        <v>20</v>
      </c>
      <c r="E491" s="7">
        <v>42526</v>
      </c>
      <c r="F491" s="4" t="s">
        <v>62</v>
      </c>
      <c r="G491" s="4" t="s">
        <v>904</v>
      </c>
      <c r="H491" s="4">
        <v>1000</v>
      </c>
      <c r="I491" s="4">
        <v>940</v>
      </c>
      <c r="J491" s="5">
        <v>0.06</v>
      </c>
      <c r="K491" s="3">
        <v>50</v>
      </c>
      <c r="L491" s="4">
        <f>tblSales[[#This Row],[Quantity]]*tblSales[[#This Row],[Actual Price]]</f>
        <v>47000</v>
      </c>
    </row>
    <row r="492" spans="1:12" x14ac:dyDescent="0.35">
      <c r="A492" s="3" t="s">
        <v>905</v>
      </c>
      <c r="B492" s="4" t="s">
        <v>100</v>
      </c>
      <c r="C492" s="4" t="s">
        <v>101</v>
      </c>
      <c r="D492" s="4" t="s">
        <v>14</v>
      </c>
      <c r="E492" s="7">
        <v>42529</v>
      </c>
      <c r="F492" s="4" t="s">
        <v>31</v>
      </c>
      <c r="G492" s="4" t="s">
        <v>753</v>
      </c>
      <c r="H492" s="4">
        <v>150</v>
      </c>
      <c r="I492" s="4">
        <v>138</v>
      </c>
      <c r="J492" s="5">
        <v>0.08</v>
      </c>
      <c r="K492" s="3">
        <v>92</v>
      </c>
      <c r="L492" s="4">
        <f>tblSales[[#This Row],[Quantity]]*tblSales[[#This Row],[Actual Price]]</f>
        <v>12696</v>
      </c>
    </row>
    <row r="493" spans="1:12" x14ac:dyDescent="0.35">
      <c r="A493" s="3" t="s">
        <v>906</v>
      </c>
      <c r="B493" s="4" t="s">
        <v>225</v>
      </c>
      <c r="C493" s="4" t="s">
        <v>51</v>
      </c>
      <c r="D493" s="4" t="s">
        <v>25</v>
      </c>
      <c r="E493" s="7">
        <v>41778</v>
      </c>
      <c r="F493" s="4" t="s">
        <v>123</v>
      </c>
      <c r="G493" s="4" t="s">
        <v>907</v>
      </c>
      <c r="H493" s="4">
        <v>50</v>
      </c>
      <c r="I493" s="4">
        <v>44</v>
      </c>
      <c r="J493" s="5">
        <v>0.12</v>
      </c>
      <c r="K493" s="3">
        <v>70</v>
      </c>
      <c r="L493" s="4">
        <f>tblSales[[#This Row],[Quantity]]*tblSales[[#This Row],[Actual Price]]</f>
        <v>3080</v>
      </c>
    </row>
    <row r="494" spans="1:12" x14ac:dyDescent="0.35">
      <c r="A494" s="3" t="s">
        <v>908</v>
      </c>
      <c r="B494" s="4" t="s">
        <v>265</v>
      </c>
      <c r="C494" s="4" t="s">
        <v>266</v>
      </c>
      <c r="D494" s="4" t="s">
        <v>14</v>
      </c>
      <c r="E494" s="7">
        <v>42408</v>
      </c>
      <c r="F494" s="4" t="s">
        <v>116</v>
      </c>
      <c r="G494" s="4" t="s">
        <v>803</v>
      </c>
      <c r="H494" s="4">
        <v>250</v>
      </c>
      <c r="I494" s="4">
        <v>218</v>
      </c>
      <c r="J494" s="5">
        <v>0.128</v>
      </c>
      <c r="K494" s="3">
        <v>23</v>
      </c>
      <c r="L494" s="4">
        <f>tblSales[[#This Row],[Quantity]]*tblSales[[#This Row],[Actual Price]]</f>
        <v>5014</v>
      </c>
    </row>
    <row r="495" spans="1:12" x14ac:dyDescent="0.35">
      <c r="A495" s="3" t="s">
        <v>909</v>
      </c>
      <c r="B495" s="4" t="s">
        <v>119</v>
      </c>
      <c r="C495" s="4" t="s">
        <v>120</v>
      </c>
      <c r="D495" s="4" t="s">
        <v>36</v>
      </c>
      <c r="E495" s="7">
        <v>42651</v>
      </c>
      <c r="F495" s="4" t="s">
        <v>31</v>
      </c>
      <c r="G495" s="4" t="s">
        <v>910</v>
      </c>
      <c r="H495" s="4">
        <v>150</v>
      </c>
      <c r="I495" s="4">
        <v>144</v>
      </c>
      <c r="J495" s="5">
        <v>0.04</v>
      </c>
      <c r="K495" s="3">
        <v>39</v>
      </c>
      <c r="L495" s="4">
        <f>tblSales[[#This Row],[Quantity]]*tblSales[[#This Row],[Actual Price]]</f>
        <v>5616</v>
      </c>
    </row>
    <row r="496" spans="1:12" x14ac:dyDescent="0.35">
      <c r="A496" s="3" t="s">
        <v>911</v>
      </c>
      <c r="B496" s="4" t="s">
        <v>100</v>
      </c>
      <c r="C496" s="4" t="s">
        <v>101</v>
      </c>
      <c r="D496" s="4" t="s">
        <v>14</v>
      </c>
      <c r="E496" s="7">
        <v>43224</v>
      </c>
      <c r="F496" s="4" t="s">
        <v>62</v>
      </c>
      <c r="G496" s="4" t="s">
        <v>912</v>
      </c>
      <c r="H496" s="4">
        <v>1000</v>
      </c>
      <c r="I496" s="4">
        <v>890</v>
      </c>
      <c r="J496" s="5">
        <v>0.11</v>
      </c>
      <c r="K496" s="3">
        <v>42</v>
      </c>
      <c r="L496" s="4">
        <f>tblSales[[#This Row],[Quantity]]*tblSales[[#This Row],[Actual Price]]</f>
        <v>37380</v>
      </c>
    </row>
    <row r="497" spans="1:12" x14ac:dyDescent="0.35">
      <c r="A497" s="3" t="s">
        <v>913</v>
      </c>
      <c r="B497" s="4" t="s">
        <v>18</v>
      </c>
      <c r="C497" s="4" t="s">
        <v>19</v>
      </c>
      <c r="D497" s="4" t="s">
        <v>20</v>
      </c>
      <c r="E497" s="7">
        <v>42931</v>
      </c>
      <c r="F497" s="4" t="s">
        <v>31</v>
      </c>
      <c r="G497" s="4" t="s">
        <v>914</v>
      </c>
      <c r="H497" s="4">
        <v>150</v>
      </c>
      <c r="I497" s="4">
        <v>150</v>
      </c>
      <c r="J497" s="5">
        <v>0</v>
      </c>
      <c r="K497" s="3">
        <v>37</v>
      </c>
      <c r="L497" s="4">
        <f>tblSales[[#This Row],[Quantity]]*tblSales[[#This Row],[Actual Price]]</f>
        <v>5550</v>
      </c>
    </row>
    <row r="498" spans="1:12" x14ac:dyDescent="0.35">
      <c r="A498" s="3" t="s">
        <v>915</v>
      </c>
      <c r="B498" s="4" t="s">
        <v>290</v>
      </c>
      <c r="C498" s="4" t="s">
        <v>109</v>
      </c>
      <c r="D498" s="4" t="s">
        <v>20</v>
      </c>
      <c r="E498" s="7">
        <v>41770</v>
      </c>
      <c r="F498" s="4" t="s">
        <v>116</v>
      </c>
      <c r="G498" s="4" t="s">
        <v>501</v>
      </c>
      <c r="H498" s="4">
        <v>250</v>
      </c>
      <c r="I498" s="4">
        <v>238</v>
      </c>
      <c r="J498" s="5">
        <v>4.8000000000000001E-2</v>
      </c>
      <c r="K498" s="3">
        <v>65</v>
      </c>
      <c r="L498" s="4">
        <f>tblSales[[#This Row],[Quantity]]*tblSales[[#This Row],[Actual Price]]</f>
        <v>15470</v>
      </c>
    </row>
    <row r="499" spans="1:12" x14ac:dyDescent="0.35">
      <c r="A499" s="3" t="s">
        <v>916</v>
      </c>
      <c r="B499" s="4" t="s">
        <v>125</v>
      </c>
      <c r="C499" s="4" t="s">
        <v>41</v>
      </c>
      <c r="D499" s="4" t="s">
        <v>36</v>
      </c>
      <c r="E499" s="7">
        <v>42527</v>
      </c>
      <c r="F499" s="4" t="s">
        <v>123</v>
      </c>
      <c r="G499" s="4" t="s">
        <v>917</v>
      </c>
      <c r="H499" s="4">
        <v>50</v>
      </c>
      <c r="I499" s="4">
        <v>49</v>
      </c>
      <c r="J499" s="5">
        <v>0.02</v>
      </c>
      <c r="K499" s="3">
        <v>29</v>
      </c>
      <c r="L499" s="4">
        <f>tblSales[[#This Row],[Quantity]]*tblSales[[#This Row],[Actual Price]]</f>
        <v>1421</v>
      </c>
    </row>
    <row r="500" spans="1:12" x14ac:dyDescent="0.35">
      <c r="A500" s="3" t="s">
        <v>918</v>
      </c>
      <c r="B500" s="4" t="s">
        <v>50</v>
      </c>
      <c r="C500" s="4" t="s">
        <v>51</v>
      </c>
      <c r="D500" s="4" t="s">
        <v>25</v>
      </c>
      <c r="E500" s="7">
        <v>43307</v>
      </c>
      <c r="F500" s="4" t="s">
        <v>26</v>
      </c>
      <c r="G500" s="4" t="s">
        <v>919</v>
      </c>
      <c r="H500" s="4">
        <v>700</v>
      </c>
      <c r="I500" s="4">
        <v>630</v>
      </c>
      <c r="J500" s="5">
        <v>0.1</v>
      </c>
      <c r="K500" s="3">
        <v>85</v>
      </c>
      <c r="L500" s="4">
        <f>tblSales[[#This Row],[Quantity]]*tblSales[[#This Row],[Actual Price]]</f>
        <v>53550</v>
      </c>
    </row>
    <row r="501" spans="1:12" x14ac:dyDescent="0.35">
      <c r="A501" s="3" t="s">
        <v>920</v>
      </c>
      <c r="B501" s="4" t="s">
        <v>128</v>
      </c>
      <c r="C501" s="4" t="s">
        <v>129</v>
      </c>
      <c r="D501" s="4" t="s">
        <v>14</v>
      </c>
      <c r="E501" s="7">
        <v>43246</v>
      </c>
      <c r="F501" s="4" t="s">
        <v>37</v>
      </c>
      <c r="G501" s="4" t="s">
        <v>921</v>
      </c>
      <c r="H501" s="4">
        <v>50</v>
      </c>
      <c r="I501" s="4">
        <v>48</v>
      </c>
      <c r="J501" s="5">
        <v>0.04</v>
      </c>
      <c r="K501" s="3">
        <v>25</v>
      </c>
      <c r="L501" s="4">
        <f>tblSales[[#This Row],[Quantity]]*tblSales[[#This Row],[Actual Price]]</f>
        <v>1200</v>
      </c>
    </row>
    <row r="502" spans="1:12" x14ac:dyDescent="0.35">
      <c r="A502" s="3" t="s">
        <v>922</v>
      </c>
      <c r="B502" s="4" t="s">
        <v>325</v>
      </c>
      <c r="C502" s="4" t="s">
        <v>326</v>
      </c>
      <c r="D502" s="4" t="s">
        <v>14</v>
      </c>
      <c r="E502" s="7">
        <v>42333</v>
      </c>
      <c r="F502" s="4" t="s">
        <v>47</v>
      </c>
      <c r="G502" s="4" t="s">
        <v>923</v>
      </c>
      <c r="H502" s="4">
        <v>500</v>
      </c>
      <c r="I502" s="4">
        <v>500</v>
      </c>
      <c r="J502" s="5">
        <v>0</v>
      </c>
      <c r="K502" s="3">
        <v>4</v>
      </c>
      <c r="L502" s="4">
        <f>tblSales[[#This Row],[Quantity]]*tblSales[[#This Row],[Actual Price]]</f>
        <v>2000</v>
      </c>
    </row>
    <row r="503" spans="1:12" x14ac:dyDescent="0.35">
      <c r="A503" s="3" t="s">
        <v>924</v>
      </c>
      <c r="B503" s="4" t="s">
        <v>242</v>
      </c>
      <c r="C503" s="4" t="s">
        <v>243</v>
      </c>
      <c r="D503" s="4" t="s">
        <v>14</v>
      </c>
      <c r="E503" s="7">
        <v>43040</v>
      </c>
      <c r="F503" s="4" t="s">
        <v>42</v>
      </c>
      <c r="G503" s="4" t="s">
        <v>288</v>
      </c>
      <c r="H503" s="4">
        <v>30</v>
      </c>
      <c r="I503" s="4">
        <v>29</v>
      </c>
      <c r="J503" s="5">
        <v>3.3300000000000003E-2</v>
      </c>
      <c r="K503" s="3">
        <v>96</v>
      </c>
      <c r="L503" s="4">
        <f>tblSales[[#This Row],[Quantity]]*tblSales[[#This Row],[Actual Price]]</f>
        <v>2784</v>
      </c>
    </row>
    <row r="504" spans="1:12" x14ac:dyDescent="0.35">
      <c r="A504" s="3" t="s">
        <v>925</v>
      </c>
      <c r="B504" s="4" t="s">
        <v>158</v>
      </c>
      <c r="C504" s="4" t="s">
        <v>109</v>
      </c>
      <c r="D504" s="4" t="s">
        <v>20</v>
      </c>
      <c r="E504" s="7">
        <v>43388</v>
      </c>
      <c r="F504" s="4" t="s">
        <v>73</v>
      </c>
      <c r="G504" s="4" t="s">
        <v>926</v>
      </c>
      <c r="H504" s="4">
        <v>500</v>
      </c>
      <c r="I504" s="4">
        <v>495</v>
      </c>
      <c r="J504" s="5">
        <v>0.01</v>
      </c>
      <c r="K504" s="3">
        <v>18</v>
      </c>
      <c r="L504" s="4">
        <f>tblSales[[#This Row],[Quantity]]*tblSales[[#This Row],[Actual Price]]</f>
        <v>8910</v>
      </c>
    </row>
    <row r="505" spans="1:12" x14ac:dyDescent="0.35">
      <c r="A505" s="3" t="s">
        <v>927</v>
      </c>
      <c r="B505" s="4" t="s">
        <v>290</v>
      </c>
      <c r="C505" s="4" t="s">
        <v>109</v>
      </c>
      <c r="D505" s="4" t="s">
        <v>20</v>
      </c>
      <c r="E505" s="7">
        <v>42572</v>
      </c>
      <c r="F505" s="4" t="s">
        <v>31</v>
      </c>
      <c r="G505" s="4" t="s">
        <v>347</v>
      </c>
      <c r="H505" s="4">
        <v>150</v>
      </c>
      <c r="I505" s="4">
        <v>149</v>
      </c>
      <c r="J505" s="5">
        <v>6.7000000000000002E-3</v>
      </c>
      <c r="K505" s="3">
        <v>54</v>
      </c>
      <c r="L505" s="4">
        <f>tblSales[[#This Row],[Quantity]]*tblSales[[#This Row],[Actual Price]]</f>
        <v>8046</v>
      </c>
    </row>
    <row r="506" spans="1:12" x14ac:dyDescent="0.35">
      <c r="A506" s="3" t="s">
        <v>928</v>
      </c>
      <c r="B506" s="4" t="s">
        <v>108</v>
      </c>
      <c r="C506" s="4" t="s">
        <v>109</v>
      </c>
      <c r="D506" s="4" t="s">
        <v>20</v>
      </c>
      <c r="E506" s="7">
        <v>42313</v>
      </c>
      <c r="F506" s="4" t="s">
        <v>105</v>
      </c>
      <c r="G506" s="4" t="s">
        <v>110</v>
      </c>
      <c r="H506" s="4">
        <v>70</v>
      </c>
      <c r="I506" s="4">
        <v>54</v>
      </c>
      <c r="J506" s="5">
        <v>0.2286</v>
      </c>
      <c r="K506" s="3">
        <v>48</v>
      </c>
      <c r="L506" s="4">
        <f>tblSales[[#This Row],[Quantity]]*tblSales[[#This Row],[Actual Price]]</f>
        <v>2592</v>
      </c>
    </row>
    <row r="507" spans="1:12" x14ac:dyDescent="0.35">
      <c r="A507" s="3" t="s">
        <v>929</v>
      </c>
      <c r="B507" s="4" t="s">
        <v>65</v>
      </c>
      <c r="C507" s="4" t="s">
        <v>66</v>
      </c>
      <c r="D507" s="4" t="s">
        <v>36</v>
      </c>
      <c r="E507" s="7">
        <v>43102</v>
      </c>
      <c r="F507" s="4" t="s">
        <v>73</v>
      </c>
      <c r="G507" s="4" t="s">
        <v>67</v>
      </c>
      <c r="H507" s="4">
        <v>500</v>
      </c>
      <c r="I507" s="4">
        <v>490</v>
      </c>
      <c r="J507" s="5">
        <v>0.02</v>
      </c>
      <c r="K507" s="3">
        <v>79</v>
      </c>
      <c r="L507" s="4">
        <f>tblSales[[#This Row],[Quantity]]*tblSales[[#This Row],[Actual Price]]</f>
        <v>38710</v>
      </c>
    </row>
    <row r="508" spans="1:12" x14ac:dyDescent="0.35">
      <c r="A508" s="3" t="s">
        <v>930</v>
      </c>
      <c r="B508" s="4" t="s">
        <v>435</v>
      </c>
      <c r="C508" s="4" t="s">
        <v>436</v>
      </c>
      <c r="D508" s="4" t="s">
        <v>25</v>
      </c>
      <c r="E508" s="7">
        <v>42096</v>
      </c>
      <c r="F508" s="4" t="s">
        <v>123</v>
      </c>
      <c r="G508" s="4" t="s">
        <v>765</v>
      </c>
      <c r="H508" s="4">
        <v>50</v>
      </c>
      <c r="I508" s="4">
        <v>46</v>
      </c>
      <c r="J508" s="5">
        <v>0.08</v>
      </c>
      <c r="K508" s="3">
        <v>7</v>
      </c>
      <c r="L508" s="4">
        <f>tblSales[[#This Row],[Quantity]]*tblSales[[#This Row],[Actual Price]]</f>
        <v>322</v>
      </c>
    </row>
    <row r="509" spans="1:12" x14ac:dyDescent="0.35">
      <c r="A509" s="3" t="s">
        <v>931</v>
      </c>
      <c r="B509" s="4" t="s">
        <v>45</v>
      </c>
      <c r="C509" s="4" t="s">
        <v>46</v>
      </c>
      <c r="D509" s="4" t="s">
        <v>25</v>
      </c>
      <c r="E509" s="7">
        <v>42769</v>
      </c>
      <c r="F509" s="4" t="s">
        <v>56</v>
      </c>
      <c r="G509" s="4" t="s">
        <v>254</v>
      </c>
      <c r="H509" s="4">
        <v>800</v>
      </c>
      <c r="I509" s="4">
        <v>600</v>
      </c>
      <c r="J509" s="5">
        <v>0.25</v>
      </c>
      <c r="K509" s="3">
        <v>74</v>
      </c>
      <c r="L509" s="4">
        <f>tblSales[[#This Row],[Quantity]]*tblSales[[#This Row],[Actual Price]]</f>
        <v>44400</v>
      </c>
    </row>
    <row r="510" spans="1:12" x14ac:dyDescent="0.35">
      <c r="A510" s="3" t="s">
        <v>932</v>
      </c>
      <c r="B510" s="4" t="s">
        <v>54</v>
      </c>
      <c r="C510" s="4" t="s">
        <v>55</v>
      </c>
      <c r="D510" s="4" t="s">
        <v>14</v>
      </c>
      <c r="E510" s="7">
        <v>43055</v>
      </c>
      <c r="F510" s="4" t="s">
        <v>26</v>
      </c>
      <c r="G510" s="4" t="s">
        <v>57</v>
      </c>
      <c r="H510" s="4">
        <v>700</v>
      </c>
      <c r="I510" s="4">
        <v>665</v>
      </c>
      <c r="J510" s="5">
        <v>0.05</v>
      </c>
      <c r="K510" s="3">
        <v>50</v>
      </c>
      <c r="L510" s="4">
        <f>tblSales[[#This Row],[Quantity]]*tblSales[[#This Row],[Actual Price]]</f>
        <v>33250</v>
      </c>
    </row>
    <row r="511" spans="1:12" x14ac:dyDescent="0.35">
      <c r="A511" s="3" t="s">
        <v>933</v>
      </c>
      <c r="B511" s="4" t="s">
        <v>242</v>
      </c>
      <c r="C511" s="4" t="s">
        <v>243</v>
      </c>
      <c r="D511" s="4" t="s">
        <v>14</v>
      </c>
      <c r="E511" s="7">
        <v>42754</v>
      </c>
      <c r="F511" s="4" t="s">
        <v>47</v>
      </c>
      <c r="G511" s="4" t="s">
        <v>427</v>
      </c>
      <c r="H511" s="4">
        <v>500</v>
      </c>
      <c r="I511" s="4">
        <v>480</v>
      </c>
      <c r="J511" s="5">
        <v>0.04</v>
      </c>
      <c r="K511" s="3">
        <v>45</v>
      </c>
      <c r="L511" s="4">
        <f>tblSales[[#This Row],[Quantity]]*tblSales[[#This Row],[Actual Price]]</f>
        <v>21600</v>
      </c>
    </row>
    <row r="512" spans="1:12" x14ac:dyDescent="0.35">
      <c r="A512" s="3" t="s">
        <v>934</v>
      </c>
      <c r="B512" s="4" t="s">
        <v>78</v>
      </c>
      <c r="C512" s="4" t="s">
        <v>79</v>
      </c>
      <c r="D512" s="4" t="s">
        <v>36</v>
      </c>
      <c r="E512" s="7">
        <v>42489</v>
      </c>
      <c r="F512" s="4" t="s">
        <v>56</v>
      </c>
      <c r="G512" s="4" t="s">
        <v>318</v>
      </c>
      <c r="H512" s="4">
        <v>800</v>
      </c>
      <c r="I512" s="4">
        <v>528</v>
      </c>
      <c r="J512" s="5">
        <v>0.34</v>
      </c>
      <c r="K512" s="3">
        <v>5</v>
      </c>
      <c r="L512" s="4">
        <f>tblSales[[#This Row],[Quantity]]*tblSales[[#This Row],[Actual Price]]</f>
        <v>2640</v>
      </c>
    </row>
    <row r="513" spans="1:12" x14ac:dyDescent="0.35">
      <c r="A513" s="3" t="s">
        <v>935</v>
      </c>
      <c r="B513" s="4" t="s">
        <v>125</v>
      </c>
      <c r="C513" s="4" t="s">
        <v>41</v>
      </c>
      <c r="D513" s="4" t="s">
        <v>36</v>
      </c>
      <c r="E513" s="7">
        <v>43198</v>
      </c>
      <c r="F513" s="4" t="s">
        <v>116</v>
      </c>
      <c r="G513" s="4" t="s">
        <v>576</v>
      </c>
      <c r="H513" s="4">
        <v>250</v>
      </c>
      <c r="I513" s="4">
        <v>225</v>
      </c>
      <c r="J513" s="5">
        <v>0.1</v>
      </c>
      <c r="K513" s="3">
        <v>59</v>
      </c>
      <c r="L513" s="4">
        <f>tblSales[[#This Row],[Quantity]]*tblSales[[#This Row],[Actual Price]]</f>
        <v>13275</v>
      </c>
    </row>
    <row r="514" spans="1:12" x14ac:dyDescent="0.35">
      <c r="A514" s="3" t="s">
        <v>936</v>
      </c>
      <c r="B514" s="4" t="s">
        <v>183</v>
      </c>
      <c r="C514" s="4" t="s">
        <v>109</v>
      </c>
      <c r="D514" s="4" t="s">
        <v>20</v>
      </c>
      <c r="E514" s="7">
        <v>42207</v>
      </c>
      <c r="F514" s="4" t="s">
        <v>31</v>
      </c>
      <c r="G514" s="4" t="s">
        <v>503</v>
      </c>
      <c r="H514" s="4">
        <v>150</v>
      </c>
      <c r="I514" s="4">
        <v>113</v>
      </c>
      <c r="J514" s="5">
        <v>0.2467</v>
      </c>
      <c r="K514" s="3">
        <v>1</v>
      </c>
      <c r="L514" s="4">
        <f>tblSales[[#This Row],[Quantity]]*tblSales[[#This Row],[Actual Price]]</f>
        <v>113</v>
      </c>
    </row>
    <row r="515" spans="1:12" x14ac:dyDescent="0.35">
      <c r="A515" s="3" t="s">
        <v>937</v>
      </c>
      <c r="B515" s="4" t="s">
        <v>228</v>
      </c>
      <c r="C515" s="4" t="s">
        <v>229</v>
      </c>
      <c r="D515" s="4" t="s">
        <v>25</v>
      </c>
      <c r="E515" s="7">
        <v>42406</v>
      </c>
      <c r="F515" s="4" t="s">
        <v>47</v>
      </c>
      <c r="G515" s="4" t="s">
        <v>938</v>
      </c>
      <c r="H515" s="4">
        <v>500</v>
      </c>
      <c r="I515" s="4">
        <v>440</v>
      </c>
      <c r="J515" s="5">
        <v>0.12</v>
      </c>
      <c r="K515" s="3">
        <v>22</v>
      </c>
      <c r="L515" s="4">
        <f>tblSales[[#This Row],[Quantity]]*tblSales[[#This Row],[Actual Price]]</f>
        <v>9680</v>
      </c>
    </row>
    <row r="516" spans="1:12" x14ac:dyDescent="0.35">
      <c r="A516" s="3" t="s">
        <v>939</v>
      </c>
      <c r="B516" s="4" t="s">
        <v>92</v>
      </c>
      <c r="C516" s="4" t="s">
        <v>93</v>
      </c>
      <c r="D516" s="4" t="s">
        <v>36</v>
      </c>
      <c r="E516" s="7">
        <v>42039</v>
      </c>
      <c r="F516" s="4" t="s">
        <v>105</v>
      </c>
      <c r="G516" s="4" t="s">
        <v>940</v>
      </c>
      <c r="H516" s="4">
        <v>70</v>
      </c>
      <c r="I516" s="4">
        <v>44</v>
      </c>
      <c r="J516" s="5">
        <v>0.37140000000000001</v>
      </c>
      <c r="K516" s="3">
        <v>45</v>
      </c>
      <c r="L516" s="4">
        <f>tblSales[[#This Row],[Quantity]]*tblSales[[#This Row],[Actual Price]]</f>
        <v>1980</v>
      </c>
    </row>
    <row r="517" spans="1:12" x14ac:dyDescent="0.35">
      <c r="A517" s="3" t="s">
        <v>941</v>
      </c>
      <c r="B517" s="4" t="s">
        <v>171</v>
      </c>
      <c r="C517" s="4" t="s">
        <v>172</v>
      </c>
      <c r="D517" s="4" t="s">
        <v>14</v>
      </c>
      <c r="E517" s="7">
        <v>41928</v>
      </c>
      <c r="F517" s="4" t="s">
        <v>116</v>
      </c>
      <c r="G517" s="4" t="s">
        <v>942</v>
      </c>
      <c r="H517" s="4">
        <v>250</v>
      </c>
      <c r="I517" s="4">
        <v>73</v>
      </c>
      <c r="J517" s="5">
        <v>0.70799999999999996</v>
      </c>
      <c r="K517" s="3">
        <v>74</v>
      </c>
      <c r="L517" s="4">
        <f>tblSales[[#This Row],[Quantity]]*tblSales[[#This Row],[Actual Price]]</f>
        <v>5402</v>
      </c>
    </row>
    <row r="518" spans="1:12" x14ac:dyDescent="0.35">
      <c r="A518" s="3" t="s">
        <v>943</v>
      </c>
      <c r="B518" s="4" t="s">
        <v>125</v>
      </c>
      <c r="C518" s="4" t="s">
        <v>41</v>
      </c>
      <c r="D518" s="4" t="s">
        <v>36</v>
      </c>
      <c r="E518" s="7">
        <v>42202</v>
      </c>
      <c r="F518" s="4" t="s">
        <v>37</v>
      </c>
      <c r="G518" s="4" t="s">
        <v>917</v>
      </c>
      <c r="H518" s="4">
        <v>50</v>
      </c>
      <c r="I518" s="4">
        <v>34</v>
      </c>
      <c r="J518" s="5">
        <v>0.32</v>
      </c>
      <c r="K518" s="3">
        <v>57</v>
      </c>
      <c r="L518" s="4">
        <f>tblSales[[#This Row],[Quantity]]*tblSales[[#This Row],[Actual Price]]</f>
        <v>1938</v>
      </c>
    </row>
    <row r="519" spans="1:12" x14ac:dyDescent="0.35">
      <c r="A519" s="3" t="s">
        <v>944</v>
      </c>
      <c r="B519" s="4" t="s">
        <v>401</v>
      </c>
      <c r="C519" s="4" t="s">
        <v>402</v>
      </c>
      <c r="D519" s="4" t="s">
        <v>14</v>
      </c>
      <c r="E519" s="7">
        <v>43066</v>
      </c>
      <c r="F519" s="4" t="s">
        <v>15</v>
      </c>
      <c r="G519" s="4" t="s">
        <v>619</v>
      </c>
      <c r="H519" s="4">
        <v>80</v>
      </c>
      <c r="I519" s="4">
        <v>78</v>
      </c>
      <c r="J519" s="5">
        <v>2.5000000000000001E-2</v>
      </c>
      <c r="K519" s="3">
        <v>86</v>
      </c>
      <c r="L519" s="4">
        <f>tblSales[[#This Row],[Quantity]]*tblSales[[#This Row],[Actual Price]]</f>
        <v>6708</v>
      </c>
    </row>
    <row r="520" spans="1:12" x14ac:dyDescent="0.35">
      <c r="A520" s="3" t="s">
        <v>945</v>
      </c>
      <c r="B520" s="4" t="s">
        <v>65</v>
      </c>
      <c r="C520" s="4" t="s">
        <v>66</v>
      </c>
      <c r="D520" s="4" t="s">
        <v>36</v>
      </c>
      <c r="E520" s="7">
        <v>42905</v>
      </c>
      <c r="F520" s="4" t="s">
        <v>31</v>
      </c>
      <c r="G520" s="4" t="s">
        <v>300</v>
      </c>
      <c r="H520" s="4">
        <v>150</v>
      </c>
      <c r="I520" s="4">
        <v>149</v>
      </c>
      <c r="J520" s="5">
        <v>6.7000000000000002E-3</v>
      </c>
      <c r="K520" s="3">
        <v>33</v>
      </c>
      <c r="L520" s="4">
        <f>tblSales[[#This Row],[Quantity]]*tblSales[[#This Row],[Actual Price]]</f>
        <v>4917</v>
      </c>
    </row>
    <row r="521" spans="1:12" x14ac:dyDescent="0.35">
      <c r="A521" s="3" t="s">
        <v>946</v>
      </c>
      <c r="B521" s="4" t="s">
        <v>108</v>
      </c>
      <c r="C521" s="4" t="s">
        <v>109</v>
      </c>
      <c r="D521" s="4" t="s">
        <v>20</v>
      </c>
      <c r="E521" s="7">
        <v>42999</v>
      </c>
      <c r="F521" s="4" t="s">
        <v>116</v>
      </c>
      <c r="G521" s="4" t="s">
        <v>947</v>
      </c>
      <c r="H521" s="4">
        <v>250</v>
      </c>
      <c r="I521" s="4">
        <v>250</v>
      </c>
      <c r="J521" s="5">
        <v>0</v>
      </c>
      <c r="K521" s="3">
        <v>79</v>
      </c>
      <c r="L521" s="4">
        <f>tblSales[[#This Row],[Quantity]]*tblSales[[#This Row],[Actual Price]]</f>
        <v>19750</v>
      </c>
    </row>
    <row r="522" spans="1:12" x14ac:dyDescent="0.35">
      <c r="A522" s="3" t="s">
        <v>948</v>
      </c>
      <c r="B522" s="4" t="s">
        <v>100</v>
      </c>
      <c r="C522" s="4" t="s">
        <v>101</v>
      </c>
      <c r="D522" s="4" t="s">
        <v>14</v>
      </c>
      <c r="E522" s="7">
        <v>42831</v>
      </c>
      <c r="F522" s="4" t="s">
        <v>26</v>
      </c>
      <c r="G522" s="4" t="s">
        <v>949</v>
      </c>
      <c r="H522" s="4">
        <v>700</v>
      </c>
      <c r="I522" s="4">
        <v>665</v>
      </c>
      <c r="J522" s="5">
        <v>0.05</v>
      </c>
      <c r="K522" s="3">
        <v>67</v>
      </c>
      <c r="L522" s="4">
        <f>tblSales[[#This Row],[Quantity]]*tblSales[[#This Row],[Actual Price]]</f>
        <v>44555</v>
      </c>
    </row>
    <row r="523" spans="1:12" x14ac:dyDescent="0.35">
      <c r="A523" s="3" t="s">
        <v>950</v>
      </c>
      <c r="B523" s="4" t="s">
        <v>206</v>
      </c>
      <c r="C523" s="4" t="s">
        <v>207</v>
      </c>
      <c r="D523" s="4" t="s">
        <v>25</v>
      </c>
      <c r="E523" s="7">
        <v>42033</v>
      </c>
      <c r="F523" s="4" t="s">
        <v>31</v>
      </c>
      <c r="G523" s="4" t="s">
        <v>760</v>
      </c>
      <c r="H523" s="4">
        <v>150</v>
      </c>
      <c r="I523" s="4">
        <v>140</v>
      </c>
      <c r="J523" s="5">
        <v>6.6699999999999995E-2</v>
      </c>
      <c r="K523" s="3">
        <v>90</v>
      </c>
      <c r="L523" s="4">
        <f>tblSales[[#This Row],[Quantity]]*tblSales[[#This Row],[Actual Price]]</f>
        <v>12600</v>
      </c>
    </row>
    <row r="524" spans="1:12" x14ac:dyDescent="0.35">
      <c r="A524" s="3" t="s">
        <v>951</v>
      </c>
      <c r="B524" s="4" t="s">
        <v>242</v>
      </c>
      <c r="C524" s="4" t="s">
        <v>243</v>
      </c>
      <c r="D524" s="4" t="s">
        <v>14</v>
      </c>
      <c r="E524" s="7">
        <v>42745</v>
      </c>
      <c r="F524" s="4" t="s">
        <v>56</v>
      </c>
      <c r="G524" s="4" t="s">
        <v>780</v>
      </c>
      <c r="H524" s="4">
        <v>800</v>
      </c>
      <c r="I524" s="4">
        <v>792</v>
      </c>
      <c r="J524" s="5">
        <v>0.01</v>
      </c>
      <c r="K524" s="3">
        <v>55</v>
      </c>
      <c r="L524" s="4">
        <f>tblSales[[#This Row],[Quantity]]*tblSales[[#This Row],[Actual Price]]</f>
        <v>43560</v>
      </c>
    </row>
    <row r="525" spans="1:12" x14ac:dyDescent="0.35">
      <c r="A525" s="3" t="s">
        <v>952</v>
      </c>
      <c r="B525" s="4" t="s">
        <v>92</v>
      </c>
      <c r="C525" s="4" t="s">
        <v>93</v>
      </c>
      <c r="D525" s="4" t="s">
        <v>36</v>
      </c>
      <c r="E525" s="7">
        <v>43086</v>
      </c>
      <c r="F525" s="4" t="s">
        <v>31</v>
      </c>
      <c r="G525" s="4" t="s">
        <v>901</v>
      </c>
      <c r="H525" s="4">
        <v>150</v>
      </c>
      <c r="I525" s="4">
        <v>138</v>
      </c>
      <c r="J525" s="5">
        <v>0.08</v>
      </c>
      <c r="K525" s="3">
        <v>28</v>
      </c>
      <c r="L525" s="4">
        <f>tblSales[[#This Row],[Quantity]]*tblSales[[#This Row],[Actual Price]]</f>
        <v>3864</v>
      </c>
    </row>
    <row r="526" spans="1:12" x14ac:dyDescent="0.35">
      <c r="A526" s="3" t="s">
        <v>953</v>
      </c>
      <c r="B526" s="4" t="s">
        <v>82</v>
      </c>
      <c r="C526" s="4" t="s">
        <v>83</v>
      </c>
      <c r="D526" s="4" t="s">
        <v>14</v>
      </c>
      <c r="E526" s="7">
        <v>42311</v>
      </c>
      <c r="F526" s="4" t="s">
        <v>42</v>
      </c>
      <c r="G526" s="4" t="s">
        <v>954</v>
      </c>
      <c r="H526" s="4">
        <v>30</v>
      </c>
      <c r="I526" s="4">
        <v>23</v>
      </c>
      <c r="J526" s="5">
        <v>0.23330000000000001</v>
      </c>
      <c r="K526" s="3">
        <v>72</v>
      </c>
      <c r="L526" s="4">
        <f>tblSales[[#This Row],[Quantity]]*tblSales[[#This Row],[Actual Price]]</f>
        <v>1656</v>
      </c>
    </row>
    <row r="527" spans="1:12" x14ac:dyDescent="0.35">
      <c r="A527" s="3" t="s">
        <v>955</v>
      </c>
      <c r="B527" s="4" t="s">
        <v>50</v>
      </c>
      <c r="C527" s="4" t="s">
        <v>51</v>
      </c>
      <c r="D527" s="4" t="s">
        <v>25</v>
      </c>
      <c r="E527" s="7">
        <v>42731</v>
      </c>
      <c r="F527" s="4" t="s">
        <v>15</v>
      </c>
      <c r="G527" s="4" t="s">
        <v>730</v>
      </c>
      <c r="H527" s="4">
        <v>80</v>
      </c>
      <c r="I527" s="4">
        <v>78</v>
      </c>
      <c r="J527" s="5">
        <v>2.5000000000000001E-2</v>
      </c>
      <c r="K527" s="3">
        <v>58</v>
      </c>
      <c r="L527" s="4">
        <f>tblSales[[#This Row],[Quantity]]*tblSales[[#This Row],[Actual Price]]</f>
        <v>4524</v>
      </c>
    </row>
    <row r="528" spans="1:12" x14ac:dyDescent="0.35">
      <c r="A528" s="3" t="s">
        <v>956</v>
      </c>
      <c r="B528" s="4" t="s">
        <v>18</v>
      </c>
      <c r="C528" s="4" t="s">
        <v>19</v>
      </c>
      <c r="D528" s="4" t="s">
        <v>20</v>
      </c>
      <c r="E528" s="7">
        <v>42481</v>
      </c>
      <c r="F528" s="4" t="s">
        <v>37</v>
      </c>
      <c r="G528" s="4" t="s">
        <v>854</v>
      </c>
      <c r="H528" s="4">
        <v>50</v>
      </c>
      <c r="I528" s="4">
        <v>49</v>
      </c>
      <c r="J528" s="5">
        <v>0.02</v>
      </c>
      <c r="K528" s="3">
        <v>73</v>
      </c>
      <c r="L528" s="4">
        <f>tblSales[[#This Row],[Quantity]]*tblSales[[#This Row],[Actual Price]]</f>
        <v>3577</v>
      </c>
    </row>
    <row r="529" spans="1:12" x14ac:dyDescent="0.35">
      <c r="A529" s="3" t="s">
        <v>957</v>
      </c>
      <c r="B529" s="4" t="s">
        <v>188</v>
      </c>
      <c r="C529" s="4" t="s">
        <v>189</v>
      </c>
      <c r="D529" s="4" t="s">
        <v>14</v>
      </c>
      <c r="E529" s="7">
        <v>43026</v>
      </c>
      <c r="F529" s="4" t="s">
        <v>116</v>
      </c>
      <c r="G529" s="4" t="s">
        <v>792</v>
      </c>
      <c r="H529" s="4">
        <v>250</v>
      </c>
      <c r="I529" s="4">
        <v>235</v>
      </c>
      <c r="J529" s="5">
        <v>0.06</v>
      </c>
      <c r="K529" s="3">
        <v>14</v>
      </c>
      <c r="L529" s="4">
        <f>tblSales[[#This Row],[Quantity]]*tblSales[[#This Row],[Actual Price]]</f>
        <v>3290</v>
      </c>
    </row>
    <row r="530" spans="1:12" x14ac:dyDescent="0.35">
      <c r="A530" s="3" t="s">
        <v>958</v>
      </c>
      <c r="B530" s="4" t="s">
        <v>183</v>
      </c>
      <c r="C530" s="4" t="s">
        <v>109</v>
      </c>
      <c r="D530" s="4" t="s">
        <v>20</v>
      </c>
      <c r="E530" s="7">
        <v>42186</v>
      </c>
      <c r="F530" s="4" t="s">
        <v>73</v>
      </c>
      <c r="G530" s="4" t="s">
        <v>959</v>
      </c>
      <c r="H530" s="4">
        <v>500</v>
      </c>
      <c r="I530" s="4">
        <v>490</v>
      </c>
      <c r="J530" s="5">
        <v>0.02</v>
      </c>
      <c r="K530" s="3">
        <v>86</v>
      </c>
      <c r="L530" s="4">
        <f>tblSales[[#This Row],[Quantity]]*tblSales[[#This Row],[Actual Price]]</f>
        <v>42140</v>
      </c>
    </row>
    <row r="531" spans="1:12" x14ac:dyDescent="0.35">
      <c r="A531" s="3" t="s">
        <v>960</v>
      </c>
      <c r="B531" s="4" t="s">
        <v>401</v>
      </c>
      <c r="C531" s="4" t="s">
        <v>402</v>
      </c>
      <c r="D531" s="4" t="s">
        <v>14</v>
      </c>
      <c r="E531" s="7">
        <v>41853</v>
      </c>
      <c r="F531" s="4" t="s">
        <v>26</v>
      </c>
      <c r="G531" s="4" t="s">
        <v>712</v>
      </c>
      <c r="H531" s="4">
        <v>700</v>
      </c>
      <c r="I531" s="4">
        <v>525</v>
      </c>
      <c r="J531" s="5">
        <v>0.25</v>
      </c>
      <c r="K531" s="3">
        <v>46</v>
      </c>
      <c r="L531" s="4">
        <f>tblSales[[#This Row],[Quantity]]*tblSales[[#This Row],[Actual Price]]</f>
        <v>24150</v>
      </c>
    </row>
    <row r="532" spans="1:12" x14ac:dyDescent="0.35">
      <c r="A532" s="3" t="s">
        <v>961</v>
      </c>
      <c r="B532" s="4" t="s">
        <v>242</v>
      </c>
      <c r="C532" s="4" t="s">
        <v>243</v>
      </c>
      <c r="D532" s="4" t="s">
        <v>14</v>
      </c>
      <c r="E532" s="7">
        <v>42290</v>
      </c>
      <c r="F532" s="4" t="s">
        <v>15</v>
      </c>
      <c r="G532" s="4" t="s">
        <v>288</v>
      </c>
      <c r="H532" s="4">
        <v>80</v>
      </c>
      <c r="I532" s="4">
        <v>74</v>
      </c>
      <c r="J532" s="5">
        <v>7.4999999999999997E-2</v>
      </c>
      <c r="K532" s="3">
        <v>12</v>
      </c>
      <c r="L532" s="4">
        <f>tblSales[[#This Row],[Quantity]]*tblSales[[#This Row],[Actual Price]]</f>
        <v>888</v>
      </c>
    </row>
    <row r="533" spans="1:12" x14ac:dyDescent="0.35">
      <c r="A533" s="3" t="s">
        <v>962</v>
      </c>
      <c r="B533" s="4" t="s">
        <v>71</v>
      </c>
      <c r="C533" s="4" t="s">
        <v>72</v>
      </c>
      <c r="D533" s="4" t="s">
        <v>36</v>
      </c>
      <c r="E533" s="7">
        <v>41860</v>
      </c>
      <c r="F533" s="4" t="s">
        <v>56</v>
      </c>
      <c r="G533" s="4" t="s">
        <v>963</v>
      </c>
      <c r="H533" s="4">
        <v>800</v>
      </c>
      <c r="I533" s="4">
        <v>696</v>
      </c>
      <c r="J533" s="5">
        <v>0.13</v>
      </c>
      <c r="K533" s="3">
        <v>10</v>
      </c>
      <c r="L533" s="4">
        <f>tblSales[[#This Row],[Quantity]]*tblSales[[#This Row],[Actual Price]]</f>
        <v>6960</v>
      </c>
    </row>
    <row r="534" spans="1:12" x14ac:dyDescent="0.35">
      <c r="A534" s="3" t="s">
        <v>964</v>
      </c>
      <c r="B534" s="4" t="s">
        <v>325</v>
      </c>
      <c r="C534" s="4" t="s">
        <v>326</v>
      </c>
      <c r="D534" s="4" t="s">
        <v>14</v>
      </c>
      <c r="E534" s="7">
        <v>42781</v>
      </c>
      <c r="F534" s="4" t="s">
        <v>123</v>
      </c>
      <c r="G534" s="4" t="s">
        <v>327</v>
      </c>
      <c r="H534" s="4">
        <v>50</v>
      </c>
      <c r="I534" s="4">
        <v>50</v>
      </c>
      <c r="J534" s="5">
        <v>0</v>
      </c>
      <c r="K534" s="3">
        <v>43</v>
      </c>
      <c r="L534" s="4">
        <f>tblSales[[#This Row],[Quantity]]*tblSales[[#This Row],[Actual Price]]</f>
        <v>2150</v>
      </c>
    </row>
    <row r="535" spans="1:12" x14ac:dyDescent="0.35">
      <c r="A535" s="3" t="s">
        <v>965</v>
      </c>
      <c r="B535" s="4" t="s">
        <v>265</v>
      </c>
      <c r="C535" s="4" t="s">
        <v>266</v>
      </c>
      <c r="D535" s="4" t="s">
        <v>14</v>
      </c>
      <c r="E535" s="7">
        <v>42845</v>
      </c>
      <c r="F535" s="4" t="s">
        <v>37</v>
      </c>
      <c r="G535" s="4" t="s">
        <v>600</v>
      </c>
      <c r="H535" s="4">
        <v>50</v>
      </c>
      <c r="I535" s="4">
        <v>50</v>
      </c>
      <c r="J535" s="5">
        <v>0</v>
      </c>
      <c r="K535" s="3">
        <v>33</v>
      </c>
      <c r="L535" s="4">
        <f>tblSales[[#This Row],[Quantity]]*tblSales[[#This Row],[Actual Price]]</f>
        <v>1650</v>
      </c>
    </row>
    <row r="536" spans="1:12" x14ac:dyDescent="0.35">
      <c r="A536" s="3" t="s">
        <v>966</v>
      </c>
      <c r="B536" s="4" t="s">
        <v>128</v>
      </c>
      <c r="C536" s="4" t="s">
        <v>129</v>
      </c>
      <c r="D536" s="4" t="s">
        <v>14</v>
      </c>
      <c r="E536" s="7">
        <v>42548</v>
      </c>
      <c r="F536" s="4" t="s">
        <v>116</v>
      </c>
      <c r="G536" s="4" t="s">
        <v>234</v>
      </c>
      <c r="H536" s="4">
        <v>250</v>
      </c>
      <c r="I536" s="4">
        <v>225</v>
      </c>
      <c r="J536" s="5">
        <v>0.1</v>
      </c>
      <c r="K536" s="3">
        <v>13</v>
      </c>
      <c r="L536" s="4">
        <f>tblSales[[#This Row],[Quantity]]*tblSales[[#This Row],[Actual Price]]</f>
        <v>2925</v>
      </c>
    </row>
    <row r="537" spans="1:12" x14ac:dyDescent="0.35">
      <c r="A537" s="3" t="s">
        <v>967</v>
      </c>
      <c r="B537" s="4" t="s">
        <v>96</v>
      </c>
      <c r="C537" s="4" t="s">
        <v>97</v>
      </c>
      <c r="D537" s="4" t="s">
        <v>14</v>
      </c>
      <c r="E537" s="7">
        <v>41968</v>
      </c>
      <c r="F537" s="4" t="s">
        <v>56</v>
      </c>
      <c r="G537" s="4" t="s">
        <v>217</v>
      </c>
      <c r="H537" s="4">
        <v>800</v>
      </c>
      <c r="I537" s="4">
        <v>760</v>
      </c>
      <c r="J537" s="5">
        <v>0.05</v>
      </c>
      <c r="K537" s="3">
        <v>53</v>
      </c>
      <c r="L537" s="4">
        <f>tblSales[[#This Row],[Quantity]]*tblSales[[#This Row],[Actual Price]]</f>
        <v>40280</v>
      </c>
    </row>
    <row r="538" spans="1:12" x14ac:dyDescent="0.35">
      <c r="A538" s="3" t="s">
        <v>968</v>
      </c>
      <c r="B538" s="4" t="s">
        <v>92</v>
      </c>
      <c r="C538" s="4" t="s">
        <v>93</v>
      </c>
      <c r="D538" s="4" t="s">
        <v>36</v>
      </c>
      <c r="E538" s="7">
        <v>42551</v>
      </c>
      <c r="F538" s="4" t="s">
        <v>123</v>
      </c>
      <c r="G538" s="4" t="s">
        <v>496</v>
      </c>
      <c r="H538" s="4">
        <v>50</v>
      </c>
      <c r="I538" s="4">
        <v>49</v>
      </c>
      <c r="J538" s="5">
        <v>0.02</v>
      </c>
      <c r="K538" s="3">
        <v>77</v>
      </c>
      <c r="L538" s="4">
        <f>tblSales[[#This Row],[Quantity]]*tblSales[[#This Row],[Actual Price]]</f>
        <v>3773</v>
      </c>
    </row>
    <row r="539" spans="1:12" x14ac:dyDescent="0.35">
      <c r="A539" s="3" t="s">
        <v>969</v>
      </c>
      <c r="B539" s="4" t="s">
        <v>147</v>
      </c>
      <c r="C539" s="4" t="s">
        <v>148</v>
      </c>
      <c r="D539" s="4" t="s">
        <v>14</v>
      </c>
      <c r="E539" s="7">
        <v>42757</v>
      </c>
      <c r="F539" s="4" t="s">
        <v>73</v>
      </c>
      <c r="G539" s="4" t="s">
        <v>726</v>
      </c>
      <c r="H539" s="4">
        <v>500</v>
      </c>
      <c r="I539" s="4">
        <v>495</v>
      </c>
      <c r="J539" s="5">
        <v>0.01</v>
      </c>
      <c r="K539" s="3">
        <v>10</v>
      </c>
      <c r="L539" s="4">
        <f>tblSales[[#This Row],[Quantity]]*tblSales[[#This Row],[Actual Price]]</f>
        <v>4950</v>
      </c>
    </row>
    <row r="540" spans="1:12" x14ac:dyDescent="0.35">
      <c r="A540" s="3" t="s">
        <v>970</v>
      </c>
      <c r="B540" s="4" t="s">
        <v>125</v>
      </c>
      <c r="C540" s="4" t="s">
        <v>41</v>
      </c>
      <c r="D540" s="4" t="s">
        <v>36</v>
      </c>
      <c r="E540" s="7">
        <v>42637</v>
      </c>
      <c r="F540" s="4" t="s">
        <v>116</v>
      </c>
      <c r="G540" s="4" t="s">
        <v>971</v>
      </c>
      <c r="H540" s="4">
        <v>250</v>
      </c>
      <c r="I540" s="4">
        <v>213</v>
      </c>
      <c r="J540" s="5">
        <v>0.14799999999999999</v>
      </c>
      <c r="K540" s="3">
        <v>17</v>
      </c>
      <c r="L540" s="4">
        <f>tblSales[[#This Row],[Quantity]]*tblSales[[#This Row],[Actual Price]]</f>
        <v>3621</v>
      </c>
    </row>
    <row r="541" spans="1:12" x14ac:dyDescent="0.35">
      <c r="A541" s="3" t="s">
        <v>972</v>
      </c>
      <c r="B541" s="4" t="s">
        <v>290</v>
      </c>
      <c r="C541" s="4" t="s">
        <v>109</v>
      </c>
      <c r="D541" s="4" t="s">
        <v>20</v>
      </c>
      <c r="E541" s="7">
        <v>42662</v>
      </c>
      <c r="F541" s="4" t="s">
        <v>26</v>
      </c>
      <c r="G541" s="4" t="s">
        <v>973</v>
      </c>
      <c r="H541" s="4">
        <v>700</v>
      </c>
      <c r="I541" s="4">
        <v>693</v>
      </c>
      <c r="J541" s="5">
        <v>0.01</v>
      </c>
      <c r="K541" s="3">
        <v>88</v>
      </c>
      <c r="L541" s="4">
        <f>tblSales[[#This Row],[Quantity]]*tblSales[[#This Row],[Actual Price]]</f>
        <v>60984</v>
      </c>
    </row>
    <row r="542" spans="1:12" x14ac:dyDescent="0.35">
      <c r="A542" s="3" t="s">
        <v>974</v>
      </c>
      <c r="B542" s="4" t="s">
        <v>82</v>
      </c>
      <c r="C542" s="4" t="s">
        <v>83</v>
      </c>
      <c r="D542" s="4" t="s">
        <v>14</v>
      </c>
      <c r="E542" s="7">
        <v>42684</v>
      </c>
      <c r="F542" s="4" t="s">
        <v>42</v>
      </c>
      <c r="G542" s="4" t="s">
        <v>84</v>
      </c>
      <c r="H542" s="4">
        <v>30</v>
      </c>
      <c r="I542" s="4">
        <v>28</v>
      </c>
      <c r="J542" s="5">
        <v>6.6699999999999995E-2</v>
      </c>
      <c r="K542" s="3">
        <v>88</v>
      </c>
      <c r="L542" s="4">
        <f>tblSales[[#This Row],[Quantity]]*tblSales[[#This Row],[Actual Price]]</f>
        <v>2464</v>
      </c>
    </row>
    <row r="543" spans="1:12" x14ac:dyDescent="0.35">
      <c r="A543" s="3" t="s">
        <v>975</v>
      </c>
      <c r="B543" s="4" t="s">
        <v>256</v>
      </c>
      <c r="C543" s="4" t="s">
        <v>257</v>
      </c>
      <c r="D543" s="4" t="s">
        <v>14</v>
      </c>
      <c r="E543" s="7">
        <v>42134</v>
      </c>
      <c r="F543" s="4" t="s">
        <v>26</v>
      </c>
      <c r="G543" s="4" t="s">
        <v>258</v>
      </c>
      <c r="H543" s="4">
        <v>700</v>
      </c>
      <c r="I543" s="4">
        <v>518</v>
      </c>
      <c r="J543" s="5">
        <v>0.26</v>
      </c>
      <c r="K543" s="3">
        <v>54</v>
      </c>
      <c r="L543" s="4">
        <f>tblSales[[#This Row],[Quantity]]*tblSales[[#This Row],[Actual Price]]</f>
        <v>27972</v>
      </c>
    </row>
    <row r="544" spans="1:12" x14ac:dyDescent="0.35">
      <c r="A544" s="3" t="s">
        <v>976</v>
      </c>
      <c r="B544" s="4" t="s">
        <v>45</v>
      </c>
      <c r="C544" s="4" t="s">
        <v>46</v>
      </c>
      <c r="D544" s="4" t="s">
        <v>25</v>
      </c>
      <c r="E544" s="7">
        <v>43252</v>
      </c>
      <c r="F544" s="4" t="s">
        <v>73</v>
      </c>
      <c r="G544" s="4" t="s">
        <v>432</v>
      </c>
      <c r="H544" s="4">
        <v>500</v>
      </c>
      <c r="I544" s="4">
        <v>495</v>
      </c>
      <c r="J544" s="5">
        <v>0.01</v>
      </c>
      <c r="K544" s="3">
        <v>7</v>
      </c>
      <c r="L544" s="4">
        <f>tblSales[[#This Row],[Quantity]]*tblSales[[#This Row],[Actual Price]]</f>
        <v>3465</v>
      </c>
    </row>
    <row r="545" spans="1:12" x14ac:dyDescent="0.35">
      <c r="A545" s="3" t="s">
        <v>977</v>
      </c>
      <c r="B545" s="4" t="s">
        <v>225</v>
      </c>
      <c r="C545" s="4" t="s">
        <v>51</v>
      </c>
      <c r="D545" s="4" t="s">
        <v>25</v>
      </c>
      <c r="E545" s="7">
        <v>42138</v>
      </c>
      <c r="F545" s="4" t="s">
        <v>42</v>
      </c>
      <c r="G545" s="4" t="s">
        <v>226</v>
      </c>
      <c r="H545" s="4">
        <v>30</v>
      </c>
      <c r="I545" s="4">
        <v>21</v>
      </c>
      <c r="J545" s="5">
        <v>0.3</v>
      </c>
      <c r="K545" s="3">
        <v>58</v>
      </c>
      <c r="L545" s="4">
        <f>tblSales[[#This Row],[Quantity]]*tblSales[[#This Row],[Actual Price]]</f>
        <v>1218</v>
      </c>
    </row>
    <row r="546" spans="1:12" x14ac:dyDescent="0.35">
      <c r="A546" s="3" t="s">
        <v>978</v>
      </c>
      <c r="B546" s="4" t="s">
        <v>132</v>
      </c>
      <c r="C546" s="4" t="s">
        <v>109</v>
      </c>
      <c r="D546" s="4" t="s">
        <v>20</v>
      </c>
      <c r="E546" s="7">
        <v>42993</v>
      </c>
      <c r="F546" s="4" t="s">
        <v>62</v>
      </c>
      <c r="G546" s="4" t="s">
        <v>133</v>
      </c>
      <c r="H546" s="4">
        <v>1000</v>
      </c>
      <c r="I546" s="4">
        <v>700</v>
      </c>
      <c r="J546" s="5">
        <v>0.3</v>
      </c>
      <c r="K546" s="3">
        <v>77</v>
      </c>
      <c r="L546" s="4">
        <f>tblSales[[#This Row],[Quantity]]*tblSales[[#This Row],[Actual Price]]</f>
        <v>53900</v>
      </c>
    </row>
    <row r="547" spans="1:12" x14ac:dyDescent="0.35">
      <c r="A547" s="3" t="s">
        <v>979</v>
      </c>
      <c r="B547" s="4" t="s">
        <v>271</v>
      </c>
      <c r="C547" s="4" t="s">
        <v>272</v>
      </c>
      <c r="D547" s="4" t="s">
        <v>36</v>
      </c>
      <c r="E547" s="7">
        <v>42115</v>
      </c>
      <c r="F547" s="4" t="s">
        <v>37</v>
      </c>
      <c r="G547" s="4" t="s">
        <v>567</v>
      </c>
      <c r="H547" s="4">
        <v>50</v>
      </c>
      <c r="I547" s="4">
        <v>32</v>
      </c>
      <c r="J547" s="5">
        <v>0.36</v>
      </c>
      <c r="K547" s="3">
        <v>38</v>
      </c>
      <c r="L547" s="4">
        <f>tblSales[[#This Row],[Quantity]]*tblSales[[#This Row],[Actual Price]]</f>
        <v>1216</v>
      </c>
    </row>
    <row r="548" spans="1:12" x14ac:dyDescent="0.35">
      <c r="A548" s="3" t="s">
        <v>980</v>
      </c>
      <c r="B548" s="4" t="s">
        <v>86</v>
      </c>
      <c r="C548" s="4" t="s">
        <v>87</v>
      </c>
      <c r="D548" s="4" t="s">
        <v>14</v>
      </c>
      <c r="E548" s="7">
        <v>42284</v>
      </c>
      <c r="F548" s="4" t="s">
        <v>56</v>
      </c>
      <c r="G548" s="4" t="s">
        <v>517</v>
      </c>
      <c r="H548" s="4">
        <v>800</v>
      </c>
      <c r="I548" s="4">
        <v>632</v>
      </c>
      <c r="J548" s="5">
        <v>0.21</v>
      </c>
      <c r="K548" s="3">
        <v>26</v>
      </c>
      <c r="L548" s="4">
        <f>tblSales[[#This Row],[Quantity]]*tblSales[[#This Row],[Actual Price]]</f>
        <v>16432</v>
      </c>
    </row>
    <row r="549" spans="1:12" x14ac:dyDescent="0.35">
      <c r="A549" s="3" t="s">
        <v>981</v>
      </c>
      <c r="B549" s="4" t="s">
        <v>158</v>
      </c>
      <c r="C549" s="4" t="s">
        <v>109</v>
      </c>
      <c r="D549" s="4" t="s">
        <v>20</v>
      </c>
      <c r="E549" s="7">
        <v>43453</v>
      </c>
      <c r="F549" s="4" t="s">
        <v>47</v>
      </c>
      <c r="G549" s="4" t="s">
        <v>982</v>
      </c>
      <c r="H549" s="4">
        <v>500</v>
      </c>
      <c r="I549" s="4">
        <v>450</v>
      </c>
      <c r="J549" s="5">
        <v>0.1</v>
      </c>
      <c r="K549" s="3">
        <v>49</v>
      </c>
      <c r="L549" s="4">
        <f>tblSales[[#This Row],[Quantity]]*tblSales[[#This Row],[Actual Price]]</f>
        <v>22050</v>
      </c>
    </row>
    <row r="550" spans="1:12" x14ac:dyDescent="0.35">
      <c r="A550" s="3" t="s">
        <v>983</v>
      </c>
      <c r="B550" s="4" t="s">
        <v>23</v>
      </c>
      <c r="C550" s="4" t="s">
        <v>24</v>
      </c>
      <c r="D550" s="4" t="s">
        <v>25</v>
      </c>
      <c r="E550" s="7">
        <v>42599</v>
      </c>
      <c r="F550" s="4" t="s">
        <v>37</v>
      </c>
      <c r="G550" s="4" t="s">
        <v>484</v>
      </c>
      <c r="H550" s="4">
        <v>50</v>
      </c>
      <c r="I550" s="4">
        <v>49</v>
      </c>
      <c r="J550" s="5">
        <v>0.02</v>
      </c>
      <c r="K550" s="3">
        <v>6</v>
      </c>
      <c r="L550" s="4">
        <f>tblSales[[#This Row],[Quantity]]*tblSales[[#This Row],[Actual Price]]</f>
        <v>294</v>
      </c>
    </row>
    <row r="551" spans="1:12" x14ac:dyDescent="0.35">
      <c r="A551" s="3" t="s">
        <v>984</v>
      </c>
      <c r="B551" s="4" t="s">
        <v>228</v>
      </c>
      <c r="C551" s="4" t="s">
        <v>229</v>
      </c>
      <c r="D551" s="4" t="s">
        <v>25</v>
      </c>
      <c r="E551" s="7">
        <v>42179</v>
      </c>
      <c r="F551" s="4" t="s">
        <v>56</v>
      </c>
      <c r="G551" s="4" t="s">
        <v>985</v>
      </c>
      <c r="H551" s="4">
        <v>800</v>
      </c>
      <c r="I551" s="4">
        <v>456</v>
      </c>
      <c r="J551" s="5">
        <v>0.43</v>
      </c>
      <c r="K551" s="3">
        <v>14</v>
      </c>
      <c r="L551" s="4">
        <f>tblSales[[#This Row],[Quantity]]*tblSales[[#This Row],[Actual Price]]</f>
        <v>6384</v>
      </c>
    </row>
    <row r="552" spans="1:12" x14ac:dyDescent="0.35">
      <c r="A552" s="3" t="s">
        <v>986</v>
      </c>
      <c r="B552" s="4" t="s">
        <v>265</v>
      </c>
      <c r="C552" s="4" t="s">
        <v>266</v>
      </c>
      <c r="D552" s="4" t="s">
        <v>14</v>
      </c>
      <c r="E552" s="7">
        <v>42005</v>
      </c>
      <c r="F552" s="4" t="s">
        <v>123</v>
      </c>
      <c r="G552" s="4" t="s">
        <v>315</v>
      </c>
      <c r="H552" s="4">
        <v>50</v>
      </c>
      <c r="I552" s="4">
        <v>31</v>
      </c>
      <c r="J552" s="5">
        <v>0.38</v>
      </c>
      <c r="K552" s="3">
        <v>50</v>
      </c>
      <c r="L552" s="4">
        <f>tblSales[[#This Row],[Quantity]]*tblSales[[#This Row],[Actual Price]]</f>
        <v>1550</v>
      </c>
    </row>
    <row r="553" spans="1:12" x14ac:dyDescent="0.35">
      <c r="A553" s="3" t="s">
        <v>987</v>
      </c>
      <c r="B553" s="4" t="s">
        <v>108</v>
      </c>
      <c r="C553" s="4" t="s">
        <v>109</v>
      </c>
      <c r="D553" s="4" t="s">
        <v>20</v>
      </c>
      <c r="E553" s="7">
        <v>42002</v>
      </c>
      <c r="F553" s="4" t="s">
        <v>15</v>
      </c>
      <c r="G553" s="4" t="s">
        <v>110</v>
      </c>
      <c r="H553" s="4">
        <v>80</v>
      </c>
      <c r="I553" s="4">
        <v>69</v>
      </c>
      <c r="J553" s="5">
        <v>0.13750000000000001</v>
      </c>
      <c r="K553" s="3">
        <v>35</v>
      </c>
      <c r="L553" s="4">
        <f>tblSales[[#This Row],[Quantity]]*tblSales[[#This Row],[Actual Price]]</f>
        <v>2415</v>
      </c>
    </row>
    <row r="554" spans="1:12" x14ac:dyDescent="0.35">
      <c r="A554" s="3" t="s">
        <v>988</v>
      </c>
      <c r="B554" s="4" t="s">
        <v>175</v>
      </c>
      <c r="C554" s="4" t="s">
        <v>176</v>
      </c>
      <c r="D554" s="4" t="s">
        <v>14</v>
      </c>
      <c r="E554" s="7">
        <v>42691</v>
      </c>
      <c r="F554" s="4" t="s">
        <v>15</v>
      </c>
      <c r="G554" s="4" t="s">
        <v>220</v>
      </c>
      <c r="H554" s="4">
        <v>80</v>
      </c>
      <c r="I554" s="4">
        <v>70</v>
      </c>
      <c r="J554" s="5">
        <v>0.125</v>
      </c>
      <c r="K554" s="3">
        <v>93</v>
      </c>
      <c r="L554" s="4">
        <f>tblSales[[#This Row],[Quantity]]*tblSales[[#This Row],[Actual Price]]</f>
        <v>6510</v>
      </c>
    </row>
    <row r="555" spans="1:12" x14ac:dyDescent="0.35">
      <c r="A555" s="3" t="s">
        <v>989</v>
      </c>
      <c r="B555" s="4" t="s">
        <v>29</v>
      </c>
      <c r="C555" s="4" t="s">
        <v>30</v>
      </c>
      <c r="D555" s="4" t="s">
        <v>14</v>
      </c>
      <c r="E555" s="7">
        <v>42752</v>
      </c>
      <c r="F555" s="4" t="s">
        <v>116</v>
      </c>
      <c r="G555" s="4" t="s">
        <v>446</v>
      </c>
      <c r="H555" s="4">
        <v>250</v>
      </c>
      <c r="I555" s="4">
        <v>240</v>
      </c>
      <c r="J555" s="5">
        <v>0.04</v>
      </c>
      <c r="K555" s="3">
        <v>56</v>
      </c>
      <c r="L555" s="4">
        <f>tblSales[[#This Row],[Quantity]]*tblSales[[#This Row],[Actual Price]]</f>
        <v>13440</v>
      </c>
    </row>
    <row r="556" spans="1:12" x14ac:dyDescent="0.35">
      <c r="A556" s="3" t="s">
        <v>990</v>
      </c>
      <c r="B556" s="4" t="s">
        <v>108</v>
      </c>
      <c r="C556" s="4" t="s">
        <v>109</v>
      </c>
      <c r="D556" s="4" t="s">
        <v>20</v>
      </c>
      <c r="E556" s="7">
        <v>42544</v>
      </c>
      <c r="F556" s="4" t="s">
        <v>31</v>
      </c>
      <c r="G556" s="4" t="s">
        <v>947</v>
      </c>
      <c r="H556" s="4">
        <v>150</v>
      </c>
      <c r="I556" s="4">
        <v>132</v>
      </c>
      <c r="J556" s="5">
        <v>0.12</v>
      </c>
      <c r="K556" s="3">
        <v>25</v>
      </c>
      <c r="L556" s="4">
        <f>tblSales[[#This Row],[Quantity]]*tblSales[[#This Row],[Actual Price]]</f>
        <v>3300</v>
      </c>
    </row>
    <row r="557" spans="1:12" x14ac:dyDescent="0.35">
      <c r="A557" s="3" t="s">
        <v>991</v>
      </c>
      <c r="B557" s="4" t="s">
        <v>100</v>
      </c>
      <c r="C557" s="4" t="s">
        <v>101</v>
      </c>
      <c r="D557" s="4" t="s">
        <v>14</v>
      </c>
      <c r="E557" s="7">
        <v>42648</v>
      </c>
      <c r="F557" s="4" t="s">
        <v>42</v>
      </c>
      <c r="G557" s="4" t="s">
        <v>102</v>
      </c>
      <c r="H557" s="4">
        <v>30</v>
      </c>
      <c r="I557" s="4">
        <v>27</v>
      </c>
      <c r="J557" s="5">
        <v>0.1</v>
      </c>
      <c r="K557" s="3">
        <v>43</v>
      </c>
      <c r="L557" s="4">
        <f>tblSales[[#This Row],[Quantity]]*tblSales[[#This Row],[Actual Price]]</f>
        <v>1161</v>
      </c>
    </row>
    <row r="558" spans="1:12" x14ac:dyDescent="0.35">
      <c r="A558" s="3" t="s">
        <v>992</v>
      </c>
      <c r="B558" s="4" t="s">
        <v>188</v>
      </c>
      <c r="C558" s="4" t="s">
        <v>189</v>
      </c>
      <c r="D558" s="4" t="s">
        <v>14</v>
      </c>
      <c r="E558" s="7">
        <v>42195</v>
      </c>
      <c r="F558" s="4" t="s">
        <v>56</v>
      </c>
      <c r="G558" s="4" t="s">
        <v>742</v>
      </c>
      <c r="H558" s="4">
        <v>800</v>
      </c>
      <c r="I558" s="4">
        <v>624</v>
      </c>
      <c r="J558" s="5">
        <v>0.22</v>
      </c>
      <c r="K558" s="3">
        <v>76</v>
      </c>
      <c r="L558" s="4">
        <f>tblSales[[#This Row],[Quantity]]*tblSales[[#This Row],[Actual Price]]</f>
        <v>47424</v>
      </c>
    </row>
    <row r="559" spans="1:12" x14ac:dyDescent="0.35">
      <c r="A559" s="3" t="s">
        <v>993</v>
      </c>
      <c r="B559" s="4" t="s">
        <v>155</v>
      </c>
      <c r="C559" s="4" t="s">
        <v>109</v>
      </c>
      <c r="D559" s="4" t="s">
        <v>20</v>
      </c>
      <c r="E559" s="7">
        <v>41839</v>
      </c>
      <c r="F559" s="4" t="s">
        <v>105</v>
      </c>
      <c r="G559" s="4" t="s">
        <v>994</v>
      </c>
      <c r="H559" s="4">
        <v>70</v>
      </c>
      <c r="I559" s="4">
        <v>52</v>
      </c>
      <c r="J559" s="5">
        <v>0.2571</v>
      </c>
      <c r="K559" s="3">
        <v>99</v>
      </c>
      <c r="L559" s="4">
        <f>tblSales[[#This Row],[Quantity]]*tblSales[[#This Row],[Actual Price]]</f>
        <v>5148</v>
      </c>
    </row>
    <row r="560" spans="1:12" x14ac:dyDescent="0.35">
      <c r="A560" s="3" t="s">
        <v>995</v>
      </c>
      <c r="B560" s="4" t="s">
        <v>119</v>
      </c>
      <c r="C560" s="4" t="s">
        <v>120</v>
      </c>
      <c r="D560" s="4" t="s">
        <v>36</v>
      </c>
      <c r="E560" s="7">
        <v>43061</v>
      </c>
      <c r="F560" s="4" t="s">
        <v>15</v>
      </c>
      <c r="G560" s="4" t="s">
        <v>121</v>
      </c>
      <c r="H560" s="4">
        <v>80</v>
      </c>
      <c r="I560" s="4">
        <v>77</v>
      </c>
      <c r="J560" s="5">
        <v>3.7499999999999999E-2</v>
      </c>
      <c r="K560" s="3">
        <v>97</v>
      </c>
      <c r="L560" s="4">
        <f>tblSales[[#This Row],[Quantity]]*tblSales[[#This Row],[Actual Price]]</f>
        <v>7469</v>
      </c>
    </row>
    <row r="561" spans="1:12" x14ac:dyDescent="0.35">
      <c r="A561" s="3" t="s">
        <v>996</v>
      </c>
      <c r="B561" s="4" t="s">
        <v>45</v>
      </c>
      <c r="C561" s="4" t="s">
        <v>46</v>
      </c>
      <c r="D561" s="4" t="s">
        <v>25</v>
      </c>
      <c r="E561" s="7">
        <v>43003</v>
      </c>
      <c r="F561" s="4" t="s">
        <v>42</v>
      </c>
      <c r="G561" s="4" t="s">
        <v>254</v>
      </c>
      <c r="H561" s="4">
        <v>30</v>
      </c>
      <c r="I561" s="4">
        <v>27</v>
      </c>
      <c r="J561" s="5">
        <v>0.1</v>
      </c>
      <c r="K561" s="3">
        <v>82</v>
      </c>
      <c r="L561" s="4">
        <f>tblSales[[#This Row],[Quantity]]*tblSales[[#This Row],[Actual Price]]</f>
        <v>2214</v>
      </c>
    </row>
    <row r="562" spans="1:12" x14ac:dyDescent="0.35">
      <c r="A562" s="3" t="s">
        <v>997</v>
      </c>
      <c r="B562" s="4" t="s">
        <v>151</v>
      </c>
      <c r="C562" s="4" t="s">
        <v>152</v>
      </c>
      <c r="D562" s="4" t="s">
        <v>14</v>
      </c>
      <c r="E562" s="7">
        <v>43040</v>
      </c>
      <c r="F562" s="4" t="s">
        <v>37</v>
      </c>
      <c r="G562" s="4" t="s">
        <v>772</v>
      </c>
      <c r="H562" s="4">
        <v>50</v>
      </c>
      <c r="I562" s="4">
        <v>47</v>
      </c>
      <c r="J562" s="5">
        <v>0.06</v>
      </c>
      <c r="K562" s="3">
        <v>43</v>
      </c>
      <c r="L562" s="4">
        <f>tblSales[[#This Row],[Quantity]]*tblSales[[#This Row],[Actual Price]]</f>
        <v>2021</v>
      </c>
    </row>
    <row r="563" spans="1:12" x14ac:dyDescent="0.35">
      <c r="A563" s="3" t="s">
        <v>998</v>
      </c>
      <c r="B563" s="4" t="s">
        <v>401</v>
      </c>
      <c r="C563" s="4" t="s">
        <v>402</v>
      </c>
      <c r="D563" s="4" t="s">
        <v>14</v>
      </c>
      <c r="E563" s="7">
        <v>42893</v>
      </c>
      <c r="F563" s="4" t="s">
        <v>47</v>
      </c>
      <c r="G563" s="4" t="s">
        <v>403</v>
      </c>
      <c r="H563" s="4">
        <v>500</v>
      </c>
      <c r="I563" s="4">
        <v>265</v>
      </c>
      <c r="J563" s="5">
        <v>0.47</v>
      </c>
      <c r="K563" s="3">
        <v>47</v>
      </c>
      <c r="L563" s="4">
        <f>tblSales[[#This Row],[Quantity]]*tblSales[[#This Row],[Actual Price]]</f>
        <v>12455</v>
      </c>
    </row>
    <row r="564" spans="1:12" x14ac:dyDescent="0.35">
      <c r="A564" s="3" t="s">
        <v>999</v>
      </c>
      <c r="B564" s="4" t="s">
        <v>271</v>
      </c>
      <c r="C564" s="4" t="s">
        <v>272</v>
      </c>
      <c r="D564" s="4" t="s">
        <v>36</v>
      </c>
      <c r="E564" s="7">
        <v>42659</v>
      </c>
      <c r="F564" s="4" t="s">
        <v>42</v>
      </c>
      <c r="G564" s="4" t="s">
        <v>714</v>
      </c>
      <c r="H564" s="4">
        <v>30</v>
      </c>
      <c r="I564" s="4">
        <v>28</v>
      </c>
      <c r="J564" s="5">
        <v>6.6699999999999995E-2</v>
      </c>
      <c r="K564" s="3">
        <v>62</v>
      </c>
      <c r="L564" s="4">
        <f>tblSales[[#This Row],[Quantity]]*tblSales[[#This Row],[Actual Price]]</f>
        <v>1736</v>
      </c>
    </row>
    <row r="565" spans="1:12" x14ac:dyDescent="0.35">
      <c r="A565" s="3" t="s">
        <v>1000</v>
      </c>
      <c r="B565" s="4" t="s">
        <v>50</v>
      </c>
      <c r="C565" s="4" t="s">
        <v>51</v>
      </c>
      <c r="D565" s="4" t="s">
        <v>25</v>
      </c>
      <c r="E565" s="7">
        <v>41836</v>
      </c>
      <c r="F565" s="4" t="s">
        <v>116</v>
      </c>
      <c r="G565" s="4" t="s">
        <v>1001</v>
      </c>
      <c r="H565" s="4">
        <v>250</v>
      </c>
      <c r="I565" s="4">
        <v>240</v>
      </c>
      <c r="J565" s="5">
        <v>0.04</v>
      </c>
      <c r="K565" s="3">
        <v>49</v>
      </c>
      <c r="L565" s="4">
        <f>tblSales[[#This Row],[Quantity]]*tblSales[[#This Row],[Actual Price]]</f>
        <v>11760</v>
      </c>
    </row>
    <row r="566" spans="1:12" x14ac:dyDescent="0.35">
      <c r="A566" s="3" t="s">
        <v>1002</v>
      </c>
      <c r="B566" s="4" t="s">
        <v>228</v>
      </c>
      <c r="C566" s="4" t="s">
        <v>229</v>
      </c>
      <c r="D566" s="4" t="s">
        <v>25</v>
      </c>
      <c r="E566" s="7">
        <v>43445</v>
      </c>
      <c r="F566" s="4" t="s">
        <v>37</v>
      </c>
      <c r="G566" s="4" t="s">
        <v>837</v>
      </c>
      <c r="H566" s="4">
        <v>50</v>
      </c>
      <c r="I566" s="4">
        <v>45</v>
      </c>
      <c r="J566" s="5">
        <v>0.1</v>
      </c>
      <c r="K566" s="3">
        <v>71</v>
      </c>
      <c r="L566" s="4">
        <f>tblSales[[#This Row],[Quantity]]*tblSales[[#This Row],[Actual Price]]</f>
        <v>3195</v>
      </c>
    </row>
    <row r="567" spans="1:12" x14ac:dyDescent="0.35">
      <c r="A567" s="3" t="s">
        <v>1003</v>
      </c>
      <c r="B567" s="4" t="s">
        <v>50</v>
      </c>
      <c r="C567" s="4" t="s">
        <v>51</v>
      </c>
      <c r="D567" s="4" t="s">
        <v>25</v>
      </c>
      <c r="E567" s="7">
        <v>42248</v>
      </c>
      <c r="F567" s="4" t="s">
        <v>73</v>
      </c>
      <c r="G567" s="4" t="s">
        <v>1001</v>
      </c>
      <c r="H567" s="4">
        <v>500</v>
      </c>
      <c r="I567" s="4">
        <v>490</v>
      </c>
      <c r="J567" s="5">
        <v>0.02</v>
      </c>
      <c r="K567" s="3">
        <v>22</v>
      </c>
      <c r="L567" s="4">
        <f>tblSales[[#This Row],[Quantity]]*tblSales[[#This Row],[Actual Price]]</f>
        <v>10780</v>
      </c>
    </row>
    <row r="568" spans="1:12" x14ac:dyDescent="0.35">
      <c r="A568" s="3" t="s">
        <v>1004</v>
      </c>
      <c r="B568" s="4" t="s">
        <v>155</v>
      </c>
      <c r="C568" s="4" t="s">
        <v>109</v>
      </c>
      <c r="D568" s="4" t="s">
        <v>20</v>
      </c>
      <c r="E568" s="7">
        <v>42886</v>
      </c>
      <c r="F568" s="4" t="s">
        <v>42</v>
      </c>
      <c r="G568" s="4" t="s">
        <v>1005</v>
      </c>
      <c r="H568" s="4">
        <v>30</v>
      </c>
      <c r="I568" s="4">
        <v>29</v>
      </c>
      <c r="J568" s="5">
        <v>3.3300000000000003E-2</v>
      </c>
      <c r="K568" s="3">
        <v>1</v>
      </c>
      <c r="L568" s="4">
        <f>tblSales[[#This Row],[Quantity]]*tblSales[[#This Row],[Actual Price]]</f>
        <v>29</v>
      </c>
    </row>
    <row r="569" spans="1:12" x14ac:dyDescent="0.35">
      <c r="A569" s="3" t="s">
        <v>1006</v>
      </c>
      <c r="B569" s="4" t="s">
        <v>147</v>
      </c>
      <c r="C569" s="4" t="s">
        <v>148</v>
      </c>
      <c r="D569" s="4" t="s">
        <v>14</v>
      </c>
      <c r="E569" s="7">
        <v>42902</v>
      </c>
      <c r="F569" s="4" t="s">
        <v>123</v>
      </c>
      <c r="G569" s="4" t="s">
        <v>1007</v>
      </c>
      <c r="H569" s="4">
        <v>50</v>
      </c>
      <c r="I569" s="4">
        <v>49</v>
      </c>
      <c r="J569" s="5">
        <v>0.02</v>
      </c>
      <c r="K569" s="3">
        <v>23</v>
      </c>
      <c r="L569" s="4">
        <f>tblSales[[#This Row],[Quantity]]*tblSales[[#This Row],[Actual Price]]</f>
        <v>1127</v>
      </c>
    </row>
    <row r="570" spans="1:12" x14ac:dyDescent="0.35">
      <c r="A570" s="3" t="s">
        <v>1008</v>
      </c>
      <c r="B570" s="4" t="s">
        <v>12</v>
      </c>
      <c r="C570" s="4" t="s">
        <v>13</v>
      </c>
      <c r="D570" s="4" t="s">
        <v>14</v>
      </c>
      <c r="E570" s="7">
        <v>41833</v>
      </c>
      <c r="F570" s="4" t="s">
        <v>26</v>
      </c>
      <c r="G570" s="4" t="s">
        <v>294</v>
      </c>
      <c r="H570" s="4">
        <v>700</v>
      </c>
      <c r="I570" s="4">
        <v>665</v>
      </c>
      <c r="J570" s="5">
        <v>0.05</v>
      </c>
      <c r="K570" s="3">
        <v>73</v>
      </c>
      <c r="L570" s="4">
        <f>tblSales[[#This Row],[Quantity]]*tblSales[[#This Row],[Actual Price]]</f>
        <v>48545</v>
      </c>
    </row>
    <row r="571" spans="1:12" x14ac:dyDescent="0.35">
      <c r="A571" s="3" t="s">
        <v>1009</v>
      </c>
      <c r="B571" s="4" t="s">
        <v>325</v>
      </c>
      <c r="C571" s="4" t="s">
        <v>326</v>
      </c>
      <c r="D571" s="4" t="s">
        <v>14</v>
      </c>
      <c r="E571" s="7">
        <v>41864</v>
      </c>
      <c r="F571" s="4" t="s">
        <v>56</v>
      </c>
      <c r="G571" s="4" t="s">
        <v>1010</v>
      </c>
      <c r="H571" s="4">
        <v>800</v>
      </c>
      <c r="I571" s="4">
        <v>720</v>
      </c>
      <c r="J571" s="5">
        <v>0.1</v>
      </c>
      <c r="K571" s="3">
        <v>31</v>
      </c>
      <c r="L571" s="4">
        <f>tblSales[[#This Row],[Quantity]]*tblSales[[#This Row],[Actual Price]]</f>
        <v>22320</v>
      </c>
    </row>
    <row r="572" spans="1:12" x14ac:dyDescent="0.35">
      <c r="A572" s="3" t="s">
        <v>1011</v>
      </c>
      <c r="B572" s="4" t="s">
        <v>242</v>
      </c>
      <c r="C572" s="4" t="s">
        <v>243</v>
      </c>
      <c r="D572" s="4" t="s">
        <v>14</v>
      </c>
      <c r="E572" s="7">
        <v>42460</v>
      </c>
      <c r="F572" s="4" t="s">
        <v>73</v>
      </c>
      <c r="G572" s="4" t="s">
        <v>244</v>
      </c>
      <c r="H572" s="4">
        <v>500</v>
      </c>
      <c r="I572" s="4">
        <v>500</v>
      </c>
      <c r="J572" s="5">
        <v>0</v>
      </c>
      <c r="K572" s="3">
        <v>70</v>
      </c>
      <c r="L572" s="4">
        <f>tblSales[[#This Row],[Quantity]]*tblSales[[#This Row],[Actual Price]]</f>
        <v>35000</v>
      </c>
    </row>
    <row r="573" spans="1:12" x14ac:dyDescent="0.35">
      <c r="A573" s="3" t="s">
        <v>1012</v>
      </c>
      <c r="B573" s="4" t="s">
        <v>108</v>
      </c>
      <c r="C573" s="4" t="s">
        <v>109</v>
      </c>
      <c r="D573" s="4" t="s">
        <v>20</v>
      </c>
      <c r="E573" s="7">
        <v>43338</v>
      </c>
      <c r="F573" s="4" t="s">
        <v>56</v>
      </c>
      <c r="G573" s="4" t="s">
        <v>532</v>
      </c>
      <c r="H573" s="4">
        <v>800</v>
      </c>
      <c r="I573" s="4">
        <v>680</v>
      </c>
      <c r="J573" s="5">
        <v>0.15</v>
      </c>
      <c r="K573" s="3">
        <v>68</v>
      </c>
      <c r="L573" s="4">
        <f>tblSales[[#This Row],[Quantity]]*tblSales[[#This Row],[Actual Price]]</f>
        <v>46240</v>
      </c>
    </row>
    <row r="574" spans="1:12" x14ac:dyDescent="0.35">
      <c r="A574" s="3" t="s">
        <v>1013</v>
      </c>
      <c r="B574" s="4" t="s">
        <v>104</v>
      </c>
      <c r="C574" s="4" t="s">
        <v>72</v>
      </c>
      <c r="D574" s="4" t="s">
        <v>36</v>
      </c>
      <c r="E574" s="7">
        <v>42188</v>
      </c>
      <c r="F574" s="4" t="s">
        <v>56</v>
      </c>
      <c r="G574" s="4" t="s">
        <v>106</v>
      </c>
      <c r="H574" s="4">
        <v>800</v>
      </c>
      <c r="I574" s="4">
        <v>480</v>
      </c>
      <c r="J574" s="5">
        <v>0.4</v>
      </c>
      <c r="K574" s="3">
        <v>67</v>
      </c>
      <c r="L574" s="4">
        <f>tblSales[[#This Row],[Quantity]]*tblSales[[#This Row],[Actual Price]]</f>
        <v>32160</v>
      </c>
    </row>
    <row r="575" spans="1:12" x14ac:dyDescent="0.35">
      <c r="A575" s="3" t="s">
        <v>1014</v>
      </c>
      <c r="B575" s="4" t="s">
        <v>60</v>
      </c>
      <c r="C575" s="4" t="s">
        <v>61</v>
      </c>
      <c r="D575" s="4" t="s">
        <v>14</v>
      </c>
      <c r="E575" s="7">
        <v>41855</v>
      </c>
      <c r="F575" s="4" t="s">
        <v>26</v>
      </c>
      <c r="G575" s="4" t="s">
        <v>1015</v>
      </c>
      <c r="H575" s="4">
        <v>700</v>
      </c>
      <c r="I575" s="4">
        <v>602</v>
      </c>
      <c r="J575" s="5">
        <v>0.14000000000000001</v>
      </c>
      <c r="K575" s="3">
        <v>49</v>
      </c>
      <c r="L575" s="4">
        <f>tblSales[[#This Row],[Quantity]]*tblSales[[#This Row],[Actual Price]]</f>
        <v>29498</v>
      </c>
    </row>
    <row r="576" spans="1:12" x14ac:dyDescent="0.35">
      <c r="A576" s="3" t="s">
        <v>1016</v>
      </c>
      <c r="B576" s="4" t="s">
        <v>151</v>
      </c>
      <c r="C576" s="4" t="s">
        <v>152</v>
      </c>
      <c r="D576" s="4" t="s">
        <v>14</v>
      </c>
      <c r="E576" s="7">
        <v>43113</v>
      </c>
      <c r="F576" s="4" t="s">
        <v>116</v>
      </c>
      <c r="G576" s="4" t="s">
        <v>410</v>
      </c>
      <c r="H576" s="4">
        <v>250</v>
      </c>
      <c r="I576" s="4">
        <v>220</v>
      </c>
      <c r="J576" s="5">
        <v>0.12</v>
      </c>
      <c r="K576" s="3">
        <v>39</v>
      </c>
      <c r="L576" s="4">
        <f>tblSales[[#This Row],[Quantity]]*tblSales[[#This Row],[Actual Price]]</f>
        <v>8580</v>
      </c>
    </row>
    <row r="577" spans="1:12" x14ac:dyDescent="0.35">
      <c r="A577" s="3" t="s">
        <v>1017</v>
      </c>
      <c r="B577" s="4" t="s">
        <v>125</v>
      </c>
      <c r="C577" s="4" t="s">
        <v>41</v>
      </c>
      <c r="D577" s="4" t="s">
        <v>36</v>
      </c>
      <c r="E577" s="7">
        <v>42361</v>
      </c>
      <c r="F577" s="4" t="s">
        <v>73</v>
      </c>
      <c r="G577" s="4" t="s">
        <v>1018</v>
      </c>
      <c r="H577" s="4">
        <v>500</v>
      </c>
      <c r="I577" s="4">
        <v>495</v>
      </c>
      <c r="J577" s="5">
        <v>0.01</v>
      </c>
      <c r="K577" s="3">
        <v>50</v>
      </c>
      <c r="L577" s="4">
        <f>tblSales[[#This Row],[Quantity]]*tblSales[[#This Row],[Actual Price]]</f>
        <v>24750</v>
      </c>
    </row>
    <row r="578" spans="1:12" x14ac:dyDescent="0.35">
      <c r="A578" s="3" t="s">
        <v>1019</v>
      </c>
      <c r="B578" s="4" t="s">
        <v>135</v>
      </c>
      <c r="C578" s="4" t="s">
        <v>93</v>
      </c>
      <c r="D578" s="4" t="s">
        <v>36</v>
      </c>
      <c r="E578" s="7">
        <v>42676</v>
      </c>
      <c r="F578" s="4" t="s">
        <v>15</v>
      </c>
      <c r="G578" s="4" t="s">
        <v>1020</v>
      </c>
      <c r="H578" s="4">
        <v>80</v>
      </c>
      <c r="I578" s="4">
        <v>71</v>
      </c>
      <c r="J578" s="5">
        <v>0.1125</v>
      </c>
      <c r="K578" s="3">
        <v>29</v>
      </c>
      <c r="L578" s="4">
        <f>tblSales[[#This Row],[Quantity]]*tblSales[[#This Row],[Actual Price]]</f>
        <v>2059</v>
      </c>
    </row>
    <row r="579" spans="1:12" x14ac:dyDescent="0.35">
      <c r="A579" s="3" t="s">
        <v>1021</v>
      </c>
      <c r="B579" s="4" t="s">
        <v>119</v>
      </c>
      <c r="C579" s="4" t="s">
        <v>120</v>
      </c>
      <c r="D579" s="4" t="s">
        <v>36</v>
      </c>
      <c r="E579" s="7">
        <v>43185</v>
      </c>
      <c r="F579" s="4" t="s">
        <v>62</v>
      </c>
      <c r="G579" s="4" t="s">
        <v>541</v>
      </c>
      <c r="H579" s="4">
        <v>1000</v>
      </c>
      <c r="I579" s="4">
        <v>530</v>
      </c>
      <c r="J579" s="5">
        <v>0.47</v>
      </c>
      <c r="K579" s="3">
        <v>57</v>
      </c>
      <c r="L579" s="4">
        <f>tblSales[[#This Row],[Quantity]]*tblSales[[#This Row],[Actual Price]]</f>
        <v>30210</v>
      </c>
    </row>
    <row r="580" spans="1:12" x14ac:dyDescent="0.35">
      <c r="A580" s="3" t="s">
        <v>1022</v>
      </c>
      <c r="B580" s="4" t="s">
        <v>158</v>
      </c>
      <c r="C580" s="4" t="s">
        <v>109</v>
      </c>
      <c r="D580" s="4" t="s">
        <v>20</v>
      </c>
      <c r="E580" s="7">
        <v>41862</v>
      </c>
      <c r="F580" s="4" t="s">
        <v>105</v>
      </c>
      <c r="G580" s="4" t="s">
        <v>1023</v>
      </c>
      <c r="H580" s="4">
        <v>70</v>
      </c>
      <c r="I580" s="4">
        <v>65</v>
      </c>
      <c r="J580" s="5">
        <v>7.1400000000000005E-2</v>
      </c>
      <c r="K580" s="3">
        <v>45</v>
      </c>
      <c r="L580" s="4">
        <f>tblSales[[#This Row],[Quantity]]*tblSales[[#This Row],[Actual Price]]</f>
        <v>2925</v>
      </c>
    </row>
    <row r="581" spans="1:12" x14ac:dyDescent="0.35">
      <c r="A581" s="3" t="s">
        <v>1024</v>
      </c>
      <c r="B581" s="4" t="s">
        <v>228</v>
      </c>
      <c r="C581" s="4" t="s">
        <v>229</v>
      </c>
      <c r="D581" s="4" t="s">
        <v>25</v>
      </c>
      <c r="E581" s="7">
        <v>42751</v>
      </c>
      <c r="F581" s="4" t="s">
        <v>37</v>
      </c>
      <c r="G581" s="4" t="s">
        <v>1025</v>
      </c>
      <c r="H581" s="4">
        <v>50</v>
      </c>
      <c r="I581" s="4">
        <v>49</v>
      </c>
      <c r="J581" s="5">
        <v>0.02</v>
      </c>
      <c r="K581" s="3">
        <v>6</v>
      </c>
      <c r="L581" s="4">
        <f>tblSales[[#This Row],[Quantity]]*tblSales[[#This Row],[Actual Price]]</f>
        <v>294</v>
      </c>
    </row>
    <row r="582" spans="1:12" x14ac:dyDescent="0.35">
      <c r="A582" s="3" t="s">
        <v>1026</v>
      </c>
      <c r="B582" s="4" t="s">
        <v>54</v>
      </c>
      <c r="C582" s="4" t="s">
        <v>55</v>
      </c>
      <c r="D582" s="4" t="s">
        <v>14</v>
      </c>
      <c r="E582" s="7">
        <v>42928</v>
      </c>
      <c r="F582" s="4" t="s">
        <v>42</v>
      </c>
      <c r="G582" s="4" t="s">
        <v>796</v>
      </c>
      <c r="H582" s="4">
        <v>30</v>
      </c>
      <c r="I582" s="4">
        <v>30</v>
      </c>
      <c r="J582" s="5">
        <v>0</v>
      </c>
      <c r="K582" s="3">
        <v>84</v>
      </c>
      <c r="L582" s="4">
        <f>tblSales[[#This Row],[Quantity]]*tblSales[[#This Row],[Actual Price]]</f>
        <v>2520</v>
      </c>
    </row>
    <row r="583" spans="1:12" x14ac:dyDescent="0.35">
      <c r="A583" s="3" t="s">
        <v>1027</v>
      </c>
      <c r="B583" s="4" t="s">
        <v>100</v>
      </c>
      <c r="C583" s="4" t="s">
        <v>101</v>
      </c>
      <c r="D583" s="4" t="s">
        <v>14</v>
      </c>
      <c r="E583" s="7">
        <v>43318</v>
      </c>
      <c r="F583" s="4" t="s">
        <v>15</v>
      </c>
      <c r="G583" s="4" t="s">
        <v>912</v>
      </c>
      <c r="H583" s="4">
        <v>80</v>
      </c>
      <c r="I583" s="4">
        <v>69</v>
      </c>
      <c r="J583" s="5">
        <v>0.13750000000000001</v>
      </c>
      <c r="K583" s="3">
        <v>21</v>
      </c>
      <c r="L583" s="4">
        <f>tblSales[[#This Row],[Quantity]]*tblSales[[#This Row],[Actual Price]]</f>
        <v>1449</v>
      </c>
    </row>
    <row r="584" spans="1:12" x14ac:dyDescent="0.35">
      <c r="A584" s="3" t="s">
        <v>1028</v>
      </c>
      <c r="B584" s="4" t="s">
        <v>65</v>
      </c>
      <c r="C584" s="4" t="s">
        <v>66</v>
      </c>
      <c r="D584" s="4" t="s">
        <v>36</v>
      </c>
      <c r="E584" s="7">
        <v>42852</v>
      </c>
      <c r="F584" s="4" t="s">
        <v>42</v>
      </c>
      <c r="G584" s="4" t="s">
        <v>141</v>
      </c>
      <c r="H584" s="4">
        <v>30</v>
      </c>
      <c r="I584" s="4">
        <v>29</v>
      </c>
      <c r="J584" s="5">
        <v>3.3300000000000003E-2</v>
      </c>
      <c r="K584" s="3">
        <v>81</v>
      </c>
      <c r="L584" s="4">
        <f>tblSales[[#This Row],[Quantity]]*tblSales[[#This Row],[Actual Price]]</f>
        <v>2349</v>
      </c>
    </row>
    <row r="585" spans="1:12" x14ac:dyDescent="0.35">
      <c r="A585" s="3" t="s">
        <v>1029</v>
      </c>
      <c r="B585" s="4" t="s">
        <v>108</v>
      </c>
      <c r="C585" s="4" t="s">
        <v>109</v>
      </c>
      <c r="D585" s="4" t="s">
        <v>20</v>
      </c>
      <c r="E585" s="7">
        <v>42633</v>
      </c>
      <c r="F585" s="4" t="s">
        <v>123</v>
      </c>
      <c r="G585" s="4" t="s">
        <v>1030</v>
      </c>
      <c r="H585" s="4">
        <v>50</v>
      </c>
      <c r="I585" s="4">
        <v>43</v>
      </c>
      <c r="J585" s="5">
        <v>0.14000000000000001</v>
      </c>
      <c r="K585" s="3">
        <v>62</v>
      </c>
      <c r="L585" s="4">
        <f>tblSales[[#This Row],[Quantity]]*tblSales[[#This Row],[Actual Price]]</f>
        <v>2666</v>
      </c>
    </row>
    <row r="586" spans="1:12" x14ac:dyDescent="0.35">
      <c r="A586" s="3" t="s">
        <v>1031</v>
      </c>
      <c r="B586" s="4" t="s">
        <v>188</v>
      </c>
      <c r="C586" s="4" t="s">
        <v>189</v>
      </c>
      <c r="D586" s="4" t="s">
        <v>14</v>
      </c>
      <c r="E586" s="7">
        <v>42925</v>
      </c>
      <c r="F586" s="4" t="s">
        <v>31</v>
      </c>
      <c r="G586" s="4" t="s">
        <v>798</v>
      </c>
      <c r="H586" s="4">
        <v>150</v>
      </c>
      <c r="I586" s="4">
        <v>149</v>
      </c>
      <c r="J586" s="5">
        <v>6.7000000000000002E-3</v>
      </c>
      <c r="K586" s="3">
        <v>10</v>
      </c>
      <c r="L586" s="4">
        <f>tblSales[[#This Row],[Quantity]]*tblSales[[#This Row],[Actual Price]]</f>
        <v>1490</v>
      </c>
    </row>
    <row r="587" spans="1:12" x14ac:dyDescent="0.35">
      <c r="A587" s="3" t="s">
        <v>1032</v>
      </c>
      <c r="B587" s="4" t="s">
        <v>225</v>
      </c>
      <c r="C587" s="4" t="s">
        <v>51</v>
      </c>
      <c r="D587" s="4" t="s">
        <v>25</v>
      </c>
      <c r="E587" s="7">
        <v>42095</v>
      </c>
      <c r="F587" s="4" t="s">
        <v>26</v>
      </c>
      <c r="G587" s="4" t="s">
        <v>510</v>
      </c>
      <c r="H587" s="4">
        <v>700</v>
      </c>
      <c r="I587" s="4">
        <v>574</v>
      </c>
      <c r="J587" s="5">
        <v>0.18</v>
      </c>
      <c r="K587" s="3">
        <v>19</v>
      </c>
      <c r="L587" s="4">
        <f>tblSales[[#This Row],[Quantity]]*tblSales[[#This Row],[Actual Price]]</f>
        <v>10906</v>
      </c>
    </row>
    <row r="588" spans="1:12" x14ac:dyDescent="0.35">
      <c r="A588" s="3" t="s">
        <v>1033</v>
      </c>
      <c r="B588" s="4" t="s">
        <v>147</v>
      </c>
      <c r="C588" s="4" t="s">
        <v>148</v>
      </c>
      <c r="D588" s="4" t="s">
        <v>14</v>
      </c>
      <c r="E588" s="7">
        <v>41751</v>
      </c>
      <c r="F588" s="4" t="s">
        <v>26</v>
      </c>
      <c r="G588" s="4" t="s">
        <v>1034</v>
      </c>
      <c r="H588" s="4">
        <v>700</v>
      </c>
      <c r="I588" s="4">
        <v>581</v>
      </c>
      <c r="J588" s="5">
        <v>0.17</v>
      </c>
      <c r="K588" s="3">
        <v>15</v>
      </c>
      <c r="L588" s="4">
        <f>tblSales[[#This Row],[Quantity]]*tblSales[[#This Row],[Actual Price]]</f>
        <v>8715</v>
      </c>
    </row>
    <row r="589" spans="1:12" x14ac:dyDescent="0.35">
      <c r="A589" s="3" t="s">
        <v>1035</v>
      </c>
      <c r="B589" s="4" t="s">
        <v>45</v>
      </c>
      <c r="C589" s="4" t="s">
        <v>46</v>
      </c>
      <c r="D589" s="4" t="s">
        <v>25</v>
      </c>
      <c r="E589" s="7">
        <v>41885</v>
      </c>
      <c r="F589" s="4" t="s">
        <v>37</v>
      </c>
      <c r="G589" s="4" t="s">
        <v>1036</v>
      </c>
      <c r="H589" s="4">
        <v>50</v>
      </c>
      <c r="I589" s="4">
        <v>46</v>
      </c>
      <c r="J589" s="5">
        <v>0.08</v>
      </c>
      <c r="K589" s="3">
        <v>68</v>
      </c>
      <c r="L589" s="4">
        <f>tblSales[[#This Row],[Quantity]]*tblSales[[#This Row],[Actual Price]]</f>
        <v>3128</v>
      </c>
    </row>
    <row r="590" spans="1:12" x14ac:dyDescent="0.35">
      <c r="A590" s="3" t="s">
        <v>1037</v>
      </c>
      <c r="B590" s="4" t="s">
        <v>171</v>
      </c>
      <c r="C590" s="4" t="s">
        <v>172</v>
      </c>
      <c r="D590" s="4" t="s">
        <v>14</v>
      </c>
      <c r="E590" s="7">
        <v>41790</v>
      </c>
      <c r="F590" s="4" t="s">
        <v>62</v>
      </c>
      <c r="G590" s="4" t="s">
        <v>942</v>
      </c>
      <c r="H590" s="4">
        <v>1000</v>
      </c>
      <c r="I590" s="4">
        <v>610</v>
      </c>
      <c r="J590" s="5">
        <v>0.39</v>
      </c>
      <c r="K590" s="3">
        <v>54</v>
      </c>
      <c r="L590" s="4">
        <f>tblSales[[#This Row],[Quantity]]*tblSales[[#This Row],[Actual Price]]</f>
        <v>32940</v>
      </c>
    </row>
    <row r="591" spans="1:12" x14ac:dyDescent="0.35">
      <c r="A591" s="3" t="s">
        <v>1038</v>
      </c>
      <c r="B591" s="4" t="s">
        <v>225</v>
      </c>
      <c r="C591" s="4" t="s">
        <v>51</v>
      </c>
      <c r="D591" s="4" t="s">
        <v>25</v>
      </c>
      <c r="E591" s="7">
        <v>42869</v>
      </c>
      <c r="F591" s="4" t="s">
        <v>31</v>
      </c>
      <c r="G591" s="4" t="s">
        <v>1039</v>
      </c>
      <c r="H591" s="4">
        <v>150</v>
      </c>
      <c r="I591" s="4">
        <v>147</v>
      </c>
      <c r="J591" s="5">
        <v>0.02</v>
      </c>
      <c r="K591" s="3">
        <v>18</v>
      </c>
      <c r="L591" s="4">
        <f>tblSales[[#This Row],[Quantity]]*tblSales[[#This Row],[Actual Price]]</f>
        <v>2646</v>
      </c>
    </row>
    <row r="592" spans="1:12" x14ac:dyDescent="0.35">
      <c r="A592" s="3" t="s">
        <v>1040</v>
      </c>
      <c r="B592" s="4" t="s">
        <v>206</v>
      </c>
      <c r="C592" s="4" t="s">
        <v>207</v>
      </c>
      <c r="D592" s="4" t="s">
        <v>25</v>
      </c>
      <c r="E592" s="7">
        <v>42584</v>
      </c>
      <c r="F592" s="4" t="s">
        <v>26</v>
      </c>
      <c r="G592" s="4" t="s">
        <v>682</v>
      </c>
      <c r="H592" s="4">
        <v>700</v>
      </c>
      <c r="I592" s="4">
        <v>602</v>
      </c>
      <c r="J592" s="5">
        <v>0.14000000000000001</v>
      </c>
      <c r="K592" s="3">
        <v>41</v>
      </c>
      <c r="L592" s="4">
        <f>tblSales[[#This Row],[Quantity]]*tblSales[[#This Row],[Actual Price]]</f>
        <v>24682</v>
      </c>
    </row>
    <row r="593" spans="1:12" x14ac:dyDescent="0.35">
      <c r="A593" s="3" t="s">
        <v>1041</v>
      </c>
      <c r="B593" s="4" t="s">
        <v>290</v>
      </c>
      <c r="C593" s="4" t="s">
        <v>109</v>
      </c>
      <c r="D593" s="4" t="s">
        <v>20</v>
      </c>
      <c r="E593" s="7">
        <v>42321</v>
      </c>
      <c r="F593" s="4" t="s">
        <v>47</v>
      </c>
      <c r="G593" s="4" t="s">
        <v>1042</v>
      </c>
      <c r="H593" s="4">
        <v>500</v>
      </c>
      <c r="I593" s="4">
        <v>495</v>
      </c>
      <c r="J593" s="5">
        <v>0.01</v>
      </c>
      <c r="K593" s="3">
        <v>25</v>
      </c>
      <c r="L593" s="4">
        <f>tblSales[[#This Row],[Quantity]]*tblSales[[#This Row],[Actual Price]]</f>
        <v>12375</v>
      </c>
    </row>
    <row r="594" spans="1:12" x14ac:dyDescent="0.35">
      <c r="A594" s="3" t="s">
        <v>1043</v>
      </c>
      <c r="B594" s="4" t="s">
        <v>183</v>
      </c>
      <c r="C594" s="4" t="s">
        <v>109</v>
      </c>
      <c r="D594" s="4" t="s">
        <v>20</v>
      </c>
      <c r="E594" s="7">
        <v>42844</v>
      </c>
      <c r="F594" s="4" t="s">
        <v>26</v>
      </c>
      <c r="G594" s="4" t="s">
        <v>1044</v>
      </c>
      <c r="H594" s="4">
        <v>700</v>
      </c>
      <c r="I594" s="4">
        <v>665</v>
      </c>
      <c r="J594" s="5">
        <v>0.05</v>
      </c>
      <c r="K594" s="3">
        <v>100</v>
      </c>
      <c r="L594" s="4">
        <f>tblSales[[#This Row],[Quantity]]*tblSales[[#This Row],[Actual Price]]</f>
        <v>66500</v>
      </c>
    </row>
    <row r="595" spans="1:12" x14ac:dyDescent="0.35">
      <c r="A595" s="3" t="s">
        <v>1045</v>
      </c>
      <c r="B595" s="4" t="s">
        <v>175</v>
      </c>
      <c r="C595" s="4" t="s">
        <v>176</v>
      </c>
      <c r="D595" s="4" t="s">
        <v>14</v>
      </c>
      <c r="E595" s="7">
        <v>42961</v>
      </c>
      <c r="F595" s="4" t="s">
        <v>47</v>
      </c>
      <c r="G595" s="4" t="s">
        <v>220</v>
      </c>
      <c r="H595" s="4">
        <v>500</v>
      </c>
      <c r="I595" s="4">
        <v>485</v>
      </c>
      <c r="J595" s="5">
        <v>0.03</v>
      </c>
      <c r="K595" s="3">
        <v>6</v>
      </c>
      <c r="L595" s="4">
        <f>tblSales[[#This Row],[Quantity]]*tblSales[[#This Row],[Actual Price]]</f>
        <v>2910</v>
      </c>
    </row>
    <row r="596" spans="1:12" x14ac:dyDescent="0.35">
      <c r="A596" s="3" t="s">
        <v>1046</v>
      </c>
      <c r="B596" s="4" t="s">
        <v>12</v>
      </c>
      <c r="C596" s="4" t="s">
        <v>13</v>
      </c>
      <c r="D596" s="4" t="s">
        <v>14</v>
      </c>
      <c r="E596" s="7">
        <v>43202</v>
      </c>
      <c r="F596" s="4" t="s">
        <v>15</v>
      </c>
      <c r="G596" s="4" t="s">
        <v>349</v>
      </c>
      <c r="H596" s="4">
        <v>80</v>
      </c>
      <c r="I596" s="4">
        <v>79</v>
      </c>
      <c r="J596" s="5">
        <v>1.2500000000000001E-2</v>
      </c>
      <c r="K596" s="3">
        <v>5</v>
      </c>
      <c r="L596" s="4">
        <f>tblSales[[#This Row],[Quantity]]*tblSales[[#This Row],[Actual Price]]</f>
        <v>395</v>
      </c>
    </row>
    <row r="597" spans="1:12" x14ac:dyDescent="0.35">
      <c r="A597" s="3" t="s">
        <v>1047</v>
      </c>
      <c r="B597" s="4" t="s">
        <v>82</v>
      </c>
      <c r="C597" s="4" t="s">
        <v>83</v>
      </c>
      <c r="D597" s="4" t="s">
        <v>14</v>
      </c>
      <c r="E597" s="7">
        <v>43426</v>
      </c>
      <c r="F597" s="4" t="s">
        <v>62</v>
      </c>
      <c r="G597" s="4" t="s">
        <v>1048</v>
      </c>
      <c r="H597" s="4">
        <v>1000</v>
      </c>
      <c r="I597" s="4">
        <v>540</v>
      </c>
      <c r="J597" s="5">
        <v>0.46</v>
      </c>
      <c r="K597" s="3">
        <v>17</v>
      </c>
      <c r="L597" s="4">
        <f>tblSales[[#This Row],[Quantity]]*tblSales[[#This Row],[Actual Price]]</f>
        <v>9180</v>
      </c>
    </row>
    <row r="598" spans="1:12" x14ac:dyDescent="0.35">
      <c r="A598" s="3" t="s">
        <v>1049</v>
      </c>
      <c r="B598" s="4" t="s">
        <v>82</v>
      </c>
      <c r="C598" s="4" t="s">
        <v>83</v>
      </c>
      <c r="D598" s="4" t="s">
        <v>14</v>
      </c>
      <c r="E598" s="7">
        <v>42348</v>
      </c>
      <c r="F598" s="4" t="s">
        <v>15</v>
      </c>
      <c r="G598" s="4" t="s">
        <v>862</v>
      </c>
      <c r="H598" s="4">
        <v>80</v>
      </c>
      <c r="I598" s="4">
        <v>70</v>
      </c>
      <c r="J598" s="5">
        <v>0.125</v>
      </c>
      <c r="K598" s="3">
        <v>25</v>
      </c>
      <c r="L598" s="4">
        <f>tblSales[[#This Row],[Quantity]]*tblSales[[#This Row],[Actual Price]]</f>
        <v>1750</v>
      </c>
    </row>
    <row r="599" spans="1:12" x14ac:dyDescent="0.35">
      <c r="A599" s="3" t="s">
        <v>1050</v>
      </c>
      <c r="B599" s="4" t="s">
        <v>119</v>
      </c>
      <c r="C599" s="4" t="s">
        <v>120</v>
      </c>
      <c r="D599" s="4" t="s">
        <v>36</v>
      </c>
      <c r="E599" s="7">
        <v>43375</v>
      </c>
      <c r="F599" s="4" t="s">
        <v>123</v>
      </c>
      <c r="G599" s="4" t="s">
        <v>848</v>
      </c>
      <c r="H599" s="4">
        <v>50</v>
      </c>
      <c r="I599" s="4">
        <v>49</v>
      </c>
      <c r="J599" s="5">
        <v>0.02</v>
      </c>
      <c r="K599" s="3">
        <v>67</v>
      </c>
      <c r="L599" s="4">
        <f>tblSales[[#This Row],[Quantity]]*tblSales[[#This Row],[Actual Price]]</f>
        <v>3283</v>
      </c>
    </row>
    <row r="600" spans="1:12" x14ac:dyDescent="0.35">
      <c r="A600" s="3" t="s">
        <v>1051</v>
      </c>
      <c r="B600" s="4" t="s">
        <v>242</v>
      </c>
      <c r="C600" s="4" t="s">
        <v>243</v>
      </c>
      <c r="D600" s="4" t="s">
        <v>14</v>
      </c>
      <c r="E600" s="7">
        <v>42309</v>
      </c>
      <c r="F600" s="4" t="s">
        <v>15</v>
      </c>
      <c r="G600" s="4" t="s">
        <v>351</v>
      </c>
      <c r="H600" s="4">
        <v>80</v>
      </c>
      <c r="I600" s="4">
        <v>62</v>
      </c>
      <c r="J600" s="5">
        <v>0.22500000000000001</v>
      </c>
      <c r="K600" s="3">
        <v>67</v>
      </c>
      <c r="L600" s="4">
        <f>tblSales[[#This Row],[Quantity]]*tblSales[[#This Row],[Actual Price]]</f>
        <v>4154</v>
      </c>
    </row>
    <row r="601" spans="1:12" x14ac:dyDescent="0.35">
      <c r="A601" s="3" t="s">
        <v>1052</v>
      </c>
      <c r="B601" s="4" t="s">
        <v>40</v>
      </c>
      <c r="C601" s="4" t="s">
        <v>41</v>
      </c>
      <c r="D601" s="4" t="s">
        <v>36</v>
      </c>
      <c r="E601" s="7">
        <v>42748</v>
      </c>
      <c r="F601" s="4" t="s">
        <v>31</v>
      </c>
      <c r="G601" s="4" t="s">
        <v>845</v>
      </c>
      <c r="H601" s="4">
        <v>150</v>
      </c>
      <c r="I601" s="4">
        <v>143</v>
      </c>
      <c r="J601" s="5">
        <v>4.6699999999999998E-2</v>
      </c>
      <c r="K601" s="3">
        <v>87</v>
      </c>
      <c r="L601" s="4">
        <f>tblSales[[#This Row],[Quantity]]*tblSales[[#This Row],[Actual Price]]</f>
        <v>12441</v>
      </c>
    </row>
    <row r="602" spans="1:12" x14ac:dyDescent="0.35">
      <c r="A602" s="3" t="s">
        <v>1053</v>
      </c>
      <c r="B602" s="4" t="s">
        <v>265</v>
      </c>
      <c r="C602" s="4" t="s">
        <v>266</v>
      </c>
      <c r="D602" s="4" t="s">
        <v>14</v>
      </c>
      <c r="E602" s="7">
        <v>43208</v>
      </c>
      <c r="F602" s="4" t="s">
        <v>42</v>
      </c>
      <c r="G602" s="4" t="s">
        <v>267</v>
      </c>
      <c r="H602" s="4">
        <v>30</v>
      </c>
      <c r="I602" s="4">
        <v>26</v>
      </c>
      <c r="J602" s="5">
        <v>0.1333</v>
      </c>
      <c r="K602" s="3">
        <v>54</v>
      </c>
      <c r="L602" s="4">
        <f>tblSales[[#This Row],[Quantity]]*tblSales[[#This Row],[Actual Price]]</f>
        <v>1404</v>
      </c>
    </row>
    <row r="603" spans="1:12" x14ac:dyDescent="0.35">
      <c r="A603" s="3" t="s">
        <v>1054</v>
      </c>
      <c r="B603" s="4" t="s">
        <v>435</v>
      </c>
      <c r="C603" s="4" t="s">
        <v>436</v>
      </c>
      <c r="D603" s="4" t="s">
        <v>25</v>
      </c>
      <c r="E603" s="7">
        <v>42939</v>
      </c>
      <c r="F603" s="4" t="s">
        <v>116</v>
      </c>
      <c r="G603" s="4" t="s">
        <v>829</v>
      </c>
      <c r="H603" s="4">
        <v>250</v>
      </c>
      <c r="I603" s="4">
        <v>248</v>
      </c>
      <c r="J603" s="5">
        <v>8.0000000000000002E-3</v>
      </c>
      <c r="K603" s="3">
        <v>65</v>
      </c>
      <c r="L603" s="4">
        <f>tblSales[[#This Row],[Quantity]]*tblSales[[#This Row],[Actual Price]]</f>
        <v>16120</v>
      </c>
    </row>
    <row r="604" spans="1:12" x14ac:dyDescent="0.35">
      <c r="A604" s="3" t="s">
        <v>1055</v>
      </c>
      <c r="B604" s="4" t="s">
        <v>175</v>
      </c>
      <c r="C604" s="4" t="s">
        <v>176</v>
      </c>
      <c r="D604" s="4" t="s">
        <v>14</v>
      </c>
      <c r="E604" s="7">
        <v>43327</v>
      </c>
      <c r="F604" s="4" t="s">
        <v>37</v>
      </c>
      <c r="G604" s="4" t="s">
        <v>177</v>
      </c>
      <c r="H604" s="4">
        <v>50</v>
      </c>
      <c r="I604" s="4">
        <v>44</v>
      </c>
      <c r="J604" s="5">
        <v>0.12</v>
      </c>
      <c r="K604" s="3">
        <v>75</v>
      </c>
      <c r="L604" s="4">
        <f>tblSales[[#This Row],[Quantity]]*tblSales[[#This Row],[Actual Price]]</f>
        <v>3300</v>
      </c>
    </row>
    <row r="605" spans="1:12" x14ac:dyDescent="0.35">
      <c r="A605" s="3" t="s">
        <v>1056</v>
      </c>
      <c r="B605" s="4" t="s">
        <v>86</v>
      </c>
      <c r="C605" s="4" t="s">
        <v>87</v>
      </c>
      <c r="D605" s="4" t="s">
        <v>14</v>
      </c>
      <c r="E605" s="7">
        <v>42238</v>
      </c>
      <c r="F605" s="4" t="s">
        <v>116</v>
      </c>
      <c r="G605" s="4" t="s">
        <v>629</v>
      </c>
      <c r="H605" s="4">
        <v>250</v>
      </c>
      <c r="I605" s="4">
        <v>173</v>
      </c>
      <c r="J605" s="5">
        <v>0.308</v>
      </c>
      <c r="K605" s="3">
        <v>85</v>
      </c>
      <c r="L605" s="4">
        <f>tblSales[[#This Row],[Quantity]]*tblSales[[#This Row],[Actual Price]]</f>
        <v>14705</v>
      </c>
    </row>
    <row r="606" spans="1:12" x14ac:dyDescent="0.35">
      <c r="A606" s="3" t="s">
        <v>1057</v>
      </c>
      <c r="B606" s="4" t="s">
        <v>65</v>
      </c>
      <c r="C606" s="4" t="s">
        <v>66</v>
      </c>
      <c r="D606" s="4" t="s">
        <v>36</v>
      </c>
      <c r="E606" s="7">
        <v>42490</v>
      </c>
      <c r="F606" s="4" t="s">
        <v>62</v>
      </c>
      <c r="G606" s="4" t="s">
        <v>1058</v>
      </c>
      <c r="H606" s="4">
        <v>1000</v>
      </c>
      <c r="I606" s="4">
        <v>850</v>
      </c>
      <c r="J606" s="5">
        <v>0.15</v>
      </c>
      <c r="K606" s="3">
        <v>99</v>
      </c>
      <c r="L606" s="4">
        <f>tblSales[[#This Row],[Quantity]]*tblSales[[#This Row],[Actual Price]]</f>
        <v>84150</v>
      </c>
    </row>
    <row r="607" spans="1:12" x14ac:dyDescent="0.35">
      <c r="A607" s="3" t="s">
        <v>1059</v>
      </c>
      <c r="B607" s="4" t="s">
        <v>222</v>
      </c>
      <c r="C607" s="4" t="s">
        <v>41</v>
      </c>
      <c r="D607" s="4" t="s">
        <v>36</v>
      </c>
      <c r="E607" s="7">
        <v>41774</v>
      </c>
      <c r="F607" s="4" t="s">
        <v>37</v>
      </c>
      <c r="G607" s="4" t="s">
        <v>1060</v>
      </c>
      <c r="H607" s="4">
        <v>50</v>
      </c>
      <c r="I607" s="4">
        <v>40</v>
      </c>
      <c r="J607" s="5">
        <v>0.2</v>
      </c>
      <c r="K607" s="3">
        <v>100</v>
      </c>
      <c r="L607" s="4">
        <f>tblSales[[#This Row],[Quantity]]*tblSales[[#This Row],[Actual Price]]</f>
        <v>4000</v>
      </c>
    </row>
    <row r="608" spans="1:12" x14ac:dyDescent="0.35">
      <c r="A608" s="3" t="s">
        <v>1061</v>
      </c>
      <c r="B608" s="4" t="s">
        <v>401</v>
      </c>
      <c r="C608" s="4" t="s">
        <v>402</v>
      </c>
      <c r="D608" s="4" t="s">
        <v>14</v>
      </c>
      <c r="E608" s="7">
        <v>42384</v>
      </c>
      <c r="F608" s="4" t="s">
        <v>116</v>
      </c>
      <c r="G608" s="4" t="s">
        <v>694</v>
      </c>
      <c r="H608" s="4">
        <v>250</v>
      </c>
      <c r="I608" s="4">
        <v>218</v>
      </c>
      <c r="J608" s="5">
        <v>0.128</v>
      </c>
      <c r="K608" s="3">
        <v>87</v>
      </c>
      <c r="L608" s="4">
        <f>tblSales[[#This Row],[Quantity]]*tblSales[[#This Row],[Actual Price]]</f>
        <v>18966</v>
      </c>
    </row>
    <row r="609" spans="1:12" x14ac:dyDescent="0.35">
      <c r="A609" s="3" t="s">
        <v>1062</v>
      </c>
      <c r="B609" s="4" t="s">
        <v>135</v>
      </c>
      <c r="C609" s="4" t="s">
        <v>93</v>
      </c>
      <c r="D609" s="4" t="s">
        <v>36</v>
      </c>
      <c r="E609" s="7">
        <v>42597</v>
      </c>
      <c r="F609" s="4" t="s">
        <v>15</v>
      </c>
      <c r="G609" s="4" t="s">
        <v>1063</v>
      </c>
      <c r="H609" s="4">
        <v>80</v>
      </c>
      <c r="I609" s="4">
        <v>79</v>
      </c>
      <c r="J609" s="5">
        <v>1.2500000000000001E-2</v>
      </c>
      <c r="K609" s="3">
        <v>51</v>
      </c>
      <c r="L609" s="4">
        <f>tblSales[[#This Row],[Quantity]]*tblSales[[#This Row],[Actual Price]]</f>
        <v>4029</v>
      </c>
    </row>
    <row r="610" spans="1:12" x14ac:dyDescent="0.35">
      <c r="A610" s="3" t="s">
        <v>1064</v>
      </c>
      <c r="B610" s="4" t="s">
        <v>158</v>
      </c>
      <c r="C610" s="4" t="s">
        <v>109</v>
      </c>
      <c r="D610" s="4" t="s">
        <v>20</v>
      </c>
      <c r="E610" s="7">
        <v>41755</v>
      </c>
      <c r="F610" s="4" t="s">
        <v>123</v>
      </c>
      <c r="G610" s="4" t="s">
        <v>572</v>
      </c>
      <c r="H610" s="4">
        <v>50</v>
      </c>
      <c r="I610" s="4">
        <v>40</v>
      </c>
      <c r="J610" s="5">
        <v>0.2</v>
      </c>
      <c r="K610" s="3">
        <v>64</v>
      </c>
      <c r="L610" s="4">
        <f>tblSales[[#This Row],[Quantity]]*tblSales[[#This Row],[Actual Price]]</f>
        <v>2560</v>
      </c>
    </row>
    <row r="611" spans="1:12" x14ac:dyDescent="0.35">
      <c r="A611" s="3" t="s">
        <v>1065</v>
      </c>
      <c r="B611" s="4" t="s">
        <v>92</v>
      </c>
      <c r="C611" s="4" t="s">
        <v>93</v>
      </c>
      <c r="D611" s="4" t="s">
        <v>36</v>
      </c>
      <c r="E611" s="7">
        <v>43438</v>
      </c>
      <c r="F611" s="4" t="s">
        <v>123</v>
      </c>
      <c r="G611" s="4" t="s">
        <v>200</v>
      </c>
      <c r="H611" s="4">
        <v>50</v>
      </c>
      <c r="I611" s="4">
        <v>44</v>
      </c>
      <c r="J611" s="5">
        <v>0.12</v>
      </c>
      <c r="K611" s="3">
        <v>29</v>
      </c>
      <c r="L611" s="4">
        <f>tblSales[[#This Row],[Quantity]]*tblSales[[#This Row],[Actual Price]]</f>
        <v>1276</v>
      </c>
    </row>
    <row r="612" spans="1:12" x14ac:dyDescent="0.35">
      <c r="A612" s="3" t="s">
        <v>1066</v>
      </c>
      <c r="B612" s="4" t="s">
        <v>115</v>
      </c>
      <c r="C612" s="4" t="s">
        <v>55</v>
      </c>
      <c r="D612" s="4" t="s">
        <v>14</v>
      </c>
      <c r="E612" s="7">
        <v>41932</v>
      </c>
      <c r="F612" s="4" t="s">
        <v>26</v>
      </c>
      <c r="G612" s="4" t="s">
        <v>236</v>
      </c>
      <c r="H612" s="4">
        <v>700</v>
      </c>
      <c r="I612" s="4">
        <v>553</v>
      </c>
      <c r="J612" s="5">
        <v>0.21</v>
      </c>
      <c r="K612" s="3">
        <v>71</v>
      </c>
      <c r="L612" s="4">
        <f>tblSales[[#This Row],[Quantity]]*tblSales[[#This Row],[Actual Price]]</f>
        <v>39263</v>
      </c>
    </row>
    <row r="613" spans="1:12" x14ac:dyDescent="0.35">
      <c r="A613" s="3" t="s">
        <v>1067</v>
      </c>
      <c r="B613" s="4" t="s">
        <v>60</v>
      </c>
      <c r="C613" s="4" t="s">
        <v>61</v>
      </c>
      <c r="D613" s="4" t="s">
        <v>14</v>
      </c>
      <c r="E613" s="7">
        <v>42923</v>
      </c>
      <c r="F613" s="4" t="s">
        <v>105</v>
      </c>
      <c r="G613" s="4" t="s">
        <v>782</v>
      </c>
      <c r="H613" s="4">
        <v>70</v>
      </c>
      <c r="I613" s="4">
        <v>66</v>
      </c>
      <c r="J613" s="5">
        <v>5.7099999999999998E-2</v>
      </c>
      <c r="K613" s="3">
        <v>83</v>
      </c>
      <c r="L613" s="4">
        <f>tblSales[[#This Row],[Quantity]]*tblSales[[#This Row],[Actual Price]]</f>
        <v>5478</v>
      </c>
    </row>
    <row r="614" spans="1:12" x14ac:dyDescent="0.35">
      <c r="A614" s="3" t="s">
        <v>1068</v>
      </c>
      <c r="B614" s="4" t="s">
        <v>115</v>
      </c>
      <c r="C614" s="4" t="s">
        <v>55</v>
      </c>
      <c r="D614" s="4" t="s">
        <v>14</v>
      </c>
      <c r="E614" s="7">
        <v>43015</v>
      </c>
      <c r="F614" s="4" t="s">
        <v>62</v>
      </c>
      <c r="G614" s="4" t="s">
        <v>1069</v>
      </c>
      <c r="H614" s="4">
        <v>1000</v>
      </c>
      <c r="I614" s="4">
        <v>920</v>
      </c>
      <c r="J614" s="5">
        <v>0.08</v>
      </c>
      <c r="K614" s="3">
        <v>15</v>
      </c>
      <c r="L614" s="4">
        <f>tblSales[[#This Row],[Quantity]]*tblSales[[#This Row],[Actual Price]]</f>
        <v>13800</v>
      </c>
    </row>
    <row r="615" spans="1:12" x14ac:dyDescent="0.35">
      <c r="A615" s="3" t="s">
        <v>1070</v>
      </c>
      <c r="B615" s="4" t="s">
        <v>45</v>
      </c>
      <c r="C615" s="4" t="s">
        <v>46</v>
      </c>
      <c r="D615" s="4" t="s">
        <v>25</v>
      </c>
      <c r="E615" s="7">
        <v>43348</v>
      </c>
      <c r="F615" s="4" t="s">
        <v>37</v>
      </c>
      <c r="G615" s="4" t="s">
        <v>1071</v>
      </c>
      <c r="H615" s="4">
        <v>50</v>
      </c>
      <c r="I615" s="4">
        <v>50</v>
      </c>
      <c r="J615" s="5">
        <v>0</v>
      </c>
      <c r="K615" s="3">
        <v>52</v>
      </c>
      <c r="L615" s="4">
        <f>tblSales[[#This Row],[Quantity]]*tblSales[[#This Row],[Actual Price]]</f>
        <v>2600</v>
      </c>
    </row>
    <row r="616" spans="1:12" x14ac:dyDescent="0.35">
      <c r="A616" s="3" t="s">
        <v>1072</v>
      </c>
      <c r="B616" s="4" t="s">
        <v>78</v>
      </c>
      <c r="C616" s="4" t="s">
        <v>79</v>
      </c>
      <c r="D616" s="4" t="s">
        <v>36</v>
      </c>
      <c r="E616" s="7">
        <v>42244</v>
      </c>
      <c r="F616" s="4" t="s">
        <v>105</v>
      </c>
      <c r="G616" s="4" t="s">
        <v>1073</v>
      </c>
      <c r="H616" s="4">
        <v>70</v>
      </c>
      <c r="I616" s="4">
        <v>53</v>
      </c>
      <c r="J616" s="5">
        <v>0.2429</v>
      </c>
      <c r="K616" s="3">
        <v>22</v>
      </c>
      <c r="L616" s="4">
        <f>tblSales[[#This Row],[Quantity]]*tblSales[[#This Row],[Actual Price]]</f>
        <v>1166</v>
      </c>
    </row>
    <row r="617" spans="1:12" x14ac:dyDescent="0.35">
      <c r="A617" s="3" t="s">
        <v>1074</v>
      </c>
      <c r="B617" s="4" t="s">
        <v>155</v>
      </c>
      <c r="C617" s="4" t="s">
        <v>109</v>
      </c>
      <c r="D617" s="4" t="s">
        <v>20</v>
      </c>
      <c r="E617" s="7">
        <v>41733</v>
      </c>
      <c r="F617" s="4" t="s">
        <v>62</v>
      </c>
      <c r="G617" s="4" t="s">
        <v>353</v>
      </c>
      <c r="H617" s="4">
        <v>1000</v>
      </c>
      <c r="I617" s="4">
        <v>780</v>
      </c>
      <c r="J617" s="5">
        <v>0.22</v>
      </c>
      <c r="K617" s="3">
        <v>42</v>
      </c>
      <c r="L617" s="4">
        <f>tblSales[[#This Row],[Quantity]]*tblSales[[#This Row],[Actual Price]]</f>
        <v>32760</v>
      </c>
    </row>
    <row r="618" spans="1:12" x14ac:dyDescent="0.35">
      <c r="A618" s="3" t="s">
        <v>1075</v>
      </c>
      <c r="B618" s="4" t="s">
        <v>119</v>
      </c>
      <c r="C618" s="4" t="s">
        <v>120</v>
      </c>
      <c r="D618" s="4" t="s">
        <v>36</v>
      </c>
      <c r="E618" s="7">
        <v>42114</v>
      </c>
      <c r="F618" s="4" t="s">
        <v>26</v>
      </c>
      <c r="G618" s="4" t="s">
        <v>897</v>
      </c>
      <c r="H618" s="4">
        <v>700</v>
      </c>
      <c r="I618" s="4">
        <v>686</v>
      </c>
      <c r="J618" s="5">
        <v>0.02</v>
      </c>
      <c r="K618" s="3">
        <v>58</v>
      </c>
      <c r="L618" s="4">
        <f>tblSales[[#This Row],[Quantity]]*tblSales[[#This Row],[Actual Price]]</f>
        <v>39788</v>
      </c>
    </row>
    <row r="619" spans="1:12" x14ac:dyDescent="0.35">
      <c r="A619" s="3" t="s">
        <v>1076</v>
      </c>
      <c r="B619" s="4" t="s">
        <v>108</v>
      </c>
      <c r="C619" s="4" t="s">
        <v>109</v>
      </c>
      <c r="D619" s="4" t="s">
        <v>20</v>
      </c>
      <c r="E619" s="7">
        <v>41934</v>
      </c>
      <c r="F619" s="4" t="s">
        <v>31</v>
      </c>
      <c r="G619" s="4" t="s">
        <v>1030</v>
      </c>
      <c r="H619" s="4">
        <v>150</v>
      </c>
      <c r="I619" s="4">
        <v>108</v>
      </c>
      <c r="J619" s="5">
        <v>0.28000000000000003</v>
      </c>
      <c r="K619" s="3">
        <v>41</v>
      </c>
      <c r="L619" s="4">
        <f>tblSales[[#This Row],[Quantity]]*tblSales[[#This Row],[Actual Price]]</f>
        <v>4428</v>
      </c>
    </row>
    <row r="620" spans="1:12" x14ac:dyDescent="0.35">
      <c r="A620" s="3" t="s">
        <v>1077</v>
      </c>
      <c r="B620" s="4" t="s">
        <v>265</v>
      </c>
      <c r="C620" s="4" t="s">
        <v>266</v>
      </c>
      <c r="D620" s="4" t="s">
        <v>14</v>
      </c>
      <c r="E620" s="7">
        <v>43267</v>
      </c>
      <c r="F620" s="4" t="s">
        <v>62</v>
      </c>
      <c r="G620" s="4" t="s">
        <v>600</v>
      </c>
      <c r="H620" s="4">
        <v>1000</v>
      </c>
      <c r="I620" s="4">
        <v>880</v>
      </c>
      <c r="J620" s="5">
        <v>0.12</v>
      </c>
      <c r="K620" s="3">
        <v>98</v>
      </c>
      <c r="L620" s="4">
        <f>tblSales[[#This Row],[Quantity]]*tblSales[[#This Row],[Actual Price]]</f>
        <v>86240</v>
      </c>
    </row>
    <row r="621" spans="1:12" x14ac:dyDescent="0.35">
      <c r="A621" s="3" t="s">
        <v>1078</v>
      </c>
      <c r="B621" s="4" t="s">
        <v>119</v>
      </c>
      <c r="C621" s="4" t="s">
        <v>120</v>
      </c>
      <c r="D621" s="4" t="s">
        <v>36</v>
      </c>
      <c r="E621" s="7">
        <v>41833</v>
      </c>
      <c r="F621" s="4" t="s">
        <v>56</v>
      </c>
      <c r="G621" s="4" t="s">
        <v>541</v>
      </c>
      <c r="H621" s="4">
        <v>800</v>
      </c>
      <c r="I621" s="4">
        <v>560</v>
      </c>
      <c r="J621" s="5">
        <v>0.3</v>
      </c>
      <c r="K621" s="3">
        <v>34</v>
      </c>
      <c r="L621" s="4">
        <f>tblSales[[#This Row],[Quantity]]*tblSales[[#This Row],[Actual Price]]</f>
        <v>19040</v>
      </c>
    </row>
    <row r="622" spans="1:12" x14ac:dyDescent="0.35">
      <c r="A622" s="3" t="s">
        <v>1079</v>
      </c>
      <c r="B622" s="4" t="s">
        <v>119</v>
      </c>
      <c r="C622" s="4" t="s">
        <v>120</v>
      </c>
      <c r="D622" s="4" t="s">
        <v>36</v>
      </c>
      <c r="E622" s="7">
        <v>42445</v>
      </c>
      <c r="F622" s="4" t="s">
        <v>62</v>
      </c>
      <c r="G622" s="4" t="s">
        <v>1080</v>
      </c>
      <c r="H622" s="4">
        <v>1000</v>
      </c>
      <c r="I622" s="4">
        <v>930</v>
      </c>
      <c r="J622" s="5">
        <v>7.0000000000000007E-2</v>
      </c>
      <c r="K622" s="3">
        <v>51</v>
      </c>
      <c r="L622" s="4">
        <f>tblSales[[#This Row],[Quantity]]*tblSales[[#This Row],[Actual Price]]</f>
        <v>47430</v>
      </c>
    </row>
    <row r="623" spans="1:12" x14ac:dyDescent="0.35">
      <c r="A623" s="3" t="s">
        <v>1081</v>
      </c>
      <c r="B623" s="4" t="s">
        <v>12</v>
      </c>
      <c r="C623" s="4" t="s">
        <v>13</v>
      </c>
      <c r="D623" s="4" t="s">
        <v>14</v>
      </c>
      <c r="E623" s="7">
        <v>42798</v>
      </c>
      <c r="F623" s="4" t="s">
        <v>26</v>
      </c>
      <c r="G623" s="4" t="s">
        <v>16</v>
      </c>
      <c r="H623" s="4">
        <v>700</v>
      </c>
      <c r="I623" s="4">
        <v>693</v>
      </c>
      <c r="J623" s="5">
        <v>0.01</v>
      </c>
      <c r="K623" s="3">
        <v>57</v>
      </c>
      <c r="L623" s="4">
        <f>tblSales[[#This Row],[Quantity]]*tblSales[[#This Row],[Actual Price]]</f>
        <v>39501</v>
      </c>
    </row>
    <row r="624" spans="1:12" x14ac:dyDescent="0.35">
      <c r="A624" s="3" t="s">
        <v>1082</v>
      </c>
      <c r="B624" s="4" t="s">
        <v>158</v>
      </c>
      <c r="C624" s="4" t="s">
        <v>109</v>
      </c>
      <c r="D624" s="4" t="s">
        <v>20</v>
      </c>
      <c r="E624" s="7">
        <v>42195</v>
      </c>
      <c r="F624" s="4" t="s">
        <v>42</v>
      </c>
      <c r="G624" s="4" t="s">
        <v>1023</v>
      </c>
      <c r="H624" s="4">
        <v>30</v>
      </c>
      <c r="I624" s="4">
        <v>26</v>
      </c>
      <c r="J624" s="5">
        <v>0.1333</v>
      </c>
      <c r="K624" s="3">
        <v>99</v>
      </c>
      <c r="L624" s="4">
        <f>tblSales[[#This Row],[Quantity]]*tblSales[[#This Row],[Actual Price]]</f>
        <v>2574</v>
      </c>
    </row>
    <row r="625" spans="1:12" x14ac:dyDescent="0.35">
      <c r="A625" s="3" t="s">
        <v>1083</v>
      </c>
      <c r="B625" s="4" t="s">
        <v>108</v>
      </c>
      <c r="C625" s="4" t="s">
        <v>109</v>
      </c>
      <c r="D625" s="4" t="s">
        <v>20</v>
      </c>
      <c r="E625" s="7">
        <v>43286</v>
      </c>
      <c r="F625" s="4" t="s">
        <v>42</v>
      </c>
      <c r="G625" s="4" t="s">
        <v>1030</v>
      </c>
      <c r="H625" s="4">
        <v>30</v>
      </c>
      <c r="I625" s="4">
        <v>29</v>
      </c>
      <c r="J625" s="5">
        <v>3.3300000000000003E-2</v>
      </c>
      <c r="K625" s="3">
        <v>28</v>
      </c>
      <c r="L625" s="4">
        <f>tblSales[[#This Row],[Quantity]]*tblSales[[#This Row],[Actual Price]]</f>
        <v>812</v>
      </c>
    </row>
    <row r="626" spans="1:12" x14ac:dyDescent="0.35">
      <c r="A626" s="3" t="s">
        <v>1084</v>
      </c>
      <c r="B626" s="4" t="s">
        <v>132</v>
      </c>
      <c r="C626" s="4" t="s">
        <v>109</v>
      </c>
      <c r="D626" s="4" t="s">
        <v>20</v>
      </c>
      <c r="E626" s="7">
        <v>41680</v>
      </c>
      <c r="F626" s="4" t="s">
        <v>42</v>
      </c>
      <c r="G626" s="4" t="s">
        <v>689</v>
      </c>
      <c r="H626" s="4">
        <v>30</v>
      </c>
      <c r="I626" s="4">
        <v>30</v>
      </c>
      <c r="J626" s="5">
        <v>0</v>
      </c>
      <c r="K626" s="3">
        <v>39</v>
      </c>
      <c r="L626" s="4">
        <f>tblSales[[#This Row],[Quantity]]*tblSales[[#This Row],[Actual Price]]</f>
        <v>1170</v>
      </c>
    </row>
    <row r="627" spans="1:12" x14ac:dyDescent="0.35">
      <c r="A627" s="3" t="s">
        <v>1085</v>
      </c>
      <c r="B627" s="4" t="s">
        <v>242</v>
      </c>
      <c r="C627" s="4" t="s">
        <v>243</v>
      </c>
      <c r="D627" s="4" t="s">
        <v>14</v>
      </c>
      <c r="E627" s="7">
        <v>42238</v>
      </c>
      <c r="F627" s="4" t="s">
        <v>31</v>
      </c>
      <c r="G627" s="4" t="s">
        <v>427</v>
      </c>
      <c r="H627" s="4">
        <v>150</v>
      </c>
      <c r="I627" s="4">
        <v>143</v>
      </c>
      <c r="J627" s="5">
        <v>4.6699999999999998E-2</v>
      </c>
      <c r="K627" s="3">
        <v>22</v>
      </c>
      <c r="L627" s="4">
        <f>tblSales[[#This Row],[Quantity]]*tblSales[[#This Row],[Actual Price]]</f>
        <v>3146</v>
      </c>
    </row>
    <row r="628" spans="1:12" x14ac:dyDescent="0.35">
      <c r="A628" s="3" t="s">
        <v>1086</v>
      </c>
      <c r="B628" s="4" t="s">
        <v>228</v>
      </c>
      <c r="C628" s="4" t="s">
        <v>229</v>
      </c>
      <c r="D628" s="4" t="s">
        <v>25</v>
      </c>
      <c r="E628" s="7">
        <v>42209</v>
      </c>
      <c r="F628" s="4" t="s">
        <v>116</v>
      </c>
      <c r="G628" s="4" t="s">
        <v>871</v>
      </c>
      <c r="H628" s="4">
        <v>250</v>
      </c>
      <c r="I628" s="4">
        <v>208</v>
      </c>
      <c r="J628" s="5">
        <v>0.16800000000000001</v>
      </c>
      <c r="K628" s="3">
        <v>46</v>
      </c>
      <c r="L628" s="4">
        <f>tblSales[[#This Row],[Quantity]]*tblSales[[#This Row],[Actual Price]]</f>
        <v>9568</v>
      </c>
    </row>
    <row r="629" spans="1:12" x14ac:dyDescent="0.35">
      <c r="A629" s="3" t="s">
        <v>1087</v>
      </c>
      <c r="B629" s="4" t="s">
        <v>175</v>
      </c>
      <c r="C629" s="4" t="s">
        <v>176</v>
      </c>
      <c r="D629" s="4" t="s">
        <v>14</v>
      </c>
      <c r="E629" s="7">
        <v>42663</v>
      </c>
      <c r="F629" s="4" t="s">
        <v>47</v>
      </c>
      <c r="G629" s="4" t="s">
        <v>608</v>
      </c>
      <c r="H629" s="4">
        <v>500</v>
      </c>
      <c r="I629" s="4">
        <v>455</v>
      </c>
      <c r="J629" s="5">
        <v>0.09</v>
      </c>
      <c r="K629" s="3">
        <v>6</v>
      </c>
      <c r="L629" s="4">
        <f>tblSales[[#This Row],[Quantity]]*tblSales[[#This Row],[Actual Price]]</f>
        <v>2730</v>
      </c>
    </row>
    <row r="630" spans="1:12" x14ac:dyDescent="0.35">
      <c r="A630" s="3" t="s">
        <v>1088</v>
      </c>
      <c r="B630" s="4" t="s">
        <v>147</v>
      </c>
      <c r="C630" s="4" t="s">
        <v>148</v>
      </c>
      <c r="D630" s="4" t="s">
        <v>14</v>
      </c>
      <c r="E630" s="7">
        <v>42269</v>
      </c>
      <c r="F630" s="4" t="s">
        <v>116</v>
      </c>
      <c r="G630" s="4" t="s">
        <v>1034</v>
      </c>
      <c r="H630" s="4">
        <v>250</v>
      </c>
      <c r="I630" s="4">
        <v>155</v>
      </c>
      <c r="J630" s="5">
        <v>0.38</v>
      </c>
      <c r="K630" s="3">
        <v>18</v>
      </c>
      <c r="L630" s="4">
        <f>tblSales[[#This Row],[Quantity]]*tblSales[[#This Row],[Actual Price]]</f>
        <v>2790</v>
      </c>
    </row>
    <row r="631" spans="1:12" x14ac:dyDescent="0.35">
      <c r="A631" s="3" t="s">
        <v>1089</v>
      </c>
      <c r="B631" s="4" t="s">
        <v>128</v>
      </c>
      <c r="C631" s="4" t="s">
        <v>129</v>
      </c>
      <c r="D631" s="4" t="s">
        <v>14</v>
      </c>
      <c r="E631" s="7">
        <v>42276</v>
      </c>
      <c r="F631" s="4" t="s">
        <v>42</v>
      </c>
      <c r="G631" s="4" t="s">
        <v>386</v>
      </c>
      <c r="H631" s="4">
        <v>30</v>
      </c>
      <c r="I631" s="4">
        <v>27</v>
      </c>
      <c r="J631" s="5">
        <v>0.1</v>
      </c>
      <c r="K631" s="3">
        <v>45</v>
      </c>
      <c r="L631" s="4">
        <f>tblSales[[#This Row],[Quantity]]*tblSales[[#This Row],[Actual Price]]</f>
        <v>1215</v>
      </c>
    </row>
    <row r="632" spans="1:12" x14ac:dyDescent="0.35">
      <c r="A632" s="3" t="s">
        <v>1090</v>
      </c>
      <c r="B632" s="4" t="s">
        <v>100</v>
      </c>
      <c r="C632" s="4" t="s">
        <v>101</v>
      </c>
      <c r="D632" s="4" t="s">
        <v>14</v>
      </c>
      <c r="E632" s="7">
        <v>42044</v>
      </c>
      <c r="F632" s="4" t="s">
        <v>47</v>
      </c>
      <c r="G632" s="4" t="s">
        <v>1091</v>
      </c>
      <c r="H632" s="4">
        <v>500</v>
      </c>
      <c r="I632" s="4">
        <v>485</v>
      </c>
      <c r="J632" s="5">
        <v>0.03</v>
      </c>
      <c r="K632" s="3">
        <v>9</v>
      </c>
      <c r="L632" s="4">
        <f>tblSales[[#This Row],[Quantity]]*tblSales[[#This Row],[Actual Price]]</f>
        <v>4365</v>
      </c>
    </row>
    <row r="633" spans="1:12" x14ac:dyDescent="0.35">
      <c r="A633" s="3" t="s">
        <v>1092</v>
      </c>
      <c r="B633" s="4" t="s">
        <v>290</v>
      </c>
      <c r="C633" s="4" t="s">
        <v>109</v>
      </c>
      <c r="D633" s="4" t="s">
        <v>20</v>
      </c>
      <c r="E633" s="7">
        <v>41867</v>
      </c>
      <c r="F633" s="4" t="s">
        <v>123</v>
      </c>
      <c r="G633" s="4" t="s">
        <v>973</v>
      </c>
      <c r="H633" s="4">
        <v>50</v>
      </c>
      <c r="I633" s="4">
        <v>49</v>
      </c>
      <c r="J633" s="5">
        <v>0.02</v>
      </c>
      <c r="K633" s="3">
        <v>21</v>
      </c>
      <c r="L633" s="4">
        <f>tblSales[[#This Row],[Quantity]]*tblSales[[#This Row],[Actual Price]]</f>
        <v>1029</v>
      </c>
    </row>
    <row r="634" spans="1:12" x14ac:dyDescent="0.35">
      <c r="A634" s="3" t="s">
        <v>1093</v>
      </c>
      <c r="B634" s="4" t="s">
        <v>78</v>
      </c>
      <c r="C634" s="4" t="s">
        <v>79</v>
      </c>
      <c r="D634" s="4" t="s">
        <v>36</v>
      </c>
      <c r="E634" s="7">
        <v>42805</v>
      </c>
      <c r="F634" s="4" t="s">
        <v>47</v>
      </c>
      <c r="G634" s="4" t="s">
        <v>1094</v>
      </c>
      <c r="H634" s="4">
        <v>500</v>
      </c>
      <c r="I634" s="4">
        <v>450</v>
      </c>
      <c r="J634" s="5">
        <v>0.1</v>
      </c>
      <c r="K634" s="3">
        <v>10</v>
      </c>
      <c r="L634" s="4">
        <f>tblSales[[#This Row],[Quantity]]*tblSales[[#This Row],[Actual Price]]</f>
        <v>4500</v>
      </c>
    </row>
    <row r="635" spans="1:12" x14ac:dyDescent="0.35">
      <c r="A635" s="3" t="s">
        <v>1095</v>
      </c>
      <c r="B635" s="4" t="s">
        <v>78</v>
      </c>
      <c r="C635" s="4" t="s">
        <v>79</v>
      </c>
      <c r="D635" s="4" t="s">
        <v>36</v>
      </c>
      <c r="E635" s="7">
        <v>42434</v>
      </c>
      <c r="F635" s="4" t="s">
        <v>37</v>
      </c>
      <c r="G635" s="4" t="s">
        <v>318</v>
      </c>
      <c r="H635" s="4">
        <v>50</v>
      </c>
      <c r="I635" s="4">
        <v>49</v>
      </c>
      <c r="J635" s="5">
        <v>0.02</v>
      </c>
      <c r="K635" s="3">
        <v>31</v>
      </c>
      <c r="L635" s="4">
        <f>tblSales[[#This Row],[Quantity]]*tblSales[[#This Row],[Actual Price]]</f>
        <v>1519</v>
      </c>
    </row>
    <row r="636" spans="1:12" x14ac:dyDescent="0.35">
      <c r="A636" s="3" t="s">
        <v>1096</v>
      </c>
      <c r="B636" s="4" t="s">
        <v>158</v>
      </c>
      <c r="C636" s="4" t="s">
        <v>109</v>
      </c>
      <c r="D636" s="4" t="s">
        <v>20</v>
      </c>
      <c r="E636" s="7">
        <v>41682</v>
      </c>
      <c r="F636" s="4" t="s">
        <v>31</v>
      </c>
      <c r="G636" s="4" t="s">
        <v>159</v>
      </c>
      <c r="H636" s="4">
        <v>150</v>
      </c>
      <c r="I636" s="4">
        <v>111</v>
      </c>
      <c r="J636" s="5">
        <v>0.26</v>
      </c>
      <c r="K636" s="3">
        <v>84</v>
      </c>
      <c r="L636" s="4">
        <f>tblSales[[#This Row],[Quantity]]*tblSales[[#This Row],[Actual Price]]</f>
        <v>9324</v>
      </c>
    </row>
    <row r="637" spans="1:12" x14ac:dyDescent="0.35">
      <c r="A637" s="3" t="s">
        <v>1097</v>
      </c>
      <c r="B637" s="4" t="s">
        <v>256</v>
      </c>
      <c r="C637" s="4" t="s">
        <v>257</v>
      </c>
      <c r="D637" s="4" t="s">
        <v>14</v>
      </c>
      <c r="E637" s="7">
        <v>42863</v>
      </c>
      <c r="F637" s="4" t="s">
        <v>42</v>
      </c>
      <c r="G637" s="4" t="s">
        <v>1098</v>
      </c>
      <c r="H637" s="4">
        <v>30</v>
      </c>
      <c r="I637" s="4">
        <v>29</v>
      </c>
      <c r="J637" s="5">
        <v>3.3300000000000003E-2</v>
      </c>
      <c r="K637" s="3">
        <v>65</v>
      </c>
      <c r="L637" s="4">
        <f>tblSales[[#This Row],[Quantity]]*tblSales[[#This Row],[Actual Price]]</f>
        <v>1885</v>
      </c>
    </row>
    <row r="638" spans="1:12" x14ac:dyDescent="0.35">
      <c r="A638" s="3" t="s">
        <v>1099</v>
      </c>
      <c r="B638" s="4" t="s">
        <v>151</v>
      </c>
      <c r="C638" s="4" t="s">
        <v>152</v>
      </c>
      <c r="D638" s="4" t="s">
        <v>14</v>
      </c>
      <c r="E638" s="7">
        <v>42052</v>
      </c>
      <c r="F638" s="4" t="s">
        <v>37</v>
      </c>
      <c r="G638" s="4" t="s">
        <v>153</v>
      </c>
      <c r="H638" s="4">
        <v>50</v>
      </c>
      <c r="I638" s="4">
        <v>35</v>
      </c>
      <c r="J638" s="5">
        <v>0.3</v>
      </c>
      <c r="K638" s="3">
        <v>8</v>
      </c>
      <c r="L638" s="4">
        <f>tblSales[[#This Row],[Quantity]]*tblSales[[#This Row],[Actual Price]]</f>
        <v>280</v>
      </c>
    </row>
    <row r="639" spans="1:12" x14ac:dyDescent="0.35">
      <c r="A639" s="3" t="s">
        <v>1100</v>
      </c>
      <c r="B639" s="4" t="s">
        <v>171</v>
      </c>
      <c r="C639" s="4" t="s">
        <v>172</v>
      </c>
      <c r="D639" s="4" t="s">
        <v>14</v>
      </c>
      <c r="E639" s="7">
        <v>42940</v>
      </c>
      <c r="F639" s="4" t="s">
        <v>105</v>
      </c>
      <c r="G639" s="4" t="s">
        <v>1101</v>
      </c>
      <c r="H639" s="4">
        <v>70</v>
      </c>
      <c r="I639" s="4">
        <v>69</v>
      </c>
      <c r="J639" s="5">
        <v>1.43E-2</v>
      </c>
      <c r="K639" s="3">
        <v>24</v>
      </c>
      <c r="L639" s="4">
        <f>tblSales[[#This Row],[Quantity]]*tblSales[[#This Row],[Actual Price]]</f>
        <v>1656</v>
      </c>
    </row>
    <row r="640" spans="1:12" x14ac:dyDescent="0.35">
      <c r="A640" s="3" t="s">
        <v>1102</v>
      </c>
      <c r="B640" s="4" t="s">
        <v>45</v>
      </c>
      <c r="C640" s="4" t="s">
        <v>46</v>
      </c>
      <c r="D640" s="4" t="s">
        <v>25</v>
      </c>
      <c r="E640" s="7">
        <v>42279</v>
      </c>
      <c r="F640" s="4" t="s">
        <v>116</v>
      </c>
      <c r="G640" s="4" t="s">
        <v>1103</v>
      </c>
      <c r="H640" s="4">
        <v>250</v>
      </c>
      <c r="I640" s="4">
        <v>218</v>
      </c>
      <c r="J640" s="5">
        <v>0.128</v>
      </c>
      <c r="K640" s="3">
        <v>3</v>
      </c>
      <c r="L640" s="4">
        <f>tblSales[[#This Row],[Quantity]]*tblSales[[#This Row],[Actual Price]]</f>
        <v>654</v>
      </c>
    </row>
    <row r="641" spans="1:12" x14ac:dyDescent="0.35">
      <c r="A641" s="3" t="s">
        <v>1104</v>
      </c>
      <c r="B641" s="4" t="s">
        <v>119</v>
      </c>
      <c r="C641" s="4" t="s">
        <v>120</v>
      </c>
      <c r="D641" s="4" t="s">
        <v>36</v>
      </c>
      <c r="E641" s="7">
        <v>43383</v>
      </c>
      <c r="F641" s="4" t="s">
        <v>26</v>
      </c>
      <c r="G641" s="4" t="s">
        <v>1080</v>
      </c>
      <c r="H641" s="4">
        <v>700</v>
      </c>
      <c r="I641" s="4">
        <v>672</v>
      </c>
      <c r="J641" s="5">
        <v>0.04</v>
      </c>
      <c r="K641" s="3">
        <v>64</v>
      </c>
      <c r="L641" s="4">
        <f>tblSales[[#This Row],[Quantity]]*tblSales[[#This Row],[Actual Price]]</f>
        <v>43008</v>
      </c>
    </row>
    <row r="642" spans="1:12" x14ac:dyDescent="0.35">
      <c r="A642" s="3" t="s">
        <v>1105</v>
      </c>
      <c r="B642" s="4" t="s">
        <v>271</v>
      </c>
      <c r="C642" s="4" t="s">
        <v>272</v>
      </c>
      <c r="D642" s="4" t="s">
        <v>36</v>
      </c>
      <c r="E642" s="7">
        <v>42690</v>
      </c>
      <c r="F642" s="4" t="s">
        <v>62</v>
      </c>
      <c r="G642" s="4" t="s">
        <v>716</v>
      </c>
      <c r="H642" s="4">
        <v>1000</v>
      </c>
      <c r="I642" s="4">
        <v>950</v>
      </c>
      <c r="J642" s="5">
        <v>0.05</v>
      </c>
      <c r="K642" s="3">
        <v>97</v>
      </c>
      <c r="L642" s="4">
        <f>tblSales[[#This Row],[Quantity]]*tblSales[[#This Row],[Actual Price]]</f>
        <v>92150</v>
      </c>
    </row>
    <row r="643" spans="1:12" x14ac:dyDescent="0.35">
      <c r="A643" s="3" t="s">
        <v>1106</v>
      </c>
      <c r="B643" s="4" t="s">
        <v>325</v>
      </c>
      <c r="C643" s="4" t="s">
        <v>326</v>
      </c>
      <c r="D643" s="4" t="s">
        <v>14</v>
      </c>
      <c r="E643" s="7">
        <v>42022</v>
      </c>
      <c r="F643" s="4" t="s">
        <v>123</v>
      </c>
      <c r="G643" s="4" t="s">
        <v>923</v>
      </c>
      <c r="H643" s="4">
        <v>50</v>
      </c>
      <c r="I643" s="4">
        <v>50</v>
      </c>
      <c r="J643" s="5">
        <v>0</v>
      </c>
      <c r="K643" s="3">
        <v>17</v>
      </c>
      <c r="L643" s="4">
        <f>tblSales[[#This Row],[Quantity]]*tblSales[[#This Row],[Actual Price]]</f>
        <v>850</v>
      </c>
    </row>
    <row r="644" spans="1:12" x14ac:dyDescent="0.35">
      <c r="A644" s="3" t="s">
        <v>1107</v>
      </c>
      <c r="B644" s="4" t="s">
        <v>225</v>
      </c>
      <c r="C644" s="4" t="s">
        <v>51</v>
      </c>
      <c r="D644" s="4" t="s">
        <v>25</v>
      </c>
      <c r="E644" s="7">
        <v>42301</v>
      </c>
      <c r="F644" s="4" t="s">
        <v>26</v>
      </c>
      <c r="G644" s="4" t="s">
        <v>775</v>
      </c>
      <c r="H644" s="4">
        <v>700</v>
      </c>
      <c r="I644" s="4">
        <v>651</v>
      </c>
      <c r="J644" s="5">
        <v>7.0000000000000007E-2</v>
      </c>
      <c r="K644" s="3">
        <v>77</v>
      </c>
      <c r="L644" s="4">
        <f>tblSales[[#This Row],[Quantity]]*tblSales[[#This Row],[Actual Price]]</f>
        <v>50127</v>
      </c>
    </row>
    <row r="645" spans="1:12" x14ac:dyDescent="0.35">
      <c r="A645" s="3" t="s">
        <v>1108</v>
      </c>
      <c r="B645" s="4" t="s">
        <v>29</v>
      </c>
      <c r="C645" s="4" t="s">
        <v>30</v>
      </c>
      <c r="D645" s="4" t="s">
        <v>14</v>
      </c>
      <c r="E645" s="7">
        <v>41989</v>
      </c>
      <c r="F645" s="4" t="s">
        <v>47</v>
      </c>
      <c r="G645" s="4" t="s">
        <v>1109</v>
      </c>
      <c r="H645" s="4">
        <v>500</v>
      </c>
      <c r="I645" s="4">
        <v>465</v>
      </c>
      <c r="J645" s="5">
        <v>7.0000000000000007E-2</v>
      </c>
      <c r="K645" s="3">
        <v>46</v>
      </c>
      <c r="L645" s="4">
        <f>tblSales[[#This Row],[Quantity]]*tblSales[[#This Row],[Actual Price]]</f>
        <v>21390</v>
      </c>
    </row>
    <row r="646" spans="1:12" x14ac:dyDescent="0.35">
      <c r="A646" s="3" t="s">
        <v>1110</v>
      </c>
      <c r="B646" s="4" t="s">
        <v>119</v>
      </c>
      <c r="C646" s="4" t="s">
        <v>120</v>
      </c>
      <c r="D646" s="4" t="s">
        <v>36</v>
      </c>
      <c r="E646" s="7">
        <v>42740</v>
      </c>
      <c r="F646" s="4" t="s">
        <v>123</v>
      </c>
      <c r="G646" s="4" t="s">
        <v>1111</v>
      </c>
      <c r="H646" s="4">
        <v>50</v>
      </c>
      <c r="I646" s="4">
        <v>48</v>
      </c>
      <c r="J646" s="5">
        <v>0.04</v>
      </c>
      <c r="K646" s="3">
        <v>2</v>
      </c>
      <c r="L646" s="4">
        <f>tblSales[[#This Row],[Quantity]]*tblSales[[#This Row],[Actual Price]]</f>
        <v>96</v>
      </c>
    </row>
    <row r="647" spans="1:12" x14ac:dyDescent="0.35">
      <c r="A647" s="3" t="s">
        <v>1112</v>
      </c>
      <c r="B647" s="4" t="s">
        <v>132</v>
      </c>
      <c r="C647" s="4" t="s">
        <v>109</v>
      </c>
      <c r="D647" s="4" t="s">
        <v>20</v>
      </c>
      <c r="E647" s="7">
        <v>42352</v>
      </c>
      <c r="F647" s="4" t="s">
        <v>31</v>
      </c>
      <c r="G647" s="4" t="s">
        <v>383</v>
      </c>
      <c r="H647" s="4">
        <v>150</v>
      </c>
      <c r="I647" s="4">
        <v>144</v>
      </c>
      <c r="J647" s="5">
        <v>0.04</v>
      </c>
      <c r="K647" s="3">
        <v>85</v>
      </c>
      <c r="L647" s="4">
        <f>tblSales[[#This Row],[Quantity]]*tblSales[[#This Row],[Actual Price]]</f>
        <v>12240</v>
      </c>
    </row>
    <row r="648" spans="1:12" x14ac:dyDescent="0.35">
      <c r="A648" s="3" t="s">
        <v>1113</v>
      </c>
      <c r="B648" s="4" t="s">
        <v>112</v>
      </c>
      <c r="C648" s="4" t="s">
        <v>83</v>
      </c>
      <c r="D648" s="4" t="s">
        <v>14</v>
      </c>
      <c r="E648" s="7">
        <v>42929</v>
      </c>
      <c r="F648" s="4" t="s">
        <v>37</v>
      </c>
      <c r="G648" s="4" t="s">
        <v>827</v>
      </c>
      <c r="H648" s="4">
        <v>50</v>
      </c>
      <c r="I648" s="4">
        <v>46</v>
      </c>
      <c r="J648" s="5">
        <v>0.08</v>
      </c>
      <c r="K648" s="3">
        <v>69</v>
      </c>
      <c r="L648" s="4">
        <f>tblSales[[#This Row],[Quantity]]*tblSales[[#This Row],[Actual Price]]</f>
        <v>3174</v>
      </c>
    </row>
    <row r="649" spans="1:12" x14ac:dyDescent="0.35">
      <c r="A649" s="3" t="s">
        <v>1114</v>
      </c>
      <c r="B649" s="4" t="s">
        <v>147</v>
      </c>
      <c r="C649" s="4" t="s">
        <v>148</v>
      </c>
      <c r="D649" s="4" t="s">
        <v>14</v>
      </c>
      <c r="E649" s="7">
        <v>42223</v>
      </c>
      <c r="F649" s="4" t="s">
        <v>15</v>
      </c>
      <c r="G649" s="4" t="s">
        <v>149</v>
      </c>
      <c r="H649" s="4">
        <v>80</v>
      </c>
      <c r="I649" s="4">
        <v>70</v>
      </c>
      <c r="J649" s="5">
        <v>0.125</v>
      </c>
      <c r="K649" s="3">
        <v>29</v>
      </c>
      <c r="L649" s="4">
        <f>tblSales[[#This Row],[Quantity]]*tblSales[[#This Row],[Actual Price]]</f>
        <v>2030</v>
      </c>
    </row>
    <row r="650" spans="1:12" x14ac:dyDescent="0.35">
      <c r="A650" s="3" t="s">
        <v>1115</v>
      </c>
      <c r="B650" s="4" t="s">
        <v>158</v>
      </c>
      <c r="C650" s="4" t="s">
        <v>109</v>
      </c>
      <c r="D650" s="4" t="s">
        <v>20</v>
      </c>
      <c r="E650" s="7">
        <v>43399</v>
      </c>
      <c r="F650" s="4" t="s">
        <v>56</v>
      </c>
      <c r="G650" s="4" t="s">
        <v>159</v>
      </c>
      <c r="H650" s="4">
        <v>800</v>
      </c>
      <c r="I650" s="4">
        <v>776</v>
      </c>
      <c r="J650" s="5">
        <v>0.03</v>
      </c>
      <c r="K650" s="3">
        <v>19</v>
      </c>
      <c r="L650" s="4">
        <f>tblSales[[#This Row],[Quantity]]*tblSales[[#This Row],[Actual Price]]</f>
        <v>14744</v>
      </c>
    </row>
    <row r="651" spans="1:12" x14ac:dyDescent="0.35">
      <c r="A651" s="3" t="s">
        <v>1116</v>
      </c>
      <c r="B651" s="4" t="s">
        <v>206</v>
      </c>
      <c r="C651" s="4" t="s">
        <v>207</v>
      </c>
      <c r="D651" s="4" t="s">
        <v>25</v>
      </c>
      <c r="E651" s="7">
        <v>42610</v>
      </c>
      <c r="F651" s="4" t="s">
        <v>123</v>
      </c>
      <c r="G651" s="4" t="s">
        <v>252</v>
      </c>
      <c r="H651" s="4">
        <v>50</v>
      </c>
      <c r="I651" s="4">
        <v>47</v>
      </c>
      <c r="J651" s="5">
        <v>0.06</v>
      </c>
      <c r="K651" s="3">
        <v>84</v>
      </c>
      <c r="L651" s="4">
        <f>tblSales[[#This Row],[Quantity]]*tblSales[[#This Row],[Actual Price]]</f>
        <v>3948</v>
      </c>
    </row>
    <row r="652" spans="1:12" x14ac:dyDescent="0.35">
      <c r="A652" s="3" t="s">
        <v>1117</v>
      </c>
      <c r="B652" s="4" t="s">
        <v>71</v>
      </c>
      <c r="C652" s="4" t="s">
        <v>72</v>
      </c>
      <c r="D652" s="4" t="s">
        <v>36</v>
      </c>
      <c r="E652" s="7">
        <v>41918</v>
      </c>
      <c r="F652" s="4" t="s">
        <v>123</v>
      </c>
      <c r="G652" s="4" t="s">
        <v>671</v>
      </c>
      <c r="H652" s="4">
        <v>50</v>
      </c>
      <c r="I652" s="4">
        <v>50</v>
      </c>
      <c r="J652" s="5">
        <v>0</v>
      </c>
      <c r="K652" s="3">
        <v>28</v>
      </c>
      <c r="L652" s="4">
        <f>tblSales[[#This Row],[Quantity]]*tblSales[[#This Row],[Actual Price]]</f>
        <v>1400</v>
      </c>
    </row>
    <row r="653" spans="1:12" x14ac:dyDescent="0.35">
      <c r="A653" s="3" t="s">
        <v>1118</v>
      </c>
      <c r="B653" s="4" t="s">
        <v>60</v>
      </c>
      <c r="C653" s="4" t="s">
        <v>61</v>
      </c>
      <c r="D653" s="4" t="s">
        <v>14</v>
      </c>
      <c r="E653" s="7">
        <v>41963</v>
      </c>
      <c r="F653" s="4" t="s">
        <v>123</v>
      </c>
      <c r="G653" s="4" t="s">
        <v>698</v>
      </c>
      <c r="H653" s="4">
        <v>50</v>
      </c>
      <c r="I653" s="4">
        <v>48</v>
      </c>
      <c r="J653" s="5">
        <v>0.04</v>
      </c>
      <c r="K653" s="3">
        <v>85</v>
      </c>
      <c r="L653" s="4">
        <f>tblSales[[#This Row],[Quantity]]*tblSales[[#This Row],[Actual Price]]</f>
        <v>4080</v>
      </c>
    </row>
    <row r="654" spans="1:12" x14ac:dyDescent="0.35">
      <c r="A654" s="3" t="s">
        <v>1119</v>
      </c>
      <c r="B654" s="4" t="s">
        <v>34</v>
      </c>
      <c r="C654" s="4" t="s">
        <v>35</v>
      </c>
      <c r="D654" s="4" t="s">
        <v>36</v>
      </c>
      <c r="E654" s="7">
        <v>41734</v>
      </c>
      <c r="F654" s="4" t="s">
        <v>37</v>
      </c>
      <c r="G654" s="4" t="s">
        <v>198</v>
      </c>
      <c r="H654" s="4">
        <v>50</v>
      </c>
      <c r="I654" s="4">
        <v>39</v>
      </c>
      <c r="J654" s="5">
        <v>0.22</v>
      </c>
      <c r="K654" s="3">
        <v>27</v>
      </c>
      <c r="L654" s="4">
        <f>tblSales[[#This Row],[Quantity]]*tblSales[[#This Row],[Actual Price]]</f>
        <v>1053</v>
      </c>
    </row>
    <row r="655" spans="1:12" x14ac:dyDescent="0.35">
      <c r="A655" s="3" t="s">
        <v>1120</v>
      </c>
      <c r="B655" s="4" t="s">
        <v>78</v>
      </c>
      <c r="C655" s="4" t="s">
        <v>79</v>
      </c>
      <c r="D655" s="4" t="s">
        <v>36</v>
      </c>
      <c r="E655" s="7">
        <v>43135</v>
      </c>
      <c r="F655" s="4" t="s">
        <v>73</v>
      </c>
      <c r="G655" s="4" t="s">
        <v>163</v>
      </c>
      <c r="H655" s="4">
        <v>500</v>
      </c>
      <c r="I655" s="4">
        <v>500</v>
      </c>
      <c r="J655" s="5">
        <v>0</v>
      </c>
      <c r="K655" s="3">
        <v>64</v>
      </c>
      <c r="L655" s="4">
        <f>tblSales[[#This Row],[Quantity]]*tblSales[[#This Row],[Actual Price]]</f>
        <v>32000</v>
      </c>
    </row>
    <row r="656" spans="1:12" x14ac:dyDescent="0.35">
      <c r="A656" s="3" t="s">
        <v>1121</v>
      </c>
      <c r="B656" s="4" t="s">
        <v>132</v>
      </c>
      <c r="C656" s="4" t="s">
        <v>109</v>
      </c>
      <c r="D656" s="4" t="s">
        <v>20</v>
      </c>
      <c r="E656" s="7">
        <v>42831</v>
      </c>
      <c r="F656" s="4" t="s">
        <v>105</v>
      </c>
      <c r="G656" s="4" t="s">
        <v>794</v>
      </c>
      <c r="H656" s="4">
        <v>70</v>
      </c>
      <c r="I656" s="4">
        <v>64</v>
      </c>
      <c r="J656" s="5">
        <v>8.5699999999999998E-2</v>
      </c>
      <c r="K656" s="3">
        <v>29</v>
      </c>
      <c r="L656" s="4">
        <f>tblSales[[#This Row],[Quantity]]*tblSales[[#This Row],[Actual Price]]</f>
        <v>1856</v>
      </c>
    </row>
    <row r="657" spans="1:12" x14ac:dyDescent="0.35">
      <c r="A657" s="3" t="s">
        <v>1122</v>
      </c>
      <c r="B657" s="4" t="s">
        <v>128</v>
      </c>
      <c r="C657" s="4" t="s">
        <v>129</v>
      </c>
      <c r="D657" s="4" t="s">
        <v>14</v>
      </c>
      <c r="E657" s="7">
        <v>43343</v>
      </c>
      <c r="F657" s="4" t="s">
        <v>73</v>
      </c>
      <c r="G657" s="4" t="s">
        <v>527</v>
      </c>
      <c r="H657" s="4">
        <v>500</v>
      </c>
      <c r="I657" s="4">
        <v>495</v>
      </c>
      <c r="J657" s="5">
        <v>0.01</v>
      </c>
      <c r="K657" s="3">
        <v>69</v>
      </c>
      <c r="L657" s="4">
        <f>tblSales[[#This Row],[Quantity]]*tblSales[[#This Row],[Actual Price]]</f>
        <v>34155</v>
      </c>
    </row>
    <row r="658" spans="1:12" x14ac:dyDescent="0.35">
      <c r="A658" s="3" t="s">
        <v>1123</v>
      </c>
      <c r="B658" s="4" t="s">
        <v>50</v>
      </c>
      <c r="C658" s="4" t="s">
        <v>51</v>
      </c>
      <c r="D658" s="4" t="s">
        <v>25</v>
      </c>
      <c r="E658" s="7">
        <v>42617</v>
      </c>
      <c r="F658" s="4" t="s">
        <v>15</v>
      </c>
      <c r="G658" s="4" t="s">
        <v>1001</v>
      </c>
      <c r="H658" s="4">
        <v>80</v>
      </c>
      <c r="I658" s="4">
        <v>70</v>
      </c>
      <c r="J658" s="5">
        <v>0.125</v>
      </c>
      <c r="K658" s="3">
        <v>34</v>
      </c>
      <c r="L658" s="4">
        <f>tblSales[[#This Row],[Quantity]]*tblSales[[#This Row],[Actual Price]]</f>
        <v>2380</v>
      </c>
    </row>
    <row r="659" spans="1:12" x14ac:dyDescent="0.35">
      <c r="A659" s="3" t="s">
        <v>1124</v>
      </c>
      <c r="B659" s="4" t="s">
        <v>29</v>
      </c>
      <c r="C659" s="4" t="s">
        <v>30</v>
      </c>
      <c r="D659" s="4" t="s">
        <v>14</v>
      </c>
      <c r="E659" s="7">
        <v>41682</v>
      </c>
      <c r="F659" s="4" t="s">
        <v>42</v>
      </c>
      <c r="G659" s="4" t="s">
        <v>1125</v>
      </c>
      <c r="H659" s="4">
        <v>30</v>
      </c>
      <c r="I659" s="4">
        <v>29</v>
      </c>
      <c r="J659" s="5">
        <v>3.3300000000000003E-2</v>
      </c>
      <c r="K659" s="3">
        <v>21</v>
      </c>
      <c r="L659" s="4">
        <f>tblSales[[#This Row],[Quantity]]*tblSales[[#This Row],[Actual Price]]</f>
        <v>609</v>
      </c>
    </row>
    <row r="660" spans="1:12" x14ac:dyDescent="0.35">
      <c r="A660" s="3" t="s">
        <v>1126</v>
      </c>
      <c r="B660" s="4" t="s">
        <v>435</v>
      </c>
      <c r="C660" s="4" t="s">
        <v>436</v>
      </c>
      <c r="D660" s="4" t="s">
        <v>25</v>
      </c>
      <c r="E660" s="7">
        <v>42985</v>
      </c>
      <c r="F660" s="4" t="s">
        <v>56</v>
      </c>
      <c r="G660" s="4" t="s">
        <v>859</v>
      </c>
      <c r="H660" s="4">
        <v>800</v>
      </c>
      <c r="I660" s="4">
        <v>680</v>
      </c>
      <c r="J660" s="5">
        <v>0.15</v>
      </c>
      <c r="K660" s="3">
        <v>71</v>
      </c>
      <c r="L660" s="4">
        <f>tblSales[[#This Row],[Quantity]]*tblSales[[#This Row],[Actual Price]]</f>
        <v>48280</v>
      </c>
    </row>
    <row r="661" spans="1:12" x14ac:dyDescent="0.35">
      <c r="A661" s="3" t="s">
        <v>1127</v>
      </c>
      <c r="B661" s="4" t="s">
        <v>135</v>
      </c>
      <c r="C661" s="4" t="s">
        <v>93</v>
      </c>
      <c r="D661" s="4" t="s">
        <v>36</v>
      </c>
      <c r="E661" s="7">
        <v>42586</v>
      </c>
      <c r="F661" s="4" t="s">
        <v>37</v>
      </c>
      <c r="G661" s="4" t="s">
        <v>1128</v>
      </c>
      <c r="H661" s="4">
        <v>50</v>
      </c>
      <c r="I661" s="4">
        <v>49</v>
      </c>
      <c r="J661" s="5">
        <v>0.02</v>
      </c>
      <c r="K661" s="3">
        <v>18</v>
      </c>
      <c r="L661" s="4">
        <f>tblSales[[#This Row],[Quantity]]*tblSales[[#This Row],[Actual Price]]</f>
        <v>882</v>
      </c>
    </row>
    <row r="662" spans="1:12" x14ac:dyDescent="0.35">
      <c r="A662" s="3" t="s">
        <v>1129</v>
      </c>
      <c r="B662" s="4" t="s">
        <v>290</v>
      </c>
      <c r="C662" s="4" t="s">
        <v>109</v>
      </c>
      <c r="D662" s="4" t="s">
        <v>20</v>
      </c>
      <c r="E662" s="7">
        <v>43111</v>
      </c>
      <c r="F662" s="4" t="s">
        <v>73</v>
      </c>
      <c r="G662" s="4" t="s">
        <v>1130</v>
      </c>
      <c r="H662" s="4">
        <v>500</v>
      </c>
      <c r="I662" s="4">
        <v>495</v>
      </c>
      <c r="J662" s="5">
        <v>0.01</v>
      </c>
      <c r="K662" s="3">
        <v>56</v>
      </c>
      <c r="L662" s="4">
        <f>tblSales[[#This Row],[Quantity]]*tblSales[[#This Row],[Actual Price]]</f>
        <v>27720</v>
      </c>
    </row>
    <row r="663" spans="1:12" x14ac:dyDescent="0.35">
      <c r="A663" s="3" t="s">
        <v>1131</v>
      </c>
      <c r="B663" s="4" t="s">
        <v>34</v>
      </c>
      <c r="C663" s="4" t="s">
        <v>35</v>
      </c>
      <c r="D663" s="4" t="s">
        <v>36</v>
      </c>
      <c r="E663" s="7">
        <v>42656</v>
      </c>
      <c r="F663" s="4" t="s">
        <v>62</v>
      </c>
      <c r="G663" s="4" t="s">
        <v>1132</v>
      </c>
      <c r="H663" s="4">
        <v>1000</v>
      </c>
      <c r="I663" s="4">
        <v>510</v>
      </c>
      <c r="J663" s="5">
        <v>0.49</v>
      </c>
      <c r="K663" s="3">
        <v>24</v>
      </c>
      <c r="L663" s="4">
        <f>tblSales[[#This Row],[Quantity]]*tblSales[[#This Row],[Actual Price]]</f>
        <v>12240</v>
      </c>
    </row>
    <row r="664" spans="1:12" x14ac:dyDescent="0.35">
      <c r="A664" s="3" t="s">
        <v>1133</v>
      </c>
      <c r="B664" s="4" t="s">
        <v>50</v>
      </c>
      <c r="C664" s="4" t="s">
        <v>51</v>
      </c>
      <c r="D664" s="4" t="s">
        <v>25</v>
      </c>
      <c r="E664" s="7">
        <v>41902</v>
      </c>
      <c r="F664" s="4" t="s">
        <v>73</v>
      </c>
      <c r="G664" s="4" t="s">
        <v>399</v>
      </c>
      <c r="H664" s="4">
        <v>500</v>
      </c>
      <c r="I664" s="4">
        <v>495</v>
      </c>
      <c r="J664" s="5">
        <v>0.01</v>
      </c>
      <c r="K664" s="3">
        <v>71</v>
      </c>
      <c r="L664" s="4">
        <f>tblSales[[#This Row],[Quantity]]*tblSales[[#This Row],[Actual Price]]</f>
        <v>35145</v>
      </c>
    </row>
    <row r="665" spans="1:12" x14ac:dyDescent="0.35">
      <c r="A665" s="3" t="s">
        <v>1134</v>
      </c>
      <c r="B665" s="4" t="s">
        <v>228</v>
      </c>
      <c r="C665" s="4" t="s">
        <v>229</v>
      </c>
      <c r="D665" s="4" t="s">
        <v>25</v>
      </c>
      <c r="E665" s="7">
        <v>41934</v>
      </c>
      <c r="F665" s="4" t="s">
        <v>42</v>
      </c>
      <c r="G665" s="4" t="s">
        <v>871</v>
      </c>
      <c r="H665" s="4">
        <v>30</v>
      </c>
      <c r="I665" s="4">
        <v>26</v>
      </c>
      <c r="J665" s="5">
        <v>0.1333</v>
      </c>
      <c r="K665" s="3">
        <v>86</v>
      </c>
      <c r="L665" s="4">
        <f>tblSales[[#This Row],[Quantity]]*tblSales[[#This Row],[Actual Price]]</f>
        <v>2236</v>
      </c>
    </row>
    <row r="666" spans="1:12" x14ac:dyDescent="0.35">
      <c r="A666" s="3" t="s">
        <v>1135</v>
      </c>
      <c r="B666" s="4" t="s">
        <v>135</v>
      </c>
      <c r="C666" s="4" t="s">
        <v>93</v>
      </c>
      <c r="D666" s="4" t="s">
        <v>36</v>
      </c>
      <c r="E666" s="7">
        <v>42313</v>
      </c>
      <c r="F666" s="4" t="s">
        <v>56</v>
      </c>
      <c r="G666" s="4" t="s">
        <v>1136</v>
      </c>
      <c r="H666" s="4">
        <v>800</v>
      </c>
      <c r="I666" s="4">
        <v>656</v>
      </c>
      <c r="J666" s="5">
        <v>0.18</v>
      </c>
      <c r="K666" s="3">
        <v>37</v>
      </c>
      <c r="L666" s="4">
        <f>tblSales[[#This Row],[Quantity]]*tblSales[[#This Row],[Actual Price]]</f>
        <v>24272</v>
      </c>
    </row>
    <row r="667" spans="1:12" x14ac:dyDescent="0.35">
      <c r="A667" s="3" t="s">
        <v>1137</v>
      </c>
      <c r="B667" s="4" t="s">
        <v>115</v>
      </c>
      <c r="C667" s="4" t="s">
        <v>55</v>
      </c>
      <c r="D667" s="4" t="s">
        <v>14</v>
      </c>
      <c r="E667" s="7">
        <v>41648</v>
      </c>
      <c r="F667" s="4" t="s">
        <v>31</v>
      </c>
      <c r="G667" s="4" t="s">
        <v>886</v>
      </c>
      <c r="H667" s="4">
        <v>150</v>
      </c>
      <c r="I667" s="4">
        <v>141</v>
      </c>
      <c r="J667" s="5">
        <v>0.06</v>
      </c>
      <c r="K667" s="3">
        <v>84</v>
      </c>
      <c r="L667" s="4">
        <f>tblSales[[#This Row],[Quantity]]*tblSales[[#This Row],[Actual Price]]</f>
        <v>11844</v>
      </c>
    </row>
    <row r="668" spans="1:12" x14ac:dyDescent="0.35">
      <c r="A668" s="3" t="s">
        <v>1138</v>
      </c>
      <c r="B668" s="4" t="s">
        <v>18</v>
      </c>
      <c r="C668" s="4" t="s">
        <v>19</v>
      </c>
      <c r="D668" s="4" t="s">
        <v>20</v>
      </c>
      <c r="E668" s="7">
        <v>43153</v>
      </c>
      <c r="F668" s="4" t="s">
        <v>15</v>
      </c>
      <c r="G668" s="4" t="s">
        <v>494</v>
      </c>
      <c r="H668" s="4">
        <v>80</v>
      </c>
      <c r="I668" s="4">
        <v>80</v>
      </c>
      <c r="J668" s="5">
        <v>0</v>
      </c>
      <c r="K668" s="3">
        <v>9</v>
      </c>
      <c r="L668" s="4">
        <f>tblSales[[#This Row],[Quantity]]*tblSales[[#This Row],[Actual Price]]</f>
        <v>720</v>
      </c>
    </row>
    <row r="669" spans="1:12" x14ac:dyDescent="0.35">
      <c r="A669" s="3" t="s">
        <v>1139</v>
      </c>
      <c r="B669" s="4" t="s">
        <v>401</v>
      </c>
      <c r="C669" s="4" t="s">
        <v>402</v>
      </c>
      <c r="D669" s="4" t="s">
        <v>14</v>
      </c>
      <c r="E669" s="7">
        <v>43022</v>
      </c>
      <c r="F669" s="4" t="s">
        <v>56</v>
      </c>
      <c r="G669" s="4" t="s">
        <v>619</v>
      </c>
      <c r="H669" s="4">
        <v>800</v>
      </c>
      <c r="I669" s="4">
        <v>784</v>
      </c>
      <c r="J669" s="5">
        <v>0.02</v>
      </c>
      <c r="K669" s="3">
        <v>52</v>
      </c>
      <c r="L669" s="4">
        <f>tblSales[[#This Row],[Quantity]]*tblSales[[#This Row],[Actual Price]]</f>
        <v>40768</v>
      </c>
    </row>
    <row r="670" spans="1:12" x14ac:dyDescent="0.35">
      <c r="A670" s="3" t="s">
        <v>1140</v>
      </c>
      <c r="B670" s="4" t="s">
        <v>65</v>
      </c>
      <c r="C670" s="4" t="s">
        <v>66</v>
      </c>
      <c r="D670" s="4" t="s">
        <v>36</v>
      </c>
      <c r="E670" s="7">
        <v>43420</v>
      </c>
      <c r="F670" s="4" t="s">
        <v>56</v>
      </c>
      <c r="G670" s="4" t="s">
        <v>1058</v>
      </c>
      <c r="H670" s="4">
        <v>800</v>
      </c>
      <c r="I670" s="4">
        <v>776</v>
      </c>
      <c r="J670" s="5">
        <v>0.03</v>
      </c>
      <c r="K670" s="3">
        <v>12</v>
      </c>
      <c r="L670" s="4">
        <f>tblSales[[#This Row],[Quantity]]*tblSales[[#This Row],[Actual Price]]</f>
        <v>9312</v>
      </c>
    </row>
    <row r="671" spans="1:12" x14ac:dyDescent="0.35">
      <c r="A671" s="3" t="s">
        <v>1141</v>
      </c>
      <c r="B671" s="4" t="s">
        <v>128</v>
      </c>
      <c r="C671" s="4" t="s">
        <v>129</v>
      </c>
      <c r="D671" s="4" t="s">
        <v>14</v>
      </c>
      <c r="E671" s="7">
        <v>42482</v>
      </c>
      <c r="F671" s="4" t="s">
        <v>105</v>
      </c>
      <c r="G671" s="4" t="s">
        <v>921</v>
      </c>
      <c r="H671" s="4">
        <v>70</v>
      </c>
      <c r="I671" s="4">
        <v>69</v>
      </c>
      <c r="J671" s="5">
        <v>1.43E-2</v>
      </c>
      <c r="K671" s="3">
        <v>63</v>
      </c>
      <c r="L671" s="4">
        <f>tblSales[[#This Row],[Quantity]]*tblSales[[#This Row],[Actual Price]]</f>
        <v>4347</v>
      </c>
    </row>
    <row r="672" spans="1:12" x14ac:dyDescent="0.35">
      <c r="A672" s="3" t="s">
        <v>1142</v>
      </c>
      <c r="B672" s="4" t="s">
        <v>435</v>
      </c>
      <c r="C672" s="4" t="s">
        <v>436</v>
      </c>
      <c r="D672" s="4" t="s">
        <v>25</v>
      </c>
      <c r="E672" s="7">
        <v>42053</v>
      </c>
      <c r="F672" s="4" t="s">
        <v>56</v>
      </c>
      <c r="G672" s="4" t="s">
        <v>551</v>
      </c>
      <c r="H672" s="4">
        <v>800</v>
      </c>
      <c r="I672" s="4">
        <v>632</v>
      </c>
      <c r="J672" s="5">
        <v>0.21</v>
      </c>
      <c r="K672" s="3">
        <v>29</v>
      </c>
      <c r="L672" s="4">
        <f>tblSales[[#This Row],[Quantity]]*tblSales[[#This Row],[Actual Price]]</f>
        <v>18328</v>
      </c>
    </row>
    <row r="673" spans="1:12" x14ac:dyDescent="0.35">
      <c r="A673" s="3" t="s">
        <v>1143</v>
      </c>
      <c r="B673" s="4" t="s">
        <v>34</v>
      </c>
      <c r="C673" s="4" t="s">
        <v>35</v>
      </c>
      <c r="D673" s="4" t="s">
        <v>36</v>
      </c>
      <c r="E673" s="7">
        <v>42318</v>
      </c>
      <c r="F673" s="4" t="s">
        <v>73</v>
      </c>
      <c r="G673" s="4" t="s">
        <v>1144</v>
      </c>
      <c r="H673" s="4">
        <v>500</v>
      </c>
      <c r="I673" s="4">
        <v>500</v>
      </c>
      <c r="J673" s="5">
        <v>0</v>
      </c>
      <c r="K673" s="3">
        <v>87</v>
      </c>
      <c r="L673" s="4">
        <f>tblSales[[#This Row],[Quantity]]*tblSales[[#This Row],[Actual Price]]</f>
        <v>43500</v>
      </c>
    </row>
    <row r="674" spans="1:12" x14ac:dyDescent="0.35">
      <c r="A674" s="3" t="s">
        <v>1145</v>
      </c>
      <c r="B674" s="4" t="s">
        <v>18</v>
      </c>
      <c r="C674" s="4" t="s">
        <v>19</v>
      </c>
      <c r="D674" s="4" t="s">
        <v>20</v>
      </c>
      <c r="E674" s="7">
        <v>42227</v>
      </c>
      <c r="F674" s="4" t="s">
        <v>73</v>
      </c>
      <c r="G674" s="4" t="s">
        <v>777</v>
      </c>
      <c r="H674" s="4">
        <v>500</v>
      </c>
      <c r="I674" s="4">
        <v>490</v>
      </c>
      <c r="J674" s="5">
        <v>0.02</v>
      </c>
      <c r="K674" s="3">
        <v>63</v>
      </c>
      <c r="L674" s="4">
        <f>tblSales[[#This Row],[Quantity]]*tblSales[[#This Row],[Actual Price]]</f>
        <v>30870</v>
      </c>
    </row>
    <row r="675" spans="1:12" x14ac:dyDescent="0.35">
      <c r="A675" s="3" t="s">
        <v>1146</v>
      </c>
      <c r="B675" s="4" t="s">
        <v>45</v>
      </c>
      <c r="C675" s="4" t="s">
        <v>46</v>
      </c>
      <c r="D675" s="4" t="s">
        <v>25</v>
      </c>
      <c r="E675" s="7">
        <v>42965</v>
      </c>
      <c r="F675" s="4" t="s">
        <v>105</v>
      </c>
      <c r="G675" s="4" t="s">
        <v>1147</v>
      </c>
      <c r="H675" s="4">
        <v>70</v>
      </c>
      <c r="I675" s="4">
        <v>64</v>
      </c>
      <c r="J675" s="5">
        <v>8.5699999999999998E-2</v>
      </c>
      <c r="K675" s="3">
        <v>25</v>
      </c>
      <c r="L675" s="4">
        <f>tblSales[[#This Row],[Quantity]]*tblSales[[#This Row],[Actual Price]]</f>
        <v>1600</v>
      </c>
    </row>
    <row r="676" spans="1:12" x14ac:dyDescent="0.35">
      <c r="A676" s="3" t="s">
        <v>1148</v>
      </c>
      <c r="B676" s="4" t="s">
        <v>325</v>
      </c>
      <c r="C676" s="4" t="s">
        <v>326</v>
      </c>
      <c r="D676" s="4" t="s">
        <v>14</v>
      </c>
      <c r="E676" s="7">
        <v>41721</v>
      </c>
      <c r="F676" s="4" t="s">
        <v>123</v>
      </c>
      <c r="G676" s="4" t="s">
        <v>923</v>
      </c>
      <c r="H676" s="4">
        <v>50</v>
      </c>
      <c r="I676" s="4">
        <v>50</v>
      </c>
      <c r="J676" s="5">
        <v>0</v>
      </c>
      <c r="K676" s="3">
        <v>77</v>
      </c>
      <c r="L676" s="4">
        <f>tblSales[[#This Row],[Quantity]]*tblSales[[#This Row],[Actual Price]]</f>
        <v>3850</v>
      </c>
    </row>
    <row r="677" spans="1:12" x14ac:dyDescent="0.35">
      <c r="A677" s="3" t="s">
        <v>1149</v>
      </c>
      <c r="B677" s="4" t="s">
        <v>325</v>
      </c>
      <c r="C677" s="4" t="s">
        <v>326</v>
      </c>
      <c r="D677" s="4" t="s">
        <v>14</v>
      </c>
      <c r="E677" s="7">
        <v>42703</v>
      </c>
      <c r="F677" s="4" t="s">
        <v>37</v>
      </c>
      <c r="G677" s="4" t="s">
        <v>327</v>
      </c>
      <c r="H677" s="4">
        <v>50</v>
      </c>
      <c r="I677" s="4">
        <v>48</v>
      </c>
      <c r="J677" s="5">
        <v>0.04</v>
      </c>
      <c r="K677" s="3">
        <v>88</v>
      </c>
      <c r="L677" s="4">
        <f>tblSales[[#This Row],[Quantity]]*tblSales[[#This Row],[Actual Price]]</f>
        <v>4224</v>
      </c>
    </row>
    <row r="678" spans="1:12" x14ac:dyDescent="0.35">
      <c r="A678" s="3" t="s">
        <v>1150</v>
      </c>
      <c r="B678" s="4" t="s">
        <v>188</v>
      </c>
      <c r="C678" s="4" t="s">
        <v>189</v>
      </c>
      <c r="D678" s="4" t="s">
        <v>14</v>
      </c>
      <c r="E678" s="7">
        <v>43329</v>
      </c>
      <c r="F678" s="4" t="s">
        <v>47</v>
      </c>
      <c r="G678" s="4" t="s">
        <v>1151</v>
      </c>
      <c r="H678" s="4">
        <v>500</v>
      </c>
      <c r="I678" s="4">
        <v>495</v>
      </c>
      <c r="J678" s="5">
        <v>0.01</v>
      </c>
      <c r="K678" s="3">
        <v>84</v>
      </c>
      <c r="L678" s="4">
        <f>tblSales[[#This Row],[Quantity]]*tblSales[[#This Row],[Actual Price]]</f>
        <v>41580</v>
      </c>
    </row>
    <row r="679" spans="1:12" x14ac:dyDescent="0.35">
      <c r="A679" s="3" t="s">
        <v>1152</v>
      </c>
      <c r="B679" s="4" t="s">
        <v>242</v>
      </c>
      <c r="C679" s="4" t="s">
        <v>243</v>
      </c>
      <c r="D679" s="4" t="s">
        <v>14</v>
      </c>
      <c r="E679" s="7">
        <v>42435</v>
      </c>
      <c r="F679" s="4" t="s">
        <v>56</v>
      </c>
      <c r="G679" s="4" t="s">
        <v>1153</v>
      </c>
      <c r="H679" s="4">
        <v>800</v>
      </c>
      <c r="I679" s="4">
        <v>760</v>
      </c>
      <c r="J679" s="5">
        <v>0.05</v>
      </c>
      <c r="K679" s="3">
        <v>14</v>
      </c>
      <c r="L679" s="4">
        <f>tblSales[[#This Row],[Quantity]]*tblSales[[#This Row],[Actual Price]]</f>
        <v>10640</v>
      </c>
    </row>
    <row r="680" spans="1:12" x14ac:dyDescent="0.35">
      <c r="A680" s="3" t="s">
        <v>1154</v>
      </c>
      <c r="B680" s="4" t="s">
        <v>155</v>
      </c>
      <c r="C680" s="4" t="s">
        <v>109</v>
      </c>
      <c r="D680" s="4" t="s">
        <v>20</v>
      </c>
      <c r="E680" s="7">
        <v>42770</v>
      </c>
      <c r="F680" s="4" t="s">
        <v>105</v>
      </c>
      <c r="G680" s="4" t="s">
        <v>994</v>
      </c>
      <c r="H680" s="4">
        <v>70</v>
      </c>
      <c r="I680" s="4">
        <v>65</v>
      </c>
      <c r="J680" s="5">
        <v>7.1400000000000005E-2</v>
      </c>
      <c r="K680" s="3">
        <v>27</v>
      </c>
      <c r="L680" s="4">
        <f>tblSales[[#This Row],[Quantity]]*tblSales[[#This Row],[Actual Price]]</f>
        <v>1755</v>
      </c>
    </row>
    <row r="681" spans="1:12" x14ac:dyDescent="0.35">
      <c r="A681" s="3" t="s">
        <v>1155</v>
      </c>
      <c r="B681" s="4" t="s">
        <v>92</v>
      </c>
      <c r="C681" s="4" t="s">
        <v>93</v>
      </c>
      <c r="D681" s="4" t="s">
        <v>36</v>
      </c>
      <c r="E681" s="7">
        <v>41970</v>
      </c>
      <c r="F681" s="4" t="s">
        <v>105</v>
      </c>
      <c r="G681" s="4" t="s">
        <v>1156</v>
      </c>
      <c r="H681" s="4">
        <v>70</v>
      </c>
      <c r="I681" s="4">
        <v>67</v>
      </c>
      <c r="J681" s="5">
        <v>4.2900000000000001E-2</v>
      </c>
      <c r="K681" s="3">
        <v>7</v>
      </c>
      <c r="L681" s="4">
        <f>tblSales[[#This Row],[Quantity]]*tblSales[[#This Row],[Actual Price]]</f>
        <v>469</v>
      </c>
    </row>
    <row r="682" spans="1:12" x14ac:dyDescent="0.35">
      <c r="A682" s="3" t="s">
        <v>1157</v>
      </c>
      <c r="B682" s="4" t="s">
        <v>183</v>
      </c>
      <c r="C682" s="4" t="s">
        <v>109</v>
      </c>
      <c r="D682" s="4" t="s">
        <v>20</v>
      </c>
      <c r="E682" s="7">
        <v>42489</v>
      </c>
      <c r="F682" s="4" t="s">
        <v>73</v>
      </c>
      <c r="G682" s="4" t="s">
        <v>1158</v>
      </c>
      <c r="H682" s="4">
        <v>500</v>
      </c>
      <c r="I682" s="4">
        <v>490</v>
      </c>
      <c r="J682" s="5">
        <v>0.02</v>
      </c>
      <c r="K682" s="3">
        <v>82</v>
      </c>
      <c r="L682" s="4">
        <f>tblSales[[#This Row],[Quantity]]*tblSales[[#This Row],[Actual Price]]</f>
        <v>40180</v>
      </c>
    </row>
    <row r="683" spans="1:12" x14ac:dyDescent="0.35">
      <c r="A683" s="3" t="s">
        <v>1159</v>
      </c>
      <c r="B683" s="4" t="s">
        <v>12</v>
      </c>
      <c r="C683" s="4" t="s">
        <v>13</v>
      </c>
      <c r="D683" s="4" t="s">
        <v>14</v>
      </c>
      <c r="E683" s="7">
        <v>42863</v>
      </c>
      <c r="F683" s="4" t="s">
        <v>31</v>
      </c>
      <c r="G683" s="4" t="s">
        <v>1160</v>
      </c>
      <c r="H683" s="4">
        <v>150</v>
      </c>
      <c r="I683" s="4">
        <v>147</v>
      </c>
      <c r="J683" s="5">
        <v>0.02</v>
      </c>
      <c r="K683" s="3">
        <v>10</v>
      </c>
      <c r="L683" s="4">
        <f>tblSales[[#This Row],[Quantity]]*tblSales[[#This Row],[Actual Price]]</f>
        <v>1470</v>
      </c>
    </row>
    <row r="684" spans="1:12" x14ac:dyDescent="0.35">
      <c r="A684" s="3" t="s">
        <v>1161</v>
      </c>
      <c r="B684" s="4" t="s">
        <v>401</v>
      </c>
      <c r="C684" s="4" t="s">
        <v>402</v>
      </c>
      <c r="D684" s="4" t="s">
        <v>14</v>
      </c>
      <c r="E684" s="7">
        <v>43086</v>
      </c>
      <c r="F684" s="4" t="s">
        <v>73</v>
      </c>
      <c r="G684" s="4" t="s">
        <v>444</v>
      </c>
      <c r="H684" s="4">
        <v>500</v>
      </c>
      <c r="I684" s="4">
        <v>500</v>
      </c>
      <c r="J684" s="5">
        <v>0</v>
      </c>
      <c r="K684" s="3">
        <v>56</v>
      </c>
      <c r="L684" s="4">
        <f>tblSales[[#This Row],[Quantity]]*tblSales[[#This Row],[Actual Price]]</f>
        <v>28000</v>
      </c>
    </row>
    <row r="685" spans="1:12" x14ac:dyDescent="0.35">
      <c r="A685" s="3" t="s">
        <v>1162</v>
      </c>
      <c r="B685" s="4" t="s">
        <v>158</v>
      </c>
      <c r="C685" s="4" t="s">
        <v>109</v>
      </c>
      <c r="D685" s="4" t="s">
        <v>20</v>
      </c>
      <c r="E685" s="7">
        <v>43414</v>
      </c>
      <c r="F685" s="4" t="s">
        <v>42</v>
      </c>
      <c r="G685" s="4" t="s">
        <v>159</v>
      </c>
      <c r="H685" s="4">
        <v>30</v>
      </c>
      <c r="I685" s="4">
        <v>28</v>
      </c>
      <c r="J685" s="5">
        <v>6.6699999999999995E-2</v>
      </c>
      <c r="K685" s="3">
        <v>98</v>
      </c>
      <c r="L685" s="4">
        <f>tblSales[[#This Row],[Quantity]]*tblSales[[#This Row],[Actual Price]]</f>
        <v>2744</v>
      </c>
    </row>
    <row r="686" spans="1:12" x14ac:dyDescent="0.35">
      <c r="A686" s="3" t="s">
        <v>1163</v>
      </c>
      <c r="B686" s="4" t="s">
        <v>135</v>
      </c>
      <c r="C686" s="4" t="s">
        <v>93</v>
      </c>
      <c r="D686" s="4" t="s">
        <v>36</v>
      </c>
      <c r="E686" s="7">
        <v>42208</v>
      </c>
      <c r="F686" s="4" t="s">
        <v>56</v>
      </c>
      <c r="G686" s="4" t="s">
        <v>1128</v>
      </c>
      <c r="H686" s="4">
        <v>800</v>
      </c>
      <c r="I686" s="4">
        <v>600</v>
      </c>
      <c r="J686" s="5">
        <v>0.25</v>
      </c>
      <c r="K686" s="3">
        <v>27</v>
      </c>
      <c r="L686" s="4">
        <f>tblSales[[#This Row],[Quantity]]*tblSales[[#This Row],[Actual Price]]</f>
        <v>16200</v>
      </c>
    </row>
    <row r="687" spans="1:12" x14ac:dyDescent="0.35">
      <c r="A687" s="3" t="s">
        <v>1164</v>
      </c>
      <c r="B687" s="4" t="s">
        <v>119</v>
      </c>
      <c r="C687" s="4" t="s">
        <v>120</v>
      </c>
      <c r="D687" s="4" t="s">
        <v>36</v>
      </c>
      <c r="E687" s="7">
        <v>43349</v>
      </c>
      <c r="F687" s="4" t="s">
        <v>56</v>
      </c>
      <c r="G687" s="4" t="s">
        <v>897</v>
      </c>
      <c r="H687" s="4">
        <v>800</v>
      </c>
      <c r="I687" s="4">
        <v>552</v>
      </c>
      <c r="J687" s="5">
        <v>0.31</v>
      </c>
      <c r="K687" s="3">
        <v>97</v>
      </c>
      <c r="L687" s="4">
        <f>tblSales[[#This Row],[Quantity]]*tblSales[[#This Row],[Actual Price]]</f>
        <v>53544</v>
      </c>
    </row>
    <row r="688" spans="1:12" x14ac:dyDescent="0.35">
      <c r="A688" s="3" t="s">
        <v>1165</v>
      </c>
      <c r="B688" s="4" t="s">
        <v>112</v>
      </c>
      <c r="C688" s="4" t="s">
        <v>83</v>
      </c>
      <c r="D688" s="4" t="s">
        <v>14</v>
      </c>
      <c r="E688" s="7">
        <v>42769</v>
      </c>
      <c r="F688" s="4" t="s">
        <v>123</v>
      </c>
      <c r="G688" s="4" t="s">
        <v>561</v>
      </c>
      <c r="H688" s="4">
        <v>50</v>
      </c>
      <c r="I688" s="4">
        <v>46</v>
      </c>
      <c r="J688" s="5">
        <v>0.08</v>
      </c>
      <c r="K688" s="3">
        <v>12</v>
      </c>
      <c r="L688" s="4">
        <f>tblSales[[#This Row],[Quantity]]*tblSales[[#This Row],[Actual Price]]</f>
        <v>552</v>
      </c>
    </row>
    <row r="689" spans="1:12" x14ac:dyDescent="0.35">
      <c r="A689" s="3" t="s">
        <v>1166</v>
      </c>
      <c r="B689" s="4" t="s">
        <v>325</v>
      </c>
      <c r="C689" s="4" t="s">
        <v>326</v>
      </c>
      <c r="D689" s="4" t="s">
        <v>14</v>
      </c>
      <c r="E689" s="7">
        <v>42337</v>
      </c>
      <c r="F689" s="4" t="s">
        <v>42</v>
      </c>
      <c r="G689" s="4" t="s">
        <v>454</v>
      </c>
      <c r="H689" s="4">
        <v>30</v>
      </c>
      <c r="I689" s="4">
        <v>29</v>
      </c>
      <c r="J689" s="5">
        <v>3.3300000000000003E-2</v>
      </c>
      <c r="K689" s="3">
        <v>19</v>
      </c>
      <c r="L689" s="4">
        <f>tblSales[[#This Row],[Quantity]]*tblSales[[#This Row],[Actual Price]]</f>
        <v>551</v>
      </c>
    </row>
    <row r="690" spans="1:12" x14ac:dyDescent="0.35">
      <c r="A690" s="3" t="s">
        <v>1167</v>
      </c>
      <c r="B690" s="4" t="s">
        <v>401</v>
      </c>
      <c r="C690" s="4" t="s">
        <v>402</v>
      </c>
      <c r="D690" s="4" t="s">
        <v>14</v>
      </c>
      <c r="E690" s="7">
        <v>42047</v>
      </c>
      <c r="F690" s="4" t="s">
        <v>56</v>
      </c>
      <c r="G690" s="4" t="s">
        <v>1168</v>
      </c>
      <c r="H690" s="4">
        <v>800</v>
      </c>
      <c r="I690" s="4">
        <v>680</v>
      </c>
      <c r="J690" s="5">
        <v>0.15</v>
      </c>
      <c r="K690" s="3">
        <v>29</v>
      </c>
      <c r="L690" s="4">
        <f>tblSales[[#This Row],[Quantity]]*tblSales[[#This Row],[Actual Price]]</f>
        <v>19720</v>
      </c>
    </row>
    <row r="691" spans="1:12" x14ac:dyDescent="0.35">
      <c r="A691" s="3" t="s">
        <v>1169</v>
      </c>
      <c r="B691" s="4" t="s">
        <v>40</v>
      </c>
      <c r="C691" s="4" t="s">
        <v>41</v>
      </c>
      <c r="D691" s="4" t="s">
        <v>36</v>
      </c>
      <c r="E691" s="7">
        <v>41876</v>
      </c>
      <c r="F691" s="4" t="s">
        <v>73</v>
      </c>
      <c r="G691" s="4" t="s">
        <v>845</v>
      </c>
      <c r="H691" s="4">
        <v>500</v>
      </c>
      <c r="I691" s="4">
        <v>495</v>
      </c>
      <c r="J691" s="5">
        <v>0.01</v>
      </c>
      <c r="K691" s="3">
        <v>29</v>
      </c>
      <c r="L691" s="4">
        <f>tblSales[[#This Row],[Quantity]]*tblSales[[#This Row],[Actual Price]]</f>
        <v>14355</v>
      </c>
    </row>
    <row r="692" spans="1:12" x14ac:dyDescent="0.35">
      <c r="A692" s="3" t="s">
        <v>1170</v>
      </c>
      <c r="B692" s="4" t="s">
        <v>125</v>
      </c>
      <c r="C692" s="4" t="s">
        <v>41</v>
      </c>
      <c r="D692" s="4" t="s">
        <v>36</v>
      </c>
      <c r="E692" s="7">
        <v>42192</v>
      </c>
      <c r="F692" s="4" t="s">
        <v>116</v>
      </c>
      <c r="G692" s="4" t="s">
        <v>576</v>
      </c>
      <c r="H692" s="4">
        <v>250</v>
      </c>
      <c r="I692" s="4">
        <v>205</v>
      </c>
      <c r="J692" s="5">
        <v>0.18</v>
      </c>
      <c r="K692" s="3">
        <v>22</v>
      </c>
      <c r="L692" s="4">
        <f>tblSales[[#This Row],[Quantity]]*tblSales[[#This Row],[Actual Price]]</f>
        <v>4510</v>
      </c>
    </row>
    <row r="693" spans="1:12" x14ac:dyDescent="0.35">
      <c r="A693" s="3" t="s">
        <v>1171</v>
      </c>
      <c r="B693" s="4" t="s">
        <v>100</v>
      </c>
      <c r="C693" s="4" t="s">
        <v>101</v>
      </c>
      <c r="D693" s="4" t="s">
        <v>14</v>
      </c>
      <c r="E693" s="7">
        <v>42611</v>
      </c>
      <c r="F693" s="4" t="s">
        <v>37</v>
      </c>
      <c r="G693" s="4" t="s">
        <v>1172</v>
      </c>
      <c r="H693" s="4">
        <v>50</v>
      </c>
      <c r="I693" s="4">
        <v>48</v>
      </c>
      <c r="J693" s="5">
        <v>0.04</v>
      </c>
      <c r="K693" s="3">
        <v>63</v>
      </c>
      <c r="L693" s="4">
        <f>tblSales[[#This Row],[Quantity]]*tblSales[[#This Row],[Actual Price]]</f>
        <v>3024</v>
      </c>
    </row>
    <row r="694" spans="1:12" x14ac:dyDescent="0.35">
      <c r="A694" s="3" t="s">
        <v>1173</v>
      </c>
      <c r="B694" s="4" t="s">
        <v>188</v>
      </c>
      <c r="C694" s="4" t="s">
        <v>189</v>
      </c>
      <c r="D694" s="4" t="s">
        <v>14</v>
      </c>
      <c r="E694" s="7">
        <v>42615</v>
      </c>
      <c r="F694" s="4" t="s">
        <v>15</v>
      </c>
      <c r="G694" s="4" t="s">
        <v>792</v>
      </c>
      <c r="H694" s="4">
        <v>80</v>
      </c>
      <c r="I694" s="4">
        <v>78</v>
      </c>
      <c r="J694" s="5">
        <v>2.5000000000000001E-2</v>
      </c>
      <c r="K694" s="3">
        <v>83</v>
      </c>
      <c r="L694" s="4">
        <f>tblSales[[#This Row],[Quantity]]*tblSales[[#This Row],[Actual Price]]</f>
        <v>6474</v>
      </c>
    </row>
    <row r="695" spans="1:12" x14ac:dyDescent="0.35">
      <c r="A695" s="3" t="s">
        <v>1174</v>
      </c>
      <c r="B695" s="4" t="s">
        <v>60</v>
      </c>
      <c r="C695" s="4" t="s">
        <v>61</v>
      </c>
      <c r="D695" s="4" t="s">
        <v>14</v>
      </c>
      <c r="E695" s="7">
        <v>42884</v>
      </c>
      <c r="F695" s="4" t="s">
        <v>56</v>
      </c>
      <c r="G695" s="4" t="s">
        <v>1015</v>
      </c>
      <c r="H695" s="4">
        <v>800</v>
      </c>
      <c r="I695" s="4">
        <v>552</v>
      </c>
      <c r="J695" s="5">
        <v>0.31</v>
      </c>
      <c r="K695" s="3">
        <v>36</v>
      </c>
      <c r="L695" s="4">
        <f>tblSales[[#This Row],[Quantity]]*tblSales[[#This Row],[Actual Price]]</f>
        <v>19872</v>
      </c>
    </row>
    <row r="696" spans="1:12" x14ac:dyDescent="0.35">
      <c r="A696" s="3" t="s">
        <v>1175</v>
      </c>
      <c r="B696" s="4" t="s">
        <v>256</v>
      </c>
      <c r="C696" s="4" t="s">
        <v>257</v>
      </c>
      <c r="D696" s="4" t="s">
        <v>14</v>
      </c>
      <c r="E696" s="7">
        <v>41832</v>
      </c>
      <c r="F696" s="4" t="s">
        <v>73</v>
      </c>
      <c r="G696" s="4" t="s">
        <v>377</v>
      </c>
      <c r="H696" s="4">
        <v>500</v>
      </c>
      <c r="I696" s="4">
        <v>495</v>
      </c>
      <c r="J696" s="5">
        <v>0.01</v>
      </c>
      <c r="K696" s="3">
        <v>36</v>
      </c>
      <c r="L696" s="4">
        <f>tblSales[[#This Row],[Quantity]]*tblSales[[#This Row],[Actual Price]]</f>
        <v>17820</v>
      </c>
    </row>
    <row r="697" spans="1:12" x14ac:dyDescent="0.35">
      <c r="A697" s="3" t="s">
        <v>1176</v>
      </c>
      <c r="B697" s="4" t="s">
        <v>132</v>
      </c>
      <c r="C697" s="4" t="s">
        <v>109</v>
      </c>
      <c r="D697" s="4" t="s">
        <v>20</v>
      </c>
      <c r="E697" s="7">
        <v>42435</v>
      </c>
      <c r="F697" s="4" t="s">
        <v>62</v>
      </c>
      <c r="G697" s="4" t="s">
        <v>133</v>
      </c>
      <c r="H697" s="4">
        <v>1000</v>
      </c>
      <c r="I697" s="4">
        <v>1000</v>
      </c>
      <c r="J697" s="5">
        <v>0</v>
      </c>
      <c r="K697" s="3">
        <v>56</v>
      </c>
      <c r="L697" s="4">
        <f>tblSales[[#This Row],[Quantity]]*tblSales[[#This Row],[Actual Price]]</f>
        <v>56000</v>
      </c>
    </row>
    <row r="698" spans="1:12" x14ac:dyDescent="0.35">
      <c r="A698" s="3" t="s">
        <v>1177</v>
      </c>
      <c r="B698" s="4" t="s">
        <v>45</v>
      </c>
      <c r="C698" s="4" t="s">
        <v>46</v>
      </c>
      <c r="D698" s="4" t="s">
        <v>25</v>
      </c>
      <c r="E698" s="7">
        <v>42397</v>
      </c>
      <c r="F698" s="4" t="s">
        <v>37</v>
      </c>
      <c r="G698" s="4" t="s">
        <v>1178</v>
      </c>
      <c r="H698" s="4">
        <v>50</v>
      </c>
      <c r="I698" s="4">
        <v>43</v>
      </c>
      <c r="J698" s="5">
        <v>0.14000000000000001</v>
      </c>
      <c r="K698" s="3">
        <v>43</v>
      </c>
      <c r="L698" s="4">
        <f>tblSales[[#This Row],[Quantity]]*tblSales[[#This Row],[Actual Price]]</f>
        <v>1849</v>
      </c>
    </row>
    <row r="699" spans="1:12" x14ac:dyDescent="0.35">
      <c r="A699" s="3" t="s">
        <v>1179</v>
      </c>
      <c r="B699" s="4" t="s">
        <v>222</v>
      </c>
      <c r="C699" s="4" t="s">
        <v>41</v>
      </c>
      <c r="D699" s="4" t="s">
        <v>36</v>
      </c>
      <c r="E699" s="7">
        <v>43134</v>
      </c>
      <c r="F699" s="4" t="s">
        <v>116</v>
      </c>
      <c r="G699" s="4" t="s">
        <v>1180</v>
      </c>
      <c r="H699" s="4">
        <v>250</v>
      </c>
      <c r="I699" s="4">
        <v>250</v>
      </c>
      <c r="J699" s="5">
        <v>0</v>
      </c>
      <c r="K699" s="3">
        <v>81</v>
      </c>
      <c r="L699" s="4">
        <f>tblSales[[#This Row],[Quantity]]*tblSales[[#This Row],[Actual Price]]</f>
        <v>20250</v>
      </c>
    </row>
    <row r="700" spans="1:12" x14ac:dyDescent="0.35">
      <c r="A700" s="3" t="s">
        <v>1181</v>
      </c>
      <c r="B700" s="4" t="s">
        <v>265</v>
      </c>
      <c r="C700" s="4" t="s">
        <v>266</v>
      </c>
      <c r="D700" s="4" t="s">
        <v>14</v>
      </c>
      <c r="E700" s="7">
        <v>42242</v>
      </c>
      <c r="F700" s="4" t="s">
        <v>42</v>
      </c>
      <c r="G700" s="4" t="s">
        <v>315</v>
      </c>
      <c r="H700" s="4">
        <v>30</v>
      </c>
      <c r="I700" s="4">
        <v>23</v>
      </c>
      <c r="J700" s="5">
        <v>0.23330000000000001</v>
      </c>
      <c r="K700" s="3">
        <v>52</v>
      </c>
      <c r="L700" s="4">
        <f>tblSales[[#This Row],[Quantity]]*tblSales[[#This Row],[Actual Price]]</f>
        <v>1196</v>
      </c>
    </row>
    <row r="701" spans="1:12" x14ac:dyDescent="0.35">
      <c r="A701" s="3" t="s">
        <v>1182</v>
      </c>
      <c r="B701" s="4" t="s">
        <v>65</v>
      </c>
      <c r="C701" s="4" t="s">
        <v>66</v>
      </c>
      <c r="D701" s="4" t="s">
        <v>36</v>
      </c>
      <c r="E701" s="7">
        <v>42009</v>
      </c>
      <c r="F701" s="4" t="s">
        <v>73</v>
      </c>
      <c r="G701" s="4" t="s">
        <v>67</v>
      </c>
      <c r="H701" s="4">
        <v>500</v>
      </c>
      <c r="I701" s="4">
        <v>490</v>
      </c>
      <c r="J701" s="5">
        <v>0.02</v>
      </c>
      <c r="K701" s="3">
        <v>73</v>
      </c>
      <c r="L701" s="4">
        <f>tblSales[[#This Row],[Quantity]]*tblSales[[#This Row],[Actual Price]]</f>
        <v>35770</v>
      </c>
    </row>
    <row r="702" spans="1:12" x14ac:dyDescent="0.35">
      <c r="A702" s="3" t="s">
        <v>1183</v>
      </c>
      <c r="B702" s="4" t="s">
        <v>23</v>
      </c>
      <c r="C702" s="4" t="s">
        <v>24</v>
      </c>
      <c r="D702" s="4" t="s">
        <v>25</v>
      </c>
      <c r="E702" s="7">
        <v>41801</v>
      </c>
      <c r="F702" s="4" t="s">
        <v>47</v>
      </c>
      <c r="G702" s="4" t="s">
        <v>311</v>
      </c>
      <c r="H702" s="4">
        <v>500</v>
      </c>
      <c r="I702" s="4">
        <v>425</v>
      </c>
      <c r="J702" s="5">
        <v>0.15</v>
      </c>
      <c r="K702" s="3">
        <v>63</v>
      </c>
      <c r="L702" s="4">
        <f>tblSales[[#This Row],[Quantity]]*tblSales[[#This Row],[Actual Price]]</f>
        <v>26775</v>
      </c>
    </row>
    <row r="703" spans="1:12" x14ac:dyDescent="0.35">
      <c r="A703" s="3" t="s">
        <v>1184</v>
      </c>
      <c r="B703" s="4" t="s">
        <v>401</v>
      </c>
      <c r="C703" s="4" t="s">
        <v>402</v>
      </c>
      <c r="D703" s="4" t="s">
        <v>14</v>
      </c>
      <c r="E703" s="7">
        <v>43226</v>
      </c>
      <c r="F703" s="4" t="s">
        <v>116</v>
      </c>
      <c r="G703" s="4" t="s">
        <v>694</v>
      </c>
      <c r="H703" s="4">
        <v>250</v>
      </c>
      <c r="I703" s="4">
        <v>223</v>
      </c>
      <c r="J703" s="5">
        <v>0.108</v>
      </c>
      <c r="K703" s="3">
        <v>27</v>
      </c>
      <c r="L703" s="4">
        <f>tblSales[[#This Row],[Quantity]]*tblSales[[#This Row],[Actual Price]]</f>
        <v>6021</v>
      </c>
    </row>
    <row r="704" spans="1:12" x14ac:dyDescent="0.35">
      <c r="A704" s="3" t="s">
        <v>1185</v>
      </c>
      <c r="B704" s="4" t="s">
        <v>155</v>
      </c>
      <c r="C704" s="4" t="s">
        <v>109</v>
      </c>
      <c r="D704" s="4" t="s">
        <v>20</v>
      </c>
      <c r="E704" s="7">
        <v>43035</v>
      </c>
      <c r="F704" s="4" t="s">
        <v>26</v>
      </c>
      <c r="G704" s="4" t="s">
        <v>1186</v>
      </c>
      <c r="H704" s="4">
        <v>700</v>
      </c>
      <c r="I704" s="4">
        <v>693</v>
      </c>
      <c r="J704" s="5">
        <v>0.01</v>
      </c>
      <c r="K704" s="3">
        <v>80</v>
      </c>
      <c r="L704" s="4">
        <f>tblSales[[#This Row],[Quantity]]*tblSales[[#This Row],[Actual Price]]</f>
        <v>55440</v>
      </c>
    </row>
    <row r="705" spans="1:12" x14ac:dyDescent="0.35">
      <c r="A705" s="3" t="s">
        <v>1187</v>
      </c>
      <c r="B705" s="4" t="s">
        <v>108</v>
      </c>
      <c r="C705" s="4" t="s">
        <v>109</v>
      </c>
      <c r="D705" s="4" t="s">
        <v>20</v>
      </c>
      <c r="E705" s="7">
        <v>42929</v>
      </c>
      <c r="F705" s="4" t="s">
        <v>31</v>
      </c>
      <c r="G705" s="4" t="s">
        <v>110</v>
      </c>
      <c r="H705" s="4">
        <v>150</v>
      </c>
      <c r="I705" s="4">
        <v>147</v>
      </c>
      <c r="J705" s="5">
        <v>0.02</v>
      </c>
      <c r="K705" s="3">
        <v>83</v>
      </c>
      <c r="L705" s="4">
        <f>tblSales[[#This Row],[Quantity]]*tblSales[[#This Row],[Actual Price]]</f>
        <v>12201</v>
      </c>
    </row>
    <row r="706" spans="1:12" x14ac:dyDescent="0.35">
      <c r="A706" s="3" t="s">
        <v>1188</v>
      </c>
      <c r="B706" s="4" t="s">
        <v>222</v>
      </c>
      <c r="C706" s="4" t="s">
        <v>41</v>
      </c>
      <c r="D706" s="4" t="s">
        <v>36</v>
      </c>
      <c r="E706" s="7">
        <v>43376</v>
      </c>
      <c r="F706" s="4" t="s">
        <v>42</v>
      </c>
      <c r="G706" s="4" t="s">
        <v>1180</v>
      </c>
      <c r="H706" s="4">
        <v>30</v>
      </c>
      <c r="I706" s="4">
        <v>26</v>
      </c>
      <c r="J706" s="5">
        <v>0.1333</v>
      </c>
      <c r="K706" s="3">
        <v>67</v>
      </c>
      <c r="L706" s="4">
        <f>tblSales[[#This Row],[Quantity]]*tblSales[[#This Row],[Actual Price]]</f>
        <v>1742</v>
      </c>
    </row>
    <row r="707" spans="1:12" x14ac:dyDescent="0.35">
      <c r="A707" s="3" t="s">
        <v>1189</v>
      </c>
      <c r="B707" s="4" t="s">
        <v>256</v>
      </c>
      <c r="C707" s="4" t="s">
        <v>257</v>
      </c>
      <c r="D707" s="4" t="s">
        <v>14</v>
      </c>
      <c r="E707" s="7">
        <v>42602</v>
      </c>
      <c r="F707" s="4" t="s">
        <v>42</v>
      </c>
      <c r="G707" s="4" t="s">
        <v>801</v>
      </c>
      <c r="H707" s="4">
        <v>30</v>
      </c>
      <c r="I707" s="4">
        <v>29</v>
      </c>
      <c r="J707" s="5">
        <v>3.3300000000000003E-2</v>
      </c>
      <c r="K707" s="3">
        <v>22</v>
      </c>
      <c r="L707" s="4">
        <f>tblSales[[#This Row],[Quantity]]*tblSales[[#This Row],[Actual Price]]</f>
        <v>638</v>
      </c>
    </row>
    <row r="708" spans="1:12" x14ac:dyDescent="0.35">
      <c r="A708" s="3" t="s">
        <v>1190</v>
      </c>
      <c r="B708" s="4" t="s">
        <v>125</v>
      </c>
      <c r="C708" s="4" t="s">
        <v>41</v>
      </c>
      <c r="D708" s="4" t="s">
        <v>36</v>
      </c>
      <c r="E708" s="7">
        <v>41917</v>
      </c>
      <c r="F708" s="4" t="s">
        <v>31</v>
      </c>
      <c r="G708" s="4" t="s">
        <v>971</v>
      </c>
      <c r="H708" s="4">
        <v>150</v>
      </c>
      <c r="I708" s="4">
        <v>105</v>
      </c>
      <c r="J708" s="5">
        <v>0.3</v>
      </c>
      <c r="K708" s="3">
        <v>20</v>
      </c>
      <c r="L708" s="4">
        <f>tblSales[[#This Row],[Quantity]]*tblSales[[#This Row],[Actual Price]]</f>
        <v>2100</v>
      </c>
    </row>
    <row r="709" spans="1:12" x14ac:dyDescent="0.35">
      <c r="A709" s="3" t="s">
        <v>1191</v>
      </c>
      <c r="B709" s="4" t="s">
        <v>18</v>
      </c>
      <c r="C709" s="4" t="s">
        <v>19</v>
      </c>
      <c r="D709" s="4" t="s">
        <v>20</v>
      </c>
      <c r="E709" s="7">
        <v>43150</v>
      </c>
      <c r="F709" s="4" t="s">
        <v>123</v>
      </c>
      <c r="G709" s="4" t="s">
        <v>494</v>
      </c>
      <c r="H709" s="4">
        <v>50</v>
      </c>
      <c r="I709" s="4">
        <v>50</v>
      </c>
      <c r="J709" s="5">
        <v>0</v>
      </c>
      <c r="K709" s="3">
        <v>92</v>
      </c>
      <c r="L709" s="4">
        <f>tblSales[[#This Row],[Quantity]]*tblSales[[#This Row],[Actual Price]]</f>
        <v>4600</v>
      </c>
    </row>
    <row r="710" spans="1:12" x14ac:dyDescent="0.35">
      <c r="A710" s="3" t="s">
        <v>1192</v>
      </c>
      <c r="B710" s="4" t="s">
        <v>325</v>
      </c>
      <c r="C710" s="4" t="s">
        <v>326</v>
      </c>
      <c r="D710" s="4" t="s">
        <v>14</v>
      </c>
      <c r="E710" s="7">
        <v>41933</v>
      </c>
      <c r="F710" s="4" t="s">
        <v>56</v>
      </c>
      <c r="G710" s="4" t="s">
        <v>1193</v>
      </c>
      <c r="H710" s="4">
        <v>800</v>
      </c>
      <c r="I710" s="4">
        <v>480</v>
      </c>
      <c r="J710" s="5">
        <v>0.4</v>
      </c>
      <c r="K710" s="3">
        <v>50</v>
      </c>
      <c r="L710" s="4">
        <f>tblSales[[#This Row],[Quantity]]*tblSales[[#This Row],[Actual Price]]</f>
        <v>24000</v>
      </c>
    </row>
    <row r="711" spans="1:12" x14ac:dyDescent="0.35">
      <c r="A711" s="3" t="s">
        <v>1194</v>
      </c>
      <c r="B711" s="4" t="s">
        <v>228</v>
      </c>
      <c r="C711" s="4" t="s">
        <v>229</v>
      </c>
      <c r="D711" s="4" t="s">
        <v>25</v>
      </c>
      <c r="E711" s="7">
        <v>42467</v>
      </c>
      <c r="F711" s="4" t="s">
        <v>73</v>
      </c>
      <c r="G711" s="4" t="s">
        <v>871</v>
      </c>
      <c r="H711" s="4">
        <v>500</v>
      </c>
      <c r="I711" s="4">
        <v>500</v>
      </c>
      <c r="J711" s="5">
        <v>0</v>
      </c>
      <c r="K711" s="3">
        <v>33</v>
      </c>
      <c r="L711" s="4">
        <f>tblSales[[#This Row],[Quantity]]*tblSales[[#This Row],[Actual Price]]</f>
        <v>16500</v>
      </c>
    </row>
    <row r="712" spans="1:12" x14ac:dyDescent="0.35">
      <c r="A712" s="3" t="s">
        <v>1195</v>
      </c>
      <c r="B712" s="4" t="s">
        <v>18</v>
      </c>
      <c r="C712" s="4" t="s">
        <v>19</v>
      </c>
      <c r="D712" s="4" t="s">
        <v>20</v>
      </c>
      <c r="E712" s="7">
        <v>41750</v>
      </c>
      <c r="F712" s="4" t="s">
        <v>37</v>
      </c>
      <c r="G712" s="4" t="s">
        <v>777</v>
      </c>
      <c r="H712" s="4">
        <v>50</v>
      </c>
      <c r="I712" s="4">
        <v>40</v>
      </c>
      <c r="J712" s="5">
        <v>0.2</v>
      </c>
      <c r="K712" s="3">
        <v>40</v>
      </c>
      <c r="L712" s="4">
        <f>tblSales[[#This Row],[Quantity]]*tblSales[[#This Row],[Actual Price]]</f>
        <v>1600</v>
      </c>
    </row>
    <row r="713" spans="1:12" x14ac:dyDescent="0.35">
      <c r="A713" s="3" t="s">
        <v>1196</v>
      </c>
      <c r="B713" s="4" t="s">
        <v>108</v>
      </c>
      <c r="C713" s="4" t="s">
        <v>109</v>
      </c>
      <c r="D713" s="4" t="s">
        <v>20</v>
      </c>
      <c r="E713" s="7">
        <v>42939</v>
      </c>
      <c r="F713" s="4" t="s">
        <v>62</v>
      </c>
      <c r="G713" s="4" t="s">
        <v>532</v>
      </c>
      <c r="H713" s="4">
        <v>1000</v>
      </c>
      <c r="I713" s="4">
        <v>620</v>
      </c>
      <c r="J713" s="5">
        <v>0.38</v>
      </c>
      <c r="K713" s="3">
        <v>36</v>
      </c>
      <c r="L713" s="4">
        <f>tblSales[[#This Row],[Quantity]]*tblSales[[#This Row],[Actual Price]]</f>
        <v>22320</v>
      </c>
    </row>
    <row r="714" spans="1:12" x14ac:dyDescent="0.35">
      <c r="A714" s="3" t="s">
        <v>1197</v>
      </c>
      <c r="B714" s="4" t="s">
        <v>12</v>
      </c>
      <c r="C714" s="4" t="s">
        <v>13</v>
      </c>
      <c r="D714" s="4" t="s">
        <v>14</v>
      </c>
      <c r="E714" s="7">
        <v>41733</v>
      </c>
      <c r="F714" s="4" t="s">
        <v>37</v>
      </c>
      <c r="G714" s="4" t="s">
        <v>194</v>
      </c>
      <c r="H714" s="4">
        <v>50</v>
      </c>
      <c r="I714" s="4">
        <v>50</v>
      </c>
      <c r="J714" s="5">
        <v>0</v>
      </c>
      <c r="K714" s="3">
        <v>73</v>
      </c>
      <c r="L714" s="4">
        <f>tblSales[[#This Row],[Quantity]]*tblSales[[#This Row],[Actual Price]]</f>
        <v>3650</v>
      </c>
    </row>
    <row r="715" spans="1:12" x14ac:dyDescent="0.35">
      <c r="A715" s="3" t="s">
        <v>1198</v>
      </c>
      <c r="B715" s="4" t="s">
        <v>71</v>
      </c>
      <c r="C715" s="4" t="s">
        <v>72</v>
      </c>
      <c r="D715" s="4" t="s">
        <v>36</v>
      </c>
      <c r="E715" s="7">
        <v>42245</v>
      </c>
      <c r="F715" s="4" t="s">
        <v>31</v>
      </c>
      <c r="G715" s="4" t="s">
        <v>329</v>
      </c>
      <c r="H715" s="4">
        <v>150</v>
      </c>
      <c r="I715" s="4">
        <v>98</v>
      </c>
      <c r="J715" s="5">
        <v>0.34670000000000001</v>
      </c>
      <c r="K715" s="3">
        <v>51</v>
      </c>
      <c r="L715" s="4">
        <f>tblSales[[#This Row],[Quantity]]*tblSales[[#This Row],[Actual Price]]</f>
        <v>4998</v>
      </c>
    </row>
    <row r="716" spans="1:12" x14ac:dyDescent="0.35">
      <c r="A716" s="3" t="s">
        <v>1199</v>
      </c>
      <c r="B716" s="4" t="s">
        <v>242</v>
      </c>
      <c r="C716" s="4" t="s">
        <v>243</v>
      </c>
      <c r="D716" s="4" t="s">
        <v>14</v>
      </c>
      <c r="E716" s="7">
        <v>42942</v>
      </c>
      <c r="F716" s="4" t="s">
        <v>26</v>
      </c>
      <c r="G716" s="4" t="s">
        <v>627</v>
      </c>
      <c r="H716" s="4">
        <v>700</v>
      </c>
      <c r="I716" s="4">
        <v>700</v>
      </c>
      <c r="J716" s="5">
        <v>0</v>
      </c>
      <c r="K716" s="3">
        <v>19</v>
      </c>
      <c r="L716" s="4">
        <f>tblSales[[#This Row],[Quantity]]*tblSales[[#This Row],[Actual Price]]</f>
        <v>13300</v>
      </c>
    </row>
    <row r="717" spans="1:12" x14ac:dyDescent="0.35">
      <c r="A717" s="3" t="s">
        <v>1200</v>
      </c>
      <c r="B717" s="4" t="s">
        <v>78</v>
      </c>
      <c r="C717" s="4" t="s">
        <v>79</v>
      </c>
      <c r="D717" s="4" t="s">
        <v>36</v>
      </c>
      <c r="E717" s="7">
        <v>41758</v>
      </c>
      <c r="F717" s="4" t="s">
        <v>37</v>
      </c>
      <c r="G717" s="4" t="s">
        <v>669</v>
      </c>
      <c r="H717" s="4">
        <v>50</v>
      </c>
      <c r="I717" s="4">
        <v>37</v>
      </c>
      <c r="J717" s="5">
        <v>0.26</v>
      </c>
      <c r="K717" s="3">
        <v>44</v>
      </c>
      <c r="L717" s="4">
        <f>tblSales[[#This Row],[Quantity]]*tblSales[[#This Row],[Actual Price]]</f>
        <v>1628</v>
      </c>
    </row>
    <row r="718" spans="1:12" x14ac:dyDescent="0.35">
      <c r="A718" s="3" t="s">
        <v>1201</v>
      </c>
      <c r="B718" s="4" t="s">
        <v>65</v>
      </c>
      <c r="C718" s="4" t="s">
        <v>66</v>
      </c>
      <c r="D718" s="4" t="s">
        <v>36</v>
      </c>
      <c r="E718" s="7">
        <v>42926</v>
      </c>
      <c r="F718" s="4" t="s">
        <v>42</v>
      </c>
      <c r="G718" s="4" t="s">
        <v>67</v>
      </c>
      <c r="H718" s="4">
        <v>30</v>
      </c>
      <c r="I718" s="4">
        <v>29</v>
      </c>
      <c r="J718" s="5">
        <v>3.3300000000000003E-2</v>
      </c>
      <c r="K718" s="3">
        <v>19</v>
      </c>
      <c r="L718" s="4">
        <f>tblSales[[#This Row],[Quantity]]*tblSales[[#This Row],[Actual Price]]</f>
        <v>551</v>
      </c>
    </row>
    <row r="719" spans="1:12" x14ac:dyDescent="0.35">
      <c r="A719" s="3" t="s">
        <v>1202</v>
      </c>
      <c r="B719" s="4" t="s">
        <v>12</v>
      </c>
      <c r="C719" s="4" t="s">
        <v>13</v>
      </c>
      <c r="D719" s="4" t="s">
        <v>14</v>
      </c>
      <c r="E719" s="7">
        <v>42297</v>
      </c>
      <c r="F719" s="4" t="s">
        <v>26</v>
      </c>
      <c r="G719" s="4" t="s">
        <v>349</v>
      </c>
      <c r="H719" s="4">
        <v>700</v>
      </c>
      <c r="I719" s="4">
        <v>679</v>
      </c>
      <c r="J719" s="5">
        <v>0.03</v>
      </c>
      <c r="K719" s="3">
        <v>1</v>
      </c>
      <c r="L719" s="4">
        <f>tblSales[[#This Row],[Quantity]]*tblSales[[#This Row],[Actual Price]]</f>
        <v>679</v>
      </c>
    </row>
    <row r="720" spans="1:12" x14ac:dyDescent="0.35">
      <c r="A720" s="3" t="s">
        <v>1203</v>
      </c>
      <c r="B720" s="4" t="s">
        <v>50</v>
      </c>
      <c r="C720" s="4" t="s">
        <v>51</v>
      </c>
      <c r="D720" s="4" t="s">
        <v>25</v>
      </c>
      <c r="E720" s="7">
        <v>42253</v>
      </c>
      <c r="F720" s="4" t="s">
        <v>73</v>
      </c>
      <c r="G720" s="4" t="s">
        <v>399</v>
      </c>
      <c r="H720" s="4">
        <v>500</v>
      </c>
      <c r="I720" s="4">
        <v>495</v>
      </c>
      <c r="J720" s="5">
        <v>0.01</v>
      </c>
      <c r="K720" s="3">
        <v>36</v>
      </c>
      <c r="L720" s="4">
        <f>tblSales[[#This Row],[Quantity]]*tblSales[[#This Row],[Actual Price]]</f>
        <v>17820</v>
      </c>
    </row>
    <row r="721" spans="1:12" x14ac:dyDescent="0.35">
      <c r="A721" s="3" t="s">
        <v>1204</v>
      </c>
      <c r="B721" s="4" t="s">
        <v>18</v>
      </c>
      <c r="C721" s="4" t="s">
        <v>19</v>
      </c>
      <c r="D721" s="4" t="s">
        <v>20</v>
      </c>
      <c r="E721" s="7">
        <v>41843</v>
      </c>
      <c r="F721" s="4" t="s">
        <v>123</v>
      </c>
      <c r="G721" s="4" t="s">
        <v>21</v>
      </c>
      <c r="H721" s="4">
        <v>50</v>
      </c>
      <c r="I721" s="4">
        <v>36</v>
      </c>
      <c r="J721" s="5">
        <v>0.28000000000000003</v>
      </c>
      <c r="K721" s="3">
        <v>42</v>
      </c>
      <c r="L721" s="4">
        <f>tblSales[[#This Row],[Quantity]]*tblSales[[#This Row],[Actual Price]]</f>
        <v>1512</v>
      </c>
    </row>
    <row r="722" spans="1:12" x14ac:dyDescent="0.35">
      <c r="A722" s="3" t="s">
        <v>1205</v>
      </c>
      <c r="B722" s="4" t="s">
        <v>401</v>
      </c>
      <c r="C722" s="4" t="s">
        <v>402</v>
      </c>
      <c r="D722" s="4" t="s">
        <v>14</v>
      </c>
      <c r="E722" s="7">
        <v>42012</v>
      </c>
      <c r="F722" s="4" t="s">
        <v>37</v>
      </c>
      <c r="G722" s="4" t="s">
        <v>1168</v>
      </c>
      <c r="H722" s="4">
        <v>50</v>
      </c>
      <c r="I722" s="4">
        <v>48</v>
      </c>
      <c r="J722" s="5">
        <v>0.04</v>
      </c>
      <c r="K722" s="3">
        <v>64</v>
      </c>
      <c r="L722" s="4">
        <f>tblSales[[#This Row],[Quantity]]*tblSales[[#This Row],[Actual Price]]</f>
        <v>3072</v>
      </c>
    </row>
    <row r="723" spans="1:12" x14ac:dyDescent="0.35">
      <c r="A723" s="3" t="s">
        <v>1206</v>
      </c>
      <c r="B723" s="4" t="s">
        <v>54</v>
      </c>
      <c r="C723" s="4" t="s">
        <v>55</v>
      </c>
      <c r="D723" s="4" t="s">
        <v>14</v>
      </c>
      <c r="E723" s="7">
        <v>43099</v>
      </c>
      <c r="F723" s="4" t="s">
        <v>47</v>
      </c>
      <c r="G723" s="4" t="s">
        <v>1207</v>
      </c>
      <c r="H723" s="4">
        <v>500</v>
      </c>
      <c r="I723" s="4">
        <v>475</v>
      </c>
      <c r="J723" s="5">
        <v>0.05</v>
      </c>
      <c r="K723" s="3">
        <v>24</v>
      </c>
      <c r="L723" s="4">
        <f>tblSales[[#This Row],[Quantity]]*tblSales[[#This Row],[Actual Price]]</f>
        <v>11400</v>
      </c>
    </row>
    <row r="724" spans="1:12" x14ac:dyDescent="0.35">
      <c r="A724" s="3" t="s">
        <v>1208</v>
      </c>
      <c r="B724" s="4" t="s">
        <v>256</v>
      </c>
      <c r="C724" s="4" t="s">
        <v>257</v>
      </c>
      <c r="D724" s="4" t="s">
        <v>14</v>
      </c>
      <c r="E724" s="7">
        <v>42456</v>
      </c>
      <c r="F724" s="4" t="s">
        <v>37</v>
      </c>
      <c r="G724" s="4" t="s">
        <v>1209</v>
      </c>
      <c r="H724" s="4">
        <v>50</v>
      </c>
      <c r="I724" s="4">
        <v>43</v>
      </c>
      <c r="J724" s="5">
        <v>0.14000000000000001</v>
      </c>
      <c r="K724" s="3">
        <v>78</v>
      </c>
      <c r="L724" s="4">
        <f>tblSales[[#This Row],[Quantity]]*tblSales[[#This Row],[Actual Price]]</f>
        <v>3354</v>
      </c>
    </row>
    <row r="725" spans="1:12" x14ac:dyDescent="0.35">
      <c r="A725" s="3" t="s">
        <v>1210</v>
      </c>
      <c r="B725" s="4" t="s">
        <v>228</v>
      </c>
      <c r="C725" s="4" t="s">
        <v>229</v>
      </c>
      <c r="D725" s="4" t="s">
        <v>25</v>
      </c>
      <c r="E725" s="7">
        <v>43157</v>
      </c>
      <c r="F725" s="4" t="s">
        <v>116</v>
      </c>
      <c r="G725" s="4" t="s">
        <v>686</v>
      </c>
      <c r="H725" s="4">
        <v>250</v>
      </c>
      <c r="I725" s="4">
        <v>235</v>
      </c>
      <c r="J725" s="5">
        <v>0.06</v>
      </c>
      <c r="K725" s="3">
        <v>1</v>
      </c>
      <c r="L725" s="4">
        <f>tblSales[[#This Row],[Quantity]]*tblSales[[#This Row],[Actual Price]]</f>
        <v>235</v>
      </c>
    </row>
    <row r="726" spans="1:12" x14ac:dyDescent="0.35">
      <c r="A726" s="3" t="s">
        <v>1211</v>
      </c>
      <c r="B726" s="4" t="s">
        <v>147</v>
      </c>
      <c r="C726" s="4" t="s">
        <v>148</v>
      </c>
      <c r="D726" s="4" t="s">
        <v>14</v>
      </c>
      <c r="E726" s="7">
        <v>43198</v>
      </c>
      <c r="F726" s="4" t="s">
        <v>123</v>
      </c>
      <c r="G726" s="4" t="s">
        <v>831</v>
      </c>
      <c r="H726" s="4">
        <v>50</v>
      </c>
      <c r="I726" s="4">
        <v>43</v>
      </c>
      <c r="J726" s="5">
        <v>0.14000000000000001</v>
      </c>
      <c r="K726" s="3">
        <v>53</v>
      </c>
      <c r="L726" s="4">
        <f>tblSales[[#This Row],[Quantity]]*tblSales[[#This Row],[Actual Price]]</f>
        <v>2279</v>
      </c>
    </row>
    <row r="727" spans="1:12" x14ac:dyDescent="0.35">
      <c r="A727" s="3" t="s">
        <v>1212</v>
      </c>
      <c r="B727" s="4" t="s">
        <v>225</v>
      </c>
      <c r="C727" s="4" t="s">
        <v>51</v>
      </c>
      <c r="D727" s="4" t="s">
        <v>25</v>
      </c>
      <c r="E727" s="7">
        <v>42303</v>
      </c>
      <c r="F727" s="4" t="s">
        <v>42</v>
      </c>
      <c r="G727" s="4" t="s">
        <v>510</v>
      </c>
      <c r="H727" s="4">
        <v>30</v>
      </c>
      <c r="I727" s="4">
        <v>26</v>
      </c>
      <c r="J727" s="5">
        <v>0.1333</v>
      </c>
      <c r="K727" s="3">
        <v>74</v>
      </c>
      <c r="L727" s="4">
        <f>tblSales[[#This Row],[Quantity]]*tblSales[[#This Row],[Actual Price]]</f>
        <v>1924</v>
      </c>
    </row>
    <row r="728" spans="1:12" x14ac:dyDescent="0.35">
      <c r="A728" s="3" t="s">
        <v>1213</v>
      </c>
      <c r="B728" s="4" t="s">
        <v>50</v>
      </c>
      <c r="C728" s="4" t="s">
        <v>51</v>
      </c>
      <c r="D728" s="4" t="s">
        <v>25</v>
      </c>
      <c r="E728" s="7">
        <v>42271</v>
      </c>
      <c r="F728" s="4" t="s">
        <v>105</v>
      </c>
      <c r="G728" s="4" t="s">
        <v>379</v>
      </c>
      <c r="H728" s="4">
        <v>70</v>
      </c>
      <c r="I728" s="4">
        <v>53</v>
      </c>
      <c r="J728" s="5">
        <v>0.2429</v>
      </c>
      <c r="K728" s="3">
        <v>83</v>
      </c>
      <c r="L728" s="4">
        <f>tblSales[[#This Row],[Quantity]]*tblSales[[#This Row],[Actual Price]]</f>
        <v>4399</v>
      </c>
    </row>
    <row r="729" spans="1:12" x14ac:dyDescent="0.35">
      <c r="A729" s="3" t="s">
        <v>1214</v>
      </c>
      <c r="B729" s="4" t="s">
        <v>92</v>
      </c>
      <c r="C729" s="4" t="s">
        <v>93</v>
      </c>
      <c r="D729" s="4" t="s">
        <v>36</v>
      </c>
      <c r="E729" s="7">
        <v>42933</v>
      </c>
      <c r="F729" s="4" t="s">
        <v>31</v>
      </c>
      <c r="G729" s="4" t="s">
        <v>940</v>
      </c>
      <c r="H729" s="4">
        <v>150</v>
      </c>
      <c r="I729" s="4">
        <v>149</v>
      </c>
      <c r="J729" s="5">
        <v>6.7000000000000002E-3</v>
      </c>
      <c r="K729" s="3">
        <v>39</v>
      </c>
      <c r="L729" s="4">
        <f>tblSales[[#This Row],[Quantity]]*tblSales[[#This Row],[Actual Price]]</f>
        <v>5811</v>
      </c>
    </row>
    <row r="730" spans="1:12" x14ac:dyDescent="0.35">
      <c r="A730" s="3" t="s">
        <v>1215</v>
      </c>
      <c r="B730" s="4" t="s">
        <v>151</v>
      </c>
      <c r="C730" s="4" t="s">
        <v>152</v>
      </c>
      <c r="D730" s="4" t="s">
        <v>14</v>
      </c>
      <c r="E730" s="7">
        <v>43238</v>
      </c>
      <c r="F730" s="4" t="s">
        <v>116</v>
      </c>
      <c r="G730" s="4" t="s">
        <v>825</v>
      </c>
      <c r="H730" s="4">
        <v>250</v>
      </c>
      <c r="I730" s="4">
        <v>228</v>
      </c>
      <c r="J730" s="5">
        <v>8.7999999999999995E-2</v>
      </c>
      <c r="K730" s="3">
        <v>18</v>
      </c>
      <c r="L730" s="4">
        <f>tblSales[[#This Row],[Quantity]]*tblSales[[#This Row],[Actual Price]]</f>
        <v>4104</v>
      </c>
    </row>
    <row r="731" spans="1:12" x14ac:dyDescent="0.35">
      <c r="A731" s="3" t="s">
        <v>1216</v>
      </c>
      <c r="B731" s="4" t="s">
        <v>147</v>
      </c>
      <c r="C731" s="4" t="s">
        <v>148</v>
      </c>
      <c r="D731" s="4" t="s">
        <v>14</v>
      </c>
      <c r="E731" s="7">
        <v>42506</v>
      </c>
      <c r="F731" s="4" t="s">
        <v>105</v>
      </c>
      <c r="G731" s="4" t="s">
        <v>1007</v>
      </c>
      <c r="H731" s="4">
        <v>70</v>
      </c>
      <c r="I731" s="4">
        <v>64</v>
      </c>
      <c r="J731" s="5">
        <v>8.5699999999999998E-2</v>
      </c>
      <c r="K731" s="3">
        <v>52</v>
      </c>
      <c r="L731" s="4">
        <f>tblSales[[#This Row],[Quantity]]*tblSales[[#This Row],[Actual Price]]</f>
        <v>3328</v>
      </c>
    </row>
    <row r="732" spans="1:12" x14ac:dyDescent="0.35">
      <c r="A732" s="3" t="s">
        <v>1217</v>
      </c>
      <c r="B732" s="4" t="s">
        <v>29</v>
      </c>
      <c r="C732" s="4" t="s">
        <v>30</v>
      </c>
      <c r="D732" s="4" t="s">
        <v>14</v>
      </c>
      <c r="E732" s="7">
        <v>42557</v>
      </c>
      <c r="F732" s="4" t="s">
        <v>42</v>
      </c>
      <c r="G732" s="4" t="s">
        <v>250</v>
      </c>
      <c r="H732" s="4">
        <v>30</v>
      </c>
      <c r="I732" s="4">
        <v>27</v>
      </c>
      <c r="J732" s="5">
        <v>0.1</v>
      </c>
      <c r="K732" s="3">
        <v>53</v>
      </c>
      <c r="L732" s="4">
        <f>tblSales[[#This Row],[Quantity]]*tblSales[[#This Row],[Actual Price]]</f>
        <v>1431</v>
      </c>
    </row>
    <row r="733" spans="1:12" x14ac:dyDescent="0.35">
      <c r="A733" s="3" t="s">
        <v>1218</v>
      </c>
      <c r="B733" s="4" t="s">
        <v>112</v>
      </c>
      <c r="C733" s="4" t="s">
        <v>83</v>
      </c>
      <c r="D733" s="4" t="s">
        <v>14</v>
      </c>
      <c r="E733" s="7">
        <v>42702</v>
      </c>
      <c r="F733" s="4" t="s">
        <v>56</v>
      </c>
      <c r="G733" s="4" t="s">
        <v>1219</v>
      </c>
      <c r="H733" s="4">
        <v>800</v>
      </c>
      <c r="I733" s="4">
        <v>648</v>
      </c>
      <c r="J733" s="5">
        <v>0.19</v>
      </c>
      <c r="K733" s="3">
        <v>99</v>
      </c>
      <c r="L733" s="4">
        <f>tblSales[[#This Row],[Quantity]]*tblSales[[#This Row],[Actual Price]]</f>
        <v>64152</v>
      </c>
    </row>
    <row r="734" spans="1:12" x14ac:dyDescent="0.35">
      <c r="A734" s="3" t="s">
        <v>1220</v>
      </c>
      <c r="B734" s="4" t="s">
        <v>155</v>
      </c>
      <c r="C734" s="4" t="s">
        <v>109</v>
      </c>
      <c r="D734" s="4" t="s">
        <v>20</v>
      </c>
      <c r="E734" s="7">
        <v>42134</v>
      </c>
      <c r="F734" s="4" t="s">
        <v>42</v>
      </c>
      <c r="G734" s="4" t="s">
        <v>1005</v>
      </c>
      <c r="H734" s="4">
        <v>30</v>
      </c>
      <c r="I734" s="4">
        <v>30</v>
      </c>
      <c r="J734" s="5">
        <v>0</v>
      </c>
      <c r="K734" s="3">
        <v>7</v>
      </c>
      <c r="L734" s="4">
        <f>tblSales[[#This Row],[Quantity]]*tblSales[[#This Row],[Actual Price]]</f>
        <v>210</v>
      </c>
    </row>
    <row r="735" spans="1:12" x14ac:dyDescent="0.35">
      <c r="A735" s="3" t="s">
        <v>1221</v>
      </c>
      <c r="B735" s="4" t="s">
        <v>115</v>
      </c>
      <c r="C735" s="4" t="s">
        <v>55</v>
      </c>
      <c r="D735" s="4" t="s">
        <v>14</v>
      </c>
      <c r="E735" s="7">
        <v>41745</v>
      </c>
      <c r="F735" s="4" t="s">
        <v>56</v>
      </c>
      <c r="G735" s="4" t="s">
        <v>1222</v>
      </c>
      <c r="H735" s="4">
        <v>800</v>
      </c>
      <c r="I735" s="4">
        <v>488</v>
      </c>
      <c r="J735" s="5">
        <v>0.39</v>
      </c>
      <c r="K735" s="3">
        <v>22</v>
      </c>
      <c r="L735" s="4">
        <f>tblSales[[#This Row],[Quantity]]*tblSales[[#This Row],[Actual Price]]</f>
        <v>10736</v>
      </c>
    </row>
    <row r="736" spans="1:12" x14ac:dyDescent="0.35">
      <c r="A736" s="3" t="s">
        <v>1223</v>
      </c>
      <c r="B736" s="4" t="s">
        <v>82</v>
      </c>
      <c r="C736" s="4" t="s">
        <v>83</v>
      </c>
      <c r="D736" s="4" t="s">
        <v>14</v>
      </c>
      <c r="E736" s="7">
        <v>41766</v>
      </c>
      <c r="F736" s="4" t="s">
        <v>26</v>
      </c>
      <c r="G736" s="4" t="s">
        <v>954</v>
      </c>
      <c r="H736" s="4">
        <v>700</v>
      </c>
      <c r="I736" s="4">
        <v>546</v>
      </c>
      <c r="J736" s="5">
        <v>0.22</v>
      </c>
      <c r="K736" s="3">
        <v>83</v>
      </c>
      <c r="L736" s="4">
        <f>tblSales[[#This Row],[Quantity]]*tblSales[[#This Row],[Actual Price]]</f>
        <v>45318</v>
      </c>
    </row>
    <row r="737" spans="1:12" x14ac:dyDescent="0.35">
      <c r="A737" s="3" t="s">
        <v>1224</v>
      </c>
      <c r="B737" s="4" t="s">
        <v>290</v>
      </c>
      <c r="C737" s="4" t="s">
        <v>109</v>
      </c>
      <c r="D737" s="4" t="s">
        <v>20</v>
      </c>
      <c r="E737" s="7">
        <v>42622</v>
      </c>
      <c r="F737" s="4" t="s">
        <v>116</v>
      </c>
      <c r="G737" s="4" t="s">
        <v>501</v>
      </c>
      <c r="H737" s="4">
        <v>250</v>
      </c>
      <c r="I737" s="4">
        <v>248</v>
      </c>
      <c r="J737" s="5">
        <v>8.0000000000000002E-3</v>
      </c>
      <c r="K737" s="3">
        <v>87</v>
      </c>
      <c r="L737" s="4">
        <f>tblSales[[#This Row],[Quantity]]*tblSales[[#This Row],[Actual Price]]</f>
        <v>21576</v>
      </c>
    </row>
    <row r="738" spans="1:12" x14ac:dyDescent="0.35">
      <c r="A738" s="3" t="s">
        <v>1225</v>
      </c>
      <c r="B738" s="4" t="s">
        <v>96</v>
      </c>
      <c r="C738" s="4" t="s">
        <v>97</v>
      </c>
      <c r="D738" s="4" t="s">
        <v>14</v>
      </c>
      <c r="E738" s="7">
        <v>42592</v>
      </c>
      <c r="F738" s="4" t="s">
        <v>116</v>
      </c>
      <c r="G738" s="4" t="s">
        <v>770</v>
      </c>
      <c r="H738" s="4">
        <v>250</v>
      </c>
      <c r="I738" s="4">
        <v>243</v>
      </c>
      <c r="J738" s="5">
        <v>2.8000000000000001E-2</v>
      </c>
      <c r="K738" s="3">
        <v>1</v>
      </c>
      <c r="L738" s="4">
        <f>tblSales[[#This Row],[Quantity]]*tblSales[[#This Row],[Actual Price]]</f>
        <v>243</v>
      </c>
    </row>
    <row r="739" spans="1:12" x14ac:dyDescent="0.35">
      <c r="A739" s="3" t="s">
        <v>1226</v>
      </c>
      <c r="B739" s="4" t="s">
        <v>65</v>
      </c>
      <c r="C739" s="4" t="s">
        <v>66</v>
      </c>
      <c r="D739" s="4" t="s">
        <v>36</v>
      </c>
      <c r="E739" s="7">
        <v>43462</v>
      </c>
      <c r="F739" s="4" t="s">
        <v>37</v>
      </c>
      <c r="G739" s="4" t="s">
        <v>1058</v>
      </c>
      <c r="H739" s="4">
        <v>50</v>
      </c>
      <c r="I739" s="4">
        <v>49</v>
      </c>
      <c r="J739" s="5">
        <v>0.02</v>
      </c>
      <c r="K739" s="3">
        <v>76</v>
      </c>
      <c r="L739" s="4">
        <f>tblSales[[#This Row],[Quantity]]*tblSales[[#This Row],[Actual Price]]</f>
        <v>3724</v>
      </c>
    </row>
    <row r="740" spans="1:12" x14ac:dyDescent="0.35">
      <c r="A740" s="3" t="s">
        <v>1227</v>
      </c>
      <c r="B740" s="4" t="s">
        <v>290</v>
      </c>
      <c r="C740" s="4" t="s">
        <v>109</v>
      </c>
      <c r="D740" s="4" t="s">
        <v>20</v>
      </c>
      <c r="E740" s="7">
        <v>42608</v>
      </c>
      <c r="F740" s="4" t="s">
        <v>116</v>
      </c>
      <c r="G740" s="4" t="s">
        <v>482</v>
      </c>
      <c r="H740" s="4">
        <v>250</v>
      </c>
      <c r="I740" s="4">
        <v>250</v>
      </c>
      <c r="J740" s="5">
        <v>0</v>
      </c>
      <c r="K740" s="3">
        <v>15</v>
      </c>
      <c r="L740" s="4">
        <f>tblSales[[#This Row],[Quantity]]*tblSales[[#This Row],[Actual Price]]</f>
        <v>3750</v>
      </c>
    </row>
    <row r="741" spans="1:12" x14ac:dyDescent="0.35">
      <c r="A741" s="3" t="s">
        <v>1228</v>
      </c>
      <c r="B741" s="4" t="s">
        <v>29</v>
      </c>
      <c r="C741" s="4" t="s">
        <v>30</v>
      </c>
      <c r="D741" s="4" t="s">
        <v>14</v>
      </c>
      <c r="E741" s="7">
        <v>43121</v>
      </c>
      <c r="F741" s="4" t="s">
        <v>37</v>
      </c>
      <c r="G741" s="4" t="s">
        <v>32</v>
      </c>
      <c r="H741" s="4">
        <v>50</v>
      </c>
      <c r="I741" s="4">
        <v>47</v>
      </c>
      <c r="J741" s="5">
        <v>0.06</v>
      </c>
      <c r="K741" s="3">
        <v>15</v>
      </c>
      <c r="L741" s="4">
        <f>tblSales[[#This Row],[Quantity]]*tblSales[[#This Row],[Actual Price]]</f>
        <v>705</v>
      </c>
    </row>
    <row r="742" spans="1:12" x14ac:dyDescent="0.35">
      <c r="A742" s="3" t="s">
        <v>1229</v>
      </c>
      <c r="B742" s="4" t="s">
        <v>132</v>
      </c>
      <c r="C742" s="4" t="s">
        <v>109</v>
      </c>
      <c r="D742" s="4" t="s">
        <v>20</v>
      </c>
      <c r="E742" s="7">
        <v>42546</v>
      </c>
      <c r="F742" s="4" t="s">
        <v>26</v>
      </c>
      <c r="G742" s="4" t="s">
        <v>383</v>
      </c>
      <c r="H742" s="4">
        <v>700</v>
      </c>
      <c r="I742" s="4">
        <v>644</v>
      </c>
      <c r="J742" s="5">
        <v>0.08</v>
      </c>
      <c r="K742" s="3">
        <v>15</v>
      </c>
      <c r="L742" s="4">
        <f>tblSales[[#This Row],[Quantity]]*tblSales[[#This Row],[Actual Price]]</f>
        <v>9660</v>
      </c>
    </row>
    <row r="743" spans="1:12" x14ac:dyDescent="0.35">
      <c r="A743" s="3" t="s">
        <v>1230</v>
      </c>
      <c r="B743" s="4" t="s">
        <v>78</v>
      </c>
      <c r="C743" s="4" t="s">
        <v>79</v>
      </c>
      <c r="D743" s="4" t="s">
        <v>36</v>
      </c>
      <c r="E743" s="7">
        <v>43061</v>
      </c>
      <c r="F743" s="4" t="s">
        <v>73</v>
      </c>
      <c r="G743" s="4" t="s">
        <v>549</v>
      </c>
      <c r="H743" s="4">
        <v>500</v>
      </c>
      <c r="I743" s="4">
        <v>495</v>
      </c>
      <c r="J743" s="5">
        <v>0.01</v>
      </c>
      <c r="K743" s="3">
        <v>29</v>
      </c>
      <c r="L743" s="4">
        <f>tblSales[[#This Row],[Quantity]]*tblSales[[#This Row],[Actual Price]]</f>
        <v>14355</v>
      </c>
    </row>
    <row r="744" spans="1:12" x14ac:dyDescent="0.35">
      <c r="A744" s="3" t="s">
        <v>1231</v>
      </c>
      <c r="B744" s="4" t="s">
        <v>104</v>
      </c>
      <c r="C744" s="4" t="s">
        <v>72</v>
      </c>
      <c r="D744" s="4" t="s">
        <v>36</v>
      </c>
      <c r="E744" s="7">
        <v>43238</v>
      </c>
      <c r="F744" s="4" t="s">
        <v>26</v>
      </c>
      <c r="G744" s="4" t="s">
        <v>192</v>
      </c>
      <c r="H744" s="4">
        <v>700</v>
      </c>
      <c r="I744" s="4">
        <v>644</v>
      </c>
      <c r="J744" s="5">
        <v>0.08</v>
      </c>
      <c r="K744" s="3">
        <v>22</v>
      </c>
      <c r="L744" s="4">
        <f>tblSales[[#This Row],[Quantity]]*tblSales[[#This Row],[Actual Price]]</f>
        <v>14168</v>
      </c>
    </row>
    <row r="745" spans="1:12" x14ac:dyDescent="0.35">
      <c r="A745" s="3" t="s">
        <v>1232</v>
      </c>
      <c r="B745" s="4" t="s">
        <v>82</v>
      </c>
      <c r="C745" s="4" t="s">
        <v>83</v>
      </c>
      <c r="D745" s="4" t="s">
        <v>14</v>
      </c>
      <c r="E745" s="7">
        <v>43230</v>
      </c>
      <c r="F745" s="4" t="s">
        <v>26</v>
      </c>
      <c r="G745" s="4" t="s">
        <v>1233</v>
      </c>
      <c r="H745" s="4">
        <v>700</v>
      </c>
      <c r="I745" s="4">
        <v>651</v>
      </c>
      <c r="J745" s="5">
        <v>7.0000000000000007E-2</v>
      </c>
      <c r="K745" s="3">
        <v>52</v>
      </c>
      <c r="L745" s="4">
        <f>tblSales[[#This Row],[Quantity]]*tblSales[[#This Row],[Actual Price]]</f>
        <v>33852</v>
      </c>
    </row>
    <row r="746" spans="1:12" x14ac:dyDescent="0.35">
      <c r="A746" s="3" t="s">
        <v>1234</v>
      </c>
      <c r="B746" s="4" t="s">
        <v>78</v>
      </c>
      <c r="C746" s="4" t="s">
        <v>79</v>
      </c>
      <c r="D746" s="4" t="s">
        <v>36</v>
      </c>
      <c r="E746" s="7">
        <v>42274</v>
      </c>
      <c r="F746" s="4" t="s">
        <v>56</v>
      </c>
      <c r="G746" s="4" t="s">
        <v>80</v>
      </c>
      <c r="H746" s="4">
        <v>800</v>
      </c>
      <c r="I746" s="4">
        <v>752</v>
      </c>
      <c r="J746" s="5">
        <v>0.06</v>
      </c>
      <c r="K746" s="3">
        <v>13</v>
      </c>
      <c r="L746" s="4">
        <f>tblSales[[#This Row],[Quantity]]*tblSales[[#This Row],[Actual Price]]</f>
        <v>9776</v>
      </c>
    </row>
    <row r="747" spans="1:12" x14ac:dyDescent="0.35">
      <c r="A747" s="3" t="s">
        <v>1235</v>
      </c>
      <c r="B747" s="4" t="s">
        <v>147</v>
      </c>
      <c r="C747" s="4" t="s">
        <v>148</v>
      </c>
      <c r="D747" s="4" t="s">
        <v>14</v>
      </c>
      <c r="E747" s="7">
        <v>43206</v>
      </c>
      <c r="F747" s="4" t="s">
        <v>116</v>
      </c>
      <c r="G747" s="4" t="s">
        <v>1236</v>
      </c>
      <c r="H747" s="4">
        <v>250</v>
      </c>
      <c r="I747" s="4">
        <v>233</v>
      </c>
      <c r="J747" s="5">
        <v>6.8000000000000005E-2</v>
      </c>
      <c r="K747" s="3">
        <v>3</v>
      </c>
      <c r="L747" s="4">
        <f>tblSales[[#This Row],[Quantity]]*tblSales[[#This Row],[Actual Price]]</f>
        <v>699</v>
      </c>
    </row>
    <row r="748" spans="1:12" x14ac:dyDescent="0.35">
      <c r="A748" s="3" t="s">
        <v>1237</v>
      </c>
      <c r="B748" s="4" t="s">
        <v>60</v>
      </c>
      <c r="C748" s="4" t="s">
        <v>61</v>
      </c>
      <c r="D748" s="4" t="s">
        <v>14</v>
      </c>
      <c r="E748" s="7">
        <v>41963</v>
      </c>
      <c r="F748" s="4" t="s">
        <v>56</v>
      </c>
      <c r="G748" s="4" t="s">
        <v>313</v>
      </c>
      <c r="H748" s="4">
        <v>800</v>
      </c>
      <c r="I748" s="4">
        <v>480</v>
      </c>
      <c r="J748" s="5">
        <v>0.4</v>
      </c>
      <c r="K748" s="3">
        <v>73</v>
      </c>
      <c r="L748" s="4">
        <f>tblSales[[#This Row],[Quantity]]*tblSales[[#This Row],[Actual Price]]</f>
        <v>35040</v>
      </c>
    </row>
    <row r="749" spans="1:12" x14ac:dyDescent="0.35">
      <c r="A749" s="3" t="s">
        <v>1238</v>
      </c>
      <c r="B749" s="4" t="s">
        <v>60</v>
      </c>
      <c r="C749" s="4" t="s">
        <v>61</v>
      </c>
      <c r="D749" s="4" t="s">
        <v>14</v>
      </c>
      <c r="E749" s="7">
        <v>43019</v>
      </c>
      <c r="F749" s="4" t="s">
        <v>62</v>
      </c>
      <c r="G749" s="4" t="s">
        <v>1015</v>
      </c>
      <c r="H749" s="4">
        <v>1000</v>
      </c>
      <c r="I749" s="4">
        <v>810</v>
      </c>
      <c r="J749" s="5">
        <v>0.19</v>
      </c>
      <c r="K749" s="3">
        <v>19</v>
      </c>
      <c r="L749" s="4">
        <f>tblSales[[#This Row],[Quantity]]*tblSales[[#This Row],[Actual Price]]</f>
        <v>15390</v>
      </c>
    </row>
    <row r="750" spans="1:12" x14ac:dyDescent="0.35">
      <c r="A750" s="3" t="s">
        <v>1239</v>
      </c>
      <c r="B750" s="4" t="s">
        <v>225</v>
      </c>
      <c r="C750" s="4" t="s">
        <v>51</v>
      </c>
      <c r="D750" s="4" t="s">
        <v>25</v>
      </c>
      <c r="E750" s="7">
        <v>42903</v>
      </c>
      <c r="F750" s="4" t="s">
        <v>56</v>
      </c>
      <c r="G750" s="4" t="s">
        <v>1240</v>
      </c>
      <c r="H750" s="4">
        <v>800</v>
      </c>
      <c r="I750" s="4">
        <v>552</v>
      </c>
      <c r="J750" s="5">
        <v>0.31</v>
      </c>
      <c r="K750" s="3">
        <v>94</v>
      </c>
      <c r="L750" s="4">
        <f>tblSales[[#This Row],[Quantity]]*tblSales[[#This Row],[Actual Price]]</f>
        <v>51888</v>
      </c>
    </row>
    <row r="751" spans="1:12" x14ac:dyDescent="0.35">
      <c r="A751" s="3" t="s">
        <v>1241</v>
      </c>
      <c r="B751" s="4" t="s">
        <v>225</v>
      </c>
      <c r="C751" s="4" t="s">
        <v>51</v>
      </c>
      <c r="D751" s="4" t="s">
        <v>25</v>
      </c>
      <c r="E751" s="7">
        <v>43464</v>
      </c>
      <c r="F751" s="4" t="s">
        <v>123</v>
      </c>
      <c r="G751" s="4" t="s">
        <v>775</v>
      </c>
      <c r="H751" s="4">
        <v>50</v>
      </c>
      <c r="I751" s="4">
        <v>48</v>
      </c>
      <c r="J751" s="5">
        <v>0.04</v>
      </c>
      <c r="K751" s="3">
        <v>78</v>
      </c>
      <c r="L751" s="4">
        <f>tblSales[[#This Row],[Quantity]]*tblSales[[#This Row],[Actual Price]]</f>
        <v>3744</v>
      </c>
    </row>
    <row r="752" spans="1:12" x14ac:dyDescent="0.35">
      <c r="A752" s="3" t="s">
        <v>1242</v>
      </c>
      <c r="B752" s="4" t="s">
        <v>222</v>
      </c>
      <c r="C752" s="4" t="s">
        <v>41</v>
      </c>
      <c r="D752" s="4" t="s">
        <v>36</v>
      </c>
      <c r="E752" s="7">
        <v>42822</v>
      </c>
      <c r="F752" s="4" t="s">
        <v>105</v>
      </c>
      <c r="G752" s="4" t="s">
        <v>1180</v>
      </c>
      <c r="H752" s="4">
        <v>70</v>
      </c>
      <c r="I752" s="4">
        <v>70</v>
      </c>
      <c r="J752" s="5">
        <v>0</v>
      </c>
      <c r="K752" s="3">
        <v>29</v>
      </c>
      <c r="L752" s="4">
        <f>tblSales[[#This Row],[Quantity]]*tblSales[[#This Row],[Actual Price]]</f>
        <v>2030</v>
      </c>
    </row>
    <row r="753" spans="1:12" x14ac:dyDescent="0.35">
      <c r="A753" s="3" t="s">
        <v>1243</v>
      </c>
      <c r="B753" s="4" t="s">
        <v>34</v>
      </c>
      <c r="C753" s="4" t="s">
        <v>35</v>
      </c>
      <c r="D753" s="4" t="s">
        <v>36</v>
      </c>
      <c r="E753" s="7">
        <v>43175</v>
      </c>
      <c r="F753" s="4" t="s">
        <v>62</v>
      </c>
      <c r="G753" s="4" t="s">
        <v>1244</v>
      </c>
      <c r="H753" s="4">
        <v>1000</v>
      </c>
      <c r="I753" s="4">
        <v>930</v>
      </c>
      <c r="J753" s="5">
        <v>7.0000000000000007E-2</v>
      </c>
      <c r="K753" s="3">
        <v>14</v>
      </c>
      <c r="L753" s="4">
        <f>tblSales[[#This Row],[Quantity]]*tblSales[[#This Row],[Actual Price]]</f>
        <v>13020</v>
      </c>
    </row>
    <row r="754" spans="1:12" x14ac:dyDescent="0.35">
      <c r="A754" s="3" t="s">
        <v>1245</v>
      </c>
      <c r="B754" s="4" t="s">
        <v>128</v>
      </c>
      <c r="C754" s="4" t="s">
        <v>129</v>
      </c>
      <c r="D754" s="4" t="s">
        <v>14</v>
      </c>
      <c r="E754" s="7">
        <v>43431</v>
      </c>
      <c r="F754" s="4" t="s">
        <v>116</v>
      </c>
      <c r="G754" s="4" t="s">
        <v>921</v>
      </c>
      <c r="H754" s="4">
        <v>250</v>
      </c>
      <c r="I754" s="4">
        <v>250</v>
      </c>
      <c r="J754" s="5">
        <v>0</v>
      </c>
      <c r="K754" s="3">
        <v>73</v>
      </c>
      <c r="L754" s="4">
        <f>tblSales[[#This Row],[Quantity]]*tblSales[[#This Row],[Actual Price]]</f>
        <v>18250</v>
      </c>
    </row>
    <row r="755" spans="1:12" x14ac:dyDescent="0.35">
      <c r="A755" s="3" t="s">
        <v>1246</v>
      </c>
      <c r="B755" s="4" t="s">
        <v>40</v>
      </c>
      <c r="C755" s="4" t="s">
        <v>41</v>
      </c>
      <c r="D755" s="4" t="s">
        <v>36</v>
      </c>
      <c r="E755" s="7">
        <v>42363</v>
      </c>
      <c r="F755" s="4" t="s">
        <v>26</v>
      </c>
      <c r="G755" s="4" t="s">
        <v>215</v>
      </c>
      <c r="H755" s="4">
        <v>700</v>
      </c>
      <c r="I755" s="4">
        <v>469</v>
      </c>
      <c r="J755" s="5">
        <v>0.33</v>
      </c>
      <c r="K755" s="3">
        <v>41</v>
      </c>
      <c r="L755" s="4">
        <f>tblSales[[#This Row],[Quantity]]*tblSales[[#This Row],[Actual Price]]</f>
        <v>19229</v>
      </c>
    </row>
    <row r="756" spans="1:12" x14ac:dyDescent="0.35">
      <c r="A756" s="3" t="s">
        <v>1247</v>
      </c>
      <c r="B756" s="4" t="s">
        <v>325</v>
      </c>
      <c r="C756" s="4" t="s">
        <v>326</v>
      </c>
      <c r="D756" s="4" t="s">
        <v>14</v>
      </c>
      <c r="E756" s="7">
        <v>42684</v>
      </c>
      <c r="F756" s="4" t="s">
        <v>105</v>
      </c>
      <c r="G756" s="4" t="s">
        <v>1248</v>
      </c>
      <c r="H756" s="4">
        <v>70</v>
      </c>
      <c r="I756" s="4">
        <v>69</v>
      </c>
      <c r="J756" s="5">
        <v>1.43E-2</v>
      </c>
      <c r="K756" s="3">
        <v>39</v>
      </c>
      <c r="L756" s="4">
        <f>tblSales[[#This Row],[Quantity]]*tblSales[[#This Row],[Actual Price]]</f>
        <v>2691</v>
      </c>
    </row>
    <row r="757" spans="1:12" x14ac:dyDescent="0.35">
      <c r="A757" s="3" t="s">
        <v>1249</v>
      </c>
      <c r="B757" s="4" t="s">
        <v>86</v>
      </c>
      <c r="C757" s="4" t="s">
        <v>87</v>
      </c>
      <c r="D757" s="4" t="s">
        <v>14</v>
      </c>
      <c r="E757" s="7">
        <v>41804</v>
      </c>
      <c r="F757" s="4" t="s">
        <v>26</v>
      </c>
      <c r="G757" s="4" t="s">
        <v>1250</v>
      </c>
      <c r="H757" s="4">
        <v>700</v>
      </c>
      <c r="I757" s="4">
        <v>630</v>
      </c>
      <c r="J757" s="5">
        <v>0.1</v>
      </c>
      <c r="K757" s="3">
        <v>98</v>
      </c>
      <c r="L757" s="4">
        <f>tblSales[[#This Row],[Quantity]]*tblSales[[#This Row],[Actual Price]]</f>
        <v>61740</v>
      </c>
    </row>
    <row r="758" spans="1:12" x14ac:dyDescent="0.35">
      <c r="A758" s="3" t="s">
        <v>1251</v>
      </c>
      <c r="B758" s="4" t="s">
        <v>71</v>
      </c>
      <c r="C758" s="4" t="s">
        <v>72</v>
      </c>
      <c r="D758" s="4" t="s">
        <v>36</v>
      </c>
      <c r="E758" s="7">
        <v>43052</v>
      </c>
      <c r="F758" s="4" t="s">
        <v>15</v>
      </c>
      <c r="G758" s="4" t="s">
        <v>74</v>
      </c>
      <c r="H758" s="4">
        <v>80</v>
      </c>
      <c r="I758" s="4">
        <v>78</v>
      </c>
      <c r="J758" s="5">
        <v>2.5000000000000001E-2</v>
      </c>
      <c r="K758" s="3">
        <v>58</v>
      </c>
      <c r="L758" s="4">
        <f>tblSales[[#This Row],[Quantity]]*tblSales[[#This Row],[Actual Price]]</f>
        <v>4524</v>
      </c>
    </row>
    <row r="759" spans="1:12" x14ac:dyDescent="0.35">
      <c r="A759" s="3" t="s">
        <v>1252</v>
      </c>
      <c r="B759" s="4" t="s">
        <v>225</v>
      </c>
      <c r="C759" s="4" t="s">
        <v>51</v>
      </c>
      <c r="D759" s="4" t="s">
        <v>25</v>
      </c>
      <c r="E759" s="7">
        <v>42921</v>
      </c>
      <c r="F759" s="4" t="s">
        <v>37</v>
      </c>
      <c r="G759" s="4" t="s">
        <v>1240</v>
      </c>
      <c r="H759" s="4">
        <v>50</v>
      </c>
      <c r="I759" s="4">
        <v>49</v>
      </c>
      <c r="J759" s="5">
        <v>0.02</v>
      </c>
      <c r="K759" s="3">
        <v>8</v>
      </c>
      <c r="L759" s="4">
        <f>tblSales[[#This Row],[Quantity]]*tblSales[[#This Row],[Actual Price]]</f>
        <v>392</v>
      </c>
    </row>
    <row r="760" spans="1:12" x14ac:dyDescent="0.35">
      <c r="A760" s="3" t="s">
        <v>1253</v>
      </c>
      <c r="B760" s="4" t="s">
        <v>206</v>
      </c>
      <c r="C760" s="4" t="s">
        <v>207</v>
      </c>
      <c r="D760" s="4" t="s">
        <v>25</v>
      </c>
      <c r="E760" s="7">
        <v>41881</v>
      </c>
      <c r="F760" s="4" t="s">
        <v>62</v>
      </c>
      <c r="G760" s="4" t="s">
        <v>208</v>
      </c>
      <c r="H760" s="4">
        <v>1000</v>
      </c>
      <c r="I760" s="4">
        <v>750</v>
      </c>
      <c r="J760" s="5">
        <v>0.25</v>
      </c>
      <c r="K760" s="3">
        <v>53</v>
      </c>
      <c r="L760" s="4">
        <f>tblSales[[#This Row],[Quantity]]*tblSales[[#This Row],[Actual Price]]</f>
        <v>39750</v>
      </c>
    </row>
    <row r="761" spans="1:12" x14ac:dyDescent="0.35">
      <c r="A761" s="3" t="s">
        <v>1254</v>
      </c>
      <c r="B761" s="4" t="s">
        <v>112</v>
      </c>
      <c r="C761" s="4" t="s">
        <v>83</v>
      </c>
      <c r="D761" s="4" t="s">
        <v>14</v>
      </c>
      <c r="E761" s="7">
        <v>41852</v>
      </c>
      <c r="F761" s="4" t="s">
        <v>37</v>
      </c>
      <c r="G761" s="4" t="s">
        <v>113</v>
      </c>
      <c r="H761" s="4">
        <v>50</v>
      </c>
      <c r="I761" s="4">
        <v>37</v>
      </c>
      <c r="J761" s="5">
        <v>0.26</v>
      </c>
      <c r="K761" s="3">
        <v>76</v>
      </c>
      <c r="L761" s="4">
        <f>tblSales[[#This Row],[Quantity]]*tblSales[[#This Row],[Actual Price]]</f>
        <v>2812</v>
      </c>
    </row>
    <row r="762" spans="1:12" x14ac:dyDescent="0.35">
      <c r="A762" s="3" t="s">
        <v>1255</v>
      </c>
      <c r="B762" s="4" t="s">
        <v>171</v>
      </c>
      <c r="C762" s="4" t="s">
        <v>172</v>
      </c>
      <c r="D762" s="4" t="s">
        <v>14</v>
      </c>
      <c r="E762" s="7">
        <v>43323</v>
      </c>
      <c r="F762" s="4" t="s">
        <v>42</v>
      </c>
      <c r="G762" s="4" t="s">
        <v>441</v>
      </c>
      <c r="H762" s="4">
        <v>30</v>
      </c>
      <c r="I762" s="4">
        <v>28</v>
      </c>
      <c r="J762" s="5">
        <v>6.6699999999999995E-2</v>
      </c>
      <c r="K762" s="3">
        <v>73</v>
      </c>
      <c r="L762" s="4">
        <f>tblSales[[#This Row],[Quantity]]*tblSales[[#This Row],[Actual Price]]</f>
        <v>2044</v>
      </c>
    </row>
    <row r="763" spans="1:12" x14ac:dyDescent="0.35">
      <c r="A763" s="3" t="s">
        <v>1256</v>
      </c>
      <c r="B763" s="4" t="s">
        <v>222</v>
      </c>
      <c r="C763" s="4" t="s">
        <v>41</v>
      </c>
      <c r="D763" s="4" t="s">
        <v>36</v>
      </c>
      <c r="E763" s="7">
        <v>43152</v>
      </c>
      <c r="F763" s="4" t="s">
        <v>73</v>
      </c>
      <c r="G763" s="4" t="s">
        <v>246</v>
      </c>
      <c r="H763" s="4">
        <v>500</v>
      </c>
      <c r="I763" s="4">
        <v>500</v>
      </c>
      <c r="J763" s="5">
        <v>0</v>
      </c>
      <c r="K763" s="3">
        <v>26</v>
      </c>
      <c r="L763" s="4">
        <f>tblSales[[#This Row],[Quantity]]*tblSales[[#This Row],[Actual Price]]</f>
        <v>13000</v>
      </c>
    </row>
    <row r="764" spans="1:12" x14ac:dyDescent="0.35">
      <c r="A764" s="3" t="s">
        <v>1257</v>
      </c>
      <c r="B764" s="4" t="s">
        <v>65</v>
      </c>
      <c r="C764" s="4" t="s">
        <v>66</v>
      </c>
      <c r="D764" s="4" t="s">
        <v>36</v>
      </c>
      <c r="E764" s="7">
        <v>43465</v>
      </c>
      <c r="F764" s="4" t="s">
        <v>42</v>
      </c>
      <c r="G764" s="4" t="s">
        <v>873</v>
      </c>
      <c r="H764" s="4">
        <v>30</v>
      </c>
      <c r="I764" s="4">
        <v>29</v>
      </c>
      <c r="J764" s="5">
        <v>3.3300000000000003E-2</v>
      </c>
      <c r="K764" s="3">
        <v>100</v>
      </c>
      <c r="L764" s="4">
        <f>tblSales[[#This Row],[Quantity]]*tblSales[[#This Row],[Actual Price]]</f>
        <v>2900</v>
      </c>
    </row>
    <row r="765" spans="1:12" x14ac:dyDescent="0.35">
      <c r="A765" s="3" t="s">
        <v>1258</v>
      </c>
      <c r="B765" s="4" t="s">
        <v>183</v>
      </c>
      <c r="C765" s="4" t="s">
        <v>109</v>
      </c>
      <c r="D765" s="4" t="s">
        <v>20</v>
      </c>
      <c r="E765" s="7">
        <v>41905</v>
      </c>
      <c r="F765" s="4" t="s">
        <v>31</v>
      </c>
      <c r="G765" s="4" t="s">
        <v>1259</v>
      </c>
      <c r="H765" s="4">
        <v>150</v>
      </c>
      <c r="I765" s="4">
        <v>110</v>
      </c>
      <c r="J765" s="5">
        <v>0.26669999999999999</v>
      </c>
      <c r="K765" s="3">
        <v>53</v>
      </c>
      <c r="L765" s="4">
        <f>tblSales[[#This Row],[Quantity]]*tblSales[[#This Row],[Actual Price]]</f>
        <v>5830</v>
      </c>
    </row>
    <row r="766" spans="1:12" x14ac:dyDescent="0.35">
      <c r="A766" s="3" t="s">
        <v>1260</v>
      </c>
      <c r="B766" s="4" t="s">
        <v>60</v>
      </c>
      <c r="C766" s="4" t="s">
        <v>61</v>
      </c>
      <c r="D766" s="4" t="s">
        <v>14</v>
      </c>
      <c r="E766" s="7">
        <v>42172</v>
      </c>
      <c r="F766" s="4" t="s">
        <v>105</v>
      </c>
      <c r="G766" s="4" t="s">
        <v>615</v>
      </c>
      <c r="H766" s="4">
        <v>70</v>
      </c>
      <c r="I766" s="4">
        <v>50</v>
      </c>
      <c r="J766" s="5">
        <v>0.28570000000000001</v>
      </c>
      <c r="K766" s="3">
        <v>43</v>
      </c>
      <c r="L766" s="4">
        <f>tblSales[[#This Row],[Quantity]]*tblSales[[#This Row],[Actual Price]]</f>
        <v>2150</v>
      </c>
    </row>
    <row r="767" spans="1:12" x14ac:dyDescent="0.35">
      <c r="A767" s="3" t="s">
        <v>1261</v>
      </c>
      <c r="B767" s="4" t="s">
        <v>128</v>
      </c>
      <c r="C767" s="4" t="s">
        <v>129</v>
      </c>
      <c r="D767" s="4" t="s">
        <v>14</v>
      </c>
      <c r="E767" s="7">
        <v>43137</v>
      </c>
      <c r="F767" s="4" t="s">
        <v>56</v>
      </c>
      <c r="G767" s="4" t="s">
        <v>1262</v>
      </c>
      <c r="H767" s="4">
        <v>800</v>
      </c>
      <c r="I767" s="4">
        <v>760</v>
      </c>
      <c r="J767" s="5">
        <v>0.05</v>
      </c>
      <c r="K767" s="3">
        <v>59</v>
      </c>
      <c r="L767" s="4">
        <f>tblSales[[#This Row],[Quantity]]*tblSales[[#This Row],[Actual Price]]</f>
        <v>44840</v>
      </c>
    </row>
    <row r="768" spans="1:12" x14ac:dyDescent="0.35">
      <c r="A768" s="3" t="s">
        <v>1263</v>
      </c>
      <c r="B768" s="4" t="s">
        <v>175</v>
      </c>
      <c r="C768" s="4" t="s">
        <v>176</v>
      </c>
      <c r="D768" s="4" t="s">
        <v>14</v>
      </c>
      <c r="E768" s="7">
        <v>43378</v>
      </c>
      <c r="F768" s="4" t="s">
        <v>105</v>
      </c>
      <c r="G768" s="4" t="s">
        <v>320</v>
      </c>
      <c r="H768" s="4">
        <v>70</v>
      </c>
      <c r="I768" s="4">
        <v>68</v>
      </c>
      <c r="J768" s="5">
        <v>2.86E-2</v>
      </c>
      <c r="K768" s="3">
        <v>59</v>
      </c>
      <c r="L768" s="4">
        <f>tblSales[[#This Row],[Quantity]]*tblSales[[#This Row],[Actual Price]]</f>
        <v>4012</v>
      </c>
    </row>
    <row r="769" spans="1:12" x14ac:dyDescent="0.35">
      <c r="A769" s="3" t="s">
        <v>1264</v>
      </c>
      <c r="B769" s="4" t="s">
        <v>50</v>
      </c>
      <c r="C769" s="4" t="s">
        <v>51</v>
      </c>
      <c r="D769" s="4" t="s">
        <v>25</v>
      </c>
      <c r="E769" s="7">
        <v>42424</v>
      </c>
      <c r="F769" s="4" t="s">
        <v>62</v>
      </c>
      <c r="G769" s="4" t="s">
        <v>919</v>
      </c>
      <c r="H769" s="4">
        <v>1000</v>
      </c>
      <c r="I769" s="4">
        <v>960</v>
      </c>
      <c r="J769" s="5">
        <v>0.04</v>
      </c>
      <c r="K769" s="3">
        <v>97</v>
      </c>
      <c r="L769" s="4">
        <f>tblSales[[#This Row],[Quantity]]*tblSales[[#This Row],[Actual Price]]</f>
        <v>93120</v>
      </c>
    </row>
    <row r="770" spans="1:12" x14ac:dyDescent="0.35">
      <c r="A770" s="3" t="s">
        <v>1265</v>
      </c>
      <c r="B770" s="4" t="s">
        <v>115</v>
      </c>
      <c r="C770" s="4" t="s">
        <v>55</v>
      </c>
      <c r="D770" s="4" t="s">
        <v>14</v>
      </c>
      <c r="E770" s="7">
        <v>43088</v>
      </c>
      <c r="F770" s="4" t="s">
        <v>15</v>
      </c>
      <c r="G770" s="4" t="s">
        <v>1222</v>
      </c>
      <c r="H770" s="4">
        <v>80</v>
      </c>
      <c r="I770" s="4">
        <v>80</v>
      </c>
      <c r="J770" s="5">
        <v>0</v>
      </c>
      <c r="K770" s="3">
        <v>58</v>
      </c>
      <c r="L770" s="4">
        <f>tblSales[[#This Row],[Quantity]]*tblSales[[#This Row],[Actual Price]]</f>
        <v>4640</v>
      </c>
    </row>
    <row r="771" spans="1:12" x14ac:dyDescent="0.35">
      <c r="A771" s="3" t="s">
        <v>1266</v>
      </c>
      <c r="B771" s="4" t="s">
        <v>256</v>
      </c>
      <c r="C771" s="4" t="s">
        <v>257</v>
      </c>
      <c r="D771" s="4" t="s">
        <v>14</v>
      </c>
      <c r="E771" s="7">
        <v>43344</v>
      </c>
      <c r="F771" s="4" t="s">
        <v>56</v>
      </c>
      <c r="G771" s="4" t="s">
        <v>1267</v>
      </c>
      <c r="H771" s="4">
        <v>800</v>
      </c>
      <c r="I771" s="4">
        <v>776</v>
      </c>
      <c r="J771" s="5">
        <v>0.03</v>
      </c>
      <c r="K771" s="3">
        <v>3</v>
      </c>
      <c r="L771" s="4">
        <f>tblSales[[#This Row],[Quantity]]*tblSales[[#This Row],[Actual Price]]</f>
        <v>2328</v>
      </c>
    </row>
    <row r="772" spans="1:12" x14ac:dyDescent="0.35">
      <c r="A772" s="3" t="s">
        <v>1268</v>
      </c>
      <c r="B772" s="4" t="s">
        <v>135</v>
      </c>
      <c r="C772" s="4" t="s">
        <v>93</v>
      </c>
      <c r="D772" s="4" t="s">
        <v>36</v>
      </c>
      <c r="E772" s="7">
        <v>42974</v>
      </c>
      <c r="F772" s="4" t="s">
        <v>56</v>
      </c>
      <c r="G772" s="4" t="s">
        <v>850</v>
      </c>
      <c r="H772" s="4">
        <v>800</v>
      </c>
      <c r="I772" s="4">
        <v>560</v>
      </c>
      <c r="J772" s="5">
        <v>0.3</v>
      </c>
      <c r="K772" s="3">
        <v>72</v>
      </c>
      <c r="L772" s="4">
        <f>tblSales[[#This Row],[Quantity]]*tblSales[[#This Row],[Actual Price]]</f>
        <v>40320</v>
      </c>
    </row>
    <row r="773" spans="1:12" x14ac:dyDescent="0.35">
      <c r="A773" s="3" t="s">
        <v>1269</v>
      </c>
      <c r="B773" s="4" t="s">
        <v>115</v>
      </c>
      <c r="C773" s="4" t="s">
        <v>55</v>
      </c>
      <c r="D773" s="4" t="s">
        <v>14</v>
      </c>
      <c r="E773" s="7">
        <v>43025</v>
      </c>
      <c r="F773" s="4" t="s">
        <v>123</v>
      </c>
      <c r="G773" s="4" t="s">
        <v>169</v>
      </c>
      <c r="H773" s="4">
        <v>50</v>
      </c>
      <c r="I773" s="4">
        <v>46</v>
      </c>
      <c r="J773" s="5">
        <v>0.08</v>
      </c>
      <c r="K773" s="3">
        <v>2</v>
      </c>
      <c r="L773" s="4">
        <f>tblSales[[#This Row],[Quantity]]*tblSales[[#This Row],[Actual Price]]</f>
        <v>92</v>
      </c>
    </row>
    <row r="774" spans="1:12" x14ac:dyDescent="0.35">
      <c r="A774" s="3" t="s">
        <v>1270</v>
      </c>
      <c r="B774" s="4" t="s">
        <v>155</v>
      </c>
      <c r="C774" s="4" t="s">
        <v>109</v>
      </c>
      <c r="D774" s="4" t="s">
        <v>20</v>
      </c>
      <c r="E774" s="7">
        <v>41755</v>
      </c>
      <c r="F774" s="4" t="s">
        <v>105</v>
      </c>
      <c r="G774" s="4" t="s">
        <v>738</v>
      </c>
      <c r="H774" s="4">
        <v>70</v>
      </c>
      <c r="I774" s="4">
        <v>57</v>
      </c>
      <c r="J774" s="5">
        <v>0.1857</v>
      </c>
      <c r="K774" s="3">
        <v>69</v>
      </c>
      <c r="L774" s="4">
        <f>tblSales[[#This Row],[Quantity]]*tblSales[[#This Row],[Actual Price]]</f>
        <v>3933</v>
      </c>
    </row>
    <row r="775" spans="1:12" x14ac:dyDescent="0.35">
      <c r="A775" s="3" t="s">
        <v>1271</v>
      </c>
      <c r="B775" s="4" t="s">
        <v>112</v>
      </c>
      <c r="C775" s="4" t="s">
        <v>83</v>
      </c>
      <c r="D775" s="4" t="s">
        <v>14</v>
      </c>
      <c r="E775" s="7">
        <v>42502</v>
      </c>
      <c r="F775" s="4" t="s">
        <v>15</v>
      </c>
      <c r="G775" s="4" t="s">
        <v>457</v>
      </c>
      <c r="H775" s="4">
        <v>80</v>
      </c>
      <c r="I775" s="4">
        <v>78</v>
      </c>
      <c r="J775" s="5">
        <v>2.5000000000000001E-2</v>
      </c>
      <c r="K775" s="3">
        <v>84</v>
      </c>
      <c r="L775" s="4">
        <f>tblSales[[#This Row],[Quantity]]*tblSales[[#This Row],[Actual Price]]</f>
        <v>6552</v>
      </c>
    </row>
    <row r="776" spans="1:12" x14ac:dyDescent="0.35">
      <c r="A776" s="3" t="s">
        <v>1272</v>
      </c>
      <c r="B776" s="4" t="s">
        <v>96</v>
      </c>
      <c r="C776" s="4" t="s">
        <v>97</v>
      </c>
      <c r="D776" s="4" t="s">
        <v>14</v>
      </c>
      <c r="E776" s="7">
        <v>43002</v>
      </c>
      <c r="F776" s="4" t="s">
        <v>15</v>
      </c>
      <c r="G776" s="4" t="s">
        <v>181</v>
      </c>
      <c r="H776" s="4">
        <v>80</v>
      </c>
      <c r="I776" s="4">
        <v>78</v>
      </c>
      <c r="J776" s="5">
        <v>2.5000000000000001E-2</v>
      </c>
      <c r="K776" s="3">
        <v>10</v>
      </c>
      <c r="L776" s="4">
        <f>tblSales[[#This Row],[Quantity]]*tblSales[[#This Row],[Actual Price]]</f>
        <v>780</v>
      </c>
    </row>
    <row r="777" spans="1:12" x14ac:dyDescent="0.35">
      <c r="A777" s="3" t="s">
        <v>1273</v>
      </c>
      <c r="B777" s="4" t="s">
        <v>188</v>
      </c>
      <c r="C777" s="4" t="s">
        <v>189</v>
      </c>
      <c r="D777" s="4" t="s">
        <v>14</v>
      </c>
      <c r="E777" s="7">
        <v>43310</v>
      </c>
      <c r="F777" s="4" t="s">
        <v>116</v>
      </c>
      <c r="G777" s="4" t="s">
        <v>416</v>
      </c>
      <c r="H777" s="4">
        <v>250</v>
      </c>
      <c r="I777" s="4">
        <v>250</v>
      </c>
      <c r="J777" s="5">
        <v>0</v>
      </c>
      <c r="K777" s="3">
        <v>31</v>
      </c>
      <c r="L777" s="4">
        <f>tblSales[[#This Row],[Quantity]]*tblSales[[#This Row],[Actual Price]]</f>
        <v>7750</v>
      </c>
    </row>
    <row r="778" spans="1:12" x14ac:dyDescent="0.35">
      <c r="A778" s="3" t="s">
        <v>1274</v>
      </c>
      <c r="B778" s="4" t="s">
        <v>132</v>
      </c>
      <c r="C778" s="4" t="s">
        <v>109</v>
      </c>
      <c r="D778" s="4" t="s">
        <v>20</v>
      </c>
      <c r="E778" s="7">
        <v>41850</v>
      </c>
      <c r="F778" s="4" t="s">
        <v>42</v>
      </c>
      <c r="G778" s="4" t="s">
        <v>475</v>
      </c>
      <c r="H778" s="4">
        <v>30</v>
      </c>
      <c r="I778" s="4">
        <v>29</v>
      </c>
      <c r="J778" s="5">
        <v>3.3300000000000003E-2</v>
      </c>
      <c r="K778" s="3">
        <v>85</v>
      </c>
      <c r="L778" s="4">
        <f>tblSales[[#This Row],[Quantity]]*tblSales[[#This Row],[Actual Price]]</f>
        <v>2465</v>
      </c>
    </row>
    <row r="779" spans="1:12" x14ac:dyDescent="0.35">
      <c r="A779" s="3" t="s">
        <v>1275</v>
      </c>
      <c r="B779" s="4" t="s">
        <v>96</v>
      </c>
      <c r="C779" s="4" t="s">
        <v>97</v>
      </c>
      <c r="D779" s="4" t="s">
        <v>14</v>
      </c>
      <c r="E779" s="7">
        <v>42227</v>
      </c>
      <c r="F779" s="4" t="s">
        <v>123</v>
      </c>
      <c r="G779" s="4" t="s">
        <v>1276</v>
      </c>
      <c r="H779" s="4">
        <v>50</v>
      </c>
      <c r="I779" s="4">
        <v>33</v>
      </c>
      <c r="J779" s="5">
        <v>0.34</v>
      </c>
      <c r="K779" s="3">
        <v>81</v>
      </c>
      <c r="L779" s="4">
        <f>tblSales[[#This Row],[Quantity]]*tblSales[[#This Row],[Actual Price]]</f>
        <v>2673</v>
      </c>
    </row>
    <row r="780" spans="1:12" x14ac:dyDescent="0.35">
      <c r="A780" s="3" t="s">
        <v>1277</v>
      </c>
      <c r="B780" s="4" t="s">
        <v>175</v>
      </c>
      <c r="C780" s="4" t="s">
        <v>176</v>
      </c>
      <c r="D780" s="4" t="s">
        <v>14</v>
      </c>
      <c r="E780" s="7">
        <v>42767</v>
      </c>
      <c r="F780" s="4" t="s">
        <v>62</v>
      </c>
      <c r="G780" s="4" t="s">
        <v>1278</v>
      </c>
      <c r="H780" s="4">
        <v>1000</v>
      </c>
      <c r="I780" s="4">
        <v>880</v>
      </c>
      <c r="J780" s="5">
        <v>0.12</v>
      </c>
      <c r="K780" s="3">
        <v>74</v>
      </c>
      <c r="L780" s="4">
        <f>tblSales[[#This Row],[Quantity]]*tblSales[[#This Row],[Actual Price]]</f>
        <v>65120</v>
      </c>
    </row>
    <row r="781" spans="1:12" x14ac:dyDescent="0.35">
      <c r="A781" s="3" t="s">
        <v>1279</v>
      </c>
      <c r="B781" s="4" t="s">
        <v>92</v>
      </c>
      <c r="C781" s="4" t="s">
        <v>93</v>
      </c>
      <c r="D781" s="4" t="s">
        <v>36</v>
      </c>
      <c r="E781" s="7">
        <v>42290</v>
      </c>
      <c r="F781" s="4" t="s">
        <v>47</v>
      </c>
      <c r="G781" s="4" t="s">
        <v>940</v>
      </c>
      <c r="H781" s="4">
        <v>500</v>
      </c>
      <c r="I781" s="4">
        <v>305</v>
      </c>
      <c r="J781" s="5">
        <v>0.39</v>
      </c>
      <c r="K781" s="3">
        <v>58</v>
      </c>
      <c r="L781" s="4">
        <f>tblSales[[#This Row],[Quantity]]*tblSales[[#This Row],[Actual Price]]</f>
        <v>17690</v>
      </c>
    </row>
    <row r="782" spans="1:12" x14ac:dyDescent="0.35">
      <c r="A782" s="3" t="s">
        <v>1280</v>
      </c>
      <c r="B782" s="4" t="s">
        <v>188</v>
      </c>
      <c r="C782" s="4" t="s">
        <v>189</v>
      </c>
      <c r="D782" s="4" t="s">
        <v>14</v>
      </c>
      <c r="E782" s="7">
        <v>41817</v>
      </c>
      <c r="F782" s="4" t="s">
        <v>26</v>
      </c>
      <c r="G782" s="4" t="s">
        <v>792</v>
      </c>
      <c r="H782" s="4">
        <v>700</v>
      </c>
      <c r="I782" s="4">
        <v>665</v>
      </c>
      <c r="J782" s="5">
        <v>0.05</v>
      </c>
      <c r="K782" s="3">
        <v>17</v>
      </c>
      <c r="L782" s="4">
        <f>tblSales[[#This Row],[Quantity]]*tblSales[[#This Row],[Actual Price]]</f>
        <v>11305</v>
      </c>
    </row>
    <row r="783" spans="1:12" x14ac:dyDescent="0.35">
      <c r="A783" s="3" t="s">
        <v>1281</v>
      </c>
      <c r="B783" s="4" t="s">
        <v>401</v>
      </c>
      <c r="C783" s="4" t="s">
        <v>402</v>
      </c>
      <c r="D783" s="4" t="s">
        <v>14</v>
      </c>
      <c r="E783" s="7">
        <v>43140</v>
      </c>
      <c r="F783" s="4" t="s">
        <v>47</v>
      </c>
      <c r="G783" s="4" t="s">
        <v>1282</v>
      </c>
      <c r="H783" s="4">
        <v>500</v>
      </c>
      <c r="I783" s="4">
        <v>100</v>
      </c>
      <c r="J783" s="5">
        <v>0.8</v>
      </c>
      <c r="K783" s="3">
        <v>22</v>
      </c>
      <c r="L783" s="4">
        <f>tblSales[[#This Row],[Quantity]]*tblSales[[#This Row],[Actual Price]]</f>
        <v>2200</v>
      </c>
    </row>
    <row r="784" spans="1:12" x14ac:dyDescent="0.35">
      <c r="A784" s="3" t="s">
        <v>1283</v>
      </c>
      <c r="B784" s="4" t="s">
        <v>100</v>
      </c>
      <c r="C784" s="4" t="s">
        <v>101</v>
      </c>
      <c r="D784" s="4" t="s">
        <v>14</v>
      </c>
      <c r="E784" s="7">
        <v>42813</v>
      </c>
      <c r="F784" s="4" t="s">
        <v>73</v>
      </c>
      <c r="G784" s="4" t="s">
        <v>753</v>
      </c>
      <c r="H784" s="4">
        <v>500</v>
      </c>
      <c r="I784" s="4">
        <v>500</v>
      </c>
      <c r="J784" s="5">
        <v>0</v>
      </c>
      <c r="K784" s="3">
        <v>50</v>
      </c>
      <c r="L784" s="4">
        <f>tblSales[[#This Row],[Quantity]]*tblSales[[#This Row],[Actual Price]]</f>
        <v>25000</v>
      </c>
    </row>
    <row r="785" spans="1:12" x14ac:dyDescent="0.35">
      <c r="A785" s="3" t="s">
        <v>1284</v>
      </c>
      <c r="B785" s="4" t="s">
        <v>40</v>
      </c>
      <c r="C785" s="4" t="s">
        <v>41</v>
      </c>
      <c r="D785" s="4" t="s">
        <v>36</v>
      </c>
      <c r="E785" s="7">
        <v>42302</v>
      </c>
      <c r="F785" s="4" t="s">
        <v>15</v>
      </c>
      <c r="G785" s="4" t="s">
        <v>1285</v>
      </c>
      <c r="H785" s="4">
        <v>80</v>
      </c>
      <c r="I785" s="4">
        <v>65</v>
      </c>
      <c r="J785" s="5">
        <v>0.1875</v>
      </c>
      <c r="K785" s="3">
        <v>51</v>
      </c>
      <c r="L785" s="4">
        <f>tblSales[[#This Row],[Quantity]]*tblSales[[#This Row],[Actual Price]]</f>
        <v>3315</v>
      </c>
    </row>
    <row r="786" spans="1:12" x14ac:dyDescent="0.35">
      <c r="A786" s="3" t="s">
        <v>1286</v>
      </c>
      <c r="B786" s="4" t="s">
        <v>158</v>
      </c>
      <c r="C786" s="4" t="s">
        <v>109</v>
      </c>
      <c r="D786" s="4" t="s">
        <v>20</v>
      </c>
      <c r="E786" s="7">
        <v>42852</v>
      </c>
      <c r="F786" s="4" t="s">
        <v>26</v>
      </c>
      <c r="G786" s="4" t="s">
        <v>1287</v>
      </c>
      <c r="H786" s="4">
        <v>700</v>
      </c>
      <c r="I786" s="4">
        <v>651</v>
      </c>
      <c r="J786" s="5">
        <v>7.0000000000000007E-2</v>
      </c>
      <c r="K786" s="3">
        <v>53</v>
      </c>
      <c r="L786" s="4">
        <f>tblSales[[#This Row],[Quantity]]*tblSales[[#This Row],[Actual Price]]</f>
        <v>34503</v>
      </c>
    </row>
    <row r="787" spans="1:12" x14ac:dyDescent="0.35">
      <c r="A787" s="3" t="s">
        <v>1288</v>
      </c>
      <c r="B787" s="4" t="s">
        <v>125</v>
      </c>
      <c r="C787" s="4" t="s">
        <v>41</v>
      </c>
      <c r="D787" s="4" t="s">
        <v>36</v>
      </c>
      <c r="E787" s="7">
        <v>42863</v>
      </c>
      <c r="F787" s="4" t="s">
        <v>31</v>
      </c>
      <c r="G787" s="4" t="s">
        <v>971</v>
      </c>
      <c r="H787" s="4">
        <v>150</v>
      </c>
      <c r="I787" s="4">
        <v>141</v>
      </c>
      <c r="J787" s="5">
        <v>0.06</v>
      </c>
      <c r="K787" s="3">
        <v>49</v>
      </c>
      <c r="L787" s="4">
        <f>tblSales[[#This Row],[Quantity]]*tblSales[[#This Row],[Actual Price]]</f>
        <v>6909</v>
      </c>
    </row>
    <row r="788" spans="1:12" x14ac:dyDescent="0.35">
      <c r="A788" s="3" t="s">
        <v>1289</v>
      </c>
      <c r="B788" s="4" t="s">
        <v>125</v>
      </c>
      <c r="C788" s="4" t="s">
        <v>41</v>
      </c>
      <c r="D788" s="4" t="s">
        <v>36</v>
      </c>
      <c r="E788" s="7">
        <v>43327</v>
      </c>
      <c r="F788" s="4" t="s">
        <v>116</v>
      </c>
      <c r="G788" s="4" t="s">
        <v>864</v>
      </c>
      <c r="H788" s="4">
        <v>250</v>
      </c>
      <c r="I788" s="4">
        <v>240</v>
      </c>
      <c r="J788" s="5">
        <v>0.04</v>
      </c>
      <c r="K788" s="3">
        <v>49</v>
      </c>
      <c r="L788" s="4">
        <f>tblSales[[#This Row],[Quantity]]*tblSales[[#This Row],[Actual Price]]</f>
        <v>11760</v>
      </c>
    </row>
    <row r="789" spans="1:12" x14ac:dyDescent="0.35">
      <c r="A789" s="3" t="s">
        <v>1290</v>
      </c>
      <c r="B789" s="4" t="s">
        <v>40</v>
      </c>
      <c r="C789" s="4" t="s">
        <v>41</v>
      </c>
      <c r="D789" s="4" t="s">
        <v>36</v>
      </c>
      <c r="E789" s="7">
        <v>42340</v>
      </c>
      <c r="F789" s="4" t="s">
        <v>105</v>
      </c>
      <c r="G789" s="4" t="s">
        <v>1291</v>
      </c>
      <c r="H789" s="4">
        <v>70</v>
      </c>
      <c r="I789" s="4">
        <v>57</v>
      </c>
      <c r="J789" s="5">
        <v>0.1857</v>
      </c>
      <c r="K789" s="3">
        <v>49</v>
      </c>
      <c r="L789" s="4">
        <f>tblSales[[#This Row],[Quantity]]*tblSales[[#This Row],[Actual Price]]</f>
        <v>2793</v>
      </c>
    </row>
    <row r="790" spans="1:12" x14ac:dyDescent="0.35">
      <c r="A790" s="3" t="s">
        <v>1292</v>
      </c>
      <c r="B790" s="4" t="s">
        <v>155</v>
      </c>
      <c r="C790" s="4" t="s">
        <v>109</v>
      </c>
      <c r="D790" s="4" t="s">
        <v>20</v>
      </c>
      <c r="E790" s="7">
        <v>41903</v>
      </c>
      <c r="F790" s="4" t="s">
        <v>73</v>
      </c>
      <c r="G790" s="4" t="s">
        <v>1293</v>
      </c>
      <c r="H790" s="4">
        <v>500</v>
      </c>
      <c r="I790" s="4">
        <v>495</v>
      </c>
      <c r="J790" s="5">
        <v>0.01</v>
      </c>
      <c r="K790" s="3">
        <v>71</v>
      </c>
      <c r="L790" s="4">
        <f>tblSales[[#This Row],[Quantity]]*tblSales[[#This Row],[Actual Price]]</f>
        <v>35145</v>
      </c>
    </row>
    <row r="791" spans="1:12" x14ac:dyDescent="0.35">
      <c r="A791" s="3" t="s">
        <v>1294</v>
      </c>
      <c r="B791" s="4" t="s">
        <v>119</v>
      </c>
      <c r="C791" s="4" t="s">
        <v>120</v>
      </c>
      <c r="D791" s="4" t="s">
        <v>36</v>
      </c>
      <c r="E791" s="7">
        <v>42810</v>
      </c>
      <c r="F791" s="4" t="s">
        <v>42</v>
      </c>
      <c r="G791" s="4" t="s">
        <v>848</v>
      </c>
      <c r="H791" s="4">
        <v>30</v>
      </c>
      <c r="I791" s="4">
        <v>29</v>
      </c>
      <c r="J791" s="5">
        <v>3.3300000000000003E-2</v>
      </c>
      <c r="K791" s="3">
        <v>78</v>
      </c>
      <c r="L791" s="4">
        <f>tblSales[[#This Row],[Quantity]]*tblSales[[#This Row],[Actual Price]]</f>
        <v>2262</v>
      </c>
    </row>
    <row r="792" spans="1:12" x14ac:dyDescent="0.35">
      <c r="A792" s="3" t="s">
        <v>1295</v>
      </c>
      <c r="B792" s="4" t="s">
        <v>183</v>
      </c>
      <c r="C792" s="4" t="s">
        <v>109</v>
      </c>
      <c r="D792" s="4" t="s">
        <v>20</v>
      </c>
      <c r="E792" s="7">
        <v>42651</v>
      </c>
      <c r="F792" s="4" t="s">
        <v>26</v>
      </c>
      <c r="G792" s="4" t="s">
        <v>1296</v>
      </c>
      <c r="H792" s="4">
        <v>700</v>
      </c>
      <c r="I792" s="4">
        <v>595</v>
      </c>
      <c r="J792" s="5">
        <v>0.15</v>
      </c>
      <c r="K792" s="3">
        <v>29</v>
      </c>
      <c r="L792" s="4">
        <f>tblSales[[#This Row],[Quantity]]*tblSales[[#This Row],[Actual Price]]</f>
        <v>17255</v>
      </c>
    </row>
    <row r="793" spans="1:12" x14ac:dyDescent="0.35">
      <c r="A793" s="3" t="s">
        <v>1297</v>
      </c>
      <c r="B793" s="4" t="s">
        <v>151</v>
      </c>
      <c r="C793" s="4" t="s">
        <v>152</v>
      </c>
      <c r="D793" s="4" t="s">
        <v>14</v>
      </c>
      <c r="E793" s="7">
        <v>42697</v>
      </c>
      <c r="F793" s="4" t="s">
        <v>116</v>
      </c>
      <c r="G793" s="4" t="s">
        <v>410</v>
      </c>
      <c r="H793" s="4">
        <v>250</v>
      </c>
      <c r="I793" s="4">
        <v>213</v>
      </c>
      <c r="J793" s="5">
        <v>0.14799999999999999</v>
      </c>
      <c r="K793" s="3">
        <v>40</v>
      </c>
      <c r="L793" s="4">
        <f>tblSales[[#This Row],[Quantity]]*tblSales[[#This Row],[Actual Price]]</f>
        <v>8520</v>
      </c>
    </row>
    <row r="794" spans="1:12" x14ac:dyDescent="0.35">
      <c r="A794" s="3" t="s">
        <v>1298</v>
      </c>
      <c r="B794" s="4" t="s">
        <v>71</v>
      </c>
      <c r="C794" s="4" t="s">
        <v>72</v>
      </c>
      <c r="D794" s="4" t="s">
        <v>36</v>
      </c>
      <c r="E794" s="7">
        <v>43389</v>
      </c>
      <c r="F794" s="4" t="s">
        <v>31</v>
      </c>
      <c r="G794" s="4" t="s">
        <v>963</v>
      </c>
      <c r="H794" s="4">
        <v>150</v>
      </c>
      <c r="I794" s="4">
        <v>129</v>
      </c>
      <c r="J794" s="5">
        <v>0.14000000000000001</v>
      </c>
      <c r="K794" s="3">
        <v>2</v>
      </c>
      <c r="L794" s="4">
        <f>tblSales[[#This Row],[Quantity]]*tblSales[[#This Row],[Actual Price]]</f>
        <v>258</v>
      </c>
    </row>
    <row r="795" spans="1:12" x14ac:dyDescent="0.35">
      <c r="A795" s="3" t="s">
        <v>1299</v>
      </c>
      <c r="B795" s="4" t="s">
        <v>119</v>
      </c>
      <c r="C795" s="4" t="s">
        <v>120</v>
      </c>
      <c r="D795" s="4" t="s">
        <v>36</v>
      </c>
      <c r="E795" s="7">
        <v>42019</v>
      </c>
      <c r="F795" s="4" t="s">
        <v>42</v>
      </c>
      <c r="G795" s="4" t="s">
        <v>910</v>
      </c>
      <c r="H795" s="4">
        <v>30</v>
      </c>
      <c r="I795" s="4">
        <v>29</v>
      </c>
      <c r="J795" s="5">
        <v>3.3300000000000003E-2</v>
      </c>
      <c r="K795" s="3">
        <v>17</v>
      </c>
      <c r="L795" s="4">
        <f>tblSales[[#This Row],[Quantity]]*tblSales[[#This Row],[Actual Price]]</f>
        <v>493</v>
      </c>
    </row>
    <row r="796" spans="1:12" x14ac:dyDescent="0.35">
      <c r="A796" s="3" t="s">
        <v>1300</v>
      </c>
      <c r="B796" s="4" t="s">
        <v>12</v>
      </c>
      <c r="C796" s="4" t="s">
        <v>13</v>
      </c>
      <c r="D796" s="4" t="s">
        <v>14</v>
      </c>
      <c r="E796" s="7">
        <v>43354</v>
      </c>
      <c r="F796" s="4" t="s">
        <v>123</v>
      </c>
      <c r="G796" s="4" t="s">
        <v>349</v>
      </c>
      <c r="H796" s="4">
        <v>50</v>
      </c>
      <c r="I796" s="4">
        <v>49</v>
      </c>
      <c r="J796" s="5">
        <v>0.02</v>
      </c>
      <c r="K796" s="3">
        <v>17</v>
      </c>
      <c r="L796" s="4">
        <f>tblSales[[#This Row],[Quantity]]*tblSales[[#This Row],[Actual Price]]</f>
        <v>833</v>
      </c>
    </row>
    <row r="797" spans="1:12" x14ac:dyDescent="0.35">
      <c r="A797" s="3" t="s">
        <v>1301</v>
      </c>
      <c r="B797" s="4" t="s">
        <v>147</v>
      </c>
      <c r="C797" s="4" t="s">
        <v>148</v>
      </c>
      <c r="D797" s="4" t="s">
        <v>14</v>
      </c>
      <c r="E797" s="7">
        <v>41801</v>
      </c>
      <c r="F797" s="4" t="s">
        <v>47</v>
      </c>
      <c r="G797" s="4" t="s">
        <v>359</v>
      </c>
      <c r="H797" s="4">
        <v>500</v>
      </c>
      <c r="I797" s="4">
        <v>370</v>
      </c>
      <c r="J797" s="5">
        <v>0.26</v>
      </c>
      <c r="K797" s="3">
        <v>19</v>
      </c>
      <c r="L797" s="4">
        <f>tblSales[[#This Row],[Quantity]]*tblSales[[#This Row],[Actual Price]]</f>
        <v>7030</v>
      </c>
    </row>
    <row r="798" spans="1:12" x14ac:dyDescent="0.35">
      <c r="A798" s="3" t="s">
        <v>1302</v>
      </c>
      <c r="B798" s="4" t="s">
        <v>18</v>
      </c>
      <c r="C798" s="4" t="s">
        <v>19</v>
      </c>
      <c r="D798" s="4" t="s">
        <v>20</v>
      </c>
      <c r="E798" s="7">
        <v>42399</v>
      </c>
      <c r="F798" s="4" t="s">
        <v>42</v>
      </c>
      <c r="G798" s="4" t="s">
        <v>494</v>
      </c>
      <c r="H798" s="4">
        <v>30</v>
      </c>
      <c r="I798" s="4">
        <v>26</v>
      </c>
      <c r="J798" s="5">
        <v>0.1333</v>
      </c>
      <c r="K798" s="3">
        <v>10</v>
      </c>
      <c r="L798" s="4">
        <f>tblSales[[#This Row],[Quantity]]*tblSales[[#This Row],[Actual Price]]</f>
        <v>260</v>
      </c>
    </row>
    <row r="799" spans="1:12" x14ac:dyDescent="0.35">
      <c r="A799" s="3" t="s">
        <v>1303</v>
      </c>
      <c r="B799" s="4" t="s">
        <v>128</v>
      </c>
      <c r="C799" s="4" t="s">
        <v>129</v>
      </c>
      <c r="D799" s="4" t="s">
        <v>14</v>
      </c>
      <c r="E799" s="7">
        <v>42984</v>
      </c>
      <c r="F799" s="4" t="s">
        <v>116</v>
      </c>
      <c r="G799" s="4" t="s">
        <v>386</v>
      </c>
      <c r="H799" s="4">
        <v>250</v>
      </c>
      <c r="I799" s="4">
        <v>243</v>
      </c>
      <c r="J799" s="5">
        <v>2.8000000000000001E-2</v>
      </c>
      <c r="K799" s="3">
        <v>70</v>
      </c>
      <c r="L799" s="4">
        <f>tblSales[[#This Row],[Quantity]]*tblSales[[#This Row],[Actual Price]]</f>
        <v>17010</v>
      </c>
    </row>
    <row r="800" spans="1:12" x14ac:dyDescent="0.35">
      <c r="A800" s="3" t="s">
        <v>1304</v>
      </c>
      <c r="B800" s="4" t="s">
        <v>40</v>
      </c>
      <c r="C800" s="4" t="s">
        <v>41</v>
      </c>
      <c r="D800" s="4" t="s">
        <v>36</v>
      </c>
      <c r="E800" s="7">
        <v>42059</v>
      </c>
      <c r="F800" s="4" t="s">
        <v>62</v>
      </c>
      <c r="G800" s="4" t="s">
        <v>1305</v>
      </c>
      <c r="H800" s="4">
        <v>1000</v>
      </c>
      <c r="I800" s="4">
        <v>700</v>
      </c>
      <c r="J800" s="5">
        <v>0.3</v>
      </c>
      <c r="K800" s="3">
        <v>37</v>
      </c>
      <c r="L800" s="4">
        <f>tblSales[[#This Row],[Quantity]]*tblSales[[#This Row],[Actual Price]]</f>
        <v>25900</v>
      </c>
    </row>
    <row r="801" spans="1:12" x14ac:dyDescent="0.35">
      <c r="A801" s="3" t="s">
        <v>1306</v>
      </c>
      <c r="B801" s="4" t="s">
        <v>183</v>
      </c>
      <c r="C801" s="4" t="s">
        <v>109</v>
      </c>
      <c r="D801" s="4" t="s">
        <v>20</v>
      </c>
      <c r="E801" s="7">
        <v>43422</v>
      </c>
      <c r="F801" s="4" t="s">
        <v>123</v>
      </c>
      <c r="G801" s="4" t="s">
        <v>674</v>
      </c>
      <c r="H801" s="4">
        <v>50</v>
      </c>
      <c r="I801" s="4">
        <v>43</v>
      </c>
      <c r="J801" s="5">
        <v>0.14000000000000001</v>
      </c>
      <c r="K801" s="3">
        <v>4</v>
      </c>
      <c r="L801" s="4">
        <f>tblSales[[#This Row],[Quantity]]*tblSales[[#This Row],[Actual Price]]</f>
        <v>172</v>
      </c>
    </row>
    <row r="802" spans="1:12" x14ac:dyDescent="0.35">
      <c r="A802" s="3" t="s">
        <v>1307</v>
      </c>
      <c r="B802" s="4" t="s">
        <v>228</v>
      </c>
      <c r="C802" s="4" t="s">
        <v>229</v>
      </c>
      <c r="D802" s="4" t="s">
        <v>25</v>
      </c>
      <c r="E802" s="7">
        <v>42930</v>
      </c>
      <c r="F802" s="4" t="s">
        <v>56</v>
      </c>
      <c r="G802" s="4" t="s">
        <v>938</v>
      </c>
      <c r="H802" s="4">
        <v>800</v>
      </c>
      <c r="I802" s="4">
        <v>440</v>
      </c>
      <c r="J802" s="5">
        <v>0.45</v>
      </c>
      <c r="K802" s="3">
        <v>45</v>
      </c>
      <c r="L802" s="4">
        <f>tblSales[[#This Row],[Quantity]]*tblSales[[#This Row],[Actual Price]]</f>
        <v>19800</v>
      </c>
    </row>
    <row r="803" spans="1:12" x14ac:dyDescent="0.35">
      <c r="A803" s="3" t="s">
        <v>1308</v>
      </c>
      <c r="B803" s="4" t="s">
        <v>54</v>
      </c>
      <c r="C803" s="4" t="s">
        <v>55</v>
      </c>
      <c r="D803" s="4" t="s">
        <v>14</v>
      </c>
      <c r="E803" s="7">
        <v>42809</v>
      </c>
      <c r="F803" s="4" t="s">
        <v>15</v>
      </c>
      <c r="G803" s="4" t="s">
        <v>796</v>
      </c>
      <c r="H803" s="4">
        <v>80</v>
      </c>
      <c r="I803" s="4">
        <v>80</v>
      </c>
      <c r="J803" s="5">
        <v>0</v>
      </c>
      <c r="K803" s="3">
        <v>43</v>
      </c>
      <c r="L803" s="4">
        <f>tblSales[[#This Row],[Quantity]]*tblSales[[#This Row],[Actual Price]]</f>
        <v>3440</v>
      </c>
    </row>
    <row r="804" spans="1:12" x14ac:dyDescent="0.35">
      <c r="A804" s="3" t="s">
        <v>1309</v>
      </c>
      <c r="B804" s="4" t="s">
        <v>132</v>
      </c>
      <c r="C804" s="4" t="s">
        <v>109</v>
      </c>
      <c r="D804" s="4" t="s">
        <v>20</v>
      </c>
      <c r="E804" s="7">
        <v>42250</v>
      </c>
      <c r="F804" s="4" t="s">
        <v>105</v>
      </c>
      <c r="G804" s="4" t="s">
        <v>794</v>
      </c>
      <c r="H804" s="4">
        <v>70</v>
      </c>
      <c r="I804" s="4">
        <v>63</v>
      </c>
      <c r="J804" s="5">
        <v>0.1</v>
      </c>
      <c r="K804" s="3">
        <v>18</v>
      </c>
      <c r="L804" s="4">
        <f>tblSales[[#This Row],[Quantity]]*tblSales[[#This Row],[Actual Price]]</f>
        <v>1134</v>
      </c>
    </row>
    <row r="805" spans="1:12" x14ac:dyDescent="0.35">
      <c r="A805" s="3" t="s">
        <v>1310</v>
      </c>
      <c r="B805" s="4" t="s">
        <v>82</v>
      </c>
      <c r="C805" s="4" t="s">
        <v>83</v>
      </c>
      <c r="D805" s="4" t="s">
        <v>14</v>
      </c>
      <c r="E805" s="7">
        <v>41648</v>
      </c>
      <c r="F805" s="4" t="s">
        <v>26</v>
      </c>
      <c r="G805" s="4" t="s">
        <v>1048</v>
      </c>
      <c r="H805" s="4">
        <v>700</v>
      </c>
      <c r="I805" s="4">
        <v>672</v>
      </c>
      <c r="J805" s="5">
        <v>0.04</v>
      </c>
      <c r="K805" s="3">
        <v>29</v>
      </c>
      <c r="L805" s="4">
        <f>tblSales[[#This Row],[Quantity]]*tblSales[[#This Row],[Actual Price]]</f>
        <v>19488</v>
      </c>
    </row>
    <row r="806" spans="1:12" x14ac:dyDescent="0.35">
      <c r="A806" s="3" t="s">
        <v>1311</v>
      </c>
      <c r="B806" s="4" t="s">
        <v>23</v>
      </c>
      <c r="C806" s="4" t="s">
        <v>24</v>
      </c>
      <c r="D806" s="4" t="s">
        <v>25</v>
      </c>
      <c r="E806" s="7">
        <v>43167</v>
      </c>
      <c r="F806" s="4" t="s">
        <v>73</v>
      </c>
      <c r="G806" s="4" t="s">
        <v>145</v>
      </c>
      <c r="H806" s="4">
        <v>500</v>
      </c>
      <c r="I806" s="4">
        <v>490</v>
      </c>
      <c r="J806" s="5">
        <v>0.02</v>
      </c>
      <c r="K806" s="3">
        <v>21</v>
      </c>
      <c r="L806" s="4">
        <f>tblSales[[#This Row],[Quantity]]*tblSales[[#This Row],[Actual Price]]</f>
        <v>10290</v>
      </c>
    </row>
    <row r="807" spans="1:12" x14ac:dyDescent="0.35">
      <c r="A807" s="3" t="s">
        <v>1312</v>
      </c>
      <c r="B807" s="4" t="s">
        <v>128</v>
      </c>
      <c r="C807" s="4" t="s">
        <v>129</v>
      </c>
      <c r="D807" s="4" t="s">
        <v>14</v>
      </c>
      <c r="E807" s="7">
        <v>42331</v>
      </c>
      <c r="F807" s="4" t="s">
        <v>56</v>
      </c>
      <c r="G807" s="4" t="s">
        <v>1262</v>
      </c>
      <c r="H807" s="4">
        <v>800</v>
      </c>
      <c r="I807" s="4">
        <v>592</v>
      </c>
      <c r="J807" s="5">
        <v>0.26</v>
      </c>
      <c r="K807" s="3">
        <v>81</v>
      </c>
      <c r="L807" s="4">
        <f>tblSales[[#This Row],[Quantity]]*tblSales[[#This Row],[Actual Price]]</f>
        <v>47952</v>
      </c>
    </row>
    <row r="808" spans="1:12" x14ac:dyDescent="0.35">
      <c r="A808" s="3" t="s">
        <v>1313</v>
      </c>
      <c r="B808" s="4" t="s">
        <v>128</v>
      </c>
      <c r="C808" s="4" t="s">
        <v>129</v>
      </c>
      <c r="D808" s="4" t="s">
        <v>14</v>
      </c>
      <c r="E808" s="7">
        <v>42783</v>
      </c>
      <c r="F808" s="4" t="s">
        <v>37</v>
      </c>
      <c r="G808" s="4" t="s">
        <v>921</v>
      </c>
      <c r="H808" s="4">
        <v>50</v>
      </c>
      <c r="I808" s="4">
        <v>46</v>
      </c>
      <c r="J808" s="5">
        <v>0.08</v>
      </c>
      <c r="K808" s="3">
        <v>86</v>
      </c>
      <c r="L808" s="4">
        <f>tblSales[[#This Row],[Quantity]]*tblSales[[#This Row],[Actual Price]]</f>
        <v>3956</v>
      </c>
    </row>
    <row r="809" spans="1:12" x14ac:dyDescent="0.35">
      <c r="A809" s="3" t="s">
        <v>1314</v>
      </c>
      <c r="B809" s="4" t="s">
        <v>45</v>
      </c>
      <c r="C809" s="4" t="s">
        <v>46</v>
      </c>
      <c r="D809" s="4" t="s">
        <v>25</v>
      </c>
      <c r="E809" s="7">
        <v>42789</v>
      </c>
      <c r="F809" s="4" t="s">
        <v>123</v>
      </c>
      <c r="G809" s="4" t="s">
        <v>302</v>
      </c>
      <c r="H809" s="4">
        <v>50</v>
      </c>
      <c r="I809" s="4">
        <v>50</v>
      </c>
      <c r="J809" s="5">
        <v>0</v>
      </c>
      <c r="K809" s="3">
        <v>94</v>
      </c>
      <c r="L809" s="4">
        <f>tblSales[[#This Row],[Quantity]]*tblSales[[#This Row],[Actual Price]]</f>
        <v>4700</v>
      </c>
    </row>
    <row r="810" spans="1:12" x14ac:dyDescent="0.35">
      <c r="A810" s="3" t="s">
        <v>1315</v>
      </c>
      <c r="B810" s="4" t="s">
        <v>158</v>
      </c>
      <c r="C810" s="4" t="s">
        <v>109</v>
      </c>
      <c r="D810" s="4" t="s">
        <v>20</v>
      </c>
      <c r="E810" s="7">
        <v>43191</v>
      </c>
      <c r="F810" s="4" t="s">
        <v>123</v>
      </c>
      <c r="G810" s="4" t="s">
        <v>1287</v>
      </c>
      <c r="H810" s="4">
        <v>50</v>
      </c>
      <c r="I810" s="4">
        <v>48</v>
      </c>
      <c r="J810" s="5">
        <v>0.04</v>
      </c>
      <c r="K810" s="3">
        <v>25</v>
      </c>
      <c r="L810" s="4">
        <f>tblSales[[#This Row],[Quantity]]*tblSales[[#This Row],[Actual Price]]</f>
        <v>1200</v>
      </c>
    </row>
    <row r="811" spans="1:12" x14ac:dyDescent="0.35">
      <c r="A811" s="3" t="s">
        <v>1316</v>
      </c>
      <c r="B811" s="4" t="s">
        <v>34</v>
      </c>
      <c r="C811" s="4" t="s">
        <v>35</v>
      </c>
      <c r="D811" s="4" t="s">
        <v>36</v>
      </c>
      <c r="E811" s="7">
        <v>42984</v>
      </c>
      <c r="F811" s="4" t="s">
        <v>123</v>
      </c>
      <c r="G811" s="4" t="s">
        <v>1244</v>
      </c>
      <c r="H811" s="4">
        <v>50</v>
      </c>
      <c r="I811" s="4">
        <v>47</v>
      </c>
      <c r="J811" s="5">
        <v>0.06</v>
      </c>
      <c r="K811" s="3">
        <v>87</v>
      </c>
      <c r="L811" s="4">
        <f>tblSales[[#This Row],[Quantity]]*tblSales[[#This Row],[Actual Price]]</f>
        <v>4089</v>
      </c>
    </row>
    <row r="812" spans="1:12" x14ac:dyDescent="0.35">
      <c r="A812" s="3" t="s">
        <v>1317</v>
      </c>
      <c r="B812" s="4" t="s">
        <v>45</v>
      </c>
      <c r="C812" s="4" t="s">
        <v>46</v>
      </c>
      <c r="D812" s="4" t="s">
        <v>25</v>
      </c>
      <c r="E812" s="7">
        <v>41821</v>
      </c>
      <c r="F812" s="4" t="s">
        <v>105</v>
      </c>
      <c r="G812" s="4" t="s">
        <v>1036</v>
      </c>
      <c r="H812" s="4">
        <v>70</v>
      </c>
      <c r="I812" s="4">
        <v>63</v>
      </c>
      <c r="J812" s="5">
        <v>0.1</v>
      </c>
      <c r="K812" s="3">
        <v>10</v>
      </c>
      <c r="L812" s="4">
        <f>tblSales[[#This Row],[Quantity]]*tblSales[[#This Row],[Actual Price]]</f>
        <v>630</v>
      </c>
    </row>
    <row r="813" spans="1:12" x14ac:dyDescent="0.35">
      <c r="A813" s="3" t="s">
        <v>1318</v>
      </c>
      <c r="B813" s="4" t="s">
        <v>147</v>
      </c>
      <c r="C813" s="4" t="s">
        <v>148</v>
      </c>
      <c r="D813" s="4" t="s">
        <v>14</v>
      </c>
      <c r="E813" s="7">
        <v>43456</v>
      </c>
      <c r="F813" s="4" t="s">
        <v>116</v>
      </c>
      <c r="G813" s="4" t="s">
        <v>1319</v>
      </c>
      <c r="H813" s="4">
        <v>250</v>
      </c>
      <c r="I813" s="4">
        <v>243</v>
      </c>
      <c r="J813" s="5">
        <v>2.8000000000000001E-2</v>
      </c>
      <c r="K813" s="3">
        <v>39</v>
      </c>
      <c r="L813" s="4">
        <f>tblSales[[#This Row],[Quantity]]*tblSales[[#This Row],[Actual Price]]</f>
        <v>9477</v>
      </c>
    </row>
    <row r="814" spans="1:12" x14ac:dyDescent="0.35">
      <c r="A814" s="3" t="s">
        <v>1320</v>
      </c>
      <c r="B814" s="4" t="s">
        <v>183</v>
      </c>
      <c r="C814" s="4" t="s">
        <v>109</v>
      </c>
      <c r="D814" s="4" t="s">
        <v>20</v>
      </c>
      <c r="E814" s="7">
        <v>42504</v>
      </c>
      <c r="F814" s="4" t="s">
        <v>73</v>
      </c>
      <c r="G814" s="4" t="s">
        <v>506</v>
      </c>
      <c r="H814" s="4">
        <v>500</v>
      </c>
      <c r="I814" s="4">
        <v>500</v>
      </c>
      <c r="J814" s="5">
        <v>0</v>
      </c>
      <c r="K814" s="3">
        <v>87</v>
      </c>
      <c r="L814" s="4">
        <f>tblSales[[#This Row],[Quantity]]*tblSales[[#This Row],[Actual Price]]</f>
        <v>43500</v>
      </c>
    </row>
    <row r="815" spans="1:12" x14ac:dyDescent="0.35">
      <c r="A815" s="3" t="s">
        <v>1321</v>
      </c>
      <c r="B815" s="4" t="s">
        <v>96</v>
      </c>
      <c r="C815" s="4" t="s">
        <v>97</v>
      </c>
      <c r="D815" s="4" t="s">
        <v>14</v>
      </c>
      <c r="E815" s="7">
        <v>42700</v>
      </c>
      <c r="F815" s="4" t="s">
        <v>73</v>
      </c>
      <c r="G815" s="4" t="s">
        <v>770</v>
      </c>
      <c r="H815" s="4">
        <v>500</v>
      </c>
      <c r="I815" s="4">
        <v>495</v>
      </c>
      <c r="J815" s="5">
        <v>0.01</v>
      </c>
      <c r="K815" s="3">
        <v>53</v>
      </c>
      <c r="L815" s="4">
        <f>tblSales[[#This Row],[Quantity]]*tblSales[[#This Row],[Actual Price]]</f>
        <v>26235</v>
      </c>
    </row>
    <row r="816" spans="1:12" x14ac:dyDescent="0.35">
      <c r="A816" s="3" t="s">
        <v>1322</v>
      </c>
      <c r="B816" s="4" t="s">
        <v>222</v>
      </c>
      <c r="C816" s="4" t="s">
        <v>41</v>
      </c>
      <c r="D816" s="4" t="s">
        <v>36</v>
      </c>
      <c r="E816" s="7">
        <v>41830</v>
      </c>
      <c r="F816" s="4" t="s">
        <v>56</v>
      </c>
      <c r="G816" s="4" t="s">
        <v>1323</v>
      </c>
      <c r="H816" s="4">
        <v>800</v>
      </c>
      <c r="I816" s="4">
        <v>648</v>
      </c>
      <c r="J816" s="5">
        <v>0.19</v>
      </c>
      <c r="K816" s="3">
        <v>84</v>
      </c>
      <c r="L816" s="4">
        <f>tblSales[[#This Row],[Quantity]]*tblSales[[#This Row],[Actual Price]]</f>
        <v>54432</v>
      </c>
    </row>
    <row r="817" spans="1:12" x14ac:dyDescent="0.35">
      <c r="A817" s="3" t="s">
        <v>1324</v>
      </c>
      <c r="B817" s="4" t="s">
        <v>228</v>
      </c>
      <c r="C817" s="4" t="s">
        <v>229</v>
      </c>
      <c r="D817" s="4" t="s">
        <v>25</v>
      </c>
      <c r="E817" s="7">
        <v>42084</v>
      </c>
      <c r="F817" s="4" t="s">
        <v>42</v>
      </c>
      <c r="G817" s="4" t="s">
        <v>439</v>
      </c>
      <c r="H817" s="4">
        <v>30</v>
      </c>
      <c r="I817" s="4">
        <v>20</v>
      </c>
      <c r="J817" s="5">
        <v>0.33329999999999999</v>
      </c>
      <c r="K817" s="3">
        <v>6</v>
      </c>
      <c r="L817" s="4">
        <f>tblSales[[#This Row],[Quantity]]*tblSales[[#This Row],[Actual Price]]</f>
        <v>120</v>
      </c>
    </row>
    <row r="818" spans="1:12" x14ac:dyDescent="0.35">
      <c r="A818" s="3" t="s">
        <v>1325</v>
      </c>
      <c r="B818" s="4" t="s">
        <v>125</v>
      </c>
      <c r="C818" s="4" t="s">
        <v>41</v>
      </c>
      <c r="D818" s="4" t="s">
        <v>36</v>
      </c>
      <c r="E818" s="7">
        <v>42073</v>
      </c>
      <c r="F818" s="4" t="s">
        <v>26</v>
      </c>
      <c r="G818" s="4" t="s">
        <v>1018</v>
      </c>
      <c r="H818" s="4">
        <v>700</v>
      </c>
      <c r="I818" s="4">
        <v>462</v>
      </c>
      <c r="J818" s="5">
        <v>0.34</v>
      </c>
      <c r="K818" s="3">
        <v>26</v>
      </c>
      <c r="L818" s="4">
        <f>tblSales[[#This Row],[Quantity]]*tblSales[[#This Row],[Actual Price]]</f>
        <v>12012</v>
      </c>
    </row>
    <row r="819" spans="1:12" x14ac:dyDescent="0.35">
      <c r="A819" s="3" t="s">
        <v>1326</v>
      </c>
      <c r="B819" s="4" t="s">
        <v>401</v>
      </c>
      <c r="C819" s="4" t="s">
        <v>402</v>
      </c>
      <c r="D819" s="4" t="s">
        <v>14</v>
      </c>
      <c r="E819" s="7">
        <v>42568</v>
      </c>
      <c r="F819" s="4" t="s">
        <v>42</v>
      </c>
      <c r="G819" s="4" t="s">
        <v>857</v>
      </c>
      <c r="H819" s="4">
        <v>30</v>
      </c>
      <c r="I819" s="4">
        <v>29</v>
      </c>
      <c r="J819" s="5">
        <v>3.3300000000000003E-2</v>
      </c>
      <c r="K819" s="3">
        <v>92</v>
      </c>
      <c r="L819" s="4">
        <f>tblSales[[#This Row],[Quantity]]*tblSales[[#This Row],[Actual Price]]</f>
        <v>2668</v>
      </c>
    </row>
    <row r="820" spans="1:12" x14ac:dyDescent="0.35">
      <c r="A820" s="3" t="s">
        <v>1327</v>
      </c>
      <c r="B820" s="4" t="s">
        <v>128</v>
      </c>
      <c r="C820" s="4" t="s">
        <v>129</v>
      </c>
      <c r="D820" s="4" t="s">
        <v>14</v>
      </c>
      <c r="E820" s="7">
        <v>42751</v>
      </c>
      <c r="F820" s="4" t="s">
        <v>105</v>
      </c>
      <c r="G820" s="4" t="s">
        <v>921</v>
      </c>
      <c r="H820" s="4">
        <v>70</v>
      </c>
      <c r="I820" s="4">
        <v>66</v>
      </c>
      <c r="J820" s="5">
        <v>5.7099999999999998E-2</v>
      </c>
      <c r="K820" s="3">
        <v>6</v>
      </c>
      <c r="L820" s="4">
        <f>tblSales[[#This Row],[Quantity]]*tblSales[[#This Row],[Actual Price]]</f>
        <v>396</v>
      </c>
    </row>
    <row r="821" spans="1:12" x14ac:dyDescent="0.35">
      <c r="A821" s="3" t="s">
        <v>1328</v>
      </c>
      <c r="B821" s="4" t="s">
        <v>401</v>
      </c>
      <c r="C821" s="4" t="s">
        <v>402</v>
      </c>
      <c r="D821" s="4" t="s">
        <v>14</v>
      </c>
      <c r="E821" s="7">
        <v>42960</v>
      </c>
      <c r="F821" s="4" t="s">
        <v>62</v>
      </c>
      <c r="G821" s="4" t="s">
        <v>694</v>
      </c>
      <c r="H821" s="4">
        <v>1000</v>
      </c>
      <c r="I821" s="4">
        <v>690</v>
      </c>
      <c r="J821" s="5">
        <v>0.31</v>
      </c>
      <c r="K821" s="3">
        <v>3</v>
      </c>
      <c r="L821" s="4">
        <f>tblSales[[#This Row],[Quantity]]*tblSales[[#This Row],[Actual Price]]</f>
        <v>2070</v>
      </c>
    </row>
    <row r="822" spans="1:12" x14ac:dyDescent="0.35">
      <c r="A822" s="3" t="s">
        <v>1329</v>
      </c>
      <c r="B822" s="4" t="s">
        <v>225</v>
      </c>
      <c r="C822" s="4" t="s">
        <v>51</v>
      </c>
      <c r="D822" s="4" t="s">
        <v>25</v>
      </c>
      <c r="E822" s="7">
        <v>42645</v>
      </c>
      <c r="F822" s="4" t="s">
        <v>105</v>
      </c>
      <c r="G822" s="4" t="s">
        <v>226</v>
      </c>
      <c r="H822" s="4">
        <v>70</v>
      </c>
      <c r="I822" s="4">
        <v>69</v>
      </c>
      <c r="J822" s="5">
        <v>1.43E-2</v>
      </c>
      <c r="K822" s="3">
        <v>58</v>
      </c>
      <c r="L822" s="4">
        <f>tblSales[[#This Row],[Quantity]]*tblSales[[#This Row],[Actual Price]]</f>
        <v>4002</v>
      </c>
    </row>
    <row r="823" spans="1:12" x14ac:dyDescent="0.35">
      <c r="A823" s="3" t="s">
        <v>1330</v>
      </c>
      <c r="B823" s="4" t="s">
        <v>171</v>
      </c>
      <c r="C823" s="4" t="s">
        <v>172</v>
      </c>
      <c r="D823" s="4" t="s">
        <v>14</v>
      </c>
      <c r="E823" s="7">
        <v>43064</v>
      </c>
      <c r="F823" s="4" t="s">
        <v>42</v>
      </c>
      <c r="G823" s="4" t="s">
        <v>173</v>
      </c>
      <c r="H823" s="4">
        <v>30</v>
      </c>
      <c r="I823" s="4">
        <v>27</v>
      </c>
      <c r="J823" s="5">
        <v>0.1</v>
      </c>
      <c r="K823" s="3">
        <v>99</v>
      </c>
      <c r="L823" s="4">
        <f>tblSales[[#This Row],[Quantity]]*tblSales[[#This Row],[Actual Price]]</f>
        <v>2673</v>
      </c>
    </row>
    <row r="824" spans="1:12" x14ac:dyDescent="0.35">
      <c r="A824" s="3" t="s">
        <v>1331</v>
      </c>
      <c r="B824" s="4" t="s">
        <v>222</v>
      </c>
      <c r="C824" s="4" t="s">
        <v>41</v>
      </c>
      <c r="D824" s="4" t="s">
        <v>36</v>
      </c>
      <c r="E824" s="7">
        <v>42994</v>
      </c>
      <c r="F824" s="4" t="s">
        <v>116</v>
      </c>
      <c r="G824" s="4" t="s">
        <v>261</v>
      </c>
      <c r="H824" s="4">
        <v>250</v>
      </c>
      <c r="I824" s="4">
        <v>225</v>
      </c>
      <c r="J824" s="5">
        <v>0.1</v>
      </c>
      <c r="K824" s="3">
        <v>65</v>
      </c>
      <c r="L824" s="4">
        <f>tblSales[[#This Row],[Quantity]]*tblSales[[#This Row],[Actual Price]]</f>
        <v>14625</v>
      </c>
    </row>
    <row r="825" spans="1:12" x14ac:dyDescent="0.35">
      <c r="A825" s="3" t="s">
        <v>1332</v>
      </c>
      <c r="B825" s="4" t="s">
        <v>228</v>
      </c>
      <c r="C825" s="4" t="s">
        <v>229</v>
      </c>
      <c r="D825" s="4" t="s">
        <v>25</v>
      </c>
      <c r="E825" s="7">
        <v>42749</v>
      </c>
      <c r="F825" s="4" t="s">
        <v>73</v>
      </c>
      <c r="G825" s="4" t="s">
        <v>871</v>
      </c>
      <c r="H825" s="4">
        <v>500</v>
      </c>
      <c r="I825" s="4">
        <v>500</v>
      </c>
      <c r="J825" s="5">
        <v>0</v>
      </c>
      <c r="K825" s="3">
        <v>99</v>
      </c>
      <c r="L825" s="4">
        <f>tblSales[[#This Row],[Quantity]]*tblSales[[#This Row],[Actual Price]]</f>
        <v>49500</v>
      </c>
    </row>
    <row r="826" spans="1:12" x14ac:dyDescent="0.35">
      <c r="A826" s="3" t="s">
        <v>1333</v>
      </c>
      <c r="B826" s="4" t="s">
        <v>112</v>
      </c>
      <c r="C826" s="4" t="s">
        <v>83</v>
      </c>
      <c r="D826" s="4" t="s">
        <v>14</v>
      </c>
      <c r="E826" s="7">
        <v>42649</v>
      </c>
      <c r="F826" s="4" t="s">
        <v>123</v>
      </c>
      <c r="G826" s="4" t="s">
        <v>457</v>
      </c>
      <c r="H826" s="4">
        <v>50</v>
      </c>
      <c r="I826" s="4">
        <v>45</v>
      </c>
      <c r="J826" s="5">
        <v>0.1</v>
      </c>
      <c r="K826" s="3">
        <v>37</v>
      </c>
      <c r="L826" s="4">
        <f>tblSales[[#This Row],[Quantity]]*tblSales[[#This Row],[Actual Price]]</f>
        <v>1665</v>
      </c>
    </row>
    <row r="827" spans="1:12" x14ac:dyDescent="0.35">
      <c r="A827" s="3" t="s">
        <v>1334</v>
      </c>
      <c r="B827" s="4" t="s">
        <v>147</v>
      </c>
      <c r="C827" s="4" t="s">
        <v>148</v>
      </c>
      <c r="D827" s="4" t="s">
        <v>14</v>
      </c>
      <c r="E827" s="7">
        <v>41735</v>
      </c>
      <c r="F827" s="4" t="s">
        <v>31</v>
      </c>
      <c r="G827" s="4" t="s">
        <v>1335</v>
      </c>
      <c r="H827" s="4">
        <v>150</v>
      </c>
      <c r="I827" s="4">
        <v>137</v>
      </c>
      <c r="J827" s="5">
        <v>8.6699999999999999E-2</v>
      </c>
      <c r="K827" s="3">
        <v>90</v>
      </c>
      <c r="L827" s="4">
        <f>tblSales[[#This Row],[Quantity]]*tblSales[[#This Row],[Actual Price]]</f>
        <v>12330</v>
      </c>
    </row>
    <row r="828" spans="1:12" x14ac:dyDescent="0.35">
      <c r="A828" s="3" t="s">
        <v>1336</v>
      </c>
      <c r="B828" s="4" t="s">
        <v>29</v>
      </c>
      <c r="C828" s="4" t="s">
        <v>30</v>
      </c>
      <c r="D828" s="4" t="s">
        <v>14</v>
      </c>
      <c r="E828" s="7">
        <v>42799</v>
      </c>
      <c r="F828" s="4" t="s">
        <v>47</v>
      </c>
      <c r="G828" s="4" t="s">
        <v>250</v>
      </c>
      <c r="H828" s="4">
        <v>500</v>
      </c>
      <c r="I828" s="4">
        <v>455</v>
      </c>
      <c r="J828" s="5">
        <v>0.09</v>
      </c>
      <c r="K828" s="3">
        <v>99</v>
      </c>
      <c r="L828" s="4">
        <f>tblSales[[#This Row],[Quantity]]*tblSales[[#This Row],[Actual Price]]</f>
        <v>45045</v>
      </c>
    </row>
    <row r="829" spans="1:12" x14ac:dyDescent="0.35">
      <c r="A829" s="3" t="s">
        <v>1337</v>
      </c>
      <c r="B829" s="4" t="s">
        <v>115</v>
      </c>
      <c r="C829" s="4" t="s">
        <v>55</v>
      </c>
      <c r="D829" s="4" t="s">
        <v>14</v>
      </c>
      <c r="E829" s="7">
        <v>43451</v>
      </c>
      <c r="F829" s="4" t="s">
        <v>73</v>
      </c>
      <c r="G829" s="4" t="s">
        <v>169</v>
      </c>
      <c r="H829" s="4">
        <v>500</v>
      </c>
      <c r="I829" s="4">
        <v>500</v>
      </c>
      <c r="J829" s="5">
        <v>0</v>
      </c>
      <c r="K829" s="3">
        <v>1</v>
      </c>
      <c r="L829" s="4">
        <f>tblSales[[#This Row],[Quantity]]*tblSales[[#This Row],[Actual Price]]</f>
        <v>500</v>
      </c>
    </row>
    <row r="830" spans="1:12" x14ac:dyDescent="0.35">
      <c r="A830" s="3" t="s">
        <v>1338</v>
      </c>
      <c r="B830" s="4" t="s">
        <v>135</v>
      </c>
      <c r="C830" s="4" t="s">
        <v>93</v>
      </c>
      <c r="D830" s="4" t="s">
        <v>36</v>
      </c>
      <c r="E830" s="7">
        <v>42731</v>
      </c>
      <c r="F830" s="4" t="s">
        <v>26</v>
      </c>
      <c r="G830" s="4" t="s">
        <v>703</v>
      </c>
      <c r="H830" s="4">
        <v>700</v>
      </c>
      <c r="I830" s="4">
        <v>644</v>
      </c>
      <c r="J830" s="5">
        <v>0.08</v>
      </c>
      <c r="K830" s="3">
        <v>58</v>
      </c>
      <c r="L830" s="4">
        <f>tblSales[[#This Row],[Quantity]]*tblSales[[#This Row],[Actual Price]]</f>
        <v>37352</v>
      </c>
    </row>
    <row r="831" spans="1:12" x14ac:dyDescent="0.35">
      <c r="A831" s="3" t="s">
        <v>1339</v>
      </c>
      <c r="B831" s="4" t="s">
        <v>125</v>
      </c>
      <c r="C831" s="4" t="s">
        <v>41</v>
      </c>
      <c r="D831" s="4" t="s">
        <v>36</v>
      </c>
      <c r="E831" s="7">
        <v>41645</v>
      </c>
      <c r="F831" s="4" t="s">
        <v>31</v>
      </c>
      <c r="G831" s="4" t="s">
        <v>864</v>
      </c>
      <c r="H831" s="4">
        <v>150</v>
      </c>
      <c r="I831" s="4">
        <v>123</v>
      </c>
      <c r="J831" s="5">
        <v>0.18</v>
      </c>
      <c r="K831" s="3">
        <v>82</v>
      </c>
      <c r="L831" s="4">
        <f>tblSales[[#This Row],[Quantity]]*tblSales[[#This Row],[Actual Price]]</f>
        <v>10086</v>
      </c>
    </row>
    <row r="832" spans="1:12" x14ac:dyDescent="0.35">
      <c r="A832" s="3" t="s">
        <v>1340</v>
      </c>
      <c r="B832" s="4" t="s">
        <v>12</v>
      </c>
      <c r="C832" s="4" t="s">
        <v>13</v>
      </c>
      <c r="D832" s="4" t="s">
        <v>14</v>
      </c>
      <c r="E832" s="7">
        <v>42694</v>
      </c>
      <c r="F832" s="4" t="s">
        <v>47</v>
      </c>
      <c r="G832" s="4" t="s">
        <v>194</v>
      </c>
      <c r="H832" s="4">
        <v>500</v>
      </c>
      <c r="I832" s="4">
        <v>475</v>
      </c>
      <c r="J832" s="5">
        <v>0.05</v>
      </c>
      <c r="K832" s="3">
        <v>47</v>
      </c>
      <c r="L832" s="4">
        <f>tblSales[[#This Row],[Quantity]]*tblSales[[#This Row],[Actual Price]]</f>
        <v>22325</v>
      </c>
    </row>
    <row r="833" spans="1:12" x14ac:dyDescent="0.35">
      <c r="A833" s="3" t="s">
        <v>1341</v>
      </c>
      <c r="B833" s="4" t="s">
        <v>256</v>
      </c>
      <c r="C833" s="4" t="s">
        <v>257</v>
      </c>
      <c r="D833" s="4" t="s">
        <v>14</v>
      </c>
      <c r="E833" s="7">
        <v>43128</v>
      </c>
      <c r="F833" s="4" t="s">
        <v>62</v>
      </c>
      <c r="G833" s="4" t="s">
        <v>1342</v>
      </c>
      <c r="H833" s="4">
        <v>1000</v>
      </c>
      <c r="I833" s="4">
        <v>750</v>
      </c>
      <c r="J833" s="5">
        <v>0.25</v>
      </c>
      <c r="K833" s="3">
        <v>78</v>
      </c>
      <c r="L833" s="4">
        <f>tblSales[[#This Row],[Quantity]]*tblSales[[#This Row],[Actual Price]]</f>
        <v>58500</v>
      </c>
    </row>
    <row r="834" spans="1:12" x14ac:dyDescent="0.35">
      <c r="A834" s="3" t="s">
        <v>1343</v>
      </c>
      <c r="B834" s="4" t="s">
        <v>92</v>
      </c>
      <c r="C834" s="4" t="s">
        <v>93</v>
      </c>
      <c r="D834" s="4" t="s">
        <v>36</v>
      </c>
      <c r="E834" s="7">
        <v>43207</v>
      </c>
      <c r="F834" s="4" t="s">
        <v>31</v>
      </c>
      <c r="G834" s="4" t="s">
        <v>1344</v>
      </c>
      <c r="H834" s="4">
        <v>150</v>
      </c>
      <c r="I834" s="4">
        <v>150</v>
      </c>
      <c r="J834" s="5">
        <v>0</v>
      </c>
      <c r="K834" s="3">
        <v>67</v>
      </c>
      <c r="L834" s="4">
        <f>tblSales[[#This Row],[Quantity]]*tblSales[[#This Row],[Actual Price]]</f>
        <v>10050</v>
      </c>
    </row>
    <row r="835" spans="1:12" x14ac:dyDescent="0.35">
      <c r="A835" s="3" t="s">
        <v>1345</v>
      </c>
      <c r="B835" s="4" t="s">
        <v>256</v>
      </c>
      <c r="C835" s="4" t="s">
        <v>257</v>
      </c>
      <c r="D835" s="4" t="s">
        <v>14</v>
      </c>
      <c r="E835" s="7">
        <v>43449</v>
      </c>
      <c r="F835" s="4" t="s">
        <v>105</v>
      </c>
      <c r="G835" s="4" t="s">
        <v>1346</v>
      </c>
      <c r="H835" s="4">
        <v>70</v>
      </c>
      <c r="I835" s="4">
        <v>63</v>
      </c>
      <c r="J835" s="5">
        <v>0.1</v>
      </c>
      <c r="K835" s="3">
        <v>37</v>
      </c>
      <c r="L835" s="4">
        <f>tblSales[[#This Row],[Quantity]]*tblSales[[#This Row],[Actual Price]]</f>
        <v>2331</v>
      </c>
    </row>
    <row r="836" spans="1:12" x14ac:dyDescent="0.35">
      <c r="A836" s="3" t="s">
        <v>1347</v>
      </c>
      <c r="B836" s="4" t="s">
        <v>96</v>
      </c>
      <c r="C836" s="4" t="s">
        <v>97</v>
      </c>
      <c r="D836" s="4" t="s">
        <v>14</v>
      </c>
      <c r="E836" s="7">
        <v>42349</v>
      </c>
      <c r="F836" s="4" t="s">
        <v>105</v>
      </c>
      <c r="G836" s="4" t="s">
        <v>461</v>
      </c>
      <c r="H836" s="4">
        <v>70</v>
      </c>
      <c r="I836" s="4">
        <v>57</v>
      </c>
      <c r="J836" s="5">
        <v>0.1857</v>
      </c>
      <c r="K836" s="3">
        <v>23</v>
      </c>
      <c r="L836" s="4">
        <f>tblSales[[#This Row],[Quantity]]*tblSales[[#This Row],[Actual Price]]</f>
        <v>1311</v>
      </c>
    </row>
    <row r="837" spans="1:12" x14ac:dyDescent="0.35">
      <c r="A837" s="3" t="s">
        <v>1348</v>
      </c>
      <c r="B837" s="4" t="s">
        <v>147</v>
      </c>
      <c r="C837" s="4" t="s">
        <v>148</v>
      </c>
      <c r="D837" s="4" t="s">
        <v>14</v>
      </c>
      <c r="E837" s="7">
        <v>43132</v>
      </c>
      <c r="F837" s="4" t="s">
        <v>31</v>
      </c>
      <c r="G837" s="4" t="s">
        <v>1349</v>
      </c>
      <c r="H837" s="4">
        <v>150</v>
      </c>
      <c r="I837" s="4">
        <v>143</v>
      </c>
      <c r="J837" s="5">
        <v>4.6699999999999998E-2</v>
      </c>
      <c r="K837" s="3">
        <v>58</v>
      </c>
      <c r="L837" s="4">
        <f>tblSales[[#This Row],[Quantity]]*tblSales[[#This Row],[Actual Price]]</f>
        <v>8294</v>
      </c>
    </row>
    <row r="838" spans="1:12" x14ac:dyDescent="0.35">
      <c r="A838" s="3" t="s">
        <v>1350</v>
      </c>
      <c r="B838" s="4" t="s">
        <v>18</v>
      </c>
      <c r="C838" s="4" t="s">
        <v>19</v>
      </c>
      <c r="D838" s="4" t="s">
        <v>20</v>
      </c>
      <c r="E838" s="7">
        <v>43300</v>
      </c>
      <c r="F838" s="4" t="s">
        <v>42</v>
      </c>
      <c r="G838" s="4" t="s">
        <v>90</v>
      </c>
      <c r="H838" s="4">
        <v>30</v>
      </c>
      <c r="I838" s="4">
        <v>27</v>
      </c>
      <c r="J838" s="5">
        <v>0.1</v>
      </c>
      <c r="K838" s="3">
        <v>73</v>
      </c>
      <c r="L838" s="4">
        <f>tblSales[[#This Row],[Quantity]]*tblSales[[#This Row],[Actual Price]]</f>
        <v>1971</v>
      </c>
    </row>
    <row r="839" spans="1:12" x14ac:dyDescent="0.35">
      <c r="A839" s="3" t="s">
        <v>1351</v>
      </c>
      <c r="B839" s="4" t="s">
        <v>151</v>
      </c>
      <c r="C839" s="4" t="s">
        <v>152</v>
      </c>
      <c r="D839" s="4" t="s">
        <v>14</v>
      </c>
      <c r="E839" s="7">
        <v>42829</v>
      </c>
      <c r="F839" s="4" t="s">
        <v>56</v>
      </c>
      <c r="G839" s="4" t="s">
        <v>1352</v>
      </c>
      <c r="H839" s="4">
        <v>800</v>
      </c>
      <c r="I839" s="4">
        <v>648</v>
      </c>
      <c r="J839" s="5">
        <v>0.19</v>
      </c>
      <c r="K839" s="3">
        <v>63</v>
      </c>
      <c r="L839" s="4">
        <f>tblSales[[#This Row],[Quantity]]*tblSales[[#This Row],[Actual Price]]</f>
        <v>40824</v>
      </c>
    </row>
    <row r="840" spans="1:12" x14ac:dyDescent="0.35">
      <c r="A840" s="3" t="s">
        <v>1353</v>
      </c>
      <c r="B840" s="4" t="s">
        <v>188</v>
      </c>
      <c r="C840" s="4" t="s">
        <v>189</v>
      </c>
      <c r="D840" s="4" t="s">
        <v>14</v>
      </c>
      <c r="E840" s="7">
        <v>42035</v>
      </c>
      <c r="F840" s="4" t="s">
        <v>62</v>
      </c>
      <c r="G840" s="4" t="s">
        <v>798</v>
      </c>
      <c r="H840" s="4">
        <v>1000</v>
      </c>
      <c r="I840" s="4">
        <v>970</v>
      </c>
      <c r="J840" s="5">
        <v>0.03</v>
      </c>
      <c r="K840" s="3">
        <v>51</v>
      </c>
      <c r="L840" s="4">
        <f>tblSales[[#This Row],[Quantity]]*tblSales[[#This Row],[Actual Price]]</f>
        <v>49470</v>
      </c>
    </row>
    <row r="841" spans="1:12" x14ac:dyDescent="0.35">
      <c r="A841" s="3" t="s">
        <v>1354</v>
      </c>
      <c r="B841" s="4" t="s">
        <v>206</v>
      </c>
      <c r="C841" s="4" t="s">
        <v>207</v>
      </c>
      <c r="D841" s="4" t="s">
        <v>25</v>
      </c>
      <c r="E841" s="7">
        <v>42540</v>
      </c>
      <c r="F841" s="4" t="s">
        <v>105</v>
      </c>
      <c r="G841" s="4" t="s">
        <v>760</v>
      </c>
      <c r="H841" s="4">
        <v>70</v>
      </c>
      <c r="I841" s="4">
        <v>67</v>
      </c>
      <c r="J841" s="5">
        <v>4.2900000000000001E-2</v>
      </c>
      <c r="K841" s="3">
        <v>61</v>
      </c>
      <c r="L841" s="4">
        <f>tblSales[[#This Row],[Quantity]]*tblSales[[#This Row],[Actual Price]]</f>
        <v>4087</v>
      </c>
    </row>
    <row r="842" spans="1:12" x14ac:dyDescent="0.35">
      <c r="A842" s="3" t="s">
        <v>1355</v>
      </c>
      <c r="B842" s="4" t="s">
        <v>135</v>
      </c>
      <c r="C842" s="4" t="s">
        <v>93</v>
      </c>
      <c r="D842" s="4" t="s">
        <v>36</v>
      </c>
      <c r="E842" s="7">
        <v>42965</v>
      </c>
      <c r="F842" s="4" t="s">
        <v>62</v>
      </c>
      <c r="G842" s="4" t="s">
        <v>539</v>
      </c>
      <c r="H842" s="4">
        <v>1000</v>
      </c>
      <c r="I842" s="4">
        <v>890</v>
      </c>
      <c r="J842" s="5">
        <v>0.11</v>
      </c>
      <c r="K842" s="3">
        <v>51</v>
      </c>
      <c r="L842" s="4">
        <f>tblSales[[#This Row],[Quantity]]*tblSales[[#This Row],[Actual Price]]</f>
        <v>45390</v>
      </c>
    </row>
    <row r="843" spans="1:12" x14ac:dyDescent="0.35">
      <c r="A843" s="3" t="s">
        <v>1356</v>
      </c>
      <c r="B843" s="4" t="s">
        <v>158</v>
      </c>
      <c r="C843" s="4" t="s">
        <v>109</v>
      </c>
      <c r="D843" s="4" t="s">
        <v>20</v>
      </c>
      <c r="E843" s="7">
        <v>42219</v>
      </c>
      <c r="F843" s="4" t="s">
        <v>26</v>
      </c>
      <c r="G843" s="4" t="s">
        <v>305</v>
      </c>
      <c r="H843" s="4">
        <v>700</v>
      </c>
      <c r="I843" s="4">
        <v>476</v>
      </c>
      <c r="J843" s="5">
        <v>0.32</v>
      </c>
      <c r="K843" s="3">
        <v>26</v>
      </c>
      <c r="L843" s="4">
        <f>tblSales[[#This Row],[Quantity]]*tblSales[[#This Row],[Actual Price]]</f>
        <v>12376</v>
      </c>
    </row>
    <row r="844" spans="1:12" x14ac:dyDescent="0.35">
      <c r="A844" s="3" t="s">
        <v>1357</v>
      </c>
      <c r="B844" s="4" t="s">
        <v>100</v>
      </c>
      <c r="C844" s="4" t="s">
        <v>101</v>
      </c>
      <c r="D844" s="4" t="s">
        <v>14</v>
      </c>
      <c r="E844" s="7">
        <v>42186</v>
      </c>
      <c r="F844" s="4" t="s">
        <v>105</v>
      </c>
      <c r="G844" s="4" t="s">
        <v>1091</v>
      </c>
      <c r="H844" s="4">
        <v>70</v>
      </c>
      <c r="I844" s="4">
        <v>52</v>
      </c>
      <c r="J844" s="5">
        <v>0.2571</v>
      </c>
      <c r="K844" s="3">
        <v>69</v>
      </c>
      <c r="L844" s="4">
        <f>tblSales[[#This Row],[Quantity]]*tblSales[[#This Row],[Actual Price]]</f>
        <v>3588</v>
      </c>
    </row>
    <row r="845" spans="1:12" x14ac:dyDescent="0.35">
      <c r="A845" s="3" t="s">
        <v>1358</v>
      </c>
      <c r="B845" s="4" t="s">
        <v>135</v>
      </c>
      <c r="C845" s="4" t="s">
        <v>93</v>
      </c>
      <c r="D845" s="4" t="s">
        <v>36</v>
      </c>
      <c r="E845" s="7">
        <v>43382</v>
      </c>
      <c r="F845" s="4" t="s">
        <v>26</v>
      </c>
      <c r="G845" s="4" t="s">
        <v>1136</v>
      </c>
      <c r="H845" s="4">
        <v>700</v>
      </c>
      <c r="I845" s="4">
        <v>686</v>
      </c>
      <c r="J845" s="5">
        <v>0.02</v>
      </c>
      <c r="K845" s="3">
        <v>85</v>
      </c>
      <c r="L845" s="4">
        <f>tblSales[[#This Row],[Quantity]]*tblSales[[#This Row],[Actual Price]]</f>
        <v>58310</v>
      </c>
    </row>
    <row r="846" spans="1:12" x14ac:dyDescent="0.35">
      <c r="A846" s="3" t="s">
        <v>1359</v>
      </c>
      <c r="B846" s="4" t="s">
        <v>158</v>
      </c>
      <c r="C846" s="4" t="s">
        <v>109</v>
      </c>
      <c r="D846" s="4" t="s">
        <v>20</v>
      </c>
      <c r="E846" s="7">
        <v>43228</v>
      </c>
      <c r="F846" s="4" t="s">
        <v>62</v>
      </c>
      <c r="G846" s="4" t="s">
        <v>465</v>
      </c>
      <c r="H846" s="4">
        <v>1000</v>
      </c>
      <c r="I846" s="4">
        <v>640</v>
      </c>
      <c r="J846" s="5">
        <v>0.36</v>
      </c>
      <c r="K846" s="3">
        <v>1</v>
      </c>
      <c r="L846" s="4">
        <f>tblSales[[#This Row],[Quantity]]*tblSales[[#This Row],[Actual Price]]</f>
        <v>640</v>
      </c>
    </row>
    <row r="847" spans="1:12" x14ac:dyDescent="0.35">
      <c r="A847" s="3" t="s">
        <v>1360</v>
      </c>
      <c r="B847" s="4" t="s">
        <v>135</v>
      </c>
      <c r="C847" s="4" t="s">
        <v>93</v>
      </c>
      <c r="D847" s="4" t="s">
        <v>36</v>
      </c>
      <c r="E847" s="7">
        <v>42413</v>
      </c>
      <c r="F847" s="4" t="s">
        <v>47</v>
      </c>
      <c r="G847" s="4" t="s">
        <v>1020</v>
      </c>
      <c r="H847" s="4">
        <v>500</v>
      </c>
      <c r="I847" s="4">
        <v>440</v>
      </c>
      <c r="J847" s="5">
        <v>0.12</v>
      </c>
      <c r="K847" s="3">
        <v>56</v>
      </c>
      <c r="L847" s="4">
        <f>tblSales[[#This Row],[Quantity]]*tblSales[[#This Row],[Actual Price]]</f>
        <v>24640</v>
      </c>
    </row>
    <row r="848" spans="1:12" x14ac:dyDescent="0.35">
      <c r="A848" s="3" t="s">
        <v>1361</v>
      </c>
      <c r="B848" s="4" t="s">
        <v>78</v>
      </c>
      <c r="C848" s="4" t="s">
        <v>79</v>
      </c>
      <c r="D848" s="4" t="s">
        <v>36</v>
      </c>
      <c r="E848" s="7">
        <v>42719</v>
      </c>
      <c r="F848" s="4" t="s">
        <v>15</v>
      </c>
      <c r="G848" s="4" t="s">
        <v>318</v>
      </c>
      <c r="H848" s="4">
        <v>80</v>
      </c>
      <c r="I848" s="4">
        <v>75</v>
      </c>
      <c r="J848" s="5">
        <v>6.25E-2</v>
      </c>
      <c r="K848" s="3">
        <v>95</v>
      </c>
      <c r="L848" s="4">
        <f>tblSales[[#This Row],[Quantity]]*tblSales[[#This Row],[Actual Price]]</f>
        <v>7125</v>
      </c>
    </row>
    <row r="849" spans="1:12" x14ac:dyDescent="0.35">
      <c r="A849" s="3" t="s">
        <v>1362</v>
      </c>
      <c r="B849" s="4" t="s">
        <v>29</v>
      </c>
      <c r="C849" s="4" t="s">
        <v>30</v>
      </c>
      <c r="D849" s="4" t="s">
        <v>14</v>
      </c>
      <c r="E849" s="7">
        <v>43064</v>
      </c>
      <c r="F849" s="4" t="s">
        <v>31</v>
      </c>
      <c r="G849" s="4" t="s">
        <v>446</v>
      </c>
      <c r="H849" s="4">
        <v>150</v>
      </c>
      <c r="I849" s="4">
        <v>144</v>
      </c>
      <c r="J849" s="5">
        <v>0.04</v>
      </c>
      <c r="K849" s="3">
        <v>66</v>
      </c>
      <c r="L849" s="4">
        <f>tblSales[[#This Row],[Quantity]]*tblSales[[#This Row],[Actual Price]]</f>
        <v>9504</v>
      </c>
    </row>
    <row r="850" spans="1:12" x14ac:dyDescent="0.35">
      <c r="A850" s="3" t="s">
        <v>1363</v>
      </c>
      <c r="B850" s="4" t="s">
        <v>435</v>
      </c>
      <c r="C850" s="4" t="s">
        <v>436</v>
      </c>
      <c r="D850" s="4" t="s">
        <v>25</v>
      </c>
      <c r="E850" s="7">
        <v>42714</v>
      </c>
      <c r="F850" s="4" t="s">
        <v>42</v>
      </c>
      <c r="G850" s="4" t="s">
        <v>437</v>
      </c>
      <c r="H850" s="4">
        <v>30</v>
      </c>
      <c r="I850" s="4">
        <v>26</v>
      </c>
      <c r="J850" s="5">
        <v>0.1333</v>
      </c>
      <c r="K850" s="3">
        <v>30</v>
      </c>
      <c r="L850" s="4">
        <f>tblSales[[#This Row],[Quantity]]*tblSales[[#This Row],[Actual Price]]</f>
        <v>780</v>
      </c>
    </row>
    <row r="851" spans="1:12" x14ac:dyDescent="0.35">
      <c r="A851" s="3" t="s">
        <v>1364</v>
      </c>
      <c r="B851" s="4" t="s">
        <v>135</v>
      </c>
      <c r="C851" s="4" t="s">
        <v>93</v>
      </c>
      <c r="D851" s="4" t="s">
        <v>36</v>
      </c>
      <c r="E851" s="7">
        <v>43115</v>
      </c>
      <c r="F851" s="4" t="s">
        <v>15</v>
      </c>
      <c r="G851" s="4" t="s">
        <v>1063</v>
      </c>
      <c r="H851" s="4">
        <v>80</v>
      </c>
      <c r="I851" s="4">
        <v>74</v>
      </c>
      <c r="J851" s="5">
        <v>7.4999999999999997E-2</v>
      </c>
      <c r="K851" s="3">
        <v>38</v>
      </c>
      <c r="L851" s="4">
        <f>tblSales[[#This Row],[Quantity]]*tblSales[[#This Row],[Actual Price]]</f>
        <v>2812</v>
      </c>
    </row>
    <row r="852" spans="1:12" x14ac:dyDescent="0.35">
      <c r="A852" s="3" t="s">
        <v>1365</v>
      </c>
      <c r="B852" s="4" t="s">
        <v>125</v>
      </c>
      <c r="C852" s="4" t="s">
        <v>41</v>
      </c>
      <c r="D852" s="4" t="s">
        <v>36</v>
      </c>
      <c r="E852" s="7">
        <v>43297</v>
      </c>
      <c r="F852" s="4" t="s">
        <v>116</v>
      </c>
      <c r="G852" s="4" t="s">
        <v>126</v>
      </c>
      <c r="H852" s="4">
        <v>250</v>
      </c>
      <c r="I852" s="4">
        <v>245</v>
      </c>
      <c r="J852" s="5">
        <v>0.02</v>
      </c>
      <c r="K852" s="3">
        <v>80</v>
      </c>
      <c r="L852" s="4">
        <f>tblSales[[#This Row],[Quantity]]*tblSales[[#This Row],[Actual Price]]</f>
        <v>19600</v>
      </c>
    </row>
    <row r="853" spans="1:12" x14ac:dyDescent="0.35">
      <c r="A853" s="3" t="s">
        <v>1366</v>
      </c>
      <c r="B853" s="4" t="s">
        <v>128</v>
      </c>
      <c r="C853" s="4" t="s">
        <v>129</v>
      </c>
      <c r="D853" s="4" t="s">
        <v>14</v>
      </c>
      <c r="E853" s="7">
        <v>42550</v>
      </c>
      <c r="F853" s="4" t="s">
        <v>62</v>
      </c>
      <c r="G853" s="4" t="s">
        <v>527</v>
      </c>
      <c r="H853" s="4">
        <v>1000</v>
      </c>
      <c r="I853" s="4">
        <v>940</v>
      </c>
      <c r="J853" s="5">
        <v>0.06</v>
      </c>
      <c r="K853" s="3">
        <v>8</v>
      </c>
      <c r="L853" s="4">
        <f>tblSales[[#This Row],[Quantity]]*tblSales[[#This Row],[Actual Price]]</f>
        <v>7520</v>
      </c>
    </row>
    <row r="854" spans="1:12" x14ac:dyDescent="0.35">
      <c r="A854" s="3" t="s">
        <v>1367</v>
      </c>
      <c r="B854" s="4" t="s">
        <v>256</v>
      </c>
      <c r="C854" s="4" t="s">
        <v>257</v>
      </c>
      <c r="D854" s="4" t="s">
        <v>14</v>
      </c>
      <c r="E854" s="7">
        <v>42897</v>
      </c>
      <c r="F854" s="4" t="s">
        <v>37</v>
      </c>
      <c r="G854" s="4" t="s">
        <v>806</v>
      </c>
      <c r="H854" s="4">
        <v>50</v>
      </c>
      <c r="I854" s="4">
        <v>50</v>
      </c>
      <c r="J854" s="5">
        <v>0</v>
      </c>
      <c r="K854" s="3">
        <v>54</v>
      </c>
      <c r="L854" s="4">
        <f>tblSales[[#This Row],[Quantity]]*tblSales[[#This Row],[Actual Price]]</f>
        <v>2700</v>
      </c>
    </row>
    <row r="855" spans="1:12" x14ac:dyDescent="0.35">
      <c r="A855" s="3" t="s">
        <v>1368</v>
      </c>
      <c r="B855" s="4" t="s">
        <v>78</v>
      </c>
      <c r="C855" s="4" t="s">
        <v>79</v>
      </c>
      <c r="D855" s="4" t="s">
        <v>36</v>
      </c>
      <c r="E855" s="7">
        <v>42550</v>
      </c>
      <c r="F855" s="4" t="s">
        <v>37</v>
      </c>
      <c r="G855" s="4" t="s">
        <v>1073</v>
      </c>
      <c r="H855" s="4">
        <v>50</v>
      </c>
      <c r="I855" s="4">
        <v>46</v>
      </c>
      <c r="J855" s="5">
        <v>0.08</v>
      </c>
      <c r="K855" s="3">
        <v>62</v>
      </c>
      <c r="L855" s="4">
        <f>tblSales[[#This Row],[Quantity]]*tblSales[[#This Row],[Actual Price]]</f>
        <v>2852</v>
      </c>
    </row>
    <row r="856" spans="1:12" x14ac:dyDescent="0.35">
      <c r="A856" s="3" t="s">
        <v>1369</v>
      </c>
      <c r="B856" s="4" t="s">
        <v>401</v>
      </c>
      <c r="C856" s="4" t="s">
        <v>402</v>
      </c>
      <c r="D856" s="4" t="s">
        <v>14</v>
      </c>
      <c r="E856" s="7">
        <v>42959</v>
      </c>
      <c r="F856" s="4" t="s">
        <v>26</v>
      </c>
      <c r="G856" s="4" t="s">
        <v>487</v>
      </c>
      <c r="H856" s="4">
        <v>700</v>
      </c>
      <c r="I856" s="4">
        <v>665</v>
      </c>
      <c r="J856" s="5">
        <v>0.05</v>
      </c>
      <c r="K856" s="3">
        <v>9</v>
      </c>
      <c r="L856" s="4">
        <f>tblSales[[#This Row],[Quantity]]*tblSales[[#This Row],[Actual Price]]</f>
        <v>5985</v>
      </c>
    </row>
    <row r="857" spans="1:12" x14ac:dyDescent="0.35">
      <c r="A857" s="3" t="s">
        <v>1370</v>
      </c>
      <c r="B857" s="4" t="s">
        <v>115</v>
      </c>
      <c r="C857" s="4" t="s">
        <v>55</v>
      </c>
      <c r="D857" s="4" t="s">
        <v>14</v>
      </c>
      <c r="E857" s="7">
        <v>41702</v>
      </c>
      <c r="F857" s="4" t="s">
        <v>62</v>
      </c>
      <c r="G857" s="4" t="s">
        <v>1069</v>
      </c>
      <c r="H857" s="4">
        <v>1000</v>
      </c>
      <c r="I857" s="4">
        <v>950</v>
      </c>
      <c r="J857" s="5">
        <v>0.05</v>
      </c>
      <c r="K857" s="3">
        <v>17</v>
      </c>
      <c r="L857" s="4">
        <f>tblSales[[#This Row],[Quantity]]*tblSales[[#This Row],[Actual Price]]</f>
        <v>16150</v>
      </c>
    </row>
    <row r="858" spans="1:12" x14ac:dyDescent="0.35">
      <c r="A858" s="3" t="s">
        <v>1371</v>
      </c>
      <c r="B858" s="4" t="s">
        <v>171</v>
      </c>
      <c r="C858" s="4" t="s">
        <v>172</v>
      </c>
      <c r="D858" s="4" t="s">
        <v>14</v>
      </c>
      <c r="E858" s="7">
        <v>41708</v>
      </c>
      <c r="F858" s="4" t="s">
        <v>31</v>
      </c>
      <c r="G858" s="4" t="s">
        <v>942</v>
      </c>
      <c r="H858" s="4">
        <v>150</v>
      </c>
      <c r="I858" s="4">
        <v>135</v>
      </c>
      <c r="J858" s="5">
        <v>0.1</v>
      </c>
      <c r="K858" s="3">
        <v>34</v>
      </c>
      <c r="L858" s="4">
        <f>tblSales[[#This Row],[Quantity]]*tblSales[[#This Row],[Actual Price]]</f>
        <v>4590</v>
      </c>
    </row>
    <row r="859" spans="1:12" x14ac:dyDescent="0.35">
      <c r="A859" s="3" t="s">
        <v>1372</v>
      </c>
      <c r="B859" s="4" t="s">
        <v>132</v>
      </c>
      <c r="C859" s="4" t="s">
        <v>109</v>
      </c>
      <c r="D859" s="4" t="s">
        <v>20</v>
      </c>
      <c r="E859" s="7">
        <v>42825</v>
      </c>
      <c r="F859" s="4" t="s">
        <v>42</v>
      </c>
      <c r="G859" s="4" t="s">
        <v>133</v>
      </c>
      <c r="H859" s="4">
        <v>30</v>
      </c>
      <c r="I859" s="4">
        <v>29</v>
      </c>
      <c r="J859" s="5">
        <v>3.3300000000000003E-2</v>
      </c>
      <c r="K859" s="3">
        <v>32</v>
      </c>
      <c r="L859" s="4">
        <f>tblSales[[#This Row],[Quantity]]*tblSales[[#This Row],[Actual Price]]</f>
        <v>928</v>
      </c>
    </row>
    <row r="860" spans="1:12" x14ac:dyDescent="0.35">
      <c r="A860" s="3" t="s">
        <v>1373</v>
      </c>
      <c r="B860" s="4" t="s">
        <v>256</v>
      </c>
      <c r="C860" s="4" t="s">
        <v>257</v>
      </c>
      <c r="D860" s="4" t="s">
        <v>14</v>
      </c>
      <c r="E860" s="7">
        <v>42944</v>
      </c>
      <c r="F860" s="4" t="s">
        <v>116</v>
      </c>
      <c r="G860" s="4" t="s">
        <v>1374</v>
      </c>
      <c r="H860" s="4">
        <v>250</v>
      </c>
      <c r="I860" s="4">
        <v>243</v>
      </c>
      <c r="J860" s="5">
        <v>2.8000000000000001E-2</v>
      </c>
      <c r="K860" s="3">
        <v>89</v>
      </c>
      <c r="L860" s="4">
        <f>tblSales[[#This Row],[Quantity]]*tblSales[[#This Row],[Actual Price]]</f>
        <v>21627</v>
      </c>
    </row>
    <row r="861" spans="1:12" x14ac:dyDescent="0.35">
      <c r="A861" s="3" t="s">
        <v>1375</v>
      </c>
      <c r="B861" s="4" t="s">
        <v>135</v>
      </c>
      <c r="C861" s="4" t="s">
        <v>93</v>
      </c>
      <c r="D861" s="4" t="s">
        <v>36</v>
      </c>
      <c r="E861" s="7">
        <v>43203</v>
      </c>
      <c r="F861" s="4" t="s">
        <v>42</v>
      </c>
      <c r="G861" s="4" t="s">
        <v>136</v>
      </c>
      <c r="H861" s="4">
        <v>30</v>
      </c>
      <c r="I861" s="4">
        <v>29</v>
      </c>
      <c r="J861" s="5">
        <v>3.3300000000000003E-2</v>
      </c>
      <c r="K861" s="3">
        <v>52</v>
      </c>
      <c r="L861" s="4">
        <f>tblSales[[#This Row],[Quantity]]*tblSales[[#This Row],[Actual Price]]</f>
        <v>1508</v>
      </c>
    </row>
    <row r="862" spans="1:12" x14ac:dyDescent="0.35">
      <c r="A862" s="3" t="s">
        <v>1376</v>
      </c>
      <c r="B862" s="4" t="s">
        <v>125</v>
      </c>
      <c r="C862" s="4" t="s">
        <v>41</v>
      </c>
      <c r="D862" s="4" t="s">
        <v>36</v>
      </c>
      <c r="E862" s="7">
        <v>42353</v>
      </c>
      <c r="F862" s="4" t="s">
        <v>47</v>
      </c>
      <c r="G862" s="4" t="s">
        <v>971</v>
      </c>
      <c r="H862" s="4">
        <v>500</v>
      </c>
      <c r="I862" s="4">
        <v>490</v>
      </c>
      <c r="J862" s="5">
        <v>0.02</v>
      </c>
      <c r="K862" s="3">
        <v>15</v>
      </c>
      <c r="L862" s="4">
        <f>tblSales[[#This Row],[Quantity]]*tblSales[[#This Row],[Actual Price]]</f>
        <v>7350</v>
      </c>
    </row>
    <row r="863" spans="1:12" x14ac:dyDescent="0.35">
      <c r="A863" s="3" t="s">
        <v>1377</v>
      </c>
      <c r="B863" s="4" t="s">
        <v>18</v>
      </c>
      <c r="C863" s="4" t="s">
        <v>19</v>
      </c>
      <c r="D863" s="4" t="s">
        <v>20</v>
      </c>
      <c r="E863" s="7">
        <v>43069</v>
      </c>
      <c r="F863" s="4" t="s">
        <v>26</v>
      </c>
      <c r="G863" s="4" t="s">
        <v>90</v>
      </c>
      <c r="H863" s="4">
        <v>700</v>
      </c>
      <c r="I863" s="4">
        <v>686</v>
      </c>
      <c r="J863" s="5">
        <v>0.02</v>
      </c>
      <c r="K863" s="3">
        <v>26</v>
      </c>
      <c r="L863" s="4">
        <f>tblSales[[#This Row],[Quantity]]*tblSales[[#This Row],[Actual Price]]</f>
        <v>17836</v>
      </c>
    </row>
    <row r="864" spans="1:12" x14ac:dyDescent="0.35">
      <c r="A864" s="3" t="s">
        <v>1378</v>
      </c>
      <c r="B864" s="4" t="s">
        <v>104</v>
      </c>
      <c r="C864" s="4" t="s">
        <v>72</v>
      </c>
      <c r="D864" s="4" t="s">
        <v>36</v>
      </c>
      <c r="E864" s="7">
        <v>42873</v>
      </c>
      <c r="F864" s="4" t="s">
        <v>15</v>
      </c>
      <c r="G864" s="4" t="s">
        <v>604</v>
      </c>
      <c r="H864" s="4">
        <v>80</v>
      </c>
      <c r="I864" s="4">
        <v>75</v>
      </c>
      <c r="J864" s="5">
        <v>6.25E-2</v>
      </c>
      <c r="K864" s="3">
        <v>54</v>
      </c>
      <c r="L864" s="4">
        <f>tblSales[[#This Row],[Quantity]]*tblSales[[#This Row],[Actual Price]]</f>
        <v>4050</v>
      </c>
    </row>
    <row r="865" spans="1:12" x14ac:dyDescent="0.35">
      <c r="A865" s="3" t="s">
        <v>1379</v>
      </c>
      <c r="B865" s="4" t="s">
        <v>71</v>
      </c>
      <c r="C865" s="4" t="s">
        <v>72</v>
      </c>
      <c r="D865" s="4" t="s">
        <v>36</v>
      </c>
      <c r="E865" s="7">
        <v>43230</v>
      </c>
      <c r="F865" s="4" t="s">
        <v>116</v>
      </c>
      <c r="G865" s="4" t="s">
        <v>671</v>
      </c>
      <c r="H865" s="4">
        <v>250</v>
      </c>
      <c r="I865" s="4">
        <v>223</v>
      </c>
      <c r="J865" s="5">
        <v>0.108</v>
      </c>
      <c r="K865" s="3">
        <v>49</v>
      </c>
      <c r="L865" s="4">
        <f>tblSales[[#This Row],[Quantity]]*tblSales[[#This Row],[Actual Price]]</f>
        <v>10927</v>
      </c>
    </row>
    <row r="866" spans="1:12" x14ac:dyDescent="0.35">
      <c r="A866" s="3" t="s">
        <v>1380</v>
      </c>
      <c r="B866" s="4" t="s">
        <v>115</v>
      </c>
      <c r="C866" s="4" t="s">
        <v>55</v>
      </c>
      <c r="D866" s="4" t="s">
        <v>14</v>
      </c>
      <c r="E866" s="7">
        <v>42466</v>
      </c>
      <c r="F866" s="4" t="s">
        <v>47</v>
      </c>
      <c r="G866" s="4" t="s">
        <v>1069</v>
      </c>
      <c r="H866" s="4">
        <v>500</v>
      </c>
      <c r="I866" s="4">
        <v>480</v>
      </c>
      <c r="J866" s="5">
        <v>0.04</v>
      </c>
      <c r="K866" s="3">
        <v>27</v>
      </c>
      <c r="L866" s="4">
        <f>tblSales[[#This Row],[Quantity]]*tblSales[[#This Row],[Actual Price]]</f>
        <v>12960</v>
      </c>
    </row>
    <row r="867" spans="1:12" x14ac:dyDescent="0.35">
      <c r="A867" s="3" t="s">
        <v>1381</v>
      </c>
      <c r="B867" s="4" t="s">
        <v>92</v>
      </c>
      <c r="C867" s="4" t="s">
        <v>93</v>
      </c>
      <c r="D867" s="4" t="s">
        <v>36</v>
      </c>
      <c r="E867" s="7">
        <v>42836</v>
      </c>
      <c r="F867" s="4" t="s">
        <v>123</v>
      </c>
      <c r="G867" s="4" t="s">
        <v>94</v>
      </c>
      <c r="H867" s="4">
        <v>50</v>
      </c>
      <c r="I867" s="4">
        <v>50</v>
      </c>
      <c r="J867" s="5">
        <v>0</v>
      </c>
      <c r="K867" s="3">
        <v>43</v>
      </c>
      <c r="L867" s="4">
        <f>tblSales[[#This Row],[Quantity]]*tblSales[[#This Row],[Actual Price]]</f>
        <v>2150</v>
      </c>
    </row>
    <row r="868" spans="1:12" x14ac:dyDescent="0.35">
      <c r="A868" s="3" t="s">
        <v>1382</v>
      </c>
      <c r="B868" s="4" t="s">
        <v>125</v>
      </c>
      <c r="C868" s="4" t="s">
        <v>41</v>
      </c>
      <c r="D868" s="4" t="s">
        <v>36</v>
      </c>
      <c r="E868" s="7">
        <v>41899</v>
      </c>
      <c r="F868" s="4" t="s">
        <v>37</v>
      </c>
      <c r="G868" s="4" t="s">
        <v>864</v>
      </c>
      <c r="H868" s="4">
        <v>50</v>
      </c>
      <c r="I868" s="4">
        <v>42</v>
      </c>
      <c r="J868" s="5">
        <v>0.16</v>
      </c>
      <c r="K868" s="3">
        <v>35</v>
      </c>
      <c r="L868" s="4">
        <f>tblSales[[#This Row],[Quantity]]*tblSales[[#This Row],[Actual Price]]</f>
        <v>1470</v>
      </c>
    </row>
    <row r="869" spans="1:12" x14ac:dyDescent="0.35">
      <c r="A869" s="3" t="s">
        <v>1383</v>
      </c>
      <c r="B869" s="4" t="s">
        <v>18</v>
      </c>
      <c r="C869" s="4" t="s">
        <v>19</v>
      </c>
      <c r="D869" s="4" t="s">
        <v>20</v>
      </c>
      <c r="E869" s="7">
        <v>41658</v>
      </c>
      <c r="F869" s="4" t="s">
        <v>42</v>
      </c>
      <c r="G869" s="4" t="s">
        <v>494</v>
      </c>
      <c r="H869" s="4">
        <v>30</v>
      </c>
      <c r="I869" s="4">
        <v>21</v>
      </c>
      <c r="J869" s="5">
        <v>0.3</v>
      </c>
      <c r="K869" s="3">
        <v>42</v>
      </c>
      <c r="L869" s="4">
        <f>tblSales[[#This Row],[Quantity]]*tblSales[[#This Row],[Actual Price]]</f>
        <v>882</v>
      </c>
    </row>
    <row r="870" spans="1:12" x14ac:dyDescent="0.35">
      <c r="A870" s="3" t="s">
        <v>1384</v>
      </c>
      <c r="B870" s="4" t="s">
        <v>183</v>
      </c>
      <c r="C870" s="4" t="s">
        <v>109</v>
      </c>
      <c r="D870" s="4" t="s">
        <v>20</v>
      </c>
      <c r="E870" s="7">
        <v>42945</v>
      </c>
      <c r="F870" s="4" t="s">
        <v>73</v>
      </c>
      <c r="G870" s="4" t="s">
        <v>204</v>
      </c>
      <c r="H870" s="4">
        <v>500</v>
      </c>
      <c r="I870" s="4">
        <v>500</v>
      </c>
      <c r="J870" s="5">
        <v>0</v>
      </c>
      <c r="K870" s="3">
        <v>3</v>
      </c>
      <c r="L870" s="4">
        <f>tblSales[[#This Row],[Quantity]]*tblSales[[#This Row],[Actual Price]]</f>
        <v>1500</v>
      </c>
    </row>
    <row r="871" spans="1:12" x14ac:dyDescent="0.35">
      <c r="A871" s="3" t="s">
        <v>1385</v>
      </c>
      <c r="B871" s="4" t="s">
        <v>183</v>
      </c>
      <c r="C871" s="4" t="s">
        <v>109</v>
      </c>
      <c r="D871" s="4" t="s">
        <v>20</v>
      </c>
      <c r="E871" s="7">
        <v>43087</v>
      </c>
      <c r="F871" s="4" t="s">
        <v>56</v>
      </c>
      <c r="G871" s="4" t="s">
        <v>506</v>
      </c>
      <c r="H871" s="4">
        <v>800</v>
      </c>
      <c r="I871" s="4">
        <v>632</v>
      </c>
      <c r="J871" s="5">
        <v>0.21</v>
      </c>
      <c r="K871" s="3">
        <v>74</v>
      </c>
      <c r="L871" s="4">
        <f>tblSales[[#This Row],[Quantity]]*tblSales[[#This Row],[Actual Price]]</f>
        <v>46768</v>
      </c>
    </row>
    <row r="872" spans="1:12" x14ac:dyDescent="0.35">
      <c r="A872" s="3" t="s">
        <v>1386</v>
      </c>
      <c r="B872" s="4" t="s">
        <v>135</v>
      </c>
      <c r="C872" s="4" t="s">
        <v>93</v>
      </c>
      <c r="D872" s="4" t="s">
        <v>36</v>
      </c>
      <c r="E872" s="7">
        <v>42792</v>
      </c>
      <c r="F872" s="4" t="s">
        <v>123</v>
      </c>
      <c r="G872" s="4" t="s">
        <v>679</v>
      </c>
      <c r="H872" s="4">
        <v>50</v>
      </c>
      <c r="I872" s="4">
        <v>46</v>
      </c>
      <c r="J872" s="5">
        <v>0.08</v>
      </c>
      <c r="K872" s="3">
        <v>11</v>
      </c>
      <c r="L872" s="4">
        <f>tblSales[[#This Row],[Quantity]]*tblSales[[#This Row],[Actual Price]]</f>
        <v>506</v>
      </c>
    </row>
    <row r="873" spans="1:12" x14ac:dyDescent="0.35">
      <c r="A873" s="3" t="s">
        <v>1387</v>
      </c>
      <c r="B873" s="4" t="s">
        <v>125</v>
      </c>
      <c r="C873" s="4" t="s">
        <v>41</v>
      </c>
      <c r="D873" s="4" t="s">
        <v>36</v>
      </c>
      <c r="E873" s="7">
        <v>43024</v>
      </c>
      <c r="F873" s="4" t="s">
        <v>37</v>
      </c>
      <c r="G873" s="4" t="s">
        <v>126</v>
      </c>
      <c r="H873" s="4">
        <v>50</v>
      </c>
      <c r="I873" s="4">
        <v>48</v>
      </c>
      <c r="J873" s="5">
        <v>0.04</v>
      </c>
      <c r="K873" s="3">
        <v>91</v>
      </c>
      <c r="L873" s="4">
        <f>tblSales[[#This Row],[Quantity]]*tblSales[[#This Row],[Actual Price]]</f>
        <v>4368</v>
      </c>
    </row>
    <row r="874" spans="1:12" x14ac:dyDescent="0.35">
      <c r="A874" s="3" t="s">
        <v>1388</v>
      </c>
      <c r="B874" s="4" t="s">
        <v>155</v>
      </c>
      <c r="C874" s="4" t="s">
        <v>109</v>
      </c>
      <c r="D874" s="4" t="s">
        <v>20</v>
      </c>
      <c r="E874" s="7">
        <v>42240</v>
      </c>
      <c r="F874" s="4" t="s">
        <v>56</v>
      </c>
      <c r="G874" s="4" t="s">
        <v>156</v>
      </c>
      <c r="H874" s="4">
        <v>800</v>
      </c>
      <c r="I874" s="4">
        <v>528</v>
      </c>
      <c r="J874" s="5">
        <v>0.34</v>
      </c>
      <c r="K874" s="3">
        <v>86</v>
      </c>
      <c r="L874" s="4">
        <f>tblSales[[#This Row],[Quantity]]*tblSales[[#This Row],[Actual Price]]</f>
        <v>45408</v>
      </c>
    </row>
    <row r="875" spans="1:12" x14ac:dyDescent="0.35">
      <c r="A875" s="3" t="s">
        <v>1389</v>
      </c>
      <c r="B875" s="4" t="s">
        <v>188</v>
      </c>
      <c r="C875" s="4" t="s">
        <v>189</v>
      </c>
      <c r="D875" s="4" t="s">
        <v>14</v>
      </c>
      <c r="E875" s="7">
        <v>42378</v>
      </c>
      <c r="F875" s="4" t="s">
        <v>123</v>
      </c>
      <c r="G875" s="4" t="s">
        <v>1151</v>
      </c>
      <c r="H875" s="4">
        <v>50</v>
      </c>
      <c r="I875" s="4">
        <v>47</v>
      </c>
      <c r="J875" s="5">
        <v>0.06</v>
      </c>
      <c r="K875" s="3">
        <v>28</v>
      </c>
      <c r="L875" s="4">
        <f>tblSales[[#This Row],[Quantity]]*tblSales[[#This Row],[Actual Price]]</f>
        <v>1316</v>
      </c>
    </row>
    <row r="876" spans="1:12" x14ac:dyDescent="0.35">
      <c r="A876" s="3" t="s">
        <v>1390</v>
      </c>
      <c r="B876" s="4" t="s">
        <v>222</v>
      </c>
      <c r="C876" s="4" t="s">
        <v>41</v>
      </c>
      <c r="D876" s="4" t="s">
        <v>36</v>
      </c>
      <c r="E876" s="7">
        <v>42393</v>
      </c>
      <c r="F876" s="4" t="s">
        <v>31</v>
      </c>
      <c r="G876" s="4" t="s">
        <v>1180</v>
      </c>
      <c r="H876" s="4">
        <v>150</v>
      </c>
      <c r="I876" s="4">
        <v>129</v>
      </c>
      <c r="J876" s="5">
        <v>0.14000000000000001</v>
      </c>
      <c r="K876" s="3">
        <v>90</v>
      </c>
      <c r="L876" s="4">
        <f>tblSales[[#This Row],[Quantity]]*tblSales[[#This Row],[Actual Price]]</f>
        <v>11610</v>
      </c>
    </row>
    <row r="877" spans="1:12" x14ac:dyDescent="0.35">
      <c r="A877" s="3" t="s">
        <v>1391</v>
      </c>
      <c r="B877" s="4" t="s">
        <v>228</v>
      </c>
      <c r="C877" s="4" t="s">
        <v>229</v>
      </c>
      <c r="D877" s="4" t="s">
        <v>25</v>
      </c>
      <c r="E877" s="7">
        <v>41967</v>
      </c>
      <c r="F877" s="4" t="s">
        <v>26</v>
      </c>
      <c r="G877" s="4" t="s">
        <v>230</v>
      </c>
      <c r="H877" s="4">
        <v>700</v>
      </c>
      <c r="I877" s="4">
        <v>581</v>
      </c>
      <c r="J877" s="5">
        <v>0.17</v>
      </c>
      <c r="K877" s="3">
        <v>44</v>
      </c>
      <c r="L877" s="4">
        <f>tblSales[[#This Row],[Quantity]]*tblSales[[#This Row],[Actual Price]]</f>
        <v>25564</v>
      </c>
    </row>
    <row r="878" spans="1:12" x14ac:dyDescent="0.35">
      <c r="A878" s="3" t="s">
        <v>1392</v>
      </c>
      <c r="B878" s="4" t="s">
        <v>222</v>
      </c>
      <c r="C878" s="4" t="s">
        <v>41</v>
      </c>
      <c r="D878" s="4" t="s">
        <v>36</v>
      </c>
      <c r="E878" s="7">
        <v>41652</v>
      </c>
      <c r="F878" s="4" t="s">
        <v>42</v>
      </c>
      <c r="G878" s="4" t="s">
        <v>261</v>
      </c>
      <c r="H878" s="4">
        <v>30</v>
      </c>
      <c r="I878" s="4">
        <v>27</v>
      </c>
      <c r="J878" s="5">
        <v>0.1</v>
      </c>
      <c r="K878" s="3">
        <v>29</v>
      </c>
      <c r="L878" s="4">
        <f>tblSales[[#This Row],[Quantity]]*tblSales[[#This Row],[Actual Price]]</f>
        <v>783</v>
      </c>
    </row>
    <row r="879" spans="1:12" x14ac:dyDescent="0.35">
      <c r="A879" s="3" t="s">
        <v>1393</v>
      </c>
      <c r="B879" s="4" t="s">
        <v>135</v>
      </c>
      <c r="C879" s="4" t="s">
        <v>93</v>
      </c>
      <c r="D879" s="4" t="s">
        <v>36</v>
      </c>
      <c r="E879" s="7">
        <v>42688</v>
      </c>
      <c r="F879" s="4" t="s">
        <v>15</v>
      </c>
      <c r="G879" s="4" t="s">
        <v>1063</v>
      </c>
      <c r="H879" s="4">
        <v>80</v>
      </c>
      <c r="I879" s="4">
        <v>75</v>
      </c>
      <c r="J879" s="5">
        <v>6.25E-2</v>
      </c>
      <c r="K879" s="3">
        <v>29</v>
      </c>
      <c r="L879" s="4">
        <f>tblSales[[#This Row],[Quantity]]*tblSales[[#This Row],[Actual Price]]</f>
        <v>2175</v>
      </c>
    </row>
    <row r="880" spans="1:12" x14ac:dyDescent="0.35">
      <c r="A880" s="3" t="s">
        <v>1394</v>
      </c>
      <c r="B880" s="4" t="s">
        <v>135</v>
      </c>
      <c r="C880" s="4" t="s">
        <v>93</v>
      </c>
      <c r="D880" s="4" t="s">
        <v>36</v>
      </c>
      <c r="E880" s="7">
        <v>43023</v>
      </c>
      <c r="F880" s="4" t="s">
        <v>56</v>
      </c>
      <c r="G880" s="4" t="s">
        <v>850</v>
      </c>
      <c r="H880" s="4">
        <v>800</v>
      </c>
      <c r="I880" s="4">
        <v>736</v>
      </c>
      <c r="J880" s="5">
        <v>0.08</v>
      </c>
      <c r="K880" s="3">
        <v>67</v>
      </c>
      <c r="L880" s="4">
        <f>tblSales[[#This Row],[Quantity]]*tblSales[[#This Row],[Actual Price]]</f>
        <v>49312</v>
      </c>
    </row>
    <row r="881" spans="1:12" x14ac:dyDescent="0.35">
      <c r="A881" s="3" t="s">
        <v>1395</v>
      </c>
      <c r="B881" s="4" t="s">
        <v>119</v>
      </c>
      <c r="C881" s="4" t="s">
        <v>120</v>
      </c>
      <c r="D881" s="4" t="s">
        <v>36</v>
      </c>
      <c r="E881" s="7">
        <v>42825</v>
      </c>
      <c r="F881" s="4" t="s">
        <v>62</v>
      </c>
      <c r="G881" s="4" t="s">
        <v>910</v>
      </c>
      <c r="H881" s="4">
        <v>1000</v>
      </c>
      <c r="I881" s="4">
        <v>880</v>
      </c>
      <c r="J881" s="5">
        <v>0.12</v>
      </c>
      <c r="K881" s="3">
        <v>33</v>
      </c>
      <c r="L881" s="4">
        <f>tblSales[[#This Row],[Quantity]]*tblSales[[#This Row],[Actual Price]]</f>
        <v>29040</v>
      </c>
    </row>
    <row r="882" spans="1:12" x14ac:dyDescent="0.35">
      <c r="A882" s="3" t="s">
        <v>1396</v>
      </c>
      <c r="B882" s="4" t="s">
        <v>86</v>
      </c>
      <c r="C882" s="4" t="s">
        <v>87</v>
      </c>
      <c r="D882" s="4" t="s">
        <v>14</v>
      </c>
      <c r="E882" s="7">
        <v>41873</v>
      </c>
      <c r="F882" s="4" t="s">
        <v>37</v>
      </c>
      <c r="G882" s="4" t="s">
        <v>517</v>
      </c>
      <c r="H882" s="4">
        <v>50</v>
      </c>
      <c r="I882" s="4">
        <v>48</v>
      </c>
      <c r="J882" s="5">
        <v>0.04</v>
      </c>
      <c r="K882" s="3">
        <v>78</v>
      </c>
      <c r="L882" s="4">
        <f>tblSales[[#This Row],[Quantity]]*tblSales[[#This Row],[Actual Price]]</f>
        <v>3744</v>
      </c>
    </row>
    <row r="883" spans="1:12" x14ac:dyDescent="0.35">
      <c r="A883" s="3" t="s">
        <v>1397</v>
      </c>
      <c r="B883" s="4" t="s">
        <v>225</v>
      </c>
      <c r="C883" s="4" t="s">
        <v>51</v>
      </c>
      <c r="D883" s="4" t="s">
        <v>25</v>
      </c>
      <c r="E883" s="7">
        <v>42628</v>
      </c>
      <c r="F883" s="4" t="s">
        <v>123</v>
      </c>
      <c r="G883" s="4" t="s">
        <v>226</v>
      </c>
      <c r="H883" s="4">
        <v>50</v>
      </c>
      <c r="I883" s="4">
        <v>49</v>
      </c>
      <c r="J883" s="5">
        <v>0.02</v>
      </c>
      <c r="K883" s="3">
        <v>65</v>
      </c>
      <c r="L883" s="4">
        <f>tblSales[[#This Row],[Quantity]]*tblSales[[#This Row],[Actual Price]]</f>
        <v>3185</v>
      </c>
    </row>
    <row r="884" spans="1:12" x14ac:dyDescent="0.35">
      <c r="A884" s="3" t="s">
        <v>1398</v>
      </c>
      <c r="B884" s="4" t="s">
        <v>45</v>
      </c>
      <c r="C884" s="4" t="s">
        <v>46</v>
      </c>
      <c r="D884" s="4" t="s">
        <v>25</v>
      </c>
      <c r="E884" s="7">
        <v>41737</v>
      </c>
      <c r="F884" s="4" t="s">
        <v>42</v>
      </c>
      <c r="G884" s="4" t="s">
        <v>322</v>
      </c>
      <c r="H884" s="4">
        <v>30</v>
      </c>
      <c r="I884" s="4">
        <v>27</v>
      </c>
      <c r="J884" s="5">
        <v>0.1</v>
      </c>
      <c r="K884" s="3">
        <v>68</v>
      </c>
      <c r="L884" s="4">
        <f>tblSales[[#This Row],[Quantity]]*tblSales[[#This Row],[Actual Price]]</f>
        <v>1836</v>
      </c>
    </row>
    <row r="885" spans="1:12" x14ac:dyDescent="0.35">
      <c r="A885" s="3" t="s">
        <v>1399</v>
      </c>
      <c r="B885" s="4" t="s">
        <v>82</v>
      </c>
      <c r="C885" s="4" t="s">
        <v>83</v>
      </c>
      <c r="D885" s="4" t="s">
        <v>14</v>
      </c>
      <c r="E885" s="7">
        <v>43423</v>
      </c>
      <c r="F885" s="4" t="s">
        <v>62</v>
      </c>
      <c r="G885" s="4" t="s">
        <v>196</v>
      </c>
      <c r="H885" s="4">
        <v>1000</v>
      </c>
      <c r="I885" s="4">
        <v>850</v>
      </c>
      <c r="J885" s="5">
        <v>0.15</v>
      </c>
      <c r="K885" s="3">
        <v>93</v>
      </c>
      <c r="L885" s="4">
        <f>tblSales[[#This Row],[Quantity]]*tblSales[[#This Row],[Actual Price]]</f>
        <v>79050</v>
      </c>
    </row>
    <row r="886" spans="1:12" x14ac:dyDescent="0.35">
      <c r="A886" s="3" t="s">
        <v>1400</v>
      </c>
      <c r="B886" s="4" t="s">
        <v>228</v>
      </c>
      <c r="C886" s="4" t="s">
        <v>229</v>
      </c>
      <c r="D886" s="4" t="s">
        <v>25</v>
      </c>
      <c r="E886" s="7">
        <v>42855</v>
      </c>
      <c r="F886" s="4" t="s">
        <v>62</v>
      </c>
      <c r="G886" s="4" t="s">
        <v>1401</v>
      </c>
      <c r="H886" s="4">
        <v>1000</v>
      </c>
      <c r="I886" s="4">
        <v>560</v>
      </c>
      <c r="J886" s="5">
        <v>0.44</v>
      </c>
      <c r="K886" s="3">
        <v>2</v>
      </c>
      <c r="L886" s="4">
        <f>tblSales[[#This Row],[Quantity]]*tblSales[[#This Row],[Actual Price]]</f>
        <v>1120</v>
      </c>
    </row>
    <row r="887" spans="1:12" x14ac:dyDescent="0.35">
      <c r="A887" s="3" t="s">
        <v>1402</v>
      </c>
      <c r="B887" s="4" t="s">
        <v>104</v>
      </c>
      <c r="C887" s="4" t="s">
        <v>72</v>
      </c>
      <c r="D887" s="4" t="s">
        <v>36</v>
      </c>
      <c r="E887" s="7">
        <v>41780</v>
      </c>
      <c r="F887" s="4" t="s">
        <v>42</v>
      </c>
      <c r="G887" s="4" t="s">
        <v>604</v>
      </c>
      <c r="H887" s="4">
        <v>30</v>
      </c>
      <c r="I887" s="4">
        <v>25</v>
      </c>
      <c r="J887" s="5">
        <v>0.16669999999999999</v>
      </c>
      <c r="K887" s="3">
        <v>98</v>
      </c>
      <c r="L887" s="4">
        <f>tblSales[[#This Row],[Quantity]]*tblSales[[#This Row],[Actual Price]]</f>
        <v>2450</v>
      </c>
    </row>
    <row r="888" spans="1:12" x14ac:dyDescent="0.35">
      <c r="A888" s="3" t="s">
        <v>1403</v>
      </c>
      <c r="B888" s="4" t="s">
        <v>92</v>
      </c>
      <c r="C888" s="4" t="s">
        <v>93</v>
      </c>
      <c r="D888" s="4" t="s">
        <v>36</v>
      </c>
      <c r="E888" s="7">
        <v>42445</v>
      </c>
      <c r="F888" s="4" t="s">
        <v>37</v>
      </c>
      <c r="G888" s="4" t="s">
        <v>1404</v>
      </c>
      <c r="H888" s="4">
        <v>50</v>
      </c>
      <c r="I888" s="4">
        <v>46</v>
      </c>
      <c r="J888" s="5">
        <v>0.08</v>
      </c>
      <c r="K888" s="3">
        <v>8</v>
      </c>
      <c r="L888" s="4">
        <f>tblSales[[#This Row],[Quantity]]*tblSales[[#This Row],[Actual Price]]</f>
        <v>368</v>
      </c>
    </row>
    <row r="889" spans="1:12" x14ac:dyDescent="0.35">
      <c r="A889" s="3" t="s">
        <v>1405</v>
      </c>
      <c r="B889" s="4" t="s">
        <v>225</v>
      </c>
      <c r="C889" s="4" t="s">
        <v>51</v>
      </c>
      <c r="D889" s="4" t="s">
        <v>25</v>
      </c>
      <c r="E889" s="7">
        <v>42006</v>
      </c>
      <c r="F889" s="4" t="s">
        <v>47</v>
      </c>
      <c r="G889" s="4" t="s">
        <v>1406</v>
      </c>
      <c r="H889" s="4">
        <v>500</v>
      </c>
      <c r="I889" s="4">
        <v>305</v>
      </c>
      <c r="J889" s="5">
        <v>0.39</v>
      </c>
      <c r="K889" s="3">
        <v>55</v>
      </c>
      <c r="L889" s="4">
        <f>tblSales[[#This Row],[Quantity]]*tblSales[[#This Row],[Actual Price]]</f>
        <v>16775</v>
      </c>
    </row>
    <row r="890" spans="1:12" x14ac:dyDescent="0.35">
      <c r="A890" s="3" t="s">
        <v>1407</v>
      </c>
      <c r="B890" s="4" t="s">
        <v>271</v>
      </c>
      <c r="C890" s="4" t="s">
        <v>272</v>
      </c>
      <c r="D890" s="4" t="s">
        <v>36</v>
      </c>
      <c r="E890" s="7">
        <v>43169</v>
      </c>
      <c r="F890" s="4" t="s">
        <v>123</v>
      </c>
      <c r="G890" s="4" t="s">
        <v>273</v>
      </c>
      <c r="H890" s="4">
        <v>50</v>
      </c>
      <c r="I890" s="4">
        <v>48</v>
      </c>
      <c r="J890" s="5">
        <v>0.04</v>
      </c>
      <c r="K890" s="3">
        <v>7</v>
      </c>
      <c r="L890" s="4">
        <f>tblSales[[#This Row],[Quantity]]*tblSales[[#This Row],[Actual Price]]</f>
        <v>336</v>
      </c>
    </row>
    <row r="891" spans="1:12" x14ac:dyDescent="0.35">
      <c r="A891" s="3" t="s">
        <v>1408</v>
      </c>
      <c r="B891" s="4" t="s">
        <v>96</v>
      </c>
      <c r="C891" s="4" t="s">
        <v>97</v>
      </c>
      <c r="D891" s="4" t="s">
        <v>14</v>
      </c>
      <c r="E891" s="7">
        <v>43150</v>
      </c>
      <c r="F891" s="4" t="s">
        <v>47</v>
      </c>
      <c r="G891" s="4" t="s">
        <v>1409</v>
      </c>
      <c r="H891" s="4">
        <v>500</v>
      </c>
      <c r="I891" s="4">
        <v>435</v>
      </c>
      <c r="J891" s="5">
        <v>0.13</v>
      </c>
      <c r="K891" s="3">
        <v>93</v>
      </c>
      <c r="L891" s="4">
        <f>tblSales[[#This Row],[Quantity]]*tblSales[[#This Row],[Actual Price]]</f>
        <v>40455</v>
      </c>
    </row>
    <row r="892" spans="1:12" x14ac:dyDescent="0.35">
      <c r="A892" s="3" t="s">
        <v>1410</v>
      </c>
      <c r="B892" s="4" t="s">
        <v>29</v>
      </c>
      <c r="C892" s="4" t="s">
        <v>30</v>
      </c>
      <c r="D892" s="4" t="s">
        <v>14</v>
      </c>
      <c r="E892" s="7">
        <v>43114</v>
      </c>
      <c r="F892" s="4" t="s">
        <v>73</v>
      </c>
      <c r="G892" s="4" t="s">
        <v>250</v>
      </c>
      <c r="H892" s="4">
        <v>500</v>
      </c>
      <c r="I892" s="4">
        <v>500</v>
      </c>
      <c r="J892" s="5">
        <v>0</v>
      </c>
      <c r="K892" s="3">
        <v>80</v>
      </c>
      <c r="L892" s="4">
        <f>tblSales[[#This Row],[Quantity]]*tblSales[[#This Row],[Actual Price]]</f>
        <v>40000</v>
      </c>
    </row>
    <row r="893" spans="1:12" x14ac:dyDescent="0.35">
      <c r="A893" s="3" t="s">
        <v>1411</v>
      </c>
      <c r="B893" s="4" t="s">
        <v>155</v>
      </c>
      <c r="C893" s="4" t="s">
        <v>109</v>
      </c>
      <c r="D893" s="4" t="s">
        <v>20</v>
      </c>
      <c r="E893" s="7">
        <v>42636</v>
      </c>
      <c r="F893" s="4" t="s">
        <v>105</v>
      </c>
      <c r="G893" s="4" t="s">
        <v>1412</v>
      </c>
      <c r="H893" s="4">
        <v>70</v>
      </c>
      <c r="I893" s="4">
        <v>66</v>
      </c>
      <c r="J893" s="5">
        <v>5.7099999999999998E-2</v>
      </c>
      <c r="K893" s="3">
        <v>83</v>
      </c>
      <c r="L893" s="4">
        <f>tblSales[[#This Row],[Quantity]]*tblSales[[#This Row],[Actual Price]]</f>
        <v>5478</v>
      </c>
    </row>
    <row r="894" spans="1:12" x14ac:dyDescent="0.35">
      <c r="A894" s="3" t="s">
        <v>1413</v>
      </c>
      <c r="B894" s="4" t="s">
        <v>34</v>
      </c>
      <c r="C894" s="4" t="s">
        <v>35</v>
      </c>
      <c r="D894" s="4" t="s">
        <v>36</v>
      </c>
      <c r="E894" s="7">
        <v>42834</v>
      </c>
      <c r="F894" s="4" t="s">
        <v>105</v>
      </c>
      <c r="G894" s="4" t="s">
        <v>161</v>
      </c>
      <c r="H894" s="4">
        <v>70</v>
      </c>
      <c r="I894" s="4">
        <v>70</v>
      </c>
      <c r="J894" s="5">
        <v>0</v>
      </c>
      <c r="K894" s="3">
        <v>6</v>
      </c>
      <c r="L894" s="4">
        <f>tblSales[[#This Row],[Quantity]]*tblSales[[#This Row],[Actual Price]]</f>
        <v>420</v>
      </c>
    </row>
    <row r="895" spans="1:12" x14ac:dyDescent="0.35">
      <c r="A895" s="3" t="s">
        <v>1414</v>
      </c>
      <c r="B895" s="4" t="s">
        <v>71</v>
      </c>
      <c r="C895" s="4" t="s">
        <v>72</v>
      </c>
      <c r="D895" s="4" t="s">
        <v>36</v>
      </c>
      <c r="E895" s="7">
        <v>42721</v>
      </c>
      <c r="F895" s="4" t="s">
        <v>15</v>
      </c>
      <c r="G895" s="4" t="s">
        <v>1415</v>
      </c>
      <c r="H895" s="4">
        <v>80</v>
      </c>
      <c r="I895" s="4">
        <v>79</v>
      </c>
      <c r="J895" s="5">
        <v>1.2500000000000001E-2</v>
      </c>
      <c r="K895" s="3">
        <v>94</v>
      </c>
      <c r="L895" s="4">
        <f>tblSales[[#This Row],[Quantity]]*tblSales[[#This Row],[Actual Price]]</f>
        <v>7426</v>
      </c>
    </row>
    <row r="896" spans="1:12" x14ac:dyDescent="0.35">
      <c r="A896" s="3" t="s">
        <v>1416</v>
      </c>
      <c r="B896" s="4" t="s">
        <v>147</v>
      </c>
      <c r="C896" s="4" t="s">
        <v>148</v>
      </c>
      <c r="D896" s="4" t="s">
        <v>14</v>
      </c>
      <c r="E896" s="7">
        <v>42769</v>
      </c>
      <c r="F896" s="4" t="s">
        <v>42</v>
      </c>
      <c r="G896" s="4" t="s">
        <v>149</v>
      </c>
      <c r="H896" s="4">
        <v>30</v>
      </c>
      <c r="I896" s="4">
        <v>28</v>
      </c>
      <c r="J896" s="5">
        <v>6.6699999999999995E-2</v>
      </c>
      <c r="K896" s="3">
        <v>17</v>
      </c>
      <c r="L896" s="4">
        <f>tblSales[[#This Row],[Quantity]]*tblSales[[#This Row],[Actual Price]]</f>
        <v>476</v>
      </c>
    </row>
    <row r="897" spans="1:12" x14ac:dyDescent="0.35">
      <c r="A897" s="3" t="s">
        <v>1417</v>
      </c>
      <c r="B897" s="4" t="s">
        <v>147</v>
      </c>
      <c r="C897" s="4" t="s">
        <v>148</v>
      </c>
      <c r="D897" s="4" t="s">
        <v>14</v>
      </c>
      <c r="E897" s="7">
        <v>41905</v>
      </c>
      <c r="F897" s="4" t="s">
        <v>47</v>
      </c>
      <c r="G897" s="4" t="s">
        <v>1034</v>
      </c>
      <c r="H897" s="4">
        <v>500</v>
      </c>
      <c r="I897" s="4">
        <v>485</v>
      </c>
      <c r="J897" s="5">
        <v>0.03</v>
      </c>
      <c r="K897" s="3">
        <v>51</v>
      </c>
      <c r="L897" s="4">
        <f>tblSales[[#This Row],[Quantity]]*tblSales[[#This Row],[Actual Price]]</f>
        <v>24735</v>
      </c>
    </row>
    <row r="898" spans="1:12" x14ac:dyDescent="0.35">
      <c r="A898" s="3" t="s">
        <v>1418</v>
      </c>
      <c r="B898" s="4" t="s">
        <v>242</v>
      </c>
      <c r="C898" s="4" t="s">
        <v>243</v>
      </c>
      <c r="D898" s="4" t="s">
        <v>14</v>
      </c>
      <c r="E898" s="7">
        <v>42413</v>
      </c>
      <c r="F898" s="4" t="s">
        <v>105</v>
      </c>
      <c r="G898" s="4" t="s">
        <v>780</v>
      </c>
      <c r="H898" s="4">
        <v>70</v>
      </c>
      <c r="I898" s="4">
        <v>67</v>
      </c>
      <c r="J898" s="5">
        <v>4.2900000000000001E-2</v>
      </c>
      <c r="K898" s="3">
        <v>58</v>
      </c>
      <c r="L898" s="4">
        <f>tblSales[[#This Row],[Quantity]]*tblSales[[#This Row],[Actual Price]]</f>
        <v>3886</v>
      </c>
    </row>
    <row r="899" spans="1:12" x14ac:dyDescent="0.35">
      <c r="A899" s="3" t="s">
        <v>1419</v>
      </c>
      <c r="B899" s="4" t="s">
        <v>188</v>
      </c>
      <c r="C899" s="4" t="s">
        <v>189</v>
      </c>
      <c r="D899" s="4" t="s">
        <v>14</v>
      </c>
      <c r="E899" s="7">
        <v>42864</v>
      </c>
      <c r="F899" s="4" t="s">
        <v>31</v>
      </c>
      <c r="G899" s="4" t="s">
        <v>190</v>
      </c>
      <c r="H899" s="4">
        <v>150</v>
      </c>
      <c r="I899" s="4">
        <v>143</v>
      </c>
      <c r="J899" s="5">
        <v>4.6699999999999998E-2</v>
      </c>
      <c r="K899" s="3">
        <v>3</v>
      </c>
      <c r="L899" s="4">
        <f>tblSales[[#This Row],[Quantity]]*tblSales[[#This Row],[Actual Price]]</f>
        <v>429</v>
      </c>
    </row>
    <row r="900" spans="1:12" x14ac:dyDescent="0.35">
      <c r="A900" s="3" t="s">
        <v>1420</v>
      </c>
      <c r="B900" s="4" t="s">
        <v>34</v>
      </c>
      <c r="C900" s="4" t="s">
        <v>35</v>
      </c>
      <c r="D900" s="4" t="s">
        <v>36</v>
      </c>
      <c r="E900" s="7">
        <v>42775</v>
      </c>
      <c r="F900" s="4" t="s">
        <v>62</v>
      </c>
      <c r="G900" s="4" t="s">
        <v>161</v>
      </c>
      <c r="H900" s="4">
        <v>1000</v>
      </c>
      <c r="I900" s="4">
        <v>570</v>
      </c>
      <c r="J900" s="5">
        <v>0.43</v>
      </c>
      <c r="K900" s="3">
        <v>52</v>
      </c>
      <c r="L900" s="4">
        <f>tblSales[[#This Row],[Quantity]]*tblSales[[#This Row],[Actual Price]]</f>
        <v>29640</v>
      </c>
    </row>
    <row r="901" spans="1:12" x14ac:dyDescent="0.35">
      <c r="A901" s="3" t="s">
        <v>1421</v>
      </c>
      <c r="B901" s="4" t="s">
        <v>171</v>
      </c>
      <c r="C901" s="4" t="s">
        <v>172</v>
      </c>
      <c r="D901" s="4" t="s">
        <v>14</v>
      </c>
      <c r="E901" s="7">
        <v>43303</v>
      </c>
      <c r="F901" s="4" t="s">
        <v>116</v>
      </c>
      <c r="G901" s="4" t="s">
        <v>1422</v>
      </c>
      <c r="H901" s="4">
        <v>250</v>
      </c>
      <c r="I901" s="4">
        <v>235</v>
      </c>
      <c r="J901" s="5">
        <v>0.06</v>
      </c>
      <c r="K901" s="3">
        <v>66</v>
      </c>
      <c r="L901" s="4">
        <f>tblSales[[#This Row],[Quantity]]*tblSales[[#This Row],[Actual Price]]</f>
        <v>15510</v>
      </c>
    </row>
    <row r="902" spans="1:12" x14ac:dyDescent="0.35">
      <c r="A902" s="3" t="s">
        <v>1423</v>
      </c>
      <c r="B902" s="4" t="s">
        <v>265</v>
      </c>
      <c r="C902" s="4" t="s">
        <v>266</v>
      </c>
      <c r="D902" s="4" t="s">
        <v>14</v>
      </c>
      <c r="E902" s="7">
        <v>41959</v>
      </c>
      <c r="F902" s="4" t="s">
        <v>56</v>
      </c>
      <c r="G902" s="4" t="s">
        <v>803</v>
      </c>
      <c r="H902" s="4">
        <v>800</v>
      </c>
      <c r="I902" s="4">
        <v>760</v>
      </c>
      <c r="J902" s="5">
        <v>0.05</v>
      </c>
      <c r="K902" s="3">
        <v>100</v>
      </c>
      <c r="L902" s="4">
        <f>tblSales[[#This Row],[Quantity]]*tblSales[[#This Row],[Actual Price]]</f>
        <v>76000</v>
      </c>
    </row>
    <row r="903" spans="1:12" x14ac:dyDescent="0.35">
      <c r="A903" s="3" t="s">
        <v>1424</v>
      </c>
      <c r="B903" s="4" t="s">
        <v>112</v>
      </c>
      <c r="C903" s="4" t="s">
        <v>83</v>
      </c>
      <c r="D903" s="4" t="s">
        <v>14</v>
      </c>
      <c r="E903" s="7">
        <v>42074</v>
      </c>
      <c r="F903" s="4" t="s">
        <v>42</v>
      </c>
      <c r="G903" s="4" t="s">
        <v>1425</v>
      </c>
      <c r="H903" s="4">
        <v>30</v>
      </c>
      <c r="I903" s="4">
        <v>23</v>
      </c>
      <c r="J903" s="5">
        <v>0.23330000000000001</v>
      </c>
      <c r="K903" s="3">
        <v>33</v>
      </c>
      <c r="L903" s="4">
        <f>tblSales[[#This Row],[Quantity]]*tblSales[[#This Row],[Actual Price]]</f>
        <v>759</v>
      </c>
    </row>
    <row r="904" spans="1:12" x14ac:dyDescent="0.35">
      <c r="A904" s="3" t="s">
        <v>1426</v>
      </c>
      <c r="B904" s="4" t="s">
        <v>158</v>
      </c>
      <c r="C904" s="4" t="s">
        <v>109</v>
      </c>
      <c r="D904" s="4" t="s">
        <v>20</v>
      </c>
      <c r="E904" s="7">
        <v>43407</v>
      </c>
      <c r="F904" s="4" t="s">
        <v>42</v>
      </c>
      <c r="G904" s="4" t="s">
        <v>926</v>
      </c>
      <c r="H904" s="4">
        <v>30</v>
      </c>
      <c r="I904" s="4">
        <v>26</v>
      </c>
      <c r="J904" s="5">
        <v>0.1333</v>
      </c>
      <c r="K904" s="3">
        <v>13</v>
      </c>
      <c r="L904" s="4">
        <f>tblSales[[#This Row],[Quantity]]*tblSales[[#This Row],[Actual Price]]</f>
        <v>338</v>
      </c>
    </row>
    <row r="905" spans="1:12" x14ac:dyDescent="0.35">
      <c r="A905" s="3" t="s">
        <v>1427</v>
      </c>
      <c r="B905" s="4" t="s">
        <v>40</v>
      </c>
      <c r="C905" s="4" t="s">
        <v>41</v>
      </c>
      <c r="D905" s="4" t="s">
        <v>36</v>
      </c>
      <c r="E905" s="7">
        <v>41739</v>
      </c>
      <c r="F905" s="4" t="s">
        <v>105</v>
      </c>
      <c r="G905" s="4" t="s">
        <v>1285</v>
      </c>
      <c r="H905" s="4">
        <v>70</v>
      </c>
      <c r="I905" s="4">
        <v>57</v>
      </c>
      <c r="J905" s="5">
        <v>0.1857</v>
      </c>
      <c r="K905" s="3">
        <v>44</v>
      </c>
      <c r="L905" s="4">
        <f>tblSales[[#This Row],[Quantity]]*tblSales[[#This Row],[Actual Price]]</f>
        <v>2508</v>
      </c>
    </row>
    <row r="906" spans="1:12" x14ac:dyDescent="0.35">
      <c r="A906" s="3" t="s">
        <v>1428</v>
      </c>
      <c r="B906" s="4" t="s">
        <v>29</v>
      </c>
      <c r="C906" s="4" t="s">
        <v>30</v>
      </c>
      <c r="D906" s="4" t="s">
        <v>14</v>
      </c>
      <c r="E906" s="7">
        <v>42877</v>
      </c>
      <c r="F906" s="4" t="s">
        <v>56</v>
      </c>
      <c r="G906" s="4" t="s">
        <v>470</v>
      </c>
      <c r="H906" s="4">
        <v>800</v>
      </c>
      <c r="I906" s="4">
        <v>512</v>
      </c>
      <c r="J906" s="5">
        <v>0.36</v>
      </c>
      <c r="K906" s="3">
        <v>88</v>
      </c>
      <c r="L906" s="4">
        <f>tblSales[[#This Row],[Quantity]]*tblSales[[#This Row],[Actual Price]]</f>
        <v>45056</v>
      </c>
    </row>
    <row r="907" spans="1:12" x14ac:dyDescent="0.35">
      <c r="A907" s="3" t="s">
        <v>1429</v>
      </c>
      <c r="B907" s="4" t="s">
        <v>34</v>
      </c>
      <c r="C907" s="4" t="s">
        <v>35</v>
      </c>
      <c r="D907" s="4" t="s">
        <v>36</v>
      </c>
      <c r="E907" s="7">
        <v>42786</v>
      </c>
      <c r="F907" s="4" t="s">
        <v>73</v>
      </c>
      <c r="G907" s="4" t="s">
        <v>1132</v>
      </c>
      <c r="H907" s="4">
        <v>500</v>
      </c>
      <c r="I907" s="4">
        <v>500</v>
      </c>
      <c r="J907" s="5">
        <v>0</v>
      </c>
      <c r="K907" s="3">
        <v>73</v>
      </c>
      <c r="L907" s="4">
        <f>tblSales[[#This Row],[Quantity]]*tblSales[[#This Row],[Actual Price]]</f>
        <v>36500</v>
      </c>
    </row>
    <row r="908" spans="1:12" x14ac:dyDescent="0.35">
      <c r="A908" s="3" t="s">
        <v>1430</v>
      </c>
      <c r="B908" s="4" t="s">
        <v>183</v>
      </c>
      <c r="C908" s="4" t="s">
        <v>109</v>
      </c>
      <c r="D908" s="4" t="s">
        <v>20</v>
      </c>
      <c r="E908" s="7">
        <v>43123</v>
      </c>
      <c r="F908" s="4" t="s">
        <v>26</v>
      </c>
      <c r="G908" s="4" t="s">
        <v>1158</v>
      </c>
      <c r="H908" s="4">
        <v>700</v>
      </c>
      <c r="I908" s="4">
        <v>609</v>
      </c>
      <c r="J908" s="5">
        <v>0.13</v>
      </c>
      <c r="K908" s="3">
        <v>30</v>
      </c>
      <c r="L908" s="4">
        <f>tblSales[[#This Row],[Quantity]]*tblSales[[#This Row],[Actual Price]]</f>
        <v>18270</v>
      </c>
    </row>
    <row r="909" spans="1:12" x14ac:dyDescent="0.35">
      <c r="A909" s="3" t="s">
        <v>1431</v>
      </c>
      <c r="B909" s="4" t="s">
        <v>256</v>
      </c>
      <c r="C909" s="4" t="s">
        <v>257</v>
      </c>
      <c r="D909" s="4" t="s">
        <v>14</v>
      </c>
      <c r="E909" s="7">
        <v>43438</v>
      </c>
      <c r="F909" s="4" t="s">
        <v>37</v>
      </c>
      <c r="G909" s="4" t="s">
        <v>1267</v>
      </c>
      <c r="H909" s="4">
        <v>50</v>
      </c>
      <c r="I909" s="4">
        <v>48</v>
      </c>
      <c r="J909" s="5">
        <v>0.04</v>
      </c>
      <c r="K909" s="3">
        <v>18</v>
      </c>
      <c r="L909" s="4">
        <f>tblSales[[#This Row],[Quantity]]*tblSales[[#This Row],[Actual Price]]</f>
        <v>864</v>
      </c>
    </row>
    <row r="910" spans="1:12" x14ac:dyDescent="0.35">
      <c r="A910" s="3" t="s">
        <v>1432</v>
      </c>
      <c r="B910" s="4" t="s">
        <v>183</v>
      </c>
      <c r="C910" s="4" t="s">
        <v>109</v>
      </c>
      <c r="D910" s="4" t="s">
        <v>20</v>
      </c>
      <c r="E910" s="7">
        <v>43105</v>
      </c>
      <c r="F910" s="4" t="s">
        <v>42</v>
      </c>
      <c r="G910" s="4" t="s">
        <v>1433</v>
      </c>
      <c r="H910" s="4">
        <v>30</v>
      </c>
      <c r="I910" s="4">
        <v>26</v>
      </c>
      <c r="J910" s="5">
        <v>0.1333</v>
      </c>
      <c r="K910" s="3">
        <v>26</v>
      </c>
      <c r="L910" s="4">
        <f>tblSales[[#This Row],[Quantity]]*tblSales[[#This Row],[Actual Price]]</f>
        <v>676</v>
      </c>
    </row>
    <row r="911" spans="1:12" x14ac:dyDescent="0.35">
      <c r="A911" s="3" t="s">
        <v>1434</v>
      </c>
      <c r="B911" s="4" t="s">
        <v>225</v>
      </c>
      <c r="C911" s="4" t="s">
        <v>51</v>
      </c>
      <c r="D911" s="4" t="s">
        <v>25</v>
      </c>
      <c r="E911" s="7">
        <v>41754</v>
      </c>
      <c r="F911" s="4" t="s">
        <v>73</v>
      </c>
      <c r="G911" s="4" t="s">
        <v>1039</v>
      </c>
      <c r="H911" s="4">
        <v>500</v>
      </c>
      <c r="I911" s="4">
        <v>500</v>
      </c>
      <c r="J911" s="5">
        <v>0</v>
      </c>
      <c r="K911" s="3">
        <v>38</v>
      </c>
      <c r="L911" s="4">
        <f>tblSales[[#This Row],[Quantity]]*tblSales[[#This Row],[Actual Price]]</f>
        <v>19000</v>
      </c>
    </row>
    <row r="912" spans="1:12" x14ac:dyDescent="0.35">
      <c r="A912" s="3" t="s">
        <v>1435</v>
      </c>
      <c r="B912" s="4" t="s">
        <v>65</v>
      </c>
      <c r="C912" s="4" t="s">
        <v>66</v>
      </c>
      <c r="D912" s="4" t="s">
        <v>36</v>
      </c>
      <c r="E912" s="7">
        <v>42640</v>
      </c>
      <c r="F912" s="4" t="s">
        <v>56</v>
      </c>
      <c r="G912" s="4" t="s">
        <v>67</v>
      </c>
      <c r="H912" s="4">
        <v>800</v>
      </c>
      <c r="I912" s="4">
        <v>664</v>
      </c>
      <c r="J912" s="5">
        <v>0.17</v>
      </c>
      <c r="K912" s="3">
        <v>68</v>
      </c>
      <c r="L912" s="4">
        <f>tblSales[[#This Row],[Quantity]]*tblSales[[#This Row],[Actual Price]]</f>
        <v>45152</v>
      </c>
    </row>
    <row r="913" spans="1:12" x14ac:dyDescent="0.35">
      <c r="A913" s="3" t="s">
        <v>1436</v>
      </c>
      <c r="B913" s="4" t="s">
        <v>325</v>
      </c>
      <c r="C913" s="4" t="s">
        <v>326</v>
      </c>
      <c r="D913" s="4" t="s">
        <v>14</v>
      </c>
      <c r="E913" s="7">
        <v>43142</v>
      </c>
      <c r="F913" s="4" t="s">
        <v>26</v>
      </c>
      <c r="G913" s="4" t="s">
        <v>454</v>
      </c>
      <c r="H913" s="4">
        <v>700</v>
      </c>
      <c r="I913" s="4">
        <v>679</v>
      </c>
      <c r="J913" s="5">
        <v>0.03</v>
      </c>
      <c r="K913" s="3">
        <v>49</v>
      </c>
      <c r="L913" s="4">
        <f>tblSales[[#This Row],[Quantity]]*tblSales[[#This Row],[Actual Price]]</f>
        <v>33271</v>
      </c>
    </row>
    <row r="914" spans="1:12" x14ac:dyDescent="0.35">
      <c r="A914" s="3" t="s">
        <v>1437</v>
      </c>
      <c r="B914" s="4" t="s">
        <v>108</v>
      </c>
      <c r="C914" s="4" t="s">
        <v>109</v>
      </c>
      <c r="D914" s="4" t="s">
        <v>20</v>
      </c>
      <c r="E914" s="7">
        <v>41758</v>
      </c>
      <c r="F914" s="4" t="s">
        <v>116</v>
      </c>
      <c r="G914" s="4" t="s">
        <v>1438</v>
      </c>
      <c r="H914" s="4">
        <v>250</v>
      </c>
      <c r="I914" s="4">
        <v>198</v>
      </c>
      <c r="J914" s="5">
        <v>0.20799999999999999</v>
      </c>
      <c r="K914" s="3">
        <v>51</v>
      </c>
      <c r="L914" s="4">
        <f>tblSales[[#This Row],[Quantity]]*tblSales[[#This Row],[Actual Price]]</f>
        <v>10098</v>
      </c>
    </row>
    <row r="915" spans="1:12" x14ac:dyDescent="0.35">
      <c r="A915" s="3" t="s">
        <v>1439</v>
      </c>
      <c r="B915" s="4" t="s">
        <v>228</v>
      </c>
      <c r="C915" s="4" t="s">
        <v>229</v>
      </c>
      <c r="D915" s="4" t="s">
        <v>25</v>
      </c>
      <c r="E915" s="7">
        <v>42124</v>
      </c>
      <c r="F915" s="4" t="s">
        <v>73</v>
      </c>
      <c r="G915" s="4" t="s">
        <v>439</v>
      </c>
      <c r="H915" s="4">
        <v>500</v>
      </c>
      <c r="I915" s="4">
        <v>500</v>
      </c>
      <c r="J915" s="5">
        <v>0</v>
      </c>
      <c r="K915" s="3">
        <v>89</v>
      </c>
      <c r="L915" s="4">
        <f>tblSales[[#This Row],[Quantity]]*tblSales[[#This Row],[Actual Price]]</f>
        <v>44500</v>
      </c>
    </row>
    <row r="916" spans="1:12" x14ac:dyDescent="0.35">
      <c r="A916" s="3" t="s">
        <v>1440</v>
      </c>
      <c r="B916" s="4" t="s">
        <v>54</v>
      </c>
      <c r="C916" s="4" t="s">
        <v>55</v>
      </c>
      <c r="D916" s="4" t="s">
        <v>14</v>
      </c>
      <c r="E916" s="7">
        <v>41979</v>
      </c>
      <c r="F916" s="4" t="s">
        <v>73</v>
      </c>
      <c r="G916" s="4" t="s">
        <v>815</v>
      </c>
      <c r="H916" s="4">
        <v>500</v>
      </c>
      <c r="I916" s="4">
        <v>500</v>
      </c>
      <c r="J916" s="5">
        <v>0</v>
      </c>
      <c r="K916" s="3">
        <v>78</v>
      </c>
      <c r="L916" s="4">
        <f>tblSales[[#This Row],[Quantity]]*tblSales[[#This Row],[Actual Price]]</f>
        <v>39000</v>
      </c>
    </row>
    <row r="917" spans="1:12" x14ac:dyDescent="0.35">
      <c r="A917" s="3" t="s">
        <v>1441</v>
      </c>
      <c r="B917" s="4" t="s">
        <v>225</v>
      </c>
      <c r="C917" s="4" t="s">
        <v>51</v>
      </c>
      <c r="D917" s="4" t="s">
        <v>25</v>
      </c>
      <c r="E917" s="7">
        <v>42033</v>
      </c>
      <c r="F917" s="4" t="s">
        <v>47</v>
      </c>
      <c r="G917" s="4" t="s">
        <v>775</v>
      </c>
      <c r="H917" s="4">
        <v>500</v>
      </c>
      <c r="I917" s="4">
        <v>450</v>
      </c>
      <c r="J917" s="5">
        <v>0.1</v>
      </c>
      <c r="K917" s="3">
        <v>78</v>
      </c>
      <c r="L917" s="4">
        <f>tblSales[[#This Row],[Quantity]]*tblSales[[#This Row],[Actual Price]]</f>
        <v>35100</v>
      </c>
    </row>
    <row r="918" spans="1:12" x14ac:dyDescent="0.35">
      <c r="A918" s="3" t="s">
        <v>1442</v>
      </c>
      <c r="B918" s="4" t="s">
        <v>147</v>
      </c>
      <c r="C918" s="4" t="s">
        <v>148</v>
      </c>
      <c r="D918" s="4" t="s">
        <v>14</v>
      </c>
      <c r="E918" s="7">
        <v>42828</v>
      </c>
      <c r="F918" s="4" t="s">
        <v>42</v>
      </c>
      <c r="G918" s="4" t="s">
        <v>149</v>
      </c>
      <c r="H918" s="4">
        <v>30</v>
      </c>
      <c r="I918" s="4">
        <v>29</v>
      </c>
      <c r="J918" s="5">
        <v>3.3300000000000003E-2</v>
      </c>
      <c r="K918" s="3">
        <v>52</v>
      </c>
      <c r="L918" s="4">
        <f>tblSales[[#This Row],[Quantity]]*tblSales[[#This Row],[Actual Price]]</f>
        <v>1508</v>
      </c>
    </row>
    <row r="919" spans="1:12" x14ac:dyDescent="0.35">
      <c r="A919" s="3" t="s">
        <v>1443</v>
      </c>
      <c r="B919" s="4" t="s">
        <v>155</v>
      </c>
      <c r="C919" s="4" t="s">
        <v>109</v>
      </c>
      <c r="D919" s="4" t="s">
        <v>20</v>
      </c>
      <c r="E919" s="7">
        <v>42368</v>
      </c>
      <c r="F919" s="4" t="s">
        <v>73</v>
      </c>
      <c r="G919" s="4" t="s">
        <v>156</v>
      </c>
      <c r="H919" s="4">
        <v>500</v>
      </c>
      <c r="I919" s="4">
        <v>500</v>
      </c>
      <c r="J919" s="5">
        <v>0</v>
      </c>
      <c r="K919" s="3">
        <v>56</v>
      </c>
      <c r="L919" s="4">
        <f>tblSales[[#This Row],[Quantity]]*tblSales[[#This Row],[Actual Price]]</f>
        <v>28000</v>
      </c>
    </row>
    <row r="920" spans="1:12" x14ac:dyDescent="0.35">
      <c r="A920" s="3" t="s">
        <v>1444</v>
      </c>
      <c r="B920" s="4" t="s">
        <v>60</v>
      </c>
      <c r="C920" s="4" t="s">
        <v>61</v>
      </c>
      <c r="D920" s="4" t="s">
        <v>14</v>
      </c>
      <c r="E920" s="7">
        <v>42967</v>
      </c>
      <c r="F920" s="4" t="s">
        <v>116</v>
      </c>
      <c r="G920" s="4" t="s">
        <v>615</v>
      </c>
      <c r="H920" s="4">
        <v>250</v>
      </c>
      <c r="I920" s="4">
        <v>225</v>
      </c>
      <c r="J920" s="5">
        <v>0.1</v>
      </c>
      <c r="K920" s="3">
        <v>32</v>
      </c>
      <c r="L920" s="4">
        <f>tblSales[[#This Row],[Quantity]]*tblSales[[#This Row],[Actual Price]]</f>
        <v>7200</v>
      </c>
    </row>
    <row r="921" spans="1:12" x14ac:dyDescent="0.35">
      <c r="A921" s="3" t="s">
        <v>1445</v>
      </c>
      <c r="B921" s="4" t="s">
        <v>12</v>
      </c>
      <c r="C921" s="4" t="s">
        <v>13</v>
      </c>
      <c r="D921" s="4" t="s">
        <v>14</v>
      </c>
      <c r="E921" s="7">
        <v>42264</v>
      </c>
      <c r="F921" s="4" t="s">
        <v>15</v>
      </c>
      <c r="G921" s="4" t="s">
        <v>138</v>
      </c>
      <c r="H921" s="4">
        <v>80</v>
      </c>
      <c r="I921" s="4">
        <v>78</v>
      </c>
      <c r="J921" s="5">
        <v>2.5000000000000001E-2</v>
      </c>
      <c r="K921" s="3">
        <v>23</v>
      </c>
      <c r="L921" s="4">
        <f>tblSales[[#This Row],[Quantity]]*tblSales[[#This Row],[Actual Price]]</f>
        <v>1794</v>
      </c>
    </row>
    <row r="922" spans="1:12" x14ac:dyDescent="0.35">
      <c r="A922" s="3" t="s">
        <v>1446</v>
      </c>
      <c r="B922" s="4" t="s">
        <v>29</v>
      </c>
      <c r="C922" s="4" t="s">
        <v>30</v>
      </c>
      <c r="D922" s="4" t="s">
        <v>14</v>
      </c>
      <c r="E922" s="7">
        <v>42324</v>
      </c>
      <c r="F922" s="4" t="s">
        <v>123</v>
      </c>
      <c r="G922" s="4" t="s">
        <v>32</v>
      </c>
      <c r="H922" s="4">
        <v>50</v>
      </c>
      <c r="I922" s="4">
        <v>32</v>
      </c>
      <c r="J922" s="5">
        <v>0.36</v>
      </c>
      <c r="K922" s="3">
        <v>8</v>
      </c>
      <c r="L922" s="4">
        <f>tblSales[[#This Row],[Quantity]]*tblSales[[#This Row],[Actual Price]]</f>
        <v>256</v>
      </c>
    </row>
    <row r="923" spans="1:12" x14ac:dyDescent="0.35">
      <c r="A923" s="3" t="s">
        <v>1447</v>
      </c>
      <c r="B923" s="4" t="s">
        <v>401</v>
      </c>
      <c r="C923" s="4" t="s">
        <v>402</v>
      </c>
      <c r="D923" s="4" t="s">
        <v>14</v>
      </c>
      <c r="E923" s="7">
        <v>41975</v>
      </c>
      <c r="F923" s="4" t="s">
        <v>123</v>
      </c>
      <c r="G923" s="4" t="s">
        <v>487</v>
      </c>
      <c r="H923" s="4">
        <v>50</v>
      </c>
      <c r="I923" s="4">
        <v>41</v>
      </c>
      <c r="J923" s="5">
        <v>0.18</v>
      </c>
      <c r="K923" s="3">
        <v>72</v>
      </c>
      <c r="L923" s="4">
        <f>tblSales[[#This Row],[Quantity]]*tblSales[[#This Row],[Actual Price]]</f>
        <v>2952</v>
      </c>
    </row>
    <row r="924" spans="1:12" x14ac:dyDescent="0.35">
      <c r="A924" s="3" t="s">
        <v>1448</v>
      </c>
      <c r="B924" s="4" t="s">
        <v>23</v>
      </c>
      <c r="C924" s="4" t="s">
        <v>24</v>
      </c>
      <c r="D924" s="4" t="s">
        <v>25</v>
      </c>
      <c r="E924" s="7">
        <v>43265</v>
      </c>
      <c r="F924" s="4" t="s">
        <v>105</v>
      </c>
      <c r="G924" s="4" t="s">
        <v>484</v>
      </c>
      <c r="H924" s="4">
        <v>70</v>
      </c>
      <c r="I924" s="4">
        <v>60</v>
      </c>
      <c r="J924" s="5">
        <v>0.1429</v>
      </c>
      <c r="K924" s="3">
        <v>37</v>
      </c>
      <c r="L924" s="4">
        <f>tblSales[[#This Row],[Quantity]]*tblSales[[#This Row],[Actual Price]]</f>
        <v>2220</v>
      </c>
    </row>
    <row r="925" spans="1:12" x14ac:dyDescent="0.35">
      <c r="A925" s="3" t="s">
        <v>1449</v>
      </c>
      <c r="B925" s="4" t="s">
        <v>92</v>
      </c>
      <c r="C925" s="4" t="s">
        <v>93</v>
      </c>
      <c r="D925" s="4" t="s">
        <v>36</v>
      </c>
      <c r="E925" s="7">
        <v>41741</v>
      </c>
      <c r="F925" s="4" t="s">
        <v>105</v>
      </c>
      <c r="G925" s="4" t="s">
        <v>940</v>
      </c>
      <c r="H925" s="4">
        <v>70</v>
      </c>
      <c r="I925" s="4">
        <v>69</v>
      </c>
      <c r="J925" s="5">
        <v>1.43E-2</v>
      </c>
      <c r="K925" s="3">
        <v>33</v>
      </c>
      <c r="L925" s="4">
        <f>tblSales[[#This Row],[Quantity]]*tblSales[[#This Row],[Actual Price]]</f>
        <v>2277</v>
      </c>
    </row>
    <row r="926" spans="1:12" x14ac:dyDescent="0.35">
      <c r="A926" s="3" t="s">
        <v>1450</v>
      </c>
      <c r="B926" s="4" t="s">
        <v>54</v>
      </c>
      <c r="C926" s="4" t="s">
        <v>55</v>
      </c>
      <c r="D926" s="4" t="s">
        <v>14</v>
      </c>
      <c r="E926" s="7">
        <v>43289</v>
      </c>
      <c r="F926" s="4" t="s">
        <v>47</v>
      </c>
      <c r="G926" s="4" t="s">
        <v>815</v>
      </c>
      <c r="H926" s="4">
        <v>500</v>
      </c>
      <c r="I926" s="4">
        <v>490</v>
      </c>
      <c r="J926" s="5">
        <v>0.02</v>
      </c>
      <c r="K926" s="3">
        <v>26</v>
      </c>
      <c r="L926" s="4">
        <f>tblSales[[#This Row],[Quantity]]*tblSales[[#This Row],[Actual Price]]</f>
        <v>12740</v>
      </c>
    </row>
    <row r="927" spans="1:12" x14ac:dyDescent="0.35">
      <c r="A927" s="3" t="s">
        <v>1451</v>
      </c>
      <c r="B927" s="4" t="s">
        <v>92</v>
      </c>
      <c r="C927" s="4" t="s">
        <v>93</v>
      </c>
      <c r="D927" s="4" t="s">
        <v>36</v>
      </c>
      <c r="E927" s="7">
        <v>43133</v>
      </c>
      <c r="F927" s="4" t="s">
        <v>105</v>
      </c>
      <c r="G927" s="4" t="s">
        <v>94</v>
      </c>
      <c r="H927" s="4">
        <v>70</v>
      </c>
      <c r="I927" s="4">
        <v>69</v>
      </c>
      <c r="J927" s="5">
        <v>1.43E-2</v>
      </c>
      <c r="K927" s="3">
        <v>67</v>
      </c>
      <c r="L927" s="4">
        <f>tblSales[[#This Row],[Quantity]]*tblSales[[#This Row],[Actual Price]]</f>
        <v>4623</v>
      </c>
    </row>
    <row r="928" spans="1:12" x14ac:dyDescent="0.35">
      <c r="A928" s="3" t="s">
        <v>1452</v>
      </c>
      <c r="B928" s="4" t="s">
        <v>100</v>
      </c>
      <c r="C928" s="4" t="s">
        <v>101</v>
      </c>
      <c r="D928" s="4" t="s">
        <v>14</v>
      </c>
      <c r="E928" s="7">
        <v>43290</v>
      </c>
      <c r="F928" s="4" t="s">
        <v>62</v>
      </c>
      <c r="G928" s="4" t="s">
        <v>102</v>
      </c>
      <c r="H928" s="4">
        <v>1000</v>
      </c>
      <c r="I928" s="4">
        <v>640</v>
      </c>
      <c r="J928" s="5">
        <v>0.36</v>
      </c>
      <c r="K928" s="3">
        <v>81</v>
      </c>
      <c r="L928" s="4">
        <f>tblSales[[#This Row],[Quantity]]*tblSales[[#This Row],[Actual Price]]</f>
        <v>51840</v>
      </c>
    </row>
    <row r="929" spans="1:12" x14ac:dyDescent="0.35">
      <c r="A929" s="3" t="s">
        <v>1453</v>
      </c>
      <c r="B929" s="4" t="s">
        <v>65</v>
      </c>
      <c r="C929" s="4" t="s">
        <v>66</v>
      </c>
      <c r="D929" s="4" t="s">
        <v>36</v>
      </c>
      <c r="E929" s="7">
        <v>41941</v>
      </c>
      <c r="F929" s="4" t="s">
        <v>62</v>
      </c>
      <c r="G929" s="4" t="s">
        <v>281</v>
      </c>
      <c r="H929" s="4">
        <v>1000</v>
      </c>
      <c r="I929" s="4">
        <v>1000</v>
      </c>
      <c r="J929" s="5">
        <v>0</v>
      </c>
      <c r="K929" s="3">
        <v>53</v>
      </c>
      <c r="L929" s="4">
        <f>tblSales[[#This Row],[Quantity]]*tblSales[[#This Row],[Actual Price]]</f>
        <v>53000</v>
      </c>
    </row>
    <row r="930" spans="1:12" x14ac:dyDescent="0.35">
      <c r="A930" s="3" t="s">
        <v>1454</v>
      </c>
      <c r="B930" s="4" t="s">
        <v>242</v>
      </c>
      <c r="C930" s="4" t="s">
        <v>243</v>
      </c>
      <c r="D930" s="4" t="s">
        <v>14</v>
      </c>
      <c r="E930" s="7">
        <v>43314</v>
      </c>
      <c r="F930" s="4" t="s">
        <v>15</v>
      </c>
      <c r="G930" s="4" t="s">
        <v>1153</v>
      </c>
      <c r="H930" s="4">
        <v>80</v>
      </c>
      <c r="I930" s="4">
        <v>70</v>
      </c>
      <c r="J930" s="5">
        <v>0.125</v>
      </c>
      <c r="K930" s="3">
        <v>43</v>
      </c>
      <c r="L930" s="4">
        <f>tblSales[[#This Row],[Quantity]]*tblSales[[#This Row],[Actual Price]]</f>
        <v>3010</v>
      </c>
    </row>
    <row r="931" spans="1:12" x14ac:dyDescent="0.35">
      <c r="A931" s="3" t="s">
        <v>1455</v>
      </c>
      <c r="B931" s="4" t="s">
        <v>45</v>
      </c>
      <c r="C931" s="4" t="s">
        <v>46</v>
      </c>
      <c r="D931" s="4" t="s">
        <v>25</v>
      </c>
      <c r="E931" s="7">
        <v>43093</v>
      </c>
      <c r="F931" s="4" t="s">
        <v>31</v>
      </c>
      <c r="G931" s="4" t="s">
        <v>1147</v>
      </c>
      <c r="H931" s="4">
        <v>150</v>
      </c>
      <c r="I931" s="4">
        <v>135</v>
      </c>
      <c r="J931" s="5">
        <v>0.1</v>
      </c>
      <c r="K931" s="3">
        <v>38</v>
      </c>
      <c r="L931" s="4">
        <f>tblSales[[#This Row],[Quantity]]*tblSales[[#This Row],[Actual Price]]</f>
        <v>5130</v>
      </c>
    </row>
    <row r="932" spans="1:12" x14ac:dyDescent="0.35">
      <c r="A932" s="3" t="s">
        <v>1456</v>
      </c>
      <c r="B932" s="4" t="s">
        <v>175</v>
      </c>
      <c r="C932" s="4" t="s">
        <v>176</v>
      </c>
      <c r="D932" s="4" t="s">
        <v>14</v>
      </c>
      <c r="E932" s="7">
        <v>43313</v>
      </c>
      <c r="F932" s="4" t="s">
        <v>26</v>
      </c>
      <c r="G932" s="4" t="s">
        <v>1457</v>
      </c>
      <c r="H932" s="4">
        <v>700</v>
      </c>
      <c r="I932" s="4">
        <v>623</v>
      </c>
      <c r="J932" s="5">
        <v>0.11</v>
      </c>
      <c r="K932" s="3">
        <v>22</v>
      </c>
      <c r="L932" s="4">
        <f>tblSales[[#This Row],[Quantity]]*tblSales[[#This Row],[Actual Price]]</f>
        <v>13706</v>
      </c>
    </row>
    <row r="933" spans="1:12" x14ac:dyDescent="0.35">
      <c r="A933" s="3" t="s">
        <v>1458</v>
      </c>
      <c r="B933" s="4" t="s">
        <v>86</v>
      </c>
      <c r="C933" s="4" t="s">
        <v>87</v>
      </c>
      <c r="D933" s="4" t="s">
        <v>14</v>
      </c>
      <c r="E933" s="7">
        <v>42549</v>
      </c>
      <c r="F933" s="4" t="s">
        <v>116</v>
      </c>
      <c r="G933" s="4" t="s">
        <v>1459</v>
      </c>
      <c r="H933" s="4">
        <v>250</v>
      </c>
      <c r="I933" s="4">
        <v>245</v>
      </c>
      <c r="J933" s="5">
        <v>0.02</v>
      </c>
      <c r="K933" s="3">
        <v>23</v>
      </c>
      <c r="L933" s="4">
        <f>tblSales[[#This Row],[Quantity]]*tblSales[[#This Row],[Actual Price]]</f>
        <v>5635</v>
      </c>
    </row>
    <row r="934" spans="1:12" x14ac:dyDescent="0.35">
      <c r="A934" s="3" t="s">
        <v>1460</v>
      </c>
      <c r="B934" s="4" t="s">
        <v>265</v>
      </c>
      <c r="C934" s="4" t="s">
        <v>266</v>
      </c>
      <c r="D934" s="4" t="s">
        <v>14</v>
      </c>
      <c r="E934" s="7">
        <v>42748</v>
      </c>
      <c r="F934" s="4" t="s">
        <v>47</v>
      </c>
      <c r="G934" s="4" t="s">
        <v>315</v>
      </c>
      <c r="H934" s="4">
        <v>500</v>
      </c>
      <c r="I934" s="4">
        <v>500</v>
      </c>
      <c r="J934" s="5">
        <v>0</v>
      </c>
      <c r="K934" s="3">
        <v>42</v>
      </c>
      <c r="L934" s="4">
        <f>tblSales[[#This Row],[Quantity]]*tblSales[[#This Row],[Actual Price]]</f>
        <v>21000</v>
      </c>
    </row>
    <row r="935" spans="1:12" x14ac:dyDescent="0.35">
      <c r="A935" s="3" t="s">
        <v>1461</v>
      </c>
      <c r="B935" s="4" t="s">
        <v>147</v>
      </c>
      <c r="C935" s="4" t="s">
        <v>148</v>
      </c>
      <c r="D935" s="4" t="s">
        <v>14</v>
      </c>
      <c r="E935" s="7">
        <v>42873</v>
      </c>
      <c r="F935" s="4" t="s">
        <v>26</v>
      </c>
      <c r="G935" s="4" t="s">
        <v>831</v>
      </c>
      <c r="H935" s="4">
        <v>700</v>
      </c>
      <c r="I935" s="4">
        <v>700</v>
      </c>
      <c r="J935" s="5">
        <v>0</v>
      </c>
      <c r="K935" s="3">
        <v>21</v>
      </c>
      <c r="L935" s="4">
        <f>tblSales[[#This Row],[Quantity]]*tblSales[[#This Row],[Actual Price]]</f>
        <v>14700</v>
      </c>
    </row>
    <row r="936" spans="1:12" x14ac:dyDescent="0.35">
      <c r="A936" s="3" t="s">
        <v>1462</v>
      </c>
      <c r="B936" s="4" t="s">
        <v>100</v>
      </c>
      <c r="C936" s="4" t="s">
        <v>101</v>
      </c>
      <c r="D936" s="4" t="s">
        <v>14</v>
      </c>
      <c r="E936" s="7">
        <v>42913</v>
      </c>
      <c r="F936" s="4" t="s">
        <v>47</v>
      </c>
      <c r="G936" s="4" t="s">
        <v>595</v>
      </c>
      <c r="H936" s="4">
        <v>500</v>
      </c>
      <c r="I936" s="4">
        <v>480</v>
      </c>
      <c r="J936" s="5">
        <v>0.04</v>
      </c>
      <c r="K936" s="3">
        <v>46</v>
      </c>
      <c r="L936" s="4">
        <f>tblSales[[#This Row],[Quantity]]*tblSales[[#This Row],[Actual Price]]</f>
        <v>22080</v>
      </c>
    </row>
    <row r="937" spans="1:12" x14ac:dyDescent="0.35">
      <c r="A937" s="3" t="s">
        <v>1463</v>
      </c>
      <c r="B937" s="4" t="s">
        <v>100</v>
      </c>
      <c r="C937" s="4" t="s">
        <v>101</v>
      </c>
      <c r="D937" s="4" t="s">
        <v>14</v>
      </c>
      <c r="E937" s="7">
        <v>43140</v>
      </c>
      <c r="F937" s="4" t="s">
        <v>116</v>
      </c>
      <c r="G937" s="4" t="s">
        <v>1091</v>
      </c>
      <c r="H937" s="4">
        <v>250</v>
      </c>
      <c r="I937" s="4">
        <v>243</v>
      </c>
      <c r="J937" s="5">
        <v>2.8000000000000001E-2</v>
      </c>
      <c r="K937" s="3">
        <v>24</v>
      </c>
      <c r="L937" s="4">
        <f>tblSales[[#This Row],[Quantity]]*tblSales[[#This Row],[Actual Price]]</f>
        <v>5832</v>
      </c>
    </row>
    <row r="938" spans="1:12" x14ac:dyDescent="0.35">
      <c r="A938" s="3" t="s">
        <v>1464</v>
      </c>
      <c r="B938" s="4" t="s">
        <v>50</v>
      </c>
      <c r="C938" s="4" t="s">
        <v>51</v>
      </c>
      <c r="D938" s="4" t="s">
        <v>25</v>
      </c>
      <c r="E938" s="7">
        <v>42783</v>
      </c>
      <c r="F938" s="4" t="s">
        <v>62</v>
      </c>
      <c r="G938" s="4" t="s">
        <v>700</v>
      </c>
      <c r="H938" s="4">
        <v>1000</v>
      </c>
      <c r="I938" s="4">
        <v>950</v>
      </c>
      <c r="J938" s="5">
        <v>0.05</v>
      </c>
      <c r="K938" s="3">
        <v>50</v>
      </c>
      <c r="L938" s="4">
        <f>tblSales[[#This Row],[Quantity]]*tblSales[[#This Row],[Actual Price]]</f>
        <v>47500</v>
      </c>
    </row>
    <row r="939" spans="1:12" x14ac:dyDescent="0.35">
      <c r="A939" s="3" t="s">
        <v>1465</v>
      </c>
      <c r="B939" s="4" t="s">
        <v>112</v>
      </c>
      <c r="C939" s="4" t="s">
        <v>83</v>
      </c>
      <c r="D939" s="4" t="s">
        <v>14</v>
      </c>
      <c r="E939" s="7">
        <v>42799</v>
      </c>
      <c r="F939" s="4" t="s">
        <v>123</v>
      </c>
      <c r="G939" s="4" t="s">
        <v>821</v>
      </c>
      <c r="H939" s="4">
        <v>50</v>
      </c>
      <c r="I939" s="4">
        <v>47</v>
      </c>
      <c r="J939" s="5">
        <v>0.06</v>
      </c>
      <c r="K939" s="3">
        <v>45</v>
      </c>
      <c r="L939" s="4">
        <f>tblSales[[#This Row],[Quantity]]*tblSales[[#This Row],[Actual Price]]</f>
        <v>2115</v>
      </c>
    </row>
    <row r="940" spans="1:12" x14ac:dyDescent="0.35">
      <c r="A940" s="3" t="s">
        <v>1466</v>
      </c>
      <c r="B940" s="4" t="s">
        <v>155</v>
      </c>
      <c r="C940" s="4" t="s">
        <v>109</v>
      </c>
      <c r="D940" s="4" t="s">
        <v>20</v>
      </c>
      <c r="E940" s="7">
        <v>41910</v>
      </c>
      <c r="F940" s="4" t="s">
        <v>42</v>
      </c>
      <c r="G940" s="4" t="s">
        <v>353</v>
      </c>
      <c r="H940" s="4">
        <v>30</v>
      </c>
      <c r="I940" s="4">
        <v>27</v>
      </c>
      <c r="J940" s="5">
        <v>0.1</v>
      </c>
      <c r="K940" s="3">
        <v>43</v>
      </c>
      <c r="L940" s="4">
        <f>tblSales[[#This Row],[Quantity]]*tblSales[[#This Row],[Actual Price]]</f>
        <v>1161</v>
      </c>
    </row>
    <row r="941" spans="1:12" x14ac:dyDescent="0.35">
      <c r="A941" s="3" t="s">
        <v>1467</v>
      </c>
      <c r="B941" s="4" t="s">
        <v>242</v>
      </c>
      <c r="C941" s="4" t="s">
        <v>243</v>
      </c>
      <c r="D941" s="4" t="s">
        <v>14</v>
      </c>
      <c r="E941" s="7">
        <v>43180</v>
      </c>
      <c r="F941" s="4" t="s">
        <v>42</v>
      </c>
      <c r="G941" s="4" t="s">
        <v>427</v>
      </c>
      <c r="H941" s="4">
        <v>30</v>
      </c>
      <c r="I941" s="4">
        <v>29</v>
      </c>
      <c r="J941" s="5">
        <v>3.3300000000000003E-2</v>
      </c>
      <c r="K941" s="3">
        <v>48</v>
      </c>
      <c r="L941" s="4">
        <f>tblSales[[#This Row],[Quantity]]*tblSales[[#This Row],[Actual Price]]</f>
        <v>1392</v>
      </c>
    </row>
    <row r="942" spans="1:12" x14ac:dyDescent="0.35">
      <c r="A942" s="3" t="s">
        <v>1468</v>
      </c>
      <c r="B942" s="4" t="s">
        <v>325</v>
      </c>
      <c r="C942" s="4" t="s">
        <v>326</v>
      </c>
      <c r="D942" s="4" t="s">
        <v>14</v>
      </c>
      <c r="E942" s="7">
        <v>43404</v>
      </c>
      <c r="F942" s="4" t="s">
        <v>15</v>
      </c>
      <c r="G942" s="4" t="s">
        <v>1469</v>
      </c>
      <c r="H942" s="4">
        <v>80</v>
      </c>
      <c r="I942" s="4">
        <v>76</v>
      </c>
      <c r="J942" s="5">
        <v>0.05</v>
      </c>
      <c r="K942" s="3">
        <v>22</v>
      </c>
      <c r="L942" s="4">
        <f>tblSales[[#This Row],[Quantity]]*tblSales[[#This Row],[Actual Price]]</f>
        <v>1672</v>
      </c>
    </row>
    <row r="943" spans="1:12" x14ac:dyDescent="0.35">
      <c r="A943" s="3" t="s">
        <v>1470</v>
      </c>
      <c r="B943" s="4" t="s">
        <v>325</v>
      </c>
      <c r="C943" s="4" t="s">
        <v>326</v>
      </c>
      <c r="D943" s="4" t="s">
        <v>14</v>
      </c>
      <c r="E943" s="7">
        <v>43105</v>
      </c>
      <c r="F943" s="4" t="s">
        <v>105</v>
      </c>
      <c r="G943" s="4" t="s">
        <v>1010</v>
      </c>
      <c r="H943" s="4">
        <v>70</v>
      </c>
      <c r="I943" s="4">
        <v>69</v>
      </c>
      <c r="J943" s="5">
        <v>1.43E-2</v>
      </c>
      <c r="K943" s="3">
        <v>65</v>
      </c>
      <c r="L943" s="4">
        <f>tblSales[[#This Row],[Quantity]]*tblSales[[#This Row],[Actual Price]]</f>
        <v>4485</v>
      </c>
    </row>
    <row r="944" spans="1:12" x14ac:dyDescent="0.35">
      <c r="A944" s="3" t="s">
        <v>1471</v>
      </c>
      <c r="B944" s="4" t="s">
        <v>108</v>
      </c>
      <c r="C944" s="4" t="s">
        <v>109</v>
      </c>
      <c r="D944" s="4" t="s">
        <v>20</v>
      </c>
      <c r="E944" s="7">
        <v>42384</v>
      </c>
      <c r="F944" s="4" t="s">
        <v>15</v>
      </c>
      <c r="G944" s="4" t="s">
        <v>895</v>
      </c>
      <c r="H944" s="4">
        <v>80</v>
      </c>
      <c r="I944" s="4">
        <v>76</v>
      </c>
      <c r="J944" s="5">
        <v>0.05</v>
      </c>
      <c r="K944" s="3">
        <v>66</v>
      </c>
      <c r="L944" s="4">
        <f>tblSales[[#This Row],[Quantity]]*tblSales[[#This Row],[Actual Price]]</f>
        <v>5016</v>
      </c>
    </row>
    <row r="945" spans="1:12" x14ac:dyDescent="0.35">
      <c r="A945" s="3" t="s">
        <v>1472</v>
      </c>
      <c r="B945" s="4" t="s">
        <v>82</v>
      </c>
      <c r="C945" s="4" t="s">
        <v>83</v>
      </c>
      <c r="D945" s="4" t="s">
        <v>14</v>
      </c>
      <c r="E945" s="7">
        <v>42303</v>
      </c>
      <c r="F945" s="4" t="s">
        <v>47</v>
      </c>
      <c r="G945" s="4" t="s">
        <v>283</v>
      </c>
      <c r="H945" s="4">
        <v>500</v>
      </c>
      <c r="I945" s="4">
        <v>430</v>
      </c>
      <c r="J945" s="5">
        <v>0.14000000000000001</v>
      </c>
      <c r="K945" s="3">
        <v>81</v>
      </c>
      <c r="L945" s="4">
        <f>tblSales[[#This Row],[Quantity]]*tblSales[[#This Row],[Actual Price]]</f>
        <v>34830</v>
      </c>
    </row>
    <row r="946" spans="1:12" x14ac:dyDescent="0.35">
      <c r="A946" s="3" t="s">
        <v>1473</v>
      </c>
      <c r="B946" s="4" t="s">
        <v>100</v>
      </c>
      <c r="C946" s="4" t="s">
        <v>101</v>
      </c>
      <c r="D946" s="4" t="s">
        <v>14</v>
      </c>
      <c r="E946" s="7">
        <v>43235</v>
      </c>
      <c r="F946" s="4" t="s">
        <v>42</v>
      </c>
      <c r="G946" s="4" t="s">
        <v>912</v>
      </c>
      <c r="H946" s="4">
        <v>30</v>
      </c>
      <c r="I946" s="4">
        <v>28</v>
      </c>
      <c r="J946" s="5">
        <v>6.6699999999999995E-2</v>
      </c>
      <c r="K946" s="3">
        <v>87</v>
      </c>
      <c r="L946" s="4">
        <f>tblSales[[#This Row],[Quantity]]*tblSales[[#This Row],[Actual Price]]</f>
        <v>2436</v>
      </c>
    </row>
    <row r="947" spans="1:12" x14ac:dyDescent="0.35">
      <c r="A947" s="3" t="s">
        <v>1474</v>
      </c>
      <c r="B947" s="4" t="s">
        <v>135</v>
      </c>
      <c r="C947" s="4" t="s">
        <v>93</v>
      </c>
      <c r="D947" s="4" t="s">
        <v>36</v>
      </c>
      <c r="E947" s="7">
        <v>42661</v>
      </c>
      <c r="F947" s="4" t="s">
        <v>37</v>
      </c>
      <c r="G947" s="4" t="s">
        <v>1020</v>
      </c>
      <c r="H947" s="4">
        <v>50</v>
      </c>
      <c r="I947" s="4">
        <v>45</v>
      </c>
      <c r="J947" s="5">
        <v>0.1</v>
      </c>
      <c r="K947" s="3">
        <v>19</v>
      </c>
      <c r="L947" s="4">
        <f>tblSales[[#This Row],[Quantity]]*tblSales[[#This Row],[Actual Price]]</f>
        <v>855</v>
      </c>
    </row>
    <row r="948" spans="1:12" x14ac:dyDescent="0.35">
      <c r="A948" s="3" t="s">
        <v>1475</v>
      </c>
      <c r="B948" s="4" t="s">
        <v>135</v>
      </c>
      <c r="C948" s="4" t="s">
        <v>93</v>
      </c>
      <c r="D948" s="4" t="s">
        <v>36</v>
      </c>
      <c r="E948" s="7">
        <v>41685</v>
      </c>
      <c r="F948" s="4" t="s">
        <v>105</v>
      </c>
      <c r="G948" s="4" t="s">
        <v>1476</v>
      </c>
      <c r="H948" s="4">
        <v>70</v>
      </c>
      <c r="I948" s="4">
        <v>57</v>
      </c>
      <c r="J948" s="5">
        <v>0.1857</v>
      </c>
      <c r="K948" s="3">
        <v>66</v>
      </c>
      <c r="L948" s="4">
        <f>tblSales[[#This Row],[Quantity]]*tblSales[[#This Row],[Actual Price]]</f>
        <v>3762</v>
      </c>
    </row>
    <row r="949" spans="1:12" x14ac:dyDescent="0.35">
      <c r="A949" s="3" t="s">
        <v>1477</v>
      </c>
      <c r="B949" s="4" t="s">
        <v>228</v>
      </c>
      <c r="C949" s="4" t="s">
        <v>229</v>
      </c>
      <c r="D949" s="4" t="s">
        <v>25</v>
      </c>
      <c r="E949" s="7">
        <v>42544</v>
      </c>
      <c r="F949" s="4" t="s">
        <v>62</v>
      </c>
      <c r="G949" s="4" t="s">
        <v>871</v>
      </c>
      <c r="H949" s="4">
        <v>1000</v>
      </c>
      <c r="I949" s="4">
        <v>730</v>
      </c>
      <c r="J949" s="5">
        <v>0.27</v>
      </c>
      <c r="K949" s="3">
        <v>95</v>
      </c>
      <c r="L949" s="4">
        <f>tblSales[[#This Row],[Quantity]]*tblSales[[#This Row],[Actual Price]]</f>
        <v>69350</v>
      </c>
    </row>
    <row r="950" spans="1:12" x14ac:dyDescent="0.35">
      <c r="A950" s="3" t="s">
        <v>1478</v>
      </c>
      <c r="B950" s="4" t="s">
        <v>206</v>
      </c>
      <c r="C950" s="4" t="s">
        <v>207</v>
      </c>
      <c r="D950" s="4" t="s">
        <v>25</v>
      </c>
      <c r="E950" s="7">
        <v>42907</v>
      </c>
      <c r="F950" s="4" t="s">
        <v>62</v>
      </c>
      <c r="G950" s="4" t="s">
        <v>1479</v>
      </c>
      <c r="H950" s="4">
        <v>1000</v>
      </c>
      <c r="I950" s="4">
        <v>710</v>
      </c>
      <c r="J950" s="5">
        <v>0.28999999999999998</v>
      </c>
      <c r="K950" s="3">
        <v>6</v>
      </c>
      <c r="L950" s="4">
        <f>tblSales[[#This Row],[Quantity]]*tblSales[[#This Row],[Actual Price]]</f>
        <v>4260</v>
      </c>
    </row>
    <row r="951" spans="1:12" x14ac:dyDescent="0.35">
      <c r="A951" s="3" t="s">
        <v>1480</v>
      </c>
      <c r="B951" s="4" t="s">
        <v>54</v>
      </c>
      <c r="C951" s="4" t="s">
        <v>55</v>
      </c>
      <c r="D951" s="4" t="s">
        <v>14</v>
      </c>
      <c r="E951" s="7">
        <v>42948</v>
      </c>
      <c r="F951" s="4" t="s">
        <v>47</v>
      </c>
      <c r="G951" s="4" t="s">
        <v>405</v>
      </c>
      <c r="H951" s="4">
        <v>500</v>
      </c>
      <c r="I951" s="4">
        <v>500</v>
      </c>
      <c r="J951" s="5">
        <v>0</v>
      </c>
      <c r="K951" s="3">
        <v>65</v>
      </c>
      <c r="L951" s="4">
        <f>tblSales[[#This Row],[Quantity]]*tblSales[[#This Row],[Actual Price]]</f>
        <v>32500</v>
      </c>
    </row>
    <row r="952" spans="1:12" x14ac:dyDescent="0.35">
      <c r="A952" s="3" t="s">
        <v>1481</v>
      </c>
      <c r="B952" s="4" t="s">
        <v>206</v>
      </c>
      <c r="C952" s="4" t="s">
        <v>207</v>
      </c>
      <c r="D952" s="4" t="s">
        <v>25</v>
      </c>
      <c r="E952" s="7">
        <v>42868</v>
      </c>
      <c r="F952" s="4" t="s">
        <v>26</v>
      </c>
      <c r="G952" s="4" t="s">
        <v>252</v>
      </c>
      <c r="H952" s="4">
        <v>700</v>
      </c>
      <c r="I952" s="4">
        <v>693</v>
      </c>
      <c r="J952" s="5">
        <v>0.01</v>
      </c>
      <c r="K952" s="3">
        <v>77</v>
      </c>
      <c r="L952" s="4">
        <f>tblSales[[#This Row],[Quantity]]*tblSales[[#This Row],[Actual Price]]</f>
        <v>53361</v>
      </c>
    </row>
    <row r="953" spans="1:12" x14ac:dyDescent="0.35">
      <c r="A953" s="3" t="s">
        <v>1482</v>
      </c>
      <c r="B953" s="4" t="s">
        <v>158</v>
      </c>
      <c r="C953" s="4" t="s">
        <v>109</v>
      </c>
      <c r="D953" s="4" t="s">
        <v>20</v>
      </c>
      <c r="E953" s="7">
        <v>41988</v>
      </c>
      <c r="F953" s="4" t="s">
        <v>15</v>
      </c>
      <c r="G953" s="4" t="s">
        <v>305</v>
      </c>
      <c r="H953" s="4">
        <v>80</v>
      </c>
      <c r="I953" s="4">
        <v>56</v>
      </c>
      <c r="J953" s="5">
        <v>0.3</v>
      </c>
      <c r="K953" s="3">
        <v>88</v>
      </c>
      <c r="L953" s="4">
        <f>tblSales[[#This Row],[Quantity]]*tblSales[[#This Row],[Actual Price]]</f>
        <v>4928</v>
      </c>
    </row>
    <row r="954" spans="1:12" x14ac:dyDescent="0.35">
      <c r="A954" s="3" t="s">
        <v>1483</v>
      </c>
      <c r="B954" s="4" t="s">
        <v>125</v>
      </c>
      <c r="C954" s="4" t="s">
        <v>41</v>
      </c>
      <c r="D954" s="4" t="s">
        <v>36</v>
      </c>
      <c r="E954" s="7">
        <v>41813</v>
      </c>
      <c r="F954" s="4" t="s">
        <v>42</v>
      </c>
      <c r="G954" s="4" t="s">
        <v>971</v>
      </c>
      <c r="H954" s="4">
        <v>30</v>
      </c>
      <c r="I954" s="4">
        <v>27</v>
      </c>
      <c r="J954" s="5">
        <v>0.1</v>
      </c>
      <c r="K954" s="3">
        <v>3</v>
      </c>
      <c r="L954" s="4">
        <f>tblSales[[#This Row],[Quantity]]*tblSales[[#This Row],[Actual Price]]</f>
        <v>81</v>
      </c>
    </row>
    <row r="955" spans="1:12" x14ac:dyDescent="0.35">
      <c r="A955" s="3" t="s">
        <v>1484</v>
      </c>
      <c r="B955" s="4" t="s">
        <v>225</v>
      </c>
      <c r="C955" s="4" t="s">
        <v>51</v>
      </c>
      <c r="D955" s="4" t="s">
        <v>25</v>
      </c>
      <c r="E955" s="7">
        <v>41807</v>
      </c>
      <c r="F955" s="4" t="s">
        <v>105</v>
      </c>
      <c r="G955" s="4" t="s">
        <v>414</v>
      </c>
      <c r="H955" s="4">
        <v>70</v>
      </c>
      <c r="I955" s="4">
        <v>67</v>
      </c>
      <c r="J955" s="5">
        <v>4.2900000000000001E-2</v>
      </c>
      <c r="K955" s="3">
        <v>55</v>
      </c>
      <c r="L955" s="4">
        <f>tblSales[[#This Row],[Quantity]]*tblSales[[#This Row],[Actual Price]]</f>
        <v>3685</v>
      </c>
    </row>
    <row r="956" spans="1:12" x14ac:dyDescent="0.35">
      <c r="A956" s="3" t="s">
        <v>1485</v>
      </c>
      <c r="B956" s="4" t="s">
        <v>158</v>
      </c>
      <c r="C956" s="4" t="s">
        <v>109</v>
      </c>
      <c r="D956" s="4" t="s">
        <v>20</v>
      </c>
      <c r="E956" s="7">
        <v>42326</v>
      </c>
      <c r="F956" s="4" t="s">
        <v>123</v>
      </c>
      <c r="G956" s="4" t="s">
        <v>1287</v>
      </c>
      <c r="H956" s="4">
        <v>50</v>
      </c>
      <c r="I956" s="4">
        <v>33</v>
      </c>
      <c r="J956" s="5">
        <v>0.34</v>
      </c>
      <c r="K956" s="3">
        <v>58</v>
      </c>
      <c r="L956" s="4">
        <f>tblSales[[#This Row],[Quantity]]*tblSales[[#This Row],[Actual Price]]</f>
        <v>1914</v>
      </c>
    </row>
    <row r="957" spans="1:12" x14ac:dyDescent="0.35">
      <c r="A957" s="3" t="s">
        <v>1486</v>
      </c>
      <c r="B957" s="4" t="s">
        <v>271</v>
      </c>
      <c r="C957" s="4" t="s">
        <v>272</v>
      </c>
      <c r="D957" s="4" t="s">
        <v>36</v>
      </c>
      <c r="E957" s="7">
        <v>41876</v>
      </c>
      <c r="F957" s="4" t="s">
        <v>15</v>
      </c>
      <c r="G957" s="4" t="s">
        <v>716</v>
      </c>
      <c r="H957" s="4">
        <v>80</v>
      </c>
      <c r="I957" s="4">
        <v>78</v>
      </c>
      <c r="J957" s="5">
        <v>2.5000000000000001E-2</v>
      </c>
      <c r="K957" s="3">
        <v>31</v>
      </c>
      <c r="L957" s="4">
        <f>tblSales[[#This Row],[Quantity]]*tblSales[[#This Row],[Actual Price]]</f>
        <v>2418</v>
      </c>
    </row>
    <row r="958" spans="1:12" x14ac:dyDescent="0.35">
      <c r="A958" s="3" t="s">
        <v>1487</v>
      </c>
      <c r="B958" s="4" t="s">
        <v>50</v>
      </c>
      <c r="C958" s="4" t="s">
        <v>51</v>
      </c>
      <c r="D958" s="4" t="s">
        <v>25</v>
      </c>
      <c r="E958" s="7">
        <v>42051</v>
      </c>
      <c r="F958" s="4" t="s">
        <v>37</v>
      </c>
      <c r="G958" s="4" t="s">
        <v>52</v>
      </c>
      <c r="H958" s="4">
        <v>50</v>
      </c>
      <c r="I958" s="4">
        <v>49</v>
      </c>
      <c r="J958" s="5">
        <v>0.02</v>
      </c>
      <c r="K958" s="3">
        <v>25</v>
      </c>
      <c r="L958" s="4">
        <f>tblSales[[#This Row],[Quantity]]*tblSales[[#This Row],[Actual Price]]</f>
        <v>1225</v>
      </c>
    </row>
    <row r="959" spans="1:12" x14ac:dyDescent="0.35">
      <c r="A959" s="3" t="s">
        <v>1488</v>
      </c>
      <c r="B959" s="4" t="s">
        <v>171</v>
      </c>
      <c r="C959" s="4" t="s">
        <v>172</v>
      </c>
      <c r="D959" s="4" t="s">
        <v>14</v>
      </c>
      <c r="E959" s="7">
        <v>43144</v>
      </c>
      <c r="F959" s="4" t="s">
        <v>15</v>
      </c>
      <c r="G959" s="4" t="s">
        <v>1101</v>
      </c>
      <c r="H959" s="4">
        <v>80</v>
      </c>
      <c r="I959" s="4">
        <v>69</v>
      </c>
      <c r="J959" s="5">
        <v>0.13750000000000001</v>
      </c>
      <c r="K959" s="3">
        <v>96</v>
      </c>
      <c r="L959" s="4">
        <f>tblSales[[#This Row],[Quantity]]*tblSales[[#This Row],[Actual Price]]</f>
        <v>6624</v>
      </c>
    </row>
    <row r="960" spans="1:12" x14ac:dyDescent="0.35">
      <c r="A960" s="3" t="s">
        <v>1489</v>
      </c>
      <c r="B960" s="4" t="s">
        <v>401</v>
      </c>
      <c r="C960" s="4" t="s">
        <v>402</v>
      </c>
      <c r="D960" s="4" t="s">
        <v>14</v>
      </c>
      <c r="E960" s="7">
        <v>42258</v>
      </c>
      <c r="F960" s="4" t="s">
        <v>123</v>
      </c>
      <c r="G960" s="4" t="s">
        <v>712</v>
      </c>
      <c r="H960" s="4">
        <v>50</v>
      </c>
      <c r="I960" s="4">
        <v>32</v>
      </c>
      <c r="J960" s="5">
        <v>0.36</v>
      </c>
      <c r="K960" s="3">
        <v>7</v>
      </c>
      <c r="L960" s="4">
        <f>tblSales[[#This Row],[Quantity]]*tblSales[[#This Row],[Actual Price]]</f>
        <v>224</v>
      </c>
    </row>
    <row r="961" spans="1:12" x14ac:dyDescent="0.35">
      <c r="A961" s="3" t="s">
        <v>1490</v>
      </c>
      <c r="B961" s="4" t="s">
        <v>50</v>
      </c>
      <c r="C961" s="4" t="s">
        <v>51</v>
      </c>
      <c r="D961" s="4" t="s">
        <v>25</v>
      </c>
      <c r="E961" s="7">
        <v>42378</v>
      </c>
      <c r="F961" s="4" t="s">
        <v>62</v>
      </c>
      <c r="G961" s="4" t="s">
        <v>379</v>
      </c>
      <c r="H961" s="4">
        <v>1000</v>
      </c>
      <c r="I961" s="4">
        <v>580</v>
      </c>
      <c r="J961" s="5">
        <v>0.42</v>
      </c>
      <c r="K961" s="3">
        <v>37</v>
      </c>
      <c r="L961" s="4">
        <f>tblSales[[#This Row],[Quantity]]*tblSales[[#This Row],[Actual Price]]</f>
        <v>21460</v>
      </c>
    </row>
    <row r="962" spans="1:12" x14ac:dyDescent="0.35">
      <c r="A962" s="3" t="s">
        <v>1491</v>
      </c>
      <c r="B962" s="4" t="s">
        <v>242</v>
      </c>
      <c r="C962" s="4" t="s">
        <v>243</v>
      </c>
      <c r="D962" s="4" t="s">
        <v>14</v>
      </c>
      <c r="E962" s="7">
        <v>42546</v>
      </c>
      <c r="F962" s="4" t="s">
        <v>26</v>
      </c>
      <c r="G962" s="4" t="s">
        <v>288</v>
      </c>
      <c r="H962" s="4">
        <v>700</v>
      </c>
      <c r="I962" s="4">
        <v>609</v>
      </c>
      <c r="J962" s="5">
        <v>0.13</v>
      </c>
      <c r="K962" s="3">
        <v>84</v>
      </c>
      <c r="L962" s="4">
        <f>tblSales[[#This Row],[Quantity]]*tblSales[[#This Row],[Actual Price]]</f>
        <v>51156</v>
      </c>
    </row>
    <row r="963" spans="1:12" x14ac:dyDescent="0.35">
      <c r="A963" s="3" t="s">
        <v>1492</v>
      </c>
      <c r="B963" s="4" t="s">
        <v>147</v>
      </c>
      <c r="C963" s="4" t="s">
        <v>148</v>
      </c>
      <c r="D963" s="4" t="s">
        <v>14</v>
      </c>
      <c r="E963" s="7">
        <v>42835</v>
      </c>
      <c r="F963" s="4" t="s">
        <v>47</v>
      </c>
      <c r="G963" s="4" t="s">
        <v>149</v>
      </c>
      <c r="H963" s="4">
        <v>500</v>
      </c>
      <c r="I963" s="4">
        <v>480</v>
      </c>
      <c r="J963" s="5">
        <v>0.04</v>
      </c>
      <c r="K963" s="3">
        <v>42</v>
      </c>
      <c r="L963" s="4">
        <f>tblSales[[#This Row],[Quantity]]*tblSales[[#This Row],[Actual Price]]</f>
        <v>20160</v>
      </c>
    </row>
    <row r="964" spans="1:12" x14ac:dyDescent="0.35">
      <c r="A964" s="3" t="s">
        <v>1493</v>
      </c>
      <c r="B964" s="4" t="s">
        <v>82</v>
      </c>
      <c r="C964" s="4" t="s">
        <v>83</v>
      </c>
      <c r="D964" s="4" t="s">
        <v>14</v>
      </c>
      <c r="E964" s="7">
        <v>42626</v>
      </c>
      <c r="F964" s="4" t="s">
        <v>123</v>
      </c>
      <c r="G964" s="4" t="s">
        <v>1494</v>
      </c>
      <c r="H964" s="4">
        <v>50</v>
      </c>
      <c r="I964" s="4">
        <v>45</v>
      </c>
      <c r="J964" s="5">
        <v>0.1</v>
      </c>
      <c r="K964" s="3">
        <v>5</v>
      </c>
      <c r="L964" s="4">
        <f>tblSales[[#This Row],[Quantity]]*tblSales[[#This Row],[Actual Price]]</f>
        <v>225</v>
      </c>
    </row>
    <row r="965" spans="1:12" x14ac:dyDescent="0.35">
      <c r="A965" s="3" t="s">
        <v>1495</v>
      </c>
      <c r="B965" s="4" t="s">
        <v>92</v>
      </c>
      <c r="C965" s="4" t="s">
        <v>93</v>
      </c>
      <c r="D965" s="4" t="s">
        <v>36</v>
      </c>
      <c r="E965" s="7">
        <v>42530</v>
      </c>
      <c r="F965" s="4" t="s">
        <v>37</v>
      </c>
      <c r="G965" s="4" t="s">
        <v>286</v>
      </c>
      <c r="H965" s="4">
        <v>50</v>
      </c>
      <c r="I965" s="4">
        <v>37</v>
      </c>
      <c r="J965" s="5">
        <v>0.26</v>
      </c>
      <c r="K965" s="3">
        <v>64</v>
      </c>
      <c r="L965" s="4">
        <f>tblSales[[#This Row],[Quantity]]*tblSales[[#This Row],[Actual Price]]</f>
        <v>2368</v>
      </c>
    </row>
    <row r="966" spans="1:12" x14ac:dyDescent="0.35">
      <c r="A966" s="3" t="s">
        <v>1496</v>
      </c>
      <c r="B966" s="4" t="s">
        <v>115</v>
      </c>
      <c r="C966" s="4" t="s">
        <v>55</v>
      </c>
      <c r="D966" s="4" t="s">
        <v>14</v>
      </c>
      <c r="E966" s="7">
        <v>42531</v>
      </c>
      <c r="F966" s="4" t="s">
        <v>47</v>
      </c>
      <c r="G966" s="4" t="s">
        <v>1497</v>
      </c>
      <c r="H966" s="4">
        <v>500</v>
      </c>
      <c r="I966" s="4">
        <v>455</v>
      </c>
      <c r="J966" s="5">
        <v>0.09</v>
      </c>
      <c r="K966" s="3">
        <v>32</v>
      </c>
      <c r="L966" s="4">
        <f>tblSales[[#This Row],[Quantity]]*tblSales[[#This Row],[Actual Price]]</f>
        <v>14560</v>
      </c>
    </row>
    <row r="967" spans="1:12" x14ac:dyDescent="0.35">
      <c r="A967" s="3" t="s">
        <v>1498</v>
      </c>
      <c r="B967" s="4" t="s">
        <v>60</v>
      </c>
      <c r="C967" s="4" t="s">
        <v>61</v>
      </c>
      <c r="D967" s="4" t="s">
        <v>14</v>
      </c>
      <c r="E967" s="7">
        <v>42616</v>
      </c>
      <c r="F967" s="4" t="s">
        <v>123</v>
      </c>
      <c r="G967" s="4" t="s">
        <v>842</v>
      </c>
      <c r="H967" s="4">
        <v>50</v>
      </c>
      <c r="I967" s="4">
        <v>43</v>
      </c>
      <c r="J967" s="5">
        <v>0.14000000000000001</v>
      </c>
      <c r="K967" s="3">
        <v>71</v>
      </c>
      <c r="L967" s="4">
        <f>tblSales[[#This Row],[Quantity]]*tblSales[[#This Row],[Actual Price]]</f>
        <v>3053</v>
      </c>
    </row>
    <row r="968" spans="1:12" x14ac:dyDescent="0.35">
      <c r="A968" s="3" t="s">
        <v>1499</v>
      </c>
      <c r="B968" s="4" t="s">
        <v>54</v>
      </c>
      <c r="C968" s="4" t="s">
        <v>55</v>
      </c>
      <c r="D968" s="4" t="s">
        <v>14</v>
      </c>
      <c r="E968" s="7">
        <v>43014</v>
      </c>
      <c r="F968" s="4" t="s">
        <v>62</v>
      </c>
      <c r="G968" s="4" t="s">
        <v>815</v>
      </c>
      <c r="H968" s="4">
        <v>1000</v>
      </c>
      <c r="I968" s="4">
        <v>780</v>
      </c>
      <c r="J968" s="5">
        <v>0.22</v>
      </c>
      <c r="K968" s="3">
        <v>59</v>
      </c>
      <c r="L968" s="4">
        <f>tblSales[[#This Row],[Quantity]]*tblSales[[#This Row],[Actual Price]]</f>
        <v>46020</v>
      </c>
    </row>
    <row r="969" spans="1:12" x14ac:dyDescent="0.35">
      <c r="A969" s="3" t="s">
        <v>1500</v>
      </c>
      <c r="B969" s="4" t="s">
        <v>265</v>
      </c>
      <c r="C969" s="4" t="s">
        <v>266</v>
      </c>
      <c r="D969" s="4" t="s">
        <v>14</v>
      </c>
      <c r="E969" s="7">
        <v>42995</v>
      </c>
      <c r="F969" s="4" t="s">
        <v>62</v>
      </c>
      <c r="G969" s="4" t="s">
        <v>600</v>
      </c>
      <c r="H969" s="4">
        <v>1000</v>
      </c>
      <c r="I969" s="4">
        <v>670</v>
      </c>
      <c r="J969" s="5">
        <v>0.33</v>
      </c>
      <c r="K969" s="3">
        <v>14</v>
      </c>
      <c r="L969" s="4">
        <f>tblSales[[#This Row],[Quantity]]*tblSales[[#This Row],[Actual Price]]</f>
        <v>9380</v>
      </c>
    </row>
    <row r="970" spans="1:12" x14ac:dyDescent="0.35">
      <c r="A970" s="3" t="s">
        <v>1501</v>
      </c>
      <c r="B970" s="4" t="s">
        <v>18</v>
      </c>
      <c r="C970" s="4" t="s">
        <v>19</v>
      </c>
      <c r="D970" s="4" t="s">
        <v>20</v>
      </c>
      <c r="E970" s="7">
        <v>42291</v>
      </c>
      <c r="F970" s="4" t="s">
        <v>15</v>
      </c>
      <c r="G970" s="4" t="s">
        <v>914</v>
      </c>
      <c r="H970" s="4">
        <v>80</v>
      </c>
      <c r="I970" s="4">
        <v>77</v>
      </c>
      <c r="J970" s="5">
        <v>3.7499999999999999E-2</v>
      </c>
      <c r="K970" s="3">
        <v>68</v>
      </c>
      <c r="L970" s="4">
        <f>tblSales[[#This Row],[Quantity]]*tblSales[[#This Row],[Actual Price]]</f>
        <v>5236</v>
      </c>
    </row>
    <row r="971" spans="1:12" x14ac:dyDescent="0.35">
      <c r="A971" s="3" t="s">
        <v>1502</v>
      </c>
      <c r="B971" s="4" t="s">
        <v>50</v>
      </c>
      <c r="C971" s="4" t="s">
        <v>51</v>
      </c>
      <c r="D971" s="4" t="s">
        <v>25</v>
      </c>
      <c r="E971" s="7">
        <v>42981</v>
      </c>
      <c r="F971" s="4" t="s">
        <v>42</v>
      </c>
      <c r="G971" s="4" t="s">
        <v>1503</v>
      </c>
      <c r="H971" s="4">
        <v>30</v>
      </c>
      <c r="I971" s="4">
        <v>29</v>
      </c>
      <c r="J971" s="5">
        <v>3.3300000000000003E-2</v>
      </c>
      <c r="K971" s="3">
        <v>23</v>
      </c>
      <c r="L971" s="4">
        <f>tblSales[[#This Row],[Quantity]]*tblSales[[#This Row],[Actual Price]]</f>
        <v>667</v>
      </c>
    </row>
    <row r="972" spans="1:12" x14ac:dyDescent="0.35">
      <c r="A972" s="3" t="s">
        <v>1504</v>
      </c>
      <c r="B972" s="4" t="s">
        <v>135</v>
      </c>
      <c r="C972" s="4" t="s">
        <v>93</v>
      </c>
      <c r="D972" s="4" t="s">
        <v>36</v>
      </c>
      <c r="E972" s="7">
        <v>41745</v>
      </c>
      <c r="F972" s="4" t="s">
        <v>116</v>
      </c>
      <c r="G972" s="4" t="s">
        <v>1128</v>
      </c>
      <c r="H972" s="4">
        <v>250</v>
      </c>
      <c r="I972" s="4">
        <v>225</v>
      </c>
      <c r="J972" s="5">
        <v>0.1</v>
      </c>
      <c r="K972" s="3">
        <v>89</v>
      </c>
      <c r="L972" s="4">
        <f>tblSales[[#This Row],[Quantity]]*tblSales[[#This Row],[Actual Price]]</f>
        <v>20025</v>
      </c>
    </row>
    <row r="973" spans="1:12" x14ac:dyDescent="0.35">
      <c r="A973" s="3" t="s">
        <v>1505</v>
      </c>
      <c r="B973" s="4" t="s">
        <v>128</v>
      </c>
      <c r="C973" s="4" t="s">
        <v>129</v>
      </c>
      <c r="D973" s="4" t="s">
        <v>14</v>
      </c>
      <c r="E973" s="7">
        <v>43354</v>
      </c>
      <c r="F973" s="4" t="s">
        <v>116</v>
      </c>
      <c r="G973" s="4" t="s">
        <v>234</v>
      </c>
      <c r="H973" s="4">
        <v>250</v>
      </c>
      <c r="I973" s="4">
        <v>228</v>
      </c>
      <c r="J973" s="5">
        <v>8.7999999999999995E-2</v>
      </c>
      <c r="K973" s="3">
        <v>69</v>
      </c>
      <c r="L973" s="4">
        <f>tblSales[[#This Row],[Quantity]]*tblSales[[#This Row],[Actual Price]]</f>
        <v>15732</v>
      </c>
    </row>
    <row r="974" spans="1:12" x14ac:dyDescent="0.35">
      <c r="A974" s="3" t="s">
        <v>1506</v>
      </c>
      <c r="B974" s="4" t="s">
        <v>256</v>
      </c>
      <c r="C974" s="4" t="s">
        <v>257</v>
      </c>
      <c r="D974" s="4" t="s">
        <v>14</v>
      </c>
      <c r="E974" s="7">
        <v>41824</v>
      </c>
      <c r="F974" s="4" t="s">
        <v>116</v>
      </c>
      <c r="G974" s="4" t="s">
        <v>806</v>
      </c>
      <c r="H974" s="4">
        <v>250</v>
      </c>
      <c r="I974" s="4">
        <v>225</v>
      </c>
      <c r="J974" s="5">
        <v>0.1</v>
      </c>
      <c r="K974" s="3">
        <v>33</v>
      </c>
      <c r="L974" s="4">
        <f>tblSales[[#This Row],[Quantity]]*tblSales[[#This Row],[Actual Price]]</f>
        <v>7425</v>
      </c>
    </row>
    <row r="975" spans="1:12" x14ac:dyDescent="0.35">
      <c r="A975" s="3" t="s">
        <v>1507</v>
      </c>
      <c r="B975" s="4" t="s">
        <v>256</v>
      </c>
      <c r="C975" s="4" t="s">
        <v>257</v>
      </c>
      <c r="D975" s="4" t="s">
        <v>14</v>
      </c>
      <c r="E975" s="7">
        <v>43031</v>
      </c>
      <c r="F975" s="4" t="s">
        <v>42</v>
      </c>
      <c r="G975" s="4" t="s">
        <v>1267</v>
      </c>
      <c r="H975" s="4">
        <v>30</v>
      </c>
      <c r="I975" s="4">
        <v>28</v>
      </c>
      <c r="J975" s="5">
        <v>6.6699999999999995E-2</v>
      </c>
      <c r="K975" s="3">
        <v>86</v>
      </c>
      <c r="L975" s="4">
        <f>tblSales[[#This Row],[Quantity]]*tblSales[[#This Row],[Actual Price]]</f>
        <v>2408</v>
      </c>
    </row>
    <row r="976" spans="1:12" x14ac:dyDescent="0.35">
      <c r="A976" s="3" t="s">
        <v>1508</v>
      </c>
      <c r="B976" s="4" t="s">
        <v>18</v>
      </c>
      <c r="C976" s="4" t="s">
        <v>19</v>
      </c>
      <c r="D976" s="4" t="s">
        <v>20</v>
      </c>
      <c r="E976" s="7">
        <v>43413</v>
      </c>
      <c r="F976" s="4" t="s">
        <v>15</v>
      </c>
      <c r="G976" s="4" t="s">
        <v>544</v>
      </c>
      <c r="H976" s="4">
        <v>80</v>
      </c>
      <c r="I976" s="4">
        <v>72</v>
      </c>
      <c r="J976" s="5">
        <v>0.1</v>
      </c>
      <c r="K976" s="3">
        <v>39</v>
      </c>
      <c r="L976" s="4">
        <f>tblSales[[#This Row],[Quantity]]*tblSales[[#This Row],[Actual Price]]</f>
        <v>2808</v>
      </c>
    </row>
    <row r="977" spans="1:12" x14ac:dyDescent="0.35">
      <c r="A977" s="3" t="s">
        <v>1509</v>
      </c>
      <c r="B977" s="4" t="s">
        <v>222</v>
      </c>
      <c r="C977" s="4" t="s">
        <v>41</v>
      </c>
      <c r="D977" s="4" t="s">
        <v>36</v>
      </c>
      <c r="E977" s="7">
        <v>41821</v>
      </c>
      <c r="F977" s="4" t="s">
        <v>105</v>
      </c>
      <c r="G977" s="4" t="s">
        <v>1060</v>
      </c>
      <c r="H977" s="4">
        <v>70</v>
      </c>
      <c r="I977" s="4">
        <v>62</v>
      </c>
      <c r="J977" s="5">
        <v>0.1143</v>
      </c>
      <c r="K977" s="3">
        <v>99</v>
      </c>
      <c r="L977" s="4">
        <f>tblSales[[#This Row],[Quantity]]*tblSales[[#This Row],[Actual Price]]</f>
        <v>6138</v>
      </c>
    </row>
    <row r="978" spans="1:12" x14ac:dyDescent="0.35">
      <c r="A978" s="3" t="s">
        <v>1510</v>
      </c>
      <c r="B978" s="4" t="s">
        <v>96</v>
      </c>
      <c r="C978" s="4" t="s">
        <v>97</v>
      </c>
      <c r="D978" s="4" t="s">
        <v>14</v>
      </c>
      <c r="E978" s="7">
        <v>43106</v>
      </c>
      <c r="F978" s="4" t="s">
        <v>123</v>
      </c>
      <c r="G978" s="4" t="s">
        <v>646</v>
      </c>
      <c r="H978" s="4">
        <v>50</v>
      </c>
      <c r="I978" s="4">
        <v>31</v>
      </c>
      <c r="J978" s="5">
        <v>0.38</v>
      </c>
      <c r="K978" s="3">
        <v>32</v>
      </c>
      <c r="L978" s="4">
        <f>tblSales[[#This Row],[Quantity]]*tblSales[[#This Row],[Actual Price]]</f>
        <v>992</v>
      </c>
    </row>
    <row r="979" spans="1:12" x14ac:dyDescent="0.35">
      <c r="A979" s="3" t="s">
        <v>1511</v>
      </c>
      <c r="B979" s="4" t="s">
        <v>171</v>
      </c>
      <c r="C979" s="4" t="s">
        <v>172</v>
      </c>
      <c r="D979" s="4" t="s">
        <v>14</v>
      </c>
      <c r="E979" s="7">
        <v>42159</v>
      </c>
      <c r="F979" s="4" t="s">
        <v>116</v>
      </c>
      <c r="G979" s="4" t="s">
        <v>275</v>
      </c>
      <c r="H979" s="4">
        <v>250</v>
      </c>
      <c r="I979" s="4">
        <v>190</v>
      </c>
      <c r="J979" s="5">
        <v>0.24</v>
      </c>
      <c r="K979" s="3">
        <v>51</v>
      </c>
      <c r="L979" s="4">
        <f>tblSales[[#This Row],[Quantity]]*tblSales[[#This Row],[Actual Price]]</f>
        <v>9690</v>
      </c>
    </row>
    <row r="980" spans="1:12" x14ac:dyDescent="0.35">
      <c r="A980" s="3" t="s">
        <v>1512</v>
      </c>
      <c r="B980" s="4" t="s">
        <v>78</v>
      </c>
      <c r="C980" s="4" t="s">
        <v>79</v>
      </c>
      <c r="D980" s="4" t="s">
        <v>36</v>
      </c>
      <c r="E980" s="7">
        <v>42477</v>
      </c>
      <c r="F980" s="4" t="s">
        <v>15</v>
      </c>
      <c r="G980" s="4" t="s">
        <v>163</v>
      </c>
      <c r="H980" s="4">
        <v>80</v>
      </c>
      <c r="I980" s="4">
        <v>78</v>
      </c>
      <c r="J980" s="5">
        <v>2.5000000000000001E-2</v>
      </c>
      <c r="K980" s="3">
        <v>35</v>
      </c>
      <c r="L980" s="4">
        <f>tblSales[[#This Row],[Quantity]]*tblSales[[#This Row],[Actual Price]]</f>
        <v>2730</v>
      </c>
    </row>
    <row r="981" spans="1:12" x14ac:dyDescent="0.35">
      <c r="A981" s="3" t="s">
        <v>1513</v>
      </c>
      <c r="B981" s="4" t="s">
        <v>92</v>
      </c>
      <c r="C981" s="4" t="s">
        <v>93</v>
      </c>
      <c r="D981" s="4" t="s">
        <v>36</v>
      </c>
      <c r="E981" s="7">
        <v>41697</v>
      </c>
      <c r="F981" s="4" t="s">
        <v>26</v>
      </c>
      <c r="G981" s="4" t="s">
        <v>1514</v>
      </c>
      <c r="H981" s="4">
        <v>700</v>
      </c>
      <c r="I981" s="4">
        <v>651</v>
      </c>
      <c r="J981" s="5">
        <v>7.0000000000000007E-2</v>
      </c>
      <c r="K981" s="3">
        <v>30</v>
      </c>
      <c r="L981" s="4">
        <f>tblSales[[#This Row],[Quantity]]*tblSales[[#This Row],[Actual Price]]</f>
        <v>19530</v>
      </c>
    </row>
    <row r="982" spans="1:12" x14ac:dyDescent="0.35">
      <c r="A982" s="3" t="s">
        <v>1515</v>
      </c>
      <c r="B982" s="4" t="s">
        <v>256</v>
      </c>
      <c r="C982" s="4" t="s">
        <v>257</v>
      </c>
      <c r="D982" s="4" t="s">
        <v>14</v>
      </c>
      <c r="E982" s="7">
        <v>43127</v>
      </c>
      <c r="F982" s="4" t="s">
        <v>15</v>
      </c>
      <c r="G982" s="4" t="s">
        <v>801</v>
      </c>
      <c r="H982" s="4">
        <v>80</v>
      </c>
      <c r="I982" s="4">
        <v>70</v>
      </c>
      <c r="J982" s="5">
        <v>0.125</v>
      </c>
      <c r="K982" s="3">
        <v>54</v>
      </c>
      <c r="L982" s="4">
        <f>tblSales[[#This Row],[Quantity]]*tblSales[[#This Row],[Actual Price]]</f>
        <v>3780</v>
      </c>
    </row>
    <row r="983" spans="1:12" x14ac:dyDescent="0.35">
      <c r="A983" s="3" t="s">
        <v>1516</v>
      </c>
      <c r="B983" s="4" t="s">
        <v>183</v>
      </c>
      <c r="C983" s="4" t="s">
        <v>109</v>
      </c>
      <c r="D983" s="4" t="s">
        <v>20</v>
      </c>
      <c r="E983" s="7">
        <v>41902</v>
      </c>
      <c r="F983" s="4" t="s">
        <v>105</v>
      </c>
      <c r="G983" s="4" t="s">
        <v>1296</v>
      </c>
      <c r="H983" s="4">
        <v>70</v>
      </c>
      <c r="I983" s="4">
        <v>64</v>
      </c>
      <c r="J983" s="5">
        <v>8.5699999999999998E-2</v>
      </c>
      <c r="K983" s="3">
        <v>20</v>
      </c>
      <c r="L983" s="4">
        <f>tblSales[[#This Row],[Quantity]]*tblSales[[#This Row],[Actual Price]]</f>
        <v>1280</v>
      </c>
    </row>
    <row r="984" spans="1:12" x14ac:dyDescent="0.35">
      <c r="A984" s="3" t="s">
        <v>1517</v>
      </c>
      <c r="B984" s="4" t="s">
        <v>86</v>
      </c>
      <c r="C984" s="4" t="s">
        <v>87</v>
      </c>
      <c r="D984" s="4" t="s">
        <v>14</v>
      </c>
      <c r="E984" s="7">
        <v>43272</v>
      </c>
      <c r="F984" s="4" t="s">
        <v>42</v>
      </c>
      <c r="G984" s="4" t="s">
        <v>1250</v>
      </c>
      <c r="H984" s="4">
        <v>30</v>
      </c>
      <c r="I984" s="4">
        <v>30</v>
      </c>
      <c r="J984" s="5">
        <v>0</v>
      </c>
      <c r="K984" s="3">
        <v>3</v>
      </c>
      <c r="L984" s="4">
        <f>tblSales[[#This Row],[Quantity]]*tblSales[[#This Row],[Actual Price]]</f>
        <v>90</v>
      </c>
    </row>
    <row r="985" spans="1:12" x14ac:dyDescent="0.35">
      <c r="A985" s="3" t="s">
        <v>1518</v>
      </c>
      <c r="B985" s="4" t="s">
        <v>104</v>
      </c>
      <c r="C985" s="4" t="s">
        <v>72</v>
      </c>
      <c r="D985" s="4" t="s">
        <v>36</v>
      </c>
      <c r="E985" s="7">
        <v>41967</v>
      </c>
      <c r="F985" s="4" t="s">
        <v>73</v>
      </c>
      <c r="G985" s="4" t="s">
        <v>728</v>
      </c>
      <c r="H985" s="4">
        <v>500</v>
      </c>
      <c r="I985" s="4">
        <v>490</v>
      </c>
      <c r="J985" s="5">
        <v>0.02</v>
      </c>
      <c r="K985" s="3">
        <v>62</v>
      </c>
      <c r="L985" s="4">
        <f>tblSales[[#This Row],[Quantity]]*tblSales[[#This Row],[Actual Price]]</f>
        <v>30380</v>
      </c>
    </row>
    <row r="986" spans="1:12" x14ac:dyDescent="0.35">
      <c r="A986" s="3" t="s">
        <v>1519</v>
      </c>
      <c r="B986" s="4" t="s">
        <v>147</v>
      </c>
      <c r="C986" s="4" t="s">
        <v>148</v>
      </c>
      <c r="D986" s="4" t="s">
        <v>14</v>
      </c>
      <c r="E986" s="7">
        <v>43018</v>
      </c>
      <c r="F986" s="4" t="s">
        <v>31</v>
      </c>
      <c r="G986" s="4" t="s">
        <v>1236</v>
      </c>
      <c r="H986" s="4">
        <v>150</v>
      </c>
      <c r="I986" s="4">
        <v>138</v>
      </c>
      <c r="J986" s="5">
        <v>0.08</v>
      </c>
      <c r="K986" s="3">
        <v>61</v>
      </c>
      <c r="L986" s="4">
        <f>tblSales[[#This Row],[Quantity]]*tblSales[[#This Row],[Actual Price]]</f>
        <v>8418</v>
      </c>
    </row>
    <row r="987" spans="1:12" x14ac:dyDescent="0.35">
      <c r="A987" s="3" t="s">
        <v>1520</v>
      </c>
      <c r="B987" s="4" t="s">
        <v>206</v>
      </c>
      <c r="C987" s="4" t="s">
        <v>207</v>
      </c>
      <c r="D987" s="4" t="s">
        <v>25</v>
      </c>
      <c r="E987" s="7">
        <v>43012</v>
      </c>
      <c r="F987" s="4" t="s">
        <v>116</v>
      </c>
      <c r="G987" s="4" t="s">
        <v>760</v>
      </c>
      <c r="H987" s="4">
        <v>250</v>
      </c>
      <c r="I987" s="4">
        <v>235</v>
      </c>
      <c r="J987" s="5">
        <v>0.06</v>
      </c>
      <c r="K987" s="3">
        <v>75</v>
      </c>
      <c r="L987" s="4">
        <f>tblSales[[#This Row],[Quantity]]*tblSales[[#This Row],[Actual Price]]</f>
        <v>17625</v>
      </c>
    </row>
    <row r="988" spans="1:12" x14ac:dyDescent="0.35">
      <c r="A988" s="3" t="s">
        <v>1521</v>
      </c>
      <c r="B988" s="4" t="s">
        <v>40</v>
      </c>
      <c r="C988" s="4" t="s">
        <v>41</v>
      </c>
      <c r="D988" s="4" t="s">
        <v>36</v>
      </c>
      <c r="E988" s="7">
        <v>42112</v>
      </c>
      <c r="F988" s="4" t="s">
        <v>73</v>
      </c>
      <c r="G988" s="4" t="s">
        <v>1291</v>
      </c>
      <c r="H988" s="4">
        <v>500</v>
      </c>
      <c r="I988" s="4">
        <v>500</v>
      </c>
      <c r="J988" s="5">
        <v>0</v>
      </c>
      <c r="K988" s="3">
        <v>97</v>
      </c>
      <c r="L988" s="4">
        <f>tblSales[[#This Row],[Quantity]]*tblSales[[#This Row],[Actual Price]]</f>
        <v>48500</v>
      </c>
    </row>
    <row r="989" spans="1:12" x14ac:dyDescent="0.35">
      <c r="A989" s="3" t="s">
        <v>1522</v>
      </c>
      <c r="B989" s="4" t="s">
        <v>82</v>
      </c>
      <c r="C989" s="4" t="s">
        <v>83</v>
      </c>
      <c r="D989" s="4" t="s">
        <v>14</v>
      </c>
      <c r="E989" s="7">
        <v>42764</v>
      </c>
      <c r="F989" s="4" t="s">
        <v>56</v>
      </c>
      <c r="G989" s="4" t="s">
        <v>1233</v>
      </c>
      <c r="H989" s="4">
        <v>800</v>
      </c>
      <c r="I989" s="4">
        <v>616</v>
      </c>
      <c r="J989" s="5">
        <v>0.23</v>
      </c>
      <c r="K989" s="3">
        <v>32</v>
      </c>
      <c r="L989" s="4">
        <f>tblSales[[#This Row],[Quantity]]*tblSales[[#This Row],[Actual Price]]</f>
        <v>19712</v>
      </c>
    </row>
    <row r="990" spans="1:12" x14ac:dyDescent="0.35">
      <c r="A990" s="3" t="s">
        <v>1523</v>
      </c>
      <c r="B990" s="4" t="s">
        <v>401</v>
      </c>
      <c r="C990" s="4" t="s">
        <v>402</v>
      </c>
      <c r="D990" s="4" t="s">
        <v>14</v>
      </c>
      <c r="E990" s="7">
        <v>42671</v>
      </c>
      <c r="F990" s="4" t="s">
        <v>56</v>
      </c>
      <c r="G990" s="4" t="s">
        <v>444</v>
      </c>
      <c r="H990" s="4">
        <v>800</v>
      </c>
      <c r="I990" s="4">
        <v>664</v>
      </c>
      <c r="J990" s="5">
        <v>0.17</v>
      </c>
      <c r="K990" s="3">
        <v>58</v>
      </c>
      <c r="L990" s="4">
        <f>tblSales[[#This Row],[Quantity]]*tblSales[[#This Row],[Actual Price]]</f>
        <v>38512</v>
      </c>
    </row>
    <row r="991" spans="1:12" x14ac:dyDescent="0.35">
      <c r="A991" s="3" t="s">
        <v>1524</v>
      </c>
      <c r="B991" s="4" t="s">
        <v>112</v>
      </c>
      <c r="C991" s="4" t="s">
        <v>83</v>
      </c>
      <c r="D991" s="4" t="s">
        <v>14</v>
      </c>
      <c r="E991" s="7">
        <v>41726</v>
      </c>
      <c r="F991" s="4" t="s">
        <v>73</v>
      </c>
      <c r="G991" s="4" t="s">
        <v>296</v>
      </c>
      <c r="H991" s="4">
        <v>500</v>
      </c>
      <c r="I991" s="4">
        <v>500</v>
      </c>
      <c r="J991" s="5">
        <v>0</v>
      </c>
      <c r="K991" s="3">
        <v>39</v>
      </c>
      <c r="L991" s="4">
        <f>tblSales[[#This Row],[Quantity]]*tblSales[[#This Row],[Actual Price]]</f>
        <v>19500</v>
      </c>
    </row>
    <row r="992" spans="1:12" x14ac:dyDescent="0.35">
      <c r="A992" s="3" t="s">
        <v>1525</v>
      </c>
      <c r="B992" s="4" t="s">
        <v>401</v>
      </c>
      <c r="C992" s="4" t="s">
        <v>402</v>
      </c>
      <c r="D992" s="4" t="s">
        <v>14</v>
      </c>
      <c r="E992" s="7">
        <v>43019</v>
      </c>
      <c r="F992" s="4" t="s">
        <v>37</v>
      </c>
      <c r="G992" s="4" t="s">
        <v>857</v>
      </c>
      <c r="H992" s="4">
        <v>50</v>
      </c>
      <c r="I992" s="4">
        <v>46</v>
      </c>
      <c r="J992" s="5">
        <v>0.08</v>
      </c>
      <c r="K992" s="3">
        <v>18</v>
      </c>
      <c r="L992" s="4">
        <f>tblSales[[#This Row],[Quantity]]*tblSales[[#This Row],[Actual Price]]</f>
        <v>828</v>
      </c>
    </row>
    <row r="993" spans="1:12" x14ac:dyDescent="0.35">
      <c r="A993" s="3" t="s">
        <v>1526</v>
      </c>
      <c r="B993" s="4" t="s">
        <v>40</v>
      </c>
      <c r="C993" s="4" t="s">
        <v>41</v>
      </c>
      <c r="D993" s="4" t="s">
        <v>36</v>
      </c>
      <c r="E993" s="7">
        <v>42385</v>
      </c>
      <c r="F993" s="4" t="s">
        <v>31</v>
      </c>
      <c r="G993" s="4" t="s">
        <v>1527</v>
      </c>
      <c r="H993" s="4">
        <v>150</v>
      </c>
      <c r="I993" s="4">
        <v>138</v>
      </c>
      <c r="J993" s="5">
        <v>0.08</v>
      </c>
      <c r="K993" s="3">
        <v>72</v>
      </c>
      <c r="L993" s="4">
        <f>tblSales[[#This Row],[Quantity]]*tblSales[[#This Row],[Actual Price]]</f>
        <v>9936</v>
      </c>
    </row>
    <row r="994" spans="1:12" x14ac:dyDescent="0.35">
      <c r="A994" s="3" t="s">
        <v>1528</v>
      </c>
      <c r="B994" s="4" t="s">
        <v>222</v>
      </c>
      <c r="C994" s="4" t="s">
        <v>41</v>
      </c>
      <c r="D994" s="4" t="s">
        <v>36</v>
      </c>
      <c r="E994" s="7">
        <v>41670</v>
      </c>
      <c r="F994" s="4" t="s">
        <v>42</v>
      </c>
      <c r="G994" s="4" t="s">
        <v>246</v>
      </c>
      <c r="H994" s="4">
        <v>30</v>
      </c>
      <c r="I994" s="4">
        <v>28</v>
      </c>
      <c r="J994" s="5">
        <v>6.6699999999999995E-2</v>
      </c>
      <c r="K994" s="3">
        <v>16</v>
      </c>
      <c r="L994" s="4">
        <f>tblSales[[#This Row],[Quantity]]*tblSales[[#This Row],[Actual Price]]</f>
        <v>448</v>
      </c>
    </row>
    <row r="995" spans="1:12" x14ac:dyDescent="0.35">
      <c r="A995" s="3" t="s">
        <v>1529</v>
      </c>
      <c r="B995" s="4" t="s">
        <v>228</v>
      </c>
      <c r="C995" s="4" t="s">
        <v>229</v>
      </c>
      <c r="D995" s="4" t="s">
        <v>25</v>
      </c>
      <c r="E995" s="7">
        <v>42373</v>
      </c>
      <c r="F995" s="4" t="s">
        <v>123</v>
      </c>
      <c r="G995" s="4" t="s">
        <v>1401</v>
      </c>
      <c r="H995" s="4">
        <v>50</v>
      </c>
      <c r="I995" s="4">
        <v>49</v>
      </c>
      <c r="J995" s="5">
        <v>0.02</v>
      </c>
      <c r="K995" s="3">
        <v>7</v>
      </c>
      <c r="L995" s="4">
        <f>tblSales[[#This Row],[Quantity]]*tblSales[[#This Row],[Actual Price]]</f>
        <v>343</v>
      </c>
    </row>
    <row r="996" spans="1:12" x14ac:dyDescent="0.35">
      <c r="A996" s="3" t="s">
        <v>1530</v>
      </c>
      <c r="B996" s="4" t="s">
        <v>158</v>
      </c>
      <c r="C996" s="4" t="s">
        <v>109</v>
      </c>
      <c r="D996" s="4" t="s">
        <v>20</v>
      </c>
      <c r="E996" s="7">
        <v>43419</v>
      </c>
      <c r="F996" s="4" t="s">
        <v>42</v>
      </c>
      <c r="G996" s="4" t="s">
        <v>634</v>
      </c>
      <c r="H996" s="4">
        <v>30</v>
      </c>
      <c r="I996" s="4">
        <v>29</v>
      </c>
      <c r="J996" s="5">
        <v>3.3300000000000003E-2</v>
      </c>
      <c r="K996" s="3">
        <v>14</v>
      </c>
      <c r="L996" s="4">
        <f>tblSales[[#This Row],[Quantity]]*tblSales[[#This Row],[Actual Price]]</f>
        <v>406</v>
      </c>
    </row>
    <row r="997" spans="1:12" x14ac:dyDescent="0.35">
      <c r="A997" s="3" t="s">
        <v>1531</v>
      </c>
      <c r="B997" s="4" t="s">
        <v>104</v>
      </c>
      <c r="C997" s="4" t="s">
        <v>72</v>
      </c>
      <c r="D997" s="4" t="s">
        <v>36</v>
      </c>
      <c r="E997" s="7">
        <v>42938</v>
      </c>
      <c r="F997" s="4" t="s">
        <v>116</v>
      </c>
      <c r="G997" s="4" t="s">
        <v>1532</v>
      </c>
      <c r="H997" s="4">
        <v>250</v>
      </c>
      <c r="I997" s="4">
        <v>238</v>
      </c>
      <c r="J997" s="5">
        <v>4.8000000000000001E-2</v>
      </c>
      <c r="K997" s="3">
        <v>36</v>
      </c>
      <c r="L997" s="4">
        <f>tblSales[[#This Row],[Quantity]]*tblSales[[#This Row],[Actual Price]]</f>
        <v>8568</v>
      </c>
    </row>
    <row r="998" spans="1:12" x14ac:dyDescent="0.35">
      <c r="A998" s="3" t="s">
        <v>1533</v>
      </c>
      <c r="B998" s="4" t="s">
        <v>29</v>
      </c>
      <c r="C998" s="4" t="s">
        <v>30</v>
      </c>
      <c r="D998" s="4" t="s">
        <v>14</v>
      </c>
      <c r="E998" s="7">
        <v>43230</v>
      </c>
      <c r="F998" s="4" t="s">
        <v>15</v>
      </c>
      <c r="G998" s="4" t="s">
        <v>1534</v>
      </c>
      <c r="H998" s="4">
        <v>80</v>
      </c>
      <c r="I998" s="4">
        <v>80</v>
      </c>
      <c r="J998" s="5">
        <v>0</v>
      </c>
      <c r="K998" s="3">
        <v>6</v>
      </c>
      <c r="L998" s="4">
        <f>tblSales[[#This Row],[Quantity]]*tblSales[[#This Row],[Actual Price]]</f>
        <v>480</v>
      </c>
    </row>
    <row r="999" spans="1:12" x14ac:dyDescent="0.35">
      <c r="A999" s="3" t="s">
        <v>1535</v>
      </c>
      <c r="B999" s="4" t="s">
        <v>147</v>
      </c>
      <c r="C999" s="4" t="s">
        <v>148</v>
      </c>
      <c r="D999" s="4" t="s">
        <v>14</v>
      </c>
      <c r="E999" s="7">
        <v>42668</v>
      </c>
      <c r="F999" s="4" t="s">
        <v>73</v>
      </c>
      <c r="G999" s="4" t="s">
        <v>1034</v>
      </c>
      <c r="H999" s="4">
        <v>500</v>
      </c>
      <c r="I999" s="4">
        <v>495</v>
      </c>
      <c r="J999" s="5">
        <v>0.01</v>
      </c>
      <c r="K999" s="3">
        <v>80</v>
      </c>
      <c r="L999" s="4">
        <f>tblSales[[#This Row],[Quantity]]*tblSales[[#This Row],[Actual Price]]</f>
        <v>39600</v>
      </c>
    </row>
    <row r="1000" spans="1:12" x14ac:dyDescent="0.35">
      <c r="A1000" s="3" t="s">
        <v>1536</v>
      </c>
      <c r="B1000" s="4" t="s">
        <v>65</v>
      </c>
      <c r="C1000" s="4" t="s">
        <v>66</v>
      </c>
      <c r="D1000" s="4" t="s">
        <v>36</v>
      </c>
      <c r="E1000" s="7">
        <v>42144</v>
      </c>
      <c r="F1000" s="4" t="s">
        <v>31</v>
      </c>
      <c r="G1000" s="4" t="s">
        <v>1537</v>
      </c>
      <c r="H1000" s="4">
        <v>150</v>
      </c>
      <c r="I1000" s="4">
        <v>146</v>
      </c>
      <c r="J1000" s="5">
        <v>2.6700000000000002E-2</v>
      </c>
      <c r="K1000" s="3">
        <v>93</v>
      </c>
      <c r="L1000" s="4">
        <f>tblSales[[#This Row],[Quantity]]*tblSales[[#This Row],[Actual Price]]</f>
        <v>13578</v>
      </c>
    </row>
    <row r="1001" spans="1:12" x14ac:dyDescent="0.35">
      <c r="A1001" s="3" t="s">
        <v>1538</v>
      </c>
      <c r="B1001" s="4" t="s">
        <v>188</v>
      </c>
      <c r="C1001" s="4" t="s">
        <v>189</v>
      </c>
      <c r="D1001" s="4" t="s">
        <v>14</v>
      </c>
      <c r="E1001" s="7">
        <v>42709</v>
      </c>
      <c r="F1001" s="4" t="s">
        <v>15</v>
      </c>
      <c r="G1001" s="4" t="s">
        <v>238</v>
      </c>
      <c r="H1001" s="4">
        <v>80</v>
      </c>
      <c r="I1001" s="4">
        <v>70</v>
      </c>
      <c r="J1001" s="5">
        <v>0.125</v>
      </c>
      <c r="K1001" s="3">
        <v>92</v>
      </c>
      <c r="L1001" s="4">
        <f>tblSales[[#This Row],[Quantity]]*tblSales[[#This Row],[Actual Price]]</f>
        <v>6440</v>
      </c>
    </row>
    <row r="1002" spans="1:12" x14ac:dyDescent="0.35">
      <c r="A1002" s="3" t="s">
        <v>1539</v>
      </c>
      <c r="B1002" s="4" t="s">
        <v>12</v>
      </c>
      <c r="C1002" s="4" t="s">
        <v>13</v>
      </c>
      <c r="D1002" s="4" t="s">
        <v>14</v>
      </c>
      <c r="E1002" s="7">
        <v>42026</v>
      </c>
      <c r="F1002" s="4" t="s">
        <v>62</v>
      </c>
      <c r="G1002" s="4" t="s">
        <v>194</v>
      </c>
      <c r="H1002" s="4">
        <v>1000</v>
      </c>
      <c r="I1002" s="4">
        <v>970</v>
      </c>
      <c r="J1002" s="5">
        <v>0.03</v>
      </c>
      <c r="K1002" s="3">
        <v>84</v>
      </c>
      <c r="L1002" s="4">
        <f>tblSales[[#This Row],[Quantity]]*tblSales[[#This Row],[Actual Price]]</f>
        <v>81480</v>
      </c>
    </row>
    <row r="1003" spans="1:12" x14ac:dyDescent="0.35">
      <c r="A1003" s="3" t="s">
        <v>1540</v>
      </c>
      <c r="B1003" s="4" t="s">
        <v>183</v>
      </c>
      <c r="C1003" s="4" t="s">
        <v>109</v>
      </c>
      <c r="D1003" s="4" t="s">
        <v>20</v>
      </c>
      <c r="E1003" s="7">
        <v>41995</v>
      </c>
      <c r="F1003" s="4" t="s">
        <v>62</v>
      </c>
      <c r="G1003" s="4" t="s">
        <v>1296</v>
      </c>
      <c r="H1003" s="4">
        <v>1000</v>
      </c>
      <c r="I1003" s="4">
        <v>690</v>
      </c>
      <c r="J1003" s="5">
        <v>0.31</v>
      </c>
      <c r="K1003" s="3">
        <v>11</v>
      </c>
      <c r="L1003" s="4">
        <f>tblSales[[#This Row],[Quantity]]*tblSales[[#This Row],[Actual Price]]</f>
        <v>7590</v>
      </c>
    </row>
    <row r="1004" spans="1:12" x14ac:dyDescent="0.35">
      <c r="A1004" s="3" t="s">
        <v>1541</v>
      </c>
      <c r="B1004" s="4" t="s">
        <v>18</v>
      </c>
      <c r="C1004" s="4" t="s">
        <v>19</v>
      </c>
      <c r="D1004" s="4" t="s">
        <v>20</v>
      </c>
      <c r="E1004" s="7">
        <v>42412</v>
      </c>
      <c r="F1004" s="4" t="s">
        <v>37</v>
      </c>
      <c r="G1004" s="4" t="s">
        <v>544</v>
      </c>
      <c r="H1004" s="4">
        <v>50</v>
      </c>
      <c r="I1004" s="4">
        <v>43</v>
      </c>
      <c r="J1004" s="5">
        <v>0.14000000000000001</v>
      </c>
      <c r="K1004" s="3">
        <v>18</v>
      </c>
      <c r="L1004" s="4">
        <f>tblSales[[#This Row],[Quantity]]*tblSales[[#This Row],[Actual Price]]</f>
        <v>774</v>
      </c>
    </row>
    <row r="1005" spans="1:12" x14ac:dyDescent="0.35">
      <c r="A1005" s="3" t="s">
        <v>1542</v>
      </c>
      <c r="B1005" s="4" t="s">
        <v>151</v>
      </c>
      <c r="C1005" s="4" t="s">
        <v>152</v>
      </c>
      <c r="D1005" s="4" t="s">
        <v>14</v>
      </c>
      <c r="E1005" s="7">
        <v>41702</v>
      </c>
      <c r="F1005" s="4" t="s">
        <v>62</v>
      </c>
      <c r="G1005" s="4" t="s">
        <v>153</v>
      </c>
      <c r="H1005" s="4">
        <v>1000</v>
      </c>
      <c r="I1005" s="4">
        <v>650</v>
      </c>
      <c r="J1005" s="5">
        <v>0.35</v>
      </c>
      <c r="K1005" s="3">
        <v>9</v>
      </c>
      <c r="L1005" s="4">
        <f>tblSales[[#This Row],[Quantity]]*tblSales[[#This Row],[Actual Price]]</f>
        <v>5850</v>
      </c>
    </row>
    <row r="1006" spans="1:12" x14ac:dyDescent="0.35">
      <c r="A1006" s="3" t="s">
        <v>1543</v>
      </c>
      <c r="B1006" s="4" t="s">
        <v>147</v>
      </c>
      <c r="C1006" s="4" t="s">
        <v>148</v>
      </c>
      <c r="D1006" s="4" t="s">
        <v>14</v>
      </c>
      <c r="E1006" s="7">
        <v>42929</v>
      </c>
      <c r="F1006" s="4" t="s">
        <v>62</v>
      </c>
      <c r="G1006" s="4" t="s">
        <v>1319</v>
      </c>
      <c r="H1006" s="4">
        <v>1000</v>
      </c>
      <c r="I1006" s="4">
        <v>520</v>
      </c>
      <c r="J1006" s="5">
        <v>0.48</v>
      </c>
      <c r="K1006" s="3">
        <v>34</v>
      </c>
      <c r="L1006" s="4">
        <f>tblSales[[#This Row],[Quantity]]*tblSales[[#This Row],[Actual Price]]</f>
        <v>17680</v>
      </c>
    </row>
    <row r="1007" spans="1:12" x14ac:dyDescent="0.35">
      <c r="A1007" s="3" t="s">
        <v>1544</v>
      </c>
      <c r="B1007" s="4" t="s">
        <v>12</v>
      </c>
      <c r="C1007" s="4" t="s">
        <v>13</v>
      </c>
      <c r="D1007" s="4" t="s">
        <v>14</v>
      </c>
      <c r="E1007" s="7">
        <v>42745</v>
      </c>
      <c r="F1007" s="4" t="s">
        <v>31</v>
      </c>
      <c r="G1007" s="4" t="s">
        <v>349</v>
      </c>
      <c r="H1007" s="4">
        <v>150</v>
      </c>
      <c r="I1007" s="4">
        <v>149</v>
      </c>
      <c r="J1007" s="5">
        <v>6.7000000000000002E-3</v>
      </c>
      <c r="K1007" s="3">
        <v>77</v>
      </c>
      <c r="L1007" s="4">
        <f>tblSales[[#This Row],[Quantity]]*tblSales[[#This Row],[Actual Price]]</f>
        <v>11473</v>
      </c>
    </row>
    <row r="1008" spans="1:12" x14ac:dyDescent="0.35">
      <c r="A1008" s="3" t="s">
        <v>1545</v>
      </c>
      <c r="B1008" s="4" t="s">
        <v>290</v>
      </c>
      <c r="C1008" s="4" t="s">
        <v>109</v>
      </c>
      <c r="D1008" s="4" t="s">
        <v>20</v>
      </c>
      <c r="E1008" s="7">
        <v>42031</v>
      </c>
      <c r="F1008" s="4" t="s">
        <v>26</v>
      </c>
      <c r="G1008" s="4" t="s">
        <v>1546</v>
      </c>
      <c r="H1008" s="4">
        <v>700</v>
      </c>
      <c r="I1008" s="4">
        <v>665</v>
      </c>
      <c r="J1008" s="5">
        <v>0.05</v>
      </c>
      <c r="K1008" s="3">
        <v>14</v>
      </c>
      <c r="L1008" s="4">
        <f>tblSales[[#This Row],[Quantity]]*tblSales[[#This Row],[Actual Price]]</f>
        <v>9310</v>
      </c>
    </row>
    <row r="1009" spans="1:12" x14ac:dyDescent="0.35">
      <c r="A1009" s="3" t="s">
        <v>1547</v>
      </c>
      <c r="B1009" s="4" t="s">
        <v>183</v>
      </c>
      <c r="C1009" s="4" t="s">
        <v>109</v>
      </c>
      <c r="D1009" s="4" t="s">
        <v>20</v>
      </c>
      <c r="E1009" s="7">
        <v>42142</v>
      </c>
      <c r="F1009" s="4" t="s">
        <v>26</v>
      </c>
      <c r="G1009" s="4" t="s">
        <v>503</v>
      </c>
      <c r="H1009" s="4">
        <v>700</v>
      </c>
      <c r="I1009" s="4">
        <v>560</v>
      </c>
      <c r="J1009" s="5">
        <v>0.2</v>
      </c>
      <c r="K1009" s="3">
        <v>69</v>
      </c>
      <c r="L1009" s="4">
        <f>tblSales[[#This Row],[Quantity]]*tblSales[[#This Row],[Actual Price]]</f>
        <v>38640</v>
      </c>
    </row>
    <row r="1010" spans="1:12" x14ac:dyDescent="0.35">
      <c r="A1010" s="3" t="s">
        <v>1548</v>
      </c>
      <c r="B1010" s="4" t="s">
        <v>125</v>
      </c>
      <c r="C1010" s="4" t="s">
        <v>41</v>
      </c>
      <c r="D1010" s="4" t="s">
        <v>36</v>
      </c>
      <c r="E1010" s="7">
        <v>42629</v>
      </c>
      <c r="F1010" s="4" t="s">
        <v>37</v>
      </c>
      <c r="G1010" s="4" t="s">
        <v>1018</v>
      </c>
      <c r="H1010" s="4">
        <v>50</v>
      </c>
      <c r="I1010" s="4">
        <v>44</v>
      </c>
      <c r="J1010" s="5">
        <v>0.12</v>
      </c>
      <c r="K1010" s="3">
        <v>2</v>
      </c>
      <c r="L1010" s="4">
        <f>tblSales[[#This Row],[Quantity]]*tblSales[[#This Row],[Actual Price]]</f>
        <v>88</v>
      </c>
    </row>
    <row r="1011" spans="1:12" x14ac:dyDescent="0.35">
      <c r="A1011" s="3" t="s">
        <v>1549</v>
      </c>
      <c r="B1011" s="4" t="s">
        <v>183</v>
      </c>
      <c r="C1011" s="4" t="s">
        <v>109</v>
      </c>
      <c r="D1011" s="4" t="s">
        <v>20</v>
      </c>
      <c r="E1011" s="7">
        <v>42402</v>
      </c>
      <c r="F1011" s="4" t="s">
        <v>62</v>
      </c>
      <c r="G1011" s="4" t="s">
        <v>184</v>
      </c>
      <c r="H1011" s="4">
        <v>1000</v>
      </c>
      <c r="I1011" s="4">
        <v>760</v>
      </c>
      <c r="J1011" s="5">
        <v>0.24</v>
      </c>
      <c r="K1011" s="3">
        <v>72</v>
      </c>
      <c r="L1011" s="4">
        <f>tblSales[[#This Row],[Quantity]]*tblSales[[#This Row],[Actual Price]]</f>
        <v>54720</v>
      </c>
    </row>
    <row r="1012" spans="1:12" x14ac:dyDescent="0.35">
      <c r="A1012" s="3" t="s">
        <v>1550</v>
      </c>
      <c r="B1012" s="4" t="s">
        <v>132</v>
      </c>
      <c r="C1012" s="4" t="s">
        <v>109</v>
      </c>
      <c r="D1012" s="4" t="s">
        <v>20</v>
      </c>
      <c r="E1012" s="7">
        <v>42707</v>
      </c>
      <c r="F1012" s="4" t="s">
        <v>116</v>
      </c>
      <c r="G1012" s="4" t="s">
        <v>1551</v>
      </c>
      <c r="H1012" s="4">
        <v>250</v>
      </c>
      <c r="I1012" s="4">
        <v>228</v>
      </c>
      <c r="J1012" s="5">
        <v>8.7999999999999995E-2</v>
      </c>
      <c r="K1012" s="3">
        <v>39</v>
      </c>
      <c r="L1012" s="4">
        <f>tblSales[[#This Row],[Quantity]]*tblSales[[#This Row],[Actual Price]]</f>
        <v>8892</v>
      </c>
    </row>
    <row r="1013" spans="1:12" x14ac:dyDescent="0.35">
      <c r="A1013" s="3" t="s">
        <v>1552</v>
      </c>
      <c r="B1013" s="4" t="s">
        <v>100</v>
      </c>
      <c r="C1013" s="4" t="s">
        <v>101</v>
      </c>
      <c r="D1013" s="4" t="s">
        <v>14</v>
      </c>
      <c r="E1013" s="7">
        <v>42927</v>
      </c>
      <c r="F1013" s="4" t="s">
        <v>116</v>
      </c>
      <c r="G1013" s="4" t="s">
        <v>1091</v>
      </c>
      <c r="H1013" s="4">
        <v>250</v>
      </c>
      <c r="I1013" s="4">
        <v>248</v>
      </c>
      <c r="J1013" s="5">
        <v>8.0000000000000002E-3</v>
      </c>
      <c r="K1013" s="3">
        <v>17</v>
      </c>
      <c r="L1013" s="4">
        <f>tblSales[[#This Row],[Quantity]]*tblSales[[#This Row],[Actual Price]]</f>
        <v>4216</v>
      </c>
    </row>
    <row r="1014" spans="1:12" x14ac:dyDescent="0.35">
      <c r="A1014" s="3" t="s">
        <v>1553</v>
      </c>
      <c r="B1014" s="4" t="s">
        <v>206</v>
      </c>
      <c r="C1014" s="4" t="s">
        <v>207</v>
      </c>
      <c r="D1014" s="4" t="s">
        <v>25</v>
      </c>
      <c r="E1014" s="7">
        <v>41718</v>
      </c>
      <c r="F1014" s="4" t="s">
        <v>37</v>
      </c>
      <c r="G1014" s="4" t="s">
        <v>723</v>
      </c>
      <c r="H1014" s="4">
        <v>50</v>
      </c>
      <c r="I1014" s="4">
        <v>39</v>
      </c>
      <c r="J1014" s="5">
        <v>0.22</v>
      </c>
      <c r="K1014" s="3">
        <v>77</v>
      </c>
      <c r="L1014" s="4">
        <f>tblSales[[#This Row],[Quantity]]*tblSales[[#This Row],[Actual Price]]</f>
        <v>3003</v>
      </c>
    </row>
    <row r="1015" spans="1:12" x14ac:dyDescent="0.35">
      <c r="A1015" s="3" t="s">
        <v>1554</v>
      </c>
      <c r="B1015" s="4" t="s">
        <v>325</v>
      </c>
      <c r="C1015" s="4" t="s">
        <v>326</v>
      </c>
      <c r="D1015" s="4" t="s">
        <v>14</v>
      </c>
      <c r="E1015" s="7">
        <v>41662</v>
      </c>
      <c r="F1015" s="4" t="s">
        <v>116</v>
      </c>
      <c r="G1015" s="4" t="s">
        <v>923</v>
      </c>
      <c r="H1015" s="4">
        <v>250</v>
      </c>
      <c r="I1015" s="4">
        <v>248</v>
      </c>
      <c r="J1015" s="5">
        <v>8.0000000000000002E-3</v>
      </c>
      <c r="K1015" s="3">
        <v>49</v>
      </c>
      <c r="L1015" s="4">
        <f>tblSales[[#This Row],[Quantity]]*tblSales[[#This Row],[Actual Price]]</f>
        <v>12152</v>
      </c>
    </row>
    <row r="1016" spans="1:12" x14ac:dyDescent="0.35">
      <c r="A1016" s="3" t="s">
        <v>1555</v>
      </c>
      <c r="B1016" s="4" t="s">
        <v>242</v>
      </c>
      <c r="C1016" s="4" t="s">
        <v>243</v>
      </c>
      <c r="D1016" s="4" t="s">
        <v>14</v>
      </c>
      <c r="E1016" s="7">
        <v>42630</v>
      </c>
      <c r="F1016" s="4" t="s">
        <v>116</v>
      </c>
      <c r="G1016" s="4" t="s">
        <v>627</v>
      </c>
      <c r="H1016" s="4">
        <v>250</v>
      </c>
      <c r="I1016" s="4">
        <v>250</v>
      </c>
      <c r="J1016" s="5">
        <v>0</v>
      </c>
      <c r="K1016" s="3">
        <v>20</v>
      </c>
      <c r="L1016" s="4">
        <f>tblSales[[#This Row],[Quantity]]*tblSales[[#This Row],[Actual Price]]</f>
        <v>5000</v>
      </c>
    </row>
    <row r="1017" spans="1:12" x14ac:dyDescent="0.35">
      <c r="A1017" s="3" t="s">
        <v>1556</v>
      </c>
      <c r="B1017" s="4" t="s">
        <v>108</v>
      </c>
      <c r="C1017" s="4" t="s">
        <v>109</v>
      </c>
      <c r="D1017" s="4" t="s">
        <v>20</v>
      </c>
      <c r="E1017" s="7">
        <v>42860</v>
      </c>
      <c r="F1017" s="4" t="s">
        <v>37</v>
      </c>
      <c r="G1017" s="4" t="s">
        <v>1557</v>
      </c>
      <c r="H1017" s="4">
        <v>50</v>
      </c>
      <c r="I1017" s="4">
        <v>48</v>
      </c>
      <c r="J1017" s="5">
        <v>0.04</v>
      </c>
      <c r="K1017" s="3">
        <v>62</v>
      </c>
      <c r="L1017" s="4">
        <f>tblSales[[#This Row],[Quantity]]*tblSales[[#This Row],[Actual Price]]</f>
        <v>2976</v>
      </c>
    </row>
    <row r="1018" spans="1:12" x14ac:dyDescent="0.35">
      <c r="A1018" s="3" t="s">
        <v>1558</v>
      </c>
      <c r="B1018" s="4" t="s">
        <v>175</v>
      </c>
      <c r="C1018" s="4" t="s">
        <v>176</v>
      </c>
      <c r="D1018" s="4" t="s">
        <v>14</v>
      </c>
      <c r="E1018" s="7">
        <v>42389</v>
      </c>
      <c r="F1018" s="4" t="s">
        <v>62</v>
      </c>
      <c r="G1018" s="4" t="s">
        <v>1559</v>
      </c>
      <c r="H1018" s="4">
        <v>1000</v>
      </c>
      <c r="I1018" s="4">
        <v>590</v>
      </c>
      <c r="J1018" s="5">
        <v>0.41</v>
      </c>
      <c r="K1018" s="3">
        <v>37</v>
      </c>
      <c r="L1018" s="4">
        <f>tblSales[[#This Row],[Quantity]]*tblSales[[#This Row],[Actual Price]]</f>
        <v>21830</v>
      </c>
    </row>
    <row r="1019" spans="1:12" x14ac:dyDescent="0.35">
      <c r="A1019" s="3" t="s">
        <v>1560</v>
      </c>
      <c r="B1019" s="4" t="s">
        <v>54</v>
      </c>
      <c r="C1019" s="4" t="s">
        <v>55</v>
      </c>
      <c r="D1019" s="4" t="s">
        <v>14</v>
      </c>
      <c r="E1019" s="7">
        <v>42851</v>
      </c>
      <c r="F1019" s="4" t="s">
        <v>15</v>
      </c>
      <c r="G1019" s="4" t="s">
        <v>1207</v>
      </c>
      <c r="H1019" s="4">
        <v>80</v>
      </c>
      <c r="I1019" s="4">
        <v>76</v>
      </c>
      <c r="J1019" s="5">
        <v>0.05</v>
      </c>
      <c r="K1019" s="3">
        <v>11</v>
      </c>
      <c r="L1019" s="4">
        <f>tblSales[[#This Row],[Quantity]]*tblSales[[#This Row],[Actual Price]]</f>
        <v>836</v>
      </c>
    </row>
    <row r="1020" spans="1:12" x14ac:dyDescent="0.35">
      <c r="A1020" s="3" t="s">
        <v>1561</v>
      </c>
      <c r="B1020" s="4" t="s">
        <v>45</v>
      </c>
      <c r="C1020" s="4" t="s">
        <v>46</v>
      </c>
      <c r="D1020" s="4" t="s">
        <v>25</v>
      </c>
      <c r="E1020" s="7">
        <v>41905</v>
      </c>
      <c r="F1020" s="4" t="s">
        <v>47</v>
      </c>
      <c r="G1020" s="4" t="s">
        <v>1147</v>
      </c>
      <c r="H1020" s="4">
        <v>500</v>
      </c>
      <c r="I1020" s="4">
        <v>480</v>
      </c>
      <c r="J1020" s="5">
        <v>0.04</v>
      </c>
      <c r="K1020" s="3">
        <v>87</v>
      </c>
      <c r="L1020" s="4">
        <f>tblSales[[#This Row],[Quantity]]*tblSales[[#This Row],[Actual Price]]</f>
        <v>41760</v>
      </c>
    </row>
    <row r="1021" spans="1:12" x14ac:dyDescent="0.35">
      <c r="A1021" s="3" t="s">
        <v>1562</v>
      </c>
      <c r="B1021" s="4" t="s">
        <v>151</v>
      </c>
      <c r="C1021" s="4" t="s">
        <v>152</v>
      </c>
      <c r="D1021" s="4" t="s">
        <v>14</v>
      </c>
      <c r="E1021" s="7">
        <v>42411</v>
      </c>
      <c r="F1021" s="4" t="s">
        <v>56</v>
      </c>
      <c r="G1021" s="4" t="s">
        <v>825</v>
      </c>
      <c r="H1021" s="4">
        <v>800</v>
      </c>
      <c r="I1021" s="4">
        <v>720</v>
      </c>
      <c r="J1021" s="5">
        <v>0.1</v>
      </c>
      <c r="K1021" s="3">
        <v>20</v>
      </c>
      <c r="L1021" s="4">
        <f>tblSales[[#This Row],[Quantity]]*tblSales[[#This Row],[Actual Price]]</f>
        <v>14400</v>
      </c>
    </row>
    <row r="1022" spans="1:12" x14ac:dyDescent="0.35">
      <c r="A1022" s="3" t="s">
        <v>1563</v>
      </c>
      <c r="B1022" s="4" t="s">
        <v>65</v>
      </c>
      <c r="C1022" s="4" t="s">
        <v>66</v>
      </c>
      <c r="D1022" s="4" t="s">
        <v>36</v>
      </c>
      <c r="E1022" s="7">
        <v>43344</v>
      </c>
      <c r="F1022" s="4" t="s">
        <v>105</v>
      </c>
      <c r="G1022" s="4" t="s">
        <v>784</v>
      </c>
      <c r="H1022" s="4">
        <v>70</v>
      </c>
      <c r="I1022" s="4">
        <v>69</v>
      </c>
      <c r="J1022" s="5">
        <v>1.43E-2</v>
      </c>
      <c r="K1022" s="3">
        <v>71</v>
      </c>
      <c r="L1022" s="4">
        <f>tblSales[[#This Row],[Quantity]]*tblSales[[#This Row],[Actual Price]]</f>
        <v>4899</v>
      </c>
    </row>
    <row r="1023" spans="1:12" x14ac:dyDescent="0.35">
      <c r="A1023" s="3" t="s">
        <v>1564</v>
      </c>
      <c r="B1023" s="4" t="s">
        <v>82</v>
      </c>
      <c r="C1023" s="4" t="s">
        <v>83</v>
      </c>
      <c r="D1023" s="4" t="s">
        <v>14</v>
      </c>
      <c r="E1023" s="7">
        <v>42723</v>
      </c>
      <c r="F1023" s="4" t="s">
        <v>105</v>
      </c>
      <c r="G1023" s="4" t="s">
        <v>196</v>
      </c>
      <c r="H1023" s="4">
        <v>70</v>
      </c>
      <c r="I1023" s="4">
        <v>60</v>
      </c>
      <c r="J1023" s="5">
        <v>0.1429</v>
      </c>
      <c r="K1023" s="3">
        <v>97</v>
      </c>
      <c r="L1023" s="4">
        <f>tblSales[[#This Row],[Quantity]]*tblSales[[#This Row],[Actual Price]]</f>
        <v>5820</v>
      </c>
    </row>
    <row r="1024" spans="1:12" x14ac:dyDescent="0.35">
      <c r="A1024" s="3" t="s">
        <v>1565</v>
      </c>
      <c r="B1024" s="4" t="s">
        <v>435</v>
      </c>
      <c r="C1024" s="4" t="s">
        <v>436</v>
      </c>
      <c r="D1024" s="4" t="s">
        <v>25</v>
      </c>
      <c r="E1024" s="7">
        <v>42083</v>
      </c>
      <c r="F1024" s="4" t="s">
        <v>37</v>
      </c>
      <c r="G1024" s="4" t="s">
        <v>586</v>
      </c>
      <c r="H1024" s="4">
        <v>50</v>
      </c>
      <c r="I1024" s="4">
        <v>44</v>
      </c>
      <c r="J1024" s="5">
        <v>0.12</v>
      </c>
      <c r="K1024" s="3">
        <v>98</v>
      </c>
      <c r="L1024" s="4">
        <f>tblSales[[#This Row],[Quantity]]*tblSales[[#This Row],[Actual Price]]</f>
        <v>4312</v>
      </c>
    </row>
    <row r="1025" spans="1:12" x14ac:dyDescent="0.35">
      <c r="A1025" s="3" t="s">
        <v>1566</v>
      </c>
      <c r="B1025" s="4" t="s">
        <v>271</v>
      </c>
      <c r="C1025" s="4" t="s">
        <v>272</v>
      </c>
      <c r="D1025" s="4" t="s">
        <v>36</v>
      </c>
      <c r="E1025" s="7">
        <v>43269</v>
      </c>
      <c r="F1025" s="4" t="s">
        <v>15</v>
      </c>
      <c r="G1025" s="4" t="s">
        <v>338</v>
      </c>
      <c r="H1025" s="4">
        <v>80</v>
      </c>
      <c r="I1025" s="4">
        <v>74</v>
      </c>
      <c r="J1025" s="5">
        <v>7.4999999999999997E-2</v>
      </c>
      <c r="K1025" s="3">
        <v>87</v>
      </c>
      <c r="L1025" s="4">
        <f>tblSales[[#This Row],[Quantity]]*tblSales[[#This Row],[Actual Price]]</f>
        <v>6438</v>
      </c>
    </row>
    <row r="1026" spans="1:12" x14ac:dyDescent="0.35">
      <c r="A1026" s="3" t="s">
        <v>1567</v>
      </c>
      <c r="B1026" s="4" t="s">
        <v>100</v>
      </c>
      <c r="C1026" s="4" t="s">
        <v>101</v>
      </c>
      <c r="D1026" s="4" t="s">
        <v>14</v>
      </c>
      <c r="E1026" s="7">
        <v>43144</v>
      </c>
      <c r="F1026" s="4" t="s">
        <v>105</v>
      </c>
      <c r="G1026" s="4" t="s">
        <v>102</v>
      </c>
      <c r="H1026" s="4">
        <v>70</v>
      </c>
      <c r="I1026" s="4">
        <v>68</v>
      </c>
      <c r="J1026" s="5">
        <v>2.86E-2</v>
      </c>
      <c r="K1026" s="3">
        <v>23</v>
      </c>
      <c r="L1026" s="4">
        <f>tblSales[[#This Row],[Quantity]]*tblSales[[#This Row],[Actual Price]]</f>
        <v>1564</v>
      </c>
    </row>
    <row r="1027" spans="1:12" x14ac:dyDescent="0.35">
      <c r="A1027" s="3" t="s">
        <v>1568</v>
      </c>
      <c r="B1027" s="4" t="s">
        <v>401</v>
      </c>
      <c r="C1027" s="4" t="s">
        <v>402</v>
      </c>
      <c r="D1027" s="4" t="s">
        <v>14</v>
      </c>
      <c r="E1027" s="7">
        <v>42448</v>
      </c>
      <c r="F1027" s="4" t="s">
        <v>105</v>
      </c>
      <c r="G1027" s="4" t="s">
        <v>694</v>
      </c>
      <c r="H1027" s="4">
        <v>70</v>
      </c>
      <c r="I1027" s="4">
        <v>66</v>
      </c>
      <c r="J1027" s="5">
        <v>5.7099999999999998E-2</v>
      </c>
      <c r="K1027" s="3">
        <v>90</v>
      </c>
      <c r="L1027" s="4">
        <f>tblSales[[#This Row],[Quantity]]*tblSales[[#This Row],[Actual Price]]</f>
        <v>5940</v>
      </c>
    </row>
    <row r="1028" spans="1:12" x14ac:dyDescent="0.35">
      <c r="A1028" s="3" t="s">
        <v>1569</v>
      </c>
      <c r="B1028" s="4" t="s">
        <v>225</v>
      </c>
      <c r="C1028" s="4" t="s">
        <v>51</v>
      </c>
      <c r="D1028" s="4" t="s">
        <v>25</v>
      </c>
      <c r="E1028" s="7">
        <v>43037</v>
      </c>
      <c r="F1028" s="4" t="s">
        <v>31</v>
      </c>
      <c r="G1028" s="4" t="s">
        <v>907</v>
      </c>
      <c r="H1028" s="4">
        <v>150</v>
      </c>
      <c r="I1028" s="4">
        <v>144</v>
      </c>
      <c r="J1028" s="5">
        <v>0.04</v>
      </c>
      <c r="K1028" s="3">
        <v>6</v>
      </c>
      <c r="L1028" s="4">
        <f>tblSales[[#This Row],[Quantity]]*tblSales[[#This Row],[Actual Price]]</f>
        <v>864</v>
      </c>
    </row>
    <row r="1029" spans="1:12" x14ac:dyDescent="0.35">
      <c r="A1029" s="3" t="s">
        <v>1570</v>
      </c>
      <c r="B1029" s="4" t="s">
        <v>78</v>
      </c>
      <c r="C1029" s="4" t="s">
        <v>79</v>
      </c>
      <c r="D1029" s="4" t="s">
        <v>36</v>
      </c>
      <c r="E1029" s="7">
        <v>42729</v>
      </c>
      <c r="F1029" s="4" t="s">
        <v>105</v>
      </c>
      <c r="G1029" s="4" t="s">
        <v>669</v>
      </c>
      <c r="H1029" s="4">
        <v>70</v>
      </c>
      <c r="I1029" s="4">
        <v>65</v>
      </c>
      <c r="J1029" s="5">
        <v>7.1400000000000005E-2</v>
      </c>
      <c r="K1029" s="3">
        <v>98</v>
      </c>
      <c r="L1029" s="4">
        <f>tblSales[[#This Row],[Quantity]]*tblSales[[#This Row],[Actual Price]]</f>
        <v>6370</v>
      </c>
    </row>
    <row r="1030" spans="1:12" x14ac:dyDescent="0.35">
      <c r="A1030" s="3" t="s">
        <v>1571</v>
      </c>
      <c r="B1030" s="4" t="s">
        <v>125</v>
      </c>
      <c r="C1030" s="4" t="s">
        <v>41</v>
      </c>
      <c r="D1030" s="4" t="s">
        <v>36</v>
      </c>
      <c r="E1030" s="7">
        <v>41750</v>
      </c>
      <c r="F1030" s="4" t="s">
        <v>62</v>
      </c>
      <c r="G1030" s="4" t="s">
        <v>1018</v>
      </c>
      <c r="H1030" s="4">
        <v>1000</v>
      </c>
      <c r="I1030" s="4">
        <v>630</v>
      </c>
      <c r="J1030" s="5">
        <v>0.37</v>
      </c>
      <c r="K1030" s="3">
        <v>5</v>
      </c>
      <c r="L1030" s="4">
        <f>tblSales[[#This Row],[Quantity]]*tblSales[[#This Row],[Actual Price]]</f>
        <v>3150</v>
      </c>
    </row>
    <row r="1031" spans="1:12" x14ac:dyDescent="0.35">
      <c r="A1031" s="3" t="s">
        <v>1572</v>
      </c>
      <c r="B1031" s="4" t="s">
        <v>151</v>
      </c>
      <c r="C1031" s="4" t="s">
        <v>152</v>
      </c>
      <c r="D1031" s="4" t="s">
        <v>14</v>
      </c>
      <c r="E1031" s="7">
        <v>42323</v>
      </c>
      <c r="F1031" s="4" t="s">
        <v>31</v>
      </c>
      <c r="G1031" s="4" t="s">
        <v>825</v>
      </c>
      <c r="H1031" s="4">
        <v>150</v>
      </c>
      <c r="I1031" s="4">
        <v>113</v>
      </c>
      <c r="J1031" s="5">
        <v>0.2467</v>
      </c>
      <c r="K1031" s="3">
        <v>84</v>
      </c>
      <c r="L1031" s="4">
        <f>tblSales[[#This Row],[Quantity]]*tblSales[[#This Row],[Actual Price]]</f>
        <v>9492</v>
      </c>
    </row>
    <row r="1032" spans="1:12" x14ac:dyDescent="0.35">
      <c r="A1032" s="3" t="s">
        <v>1573</v>
      </c>
      <c r="B1032" s="4" t="s">
        <v>175</v>
      </c>
      <c r="C1032" s="4" t="s">
        <v>176</v>
      </c>
      <c r="D1032" s="4" t="s">
        <v>14</v>
      </c>
      <c r="E1032" s="7">
        <v>42034</v>
      </c>
      <c r="F1032" s="4" t="s">
        <v>73</v>
      </c>
      <c r="G1032" s="4" t="s">
        <v>1457</v>
      </c>
      <c r="H1032" s="4">
        <v>500</v>
      </c>
      <c r="I1032" s="4">
        <v>490</v>
      </c>
      <c r="J1032" s="5">
        <v>0.02</v>
      </c>
      <c r="K1032" s="3">
        <v>82</v>
      </c>
      <c r="L1032" s="4">
        <f>tblSales[[#This Row],[Quantity]]*tblSales[[#This Row],[Actual Price]]</f>
        <v>40180</v>
      </c>
    </row>
    <row r="1033" spans="1:12" x14ac:dyDescent="0.35">
      <c r="A1033" s="3" t="s">
        <v>1574</v>
      </c>
      <c r="B1033" s="4" t="s">
        <v>108</v>
      </c>
      <c r="C1033" s="4" t="s">
        <v>109</v>
      </c>
      <c r="D1033" s="4" t="s">
        <v>20</v>
      </c>
      <c r="E1033" s="7">
        <v>42511</v>
      </c>
      <c r="F1033" s="4" t="s">
        <v>37</v>
      </c>
      <c r="G1033" s="4" t="s">
        <v>355</v>
      </c>
      <c r="H1033" s="4">
        <v>50</v>
      </c>
      <c r="I1033" s="4">
        <v>46</v>
      </c>
      <c r="J1033" s="5">
        <v>0.08</v>
      </c>
      <c r="K1033" s="3">
        <v>9</v>
      </c>
      <c r="L1033" s="4">
        <f>tblSales[[#This Row],[Quantity]]*tblSales[[#This Row],[Actual Price]]</f>
        <v>414</v>
      </c>
    </row>
    <row r="1034" spans="1:12" x14ac:dyDescent="0.35">
      <c r="A1034" s="3" t="s">
        <v>1575</v>
      </c>
      <c r="B1034" s="4" t="s">
        <v>265</v>
      </c>
      <c r="C1034" s="4" t="s">
        <v>266</v>
      </c>
      <c r="D1034" s="4" t="s">
        <v>14</v>
      </c>
      <c r="E1034" s="7">
        <v>42567</v>
      </c>
      <c r="F1034" s="4" t="s">
        <v>26</v>
      </c>
      <c r="G1034" s="4" t="s">
        <v>803</v>
      </c>
      <c r="H1034" s="4">
        <v>700</v>
      </c>
      <c r="I1034" s="4">
        <v>672</v>
      </c>
      <c r="J1034" s="5">
        <v>0.04</v>
      </c>
      <c r="K1034" s="3">
        <v>26</v>
      </c>
      <c r="L1034" s="4">
        <f>tblSales[[#This Row],[Quantity]]*tblSales[[#This Row],[Actual Price]]</f>
        <v>17472</v>
      </c>
    </row>
    <row r="1035" spans="1:12" x14ac:dyDescent="0.35">
      <c r="A1035" s="3" t="s">
        <v>1576</v>
      </c>
      <c r="B1035" s="4" t="s">
        <v>100</v>
      </c>
      <c r="C1035" s="4" t="s">
        <v>101</v>
      </c>
      <c r="D1035" s="4" t="s">
        <v>14</v>
      </c>
      <c r="E1035" s="7">
        <v>42863</v>
      </c>
      <c r="F1035" s="4" t="s">
        <v>123</v>
      </c>
      <c r="G1035" s="4" t="s">
        <v>1091</v>
      </c>
      <c r="H1035" s="4">
        <v>50</v>
      </c>
      <c r="I1035" s="4">
        <v>48</v>
      </c>
      <c r="J1035" s="5">
        <v>0.04</v>
      </c>
      <c r="K1035" s="3">
        <v>99</v>
      </c>
      <c r="L1035" s="4">
        <f>tblSales[[#This Row],[Quantity]]*tblSales[[#This Row],[Actual Price]]</f>
        <v>4752</v>
      </c>
    </row>
    <row r="1036" spans="1:12" x14ac:dyDescent="0.35">
      <c r="A1036" s="3" t="s">
        <v>1577</v>
      </c>
      <c r="B1036" s="4" t="s">
        <v>135</v>
      </c>
      <c r="C1036" s="4" t="s">
        <v>93</v>
      </c>
      <c r="D1036" s="4" t="s">
        <v>36</v>
      </c>
      <c r="E1036" s="7">
        <v>41756</v>
      </c>
      <c r="F1036" s="4" t="s">
        <v>73</v>
      </c>
      <c r="G1036" s="4" t="s">
        <v>748</v>
      </c>
      <c r="H1036" s="4">
        <v>500</v>
      </c>
      <c r="I1036" s="4">
        <v>490</v>
      </c>
      <c r="J1036" s="5">
        <v>0.02</v>
      </c>
      <c r="K1036" s="3">
        <v>67</v>
      </c>
      <c r="L1036" s="4">
        <f>tblSales[[#This Row],[Quantity]]*tblSales[[#This Row],[Actual Price]]</f>
        <v>32830</v>
      </c>
    </row>
    <row r="1037" spans="1:12" x14ac:dyDescent="0.35">
      <c r="A1037" s="3" t="s">
        <v>1578</v>
      </c>
      <c r="B1037" s="4" t="s">
        <v>206</v>
      </c>
      <c r="C1037" s="4" t="s">
        <v>207</v>
      </c>
      <c r="D1037" s="4" t="s">
        <v>25</v>
      </c>
      <c r="E1037" s="7">
        <v>42074</v>
      </c>
      <c r="F1037" s="4" t="s">
        <v>105</v>
      </c>
      <c r="G1037" s="4" t="s">
        <v>723</v>
      </c>
      <c r="H1037" s="4">
        <v>70</v>
      </c>
      <c r="I1037" s="4">
        <v>58</v>
      </c>
      <c r="J1037" s="5">
        <v>0.1714</v>
      </c>
      <c r="K1037" s="3">
        <v>89</v>
      </c>
      <c r="L1037" s="4">
        <f>tblSales[[#This Row],[Quantity]]*tblSales[[#This Row],[Actual Price]]</f>
        <v>5162</v>
      </c>
    </row>
    <row r="1038" spans="1:12" x14ac:dyDescent="0.35">
      <c r="A1038" s="3" t="s">
        <v>1579</v>
      </c>
      <c r="B1038" s="4" t="s">
        <v>171</v>
      </c>
      <c r="C1038" s="4" t="s">
        <v>172</v>
      </c>
      <c r="D1038" s="4" t="s">
        <v>14</v>
      </c>
      <c r="E1038" s="7">
        <v>42414</v>
      </c>
      <c r="F1038" s="4" t="s">
        <v>105</v>
      </c>
      <c r="G1038" s="4" t="s">
        <v>942</v>
      </c>
      <c r="H1038" s="4">
        <v>70</v>
      </c>
      <c r="I1038" s="4">
        <v>60</v>
      </c>
      <c r="J1038" s="5">
        <v>0.1429</v>
      </c>
      <c r="K1038" s="3">
        <v>62</v>
      </c>
      <c r="L1038" s="4">
        <f>tblSales[[#This Row],[Quantity]]*tblSales[[#This Row],[Actual Price]]</f>
        <v>3720</v>
      </c>
    </row>
    <row r="1039" spans="1:12" x14ac:dyDescent="0.35">
      <c r="A1039" s="3" t="s">
        <v>1580</v>
      </c>
      <c r="B1039" s="4" t="s">
        <v>228</v>
      </c>
      <c r="C1039" s="4" t="s">
        <v>229</v>
      </c>
      <c r="D1039" s="4" t="s">
        <v>25</v>
      </c>
      <c r="E1039" s="7">
        <v>41887</v>
      </c>
      <c r="F1039" s="4" t="s">
        <v>56</v>
      </c>
      <c r="G1039" s="4" t="s">
        <v>622</v>
      </c>
      <c r="H1039" s="4">
        <v>800</v>
      </c>
      <c r="I1039" s="4">
        <v>688</v>
      </c>
      <c r="J1039" s="5">
        <v>0.14000000000000001</v>
      </c>
      <c r="K1039" s="3">
        <v>62</v>
      </c>
      <c r="L1039" s="4">
        <f>tblSales[[#This Row],[Quantity]]*tblSales[[#This Row],[Actual Price]]</f>
        <v>42656</v>
      </c>
    </row>
    <row r="1040" spans="1:12" x14ac:dyDescent="0.35">
      <c r="A1040" s="3" t="s">
        <v>1581</v>
      </c>
      <c r="B1040" s="4" t="s">
        <v>147</v>
      </c>
      <c r="C1040" s="4" t="s">
        <v>148</v>
      </c>
      <c r="D1040" s="4" t="s">
        <v>14</v>
      </c>
      <c r="E1040" s="7">
        <v>42061</v>
      </c>
      <c r="F1040" s="4" t="s">
        <v>116</v>
      </c>
      <c r="G1040" s="4" t="s">
        <v>1319</v>
      </c>
      <c r="H1040" s="4">
        <v>250</v>
      </c>
      <c r="I1040" s="4">
        <v>155</v>
      </c>
      <c r="J1040" s="5">
        <v>0.38</v>
      </c>
      <c r="K1040" s="3">
        <v>22</v>
      </c>
      <c r="L1040" s="4">
        <f>tblSales[[#This Row],[Quantity]]*tblSales[[#This Row],[Actual Price]]</f>
        <v>3410</v>
      </c>
    </row>
    <row r="1041" spans="1:12" x14ac:dyDescent="0.35">
      <c r="A1041" s="3" t="s">
        <v>1582</v>
      </c>
      <c r="B1041" s="4" t="s">
        <v>86</v>
      </c>
      <c r="C1041" s="4" t="s">
        <v>87</v>
      </c>
      <c r="D1041" s="4" t="s">
        <v>14</v>
      </c>
      <c r="E1041" s="7">
        <v>41861</v>
      </c>
      <c r="F1041" s="4" t="s">
        <v>26</v>
      </c>
      <c r="G1041" s="4" t="s">
        <v>341</v>
      </c>
      <c r="H1041" s="4">
        <v>700</v>
      </c>
      <c r="I1041" s="4">
        <v>504</v>
      </c>
      <c r="J1041" s="5">
        <v>0.28000000000000003</v>
      </c>
      <c r="K1041" s="3">
        <v>96</v>
      </c>
      <c r="L1041" s="4">
        <f>tblSales[[#This Row],[Quantity]]*tblSales[[#This Row],[Actual Price]]</f>
        <v>48384</v>
      </c>
    </row>
    <row r="1042" spans="1:12" x14ac:dyDescent="0.35">
      <c r="A1042" s="3" t="s">
        <v>1583</v>
      </c>
      <c r="B1042" s="4" t="s">
        <v>147</v>
      </c>
      <c r="C1042" s="4" t="s">
        <v>148</v>
      </c>
      <c r="D1042" s="4" t="s">
        <v>14</v>
      </c>
      <c r="E1042" s="7">
        <v>41745</v>
      </c>
      <c r="F1042" s="4" t="s">
        <v>26</v>
      </c>
      <c r="G1042" s="4" t="s">
        <v>1319</v>
      </c>
      <c r="H1042" s="4">
        <v>700</v>
      </c>
      <c r="I1042" s="4">
        <v>511</v>
      </c>
      <c r="J1042" s="5">
        <v>0.27</v>
      </c>
      <c r="K1042" s="3">
        <v>51</v>
      </c>
      <c r="L1042" s="4">
        <f>tblSales[[#This Row],[Quantity]]*tblSales[[#This Row],[Actual Price]]</f>
        <v>26061</v>
      </c>
    </row>
    <row r="1043" spans="1:12" x14ac:dyDescent="0.35">
      <c r="A1043" s="3" t="s">
        <v>1584</v>
      </c>
      <c r="B1043" s="4" t="s">
        <v>23</v>
      </c>
      <c r="C1043" s="4" t="s">
        <v>24</v>
      </c>
      <c r="D1043" s="4" t="s">
        <v>25</v>
      </c>
      <c r="E1043" s="7">
        <v>43326</v>
      </c>
      <c r="F1043" s="4" t="s">
        <v>116</v>
      </c>
      <c r="G1043" s="4" t="s">
        <v>1585</v>
      </c>
      <c r="H1043" s="4">
        <v>250</v>
      </c>
      <c r="I1043" s="4">
        <v>250</v>
      </c>
      <c r="J1043" s="5">
        <v>0</v>
      </c>
      <c r="K1043" s="3">
        <v>74</v>
      </c>
      <c r="L1043" s="4">
        <f>tblSales[[#This Row],[Quantity]]*tblSales[[#This Row],[Actual Price]]</f>
        <v>18500</v>
      </c>
    </row>
    <row r="1044" spans="1:12" x14ac:dyDescent="0.35">
      <c r="A1044" s="3" t="s">
        <v>1586</v>
      </c>
      <c r="B1044" s="4" t="s">
        <v>242</v>
      </c>
      <c r="C1044" s="4" t="s">
        <v>243</v>
      </c>
      <c r="D1044" s="4" t="s">
        <v>14</v>
      </c>
      <c r="E1044" s="7">
        <v>43247</v>
      </c>
      <c r="F1044" s="4" t="s">
        <v>37</v>
      </c>
      <c r="G1044" s="4" t="s">
        <v>381</v>
      </c>
      <c r="H1044" s="4">
        <v>50</v>
      </c>
      <c r="I1044" s="4">
        <v>50</v>
      </c>
      <c r="J1044" s="5">
        <v>0</v>
      </c>
      <c r="K1044" s="3">
        <v>83</v>
      </c>
      <c r="L1044" s="4">
        <f>tblSales[[#This Row],[Quantity]]*tblSales[[#This Row],[Actual Price]]</f>
        <v>4150</v>
      </c>
    </row>
    <row r="1045" spans="1:12" x14ac:dyDescent="0.35">
      <c r="A1045" s="3" t="s">
        <v>1587</v>
      </c>
      <c r="B1045" s="4" t="s">
        <v>60</v>
      </c>
      <c r="C1045" s="4" t="s">
        <v>61</v>
      </c>
      <c r="D1045" s="4" t="s">
        <v>14</v>
      </c>
      <c r="E1045" s="7">
        <v>42474</v>
      </c>
      <c r="F1045" s="4" t="s">
        <v>31</v>
      </c>
      <c r="G1045" s="4" t="s">
        <v>313</v>
      </c>
      <c r="H1045" s="4">
        <v>150</v>
      </c>
      <c r="I1045" s="4">
        <v>135</v>
      </c>
      <c r="J1045" s="5">
        <v>0.1</v>
      </c>
      <c r="K1045" s="3">
        <v>75</v>
      </c>
      <c r="L1045" s="4">
        <f>tblSales[[#This Row],[Quantity]]*tblSales[[#This Row],[Actual Price]]</f>
        <v>10125</v>
      </c>
    </row>
    <row r="1046" spans="1:12" x14ac:dyDescent="0.35">
      <c r="A1046" s="3" t="s">
        <v>1588</v>
      </c>
      <c r="B1046" s="4" t="s">
        <v>29</v>
      </c>
      <c r="C1046" s="4" t="s">
        <v>30</v>
      </c>
      <c r="D1046" s="4" t="s">
        <v>14</v>
      </c>
      <c r="E1046" s="7">
        <v>43050</v>
      </c>
      <c r="F1046" s="4" t="s">
        <v>105</v>
      </c>
      <c r="G1046" s="4" t="s">
        <v>250</v>
      </c>
      <c r="H1046" s="4">
        <v>70</v>
      </c>
      <c r="I1046" s="4">
        <v>68</v>
      </c>
      <c r="J1046" s="5">
        <v>2.86E-2</v>
      </c>
      <c r="K1046" s="3">
        <v>84</v>
      </c>
      <c r="L1046" s="4">
        <f>tblSales[[#This Row],[Quantity]]*tblSales[[#This Row],[Actual Price]]</f>
        <v>5712</v>
      </c>
    </row>
    <row r="1047" spans="1:12" x14ac:dyDescent="0.35">
      <c r="A1047" s="3" t="s">
        <v>1589</v>
      </c>
      <c r="B1047" s="4" t="s">
        <v>155</v>
      </c>
      <c r="C1047" s="4" t="s">
        <v>109</v>
      </c>
      <c r="D1047" s="4" t="s">
        <v>20</v>
      </c>
      <c r="E1047" s="7">
        <v>42095</v>
      </c>
      <c r="F1047" s="4" t="s">
        <v>62</v>
      </c>
      <c r="G1047" s="4" t="s">
        <v>738</v>
      </c>
      <c r="H1047" s="4">
        <v>1000</v>
      </c>
      <c r="I1047" s="4">
        <v>680</v>
      </c>
      <c r="J1047" s="5">
        <v>0.32</v>
      </c>
      <c r="K1047" s="3">
        <v>86</v>
      </c>
      <c r="L1047" s="4">
        <f>tblSales[[#This Row],[Quantity]]*tblSales[[#This Row],[Actual Price]]</f>
        <v>58480</v>
      </c>
    </row>
    <row r="1048" spans="1:12" x14ac:dyDescent="0.35">
      <c r="A1048" s="3" t="s">
        <v>1590</v>
      </c>
      <c r="B1048" s="4" t="s">
        <v>188</v>
      </c>
      <c r="C1048" s="4" t="s">
        <v>189</v>
      </c>
      <c r="D1048" s="4" t="s">
        <v>14</v>
      </c>
      <c r="E1048" s="7">
        <v>41850</v>
      </c>
      <c r="F1048" s="4" t="s">
        <v>105</v>
      </c>
      <c r="G1048" s="4" t="s">
        <v>190</v>
      </c>
      <c r="H1048" s="4">
        <v>70</v>
      </c>
      <c r="I1048" s="4">
        <v>65</v>
      </c>
      <c r="J1048" s="5">
        <v>7.1400000000000005E-2</v>
      </c>
      <c r="K1048" s="3">
        <v>16</v>
      </c>
      <c r="L1048" s="4">
        <f>tblSales[[#This Row],[Quantity]]*tblSales[[#This Row],[Actual Price]]</f>
        <v>1040</v>
      </c>
    </row>
    <row r="1049" spans="1:12" x14ac:dyDescent="0.35">
      <c r="A1049" s="3" t="s">
        <v>1591</v>
      </c>
      <c r="B1049" s="4" t="s">
        <v>151</v>
      </c>
      <c r="C1049" s="4" t="s">
        <v>152</v>
      </c>
      <c r="D1049" s="4" t="s">
        <v>14</v>
      </c>
      <c r="E1049" s="7">
        <v>43006</v>
      </c>
      <c r="F1049" s="4" t="s">
        <v>56</v>
      </c>
      <c r="G1049" s="4" t="s">
        <v>825</v>
      </c>
      <c r="H1049" s="4">
        <v>800</v>
      </c>
      <c r="I1049" s="4">
        <v>488</v>
      </c>
      <c r="J1049" s="5">
        <v>0.39</v>
      </c>
      <c r="K1049" s="3">
        <v>64</v>
      </c>
      <c r="L1049" s="4">
        <f>tblSales[[#This Row],[Quantity]]*tblSales[[#This Row],[Actual Price]]</f>
        <v>31232</v>
      </c>
    </row>
    <row r="1050" spans="1:12" x14ac:dyDescent="0.35">
      <c r="A1050" s="3" t="s">
        <v>1592</v>
      </c>
      <c r="B1050" s="4" t="s">
        <v>132</v>
      </c>
      <c r="C1050" s="4" t="s">
        <v>109</v>
      </c>
      <c r="D1050" s="4" t="s">
        <v>20</v>
      </c>
      <c r="E1050" s="7">
        <v>42431</v>
      </c>
      <c r="F1050" s="4" t="s">
        <v>42</v>
      </c>
      <c r="G1050" s="4" t="s">
        <v>475</v>
      </c>
      <c r="H1050" s="4">
        <v>30</v>
      </c>
      <c r="I1050" s="4">
        <v>27</v>
      </c>
      <c r="J1050" s="5">
        <v>0.1</v>
      </c>
      <c r="K1050" s="3">
        <v>65</v>
      </c>
      <c r="L1050" s="4">
        <f>tblSales[[#This Row],[Quantity]]*tblSales[[#This Row],[Actual Price]]</f>
        <v>1755</v>
      </c>
    </row>
    <row r="1051" spans="1:12" x14ac:dyDescent="0.35">
      <c r="A1051" s="3" t="s">
        <v>1593</v>
      </c>
      <c r="B1051" s="4" t="s">
        <v>45</v>
      </c>
      <c r="C1051" s="4" t="s">
        <v>46</v>
      </c>
      <c r="D1051" s="4" t="s">
        <v>25</v>
      </c>
      <c r="E1051" s="7">
        <v>41862</v>
      </c>
      <c r="F1051" s="4" t="s">
        <v>56</v>
      </c>
      <c r="G1051" s="4" t="s">
        <v>1178</v>
      </c>
      <c r="H1051" s="4">
        <v>800</v>
      </c>
      <c r="I1051" s="4">
        <v>448</v>
      </c>
      <c r="J1051" s="5">
        <v>0.44</v>
      </c>
      <c r="K1051" s="3">
        <v>90</v>
      </c>
      <c r="L1051" s="4">
        <f>tblSales[[#This Row],[Quantity]]*tblSales[[#This Row],[Actual Price]]</f>
        <v>40320</v>
      </c>
    </row>
    <row r="1052" spans="1:12" x14ac:dyDescent="0.35">
      <c r="A1052" s="3" t="s">
        <v>1594</v>
      </c>
      <c r="B1052" s="4" t="s">
        <v>206</v>
      </c>
      <c r="C1052" s="4" t="s">
        <v>207</v>
      </c>
      <c r="D1052" s="4" t="s">
        <v>25</v>
      </c>
      <c r="E1052" s="7">
        <v>43182</v>
      </c>
      <c r="F1052" s="4" t="s">
        <v>42</v>
      </c>
      <c r="G1052" s="4" t="s">
        <v>597</v>
      </c>
      <c r="H1052" s="4">
        <v>30</v>
      </c>
      <c r="I1052" s="4">
        <v>29</v>
      </c>
      <c r="J1052" s="5">
        <v>3.3300000000000003E-2</v>
      </c>
      <c r="K1052" s="3">
        <v>18</v>
      </c>
      <c r="L1052" s="4">
        <f>tblSales[[#This Row],[Quantity]]*tblSales[[#This Row],[Actual Price]]</f>
        <v>522</v>
      </c>
    </row>
    <row r="1053" spans="1:12" x14ac:dyDescent="0.35">
      <c r="A1053" s="3" t="s">
        <v>1595</v>
      </c>
      <c r="B1053" s="4" t="s">
        <v>228</v>
      </c>
      <c r="C1053" s="4" t="s">
        <v>229</v>
      </c>
      <c r="D1053" s="4" t="s">
        <v>25</v>
      </c>
      <c r="E1053" s="7">
        <v>43244</v>
      </c>
      <c r="F1053" s="4" t="s">
        <v>26</v>
      </c>
      <c r="G1053" s="4" t="s">
        <v>230</v>
      </c>
      <c r="H1053" s="4">
        <v>700</v>
      </c>
      <c r="I1053" s="4">
        <v>651</v>
      </c>
      <c r="J1053" s="5">
        <v>7.0000000000000007E-2</v>
      </c>
      <c r="K1053" s="3">
        <v>45</v>
      </c>
      <c r="L1053" s="4">
        <f>tblSales[[#This Row],[Quantity]]*tblSales[[#This Row],[Actual Price]]</f>
        <v>29295</v>
      </c>
    </row>
    <row r="1054" spans="1:12" x14ac:dyDescent="0.35">
      <c r="A1054" s="3" t="s">
        <v>1596</v>
      </c>
      <c r="B1054" s="4" t="s">
        <v>206</v>
      </c>
      <c r="C1054" s="4" t="s">
        <v>207</v>
      </c>
      <c r="D1054" s="4" t="s">
        <v>25</v>
      </c>
      <c r="E1054" s="7">
        <v>42682</v>
      </c>
      <c r="F1054" s="4" t="s">
        <v>47</v>
      </c>
      <c r="G1054" s="4" t="s">
        <v>597</v>
      </c>
      <c r="H1054" s="4">
        <v>500</v>
      </c>
      <c r="I1054" s="4">
        <v>470</v>
      </c>
      <c r="J1054" s="5">
        <v>0.06</v>
      </c>
      <c r="K1054" s="3">
        <v>90</v>
      </c>
      <c r="L1054" s="4">
        <f>tblSales[[#This Row],[Quantity]]*tblSales[[#This Row],[Actual Price]]</f>
        <v>42300</v>
      </c>
    </row>
    <row r="1055" spans="1:12" x14ac:dyDescent="0.35">
      <c r="A1055" s="3" t="s">
        <v>1597</v>
      </c>
      <c r="B1055" s="4" t="s">
        <v>108</v>
      </c>
      <c r="C1055" s="4" t="s">
        <v>109</v>
      </c>
      <c r="D1055" s="4" t="s">
        <v>20</v>
      </c>
      <c r="E1055" s="7">
        <v>43208</v>
      </c>
      <c r="F1055" s="4" t="s">
        <v>105</v>
      </c>
      <c r="G1055" s="4" t="s">
        <v>532</v>
      </c>
      <c r="H1055" s="4">
        <v>70</v>
      </c>
      <c r="I1055" s="4">
        <v>67</v>
      </c>
      <c r="J1055" s="5">
        <v>4.2900000000000001E-2</v>
      </c>
      <c r="K1055" s="3">
        <v>58</v>
      </c>
      <c r="L1055" s="4">
        <f>tblSales[[#This Row],[Quantity]]*tblSales[[#This Row],[Actual Price]]</f>
        <v>3886</v>
      </c>
    </row>
    <row r="1056" spans="1:12" x14ac:dyDescent="0.35">
      <c r="A1056" s="3" t="s">
        <v>1598</v>
      </c>
      <c r="B1056" s="4" t="s">
        <v>147</v>
      </c>
      <c r="C1056" s="4" t="s">
        <v>148</v>
      </c>
      <c r="D1056" s="4" t="s">
        <v>14</v>
      </c>
      <c r="E1056" s="7">
        <v>43407</v>
      </c>
      <c r="F1056" s="4" t="s">
        <v>26</v>
      </c>
      <c r="G1056" s="4" t="s">
        <v>1335</v>
      </c>
      <c r="H1056" s="4">
        <v>700</v>
      </c>
      <c r="I1056" s="4">
        <v>637</v>
      </c>
      <c r="J1056" s="5">
        <v>0.09</v>
      </c>
      <c r="K1056" s="3">
        <v>74</v>
      </c>
      <c r="L1056" s="4">
        <f>tblSales[[#This Row],[Quantity]]*tblSales[[#This Row],[Actual Price]]</f>
        <v>47138</v>
      </c>
    </row>
    <row r="1057" spans="1:12" x14ac:dyDescent="0.35">
      <c r="A1057" s="3" t="s">
        <v>1599</v>
      </c>
      <c r="B1057" s="4" t="s">
        <v>18</v>
      </c>
      <c r="C1057" s="4" t="s">
        <v>19</v>
      </c>
      <c r="D1057" s="4" t="s">
        <v>20</v>
      </c>
      <c r="E1057" s="7">
        <v>42137</v>
      </c>
      <c r="F1057" s="4" t="s">
        <v>62</v>
      </c>
      <c r="G1057" s="4" t="s">
        <v>914</v>
      </c>
      <c r="H1057" s="4">
        <v>1000</v>
      </c>
      <c r="I1057" s="4">
        <v>680</v>
      </c>
      <c r="J1057" s="5">
        <v>0.32</v>
      </c>
      <c r="K1057" s="3">
        <v>55</v>
      </c>
      <c r="L1057" s="4">
        <f>tblSales[[#This Row],[Quantity]]*tblSales[[#This Row],[Actual Price]]</f>
        <v>37400</v>
      </c>
    </row>
    <row r="1058" spans="1:12" x14ac:dyDescent="0.35">
      <c r="A1058" s="3" t="s">
        <v>1600</v>
      </c>
      <c r="B1058" s="4" t="s">
        <v>119</v>
      </c>
      <c r="C1058" s="4" t="s">
        <v>120</v>
      </c>
      <c r="D1058" s="4" t="s">
        <v>36</v>
      </c>
      <c r="E1058" s="7">
        <v>42555</v>
      </c>
      <c r="F1058" s="4" t="s">
        <v>26</v>
      </c>
      <c r="G1058" s="4" t="s">
        <v>910</v>
      </c>
      <c r="H1058" s="4">
        <v>700</v>
      </c>
      <c r="I1058" s="4">
        <v>693</v>
      </c>
      <c r="J1058" s="5">
        <v>0.01</v>
      </c>
      <c r="K1058" s="3">
        <v>4</v>
      </c>
      <c r="L1058" s="4">
        <f>tblSales[[#This Row],[Quantity]]*tblSales[[#This Row],[Actual Price]]</f>
        <v>2772</v>
      </c>
    </row>
    <row r="1059" spans="1:12" x14ac:dyDescent="0.35">
      <c r="A1059" s="3" t="s">
        <v>1601</v>
      </c>
      <c r="B1059" s="4" t="s">
        <v>50</v>
      </c>
      <c r="C1059" s="4" t="s">
        <v>51</v>
      </c>
      <c r="D1059" s="4" t="s">
        <v>25</v>
      </c>
      <c r="E1059" s="7">
        <v>41932</v>
      </c>
      <c r="F1059" s="4" t="s">
        <v>73</v>
      </c>
      <c r="G1059" s="4" t="s">
        <v>730</v>
      </c>
      <c r="H1059" s="4">
        <v>500</v>
      </c>
      <c r="I1059" s="4">
        <v>495</v>
      </c>
      <c r="J1059" s="5">
        <v>0.01</v>
      </c>
      <c r="K1059" s="3">
        <v>25</v>
      </c>
      <c r="L1059" s="4">
        <f>tblSales[[#This Row],[Quantity]]*tblSales[[#This Row],[Actual Price]]</f>
        <v>12375</v>
      </c>
    </row>
    <row r="1060" spans="1:12" x14ac:dyDescent="0.35">
      <c r="A1060" s="3" t="s">
        <v>1602</v>
      </c>
      <c r="B1060" s="4" t="s">
        <v>435</v>
      </c>
      <c r="C1060" s="4" t="s">
        <v>436</v>
      </c>
      <c r="D1060" s="4" t="s">
        <v>25</v>
      </c>
      <c r="E1060" s="7">
        <v>42842</v>
      </c>
      <c r="F1060" s="4" t="s">
        <v>37</v>
      </c>
      <c r="G1060" s="4" t="s">
        <v>765</v>
      </c>
      <c r="H1060" s="4">
        <v>50</v>
      </c>
      <c r="I1060" s="4">
        <v>46</v>
      </c>
      <c r="J1060" s="5">
        <v>0.08</v>
      </c>
      <c r="K1060" s="3">
        <v>91</v>
      </c>
      <c r="L1060" s="4">
        <f>tblSales[[#This Row],[Quantity]]*tblSales[[#This Row],[Actual Price]]</f>
        <v>4186</v>
      </c>
    </row>
    <row r="1061" spans="1:12" x14ac:dyDescent="0.35">
      <c r="A1061" s="3" t="s">
        <v>1603</v>
      </c>
      <c r="B1061" s="4" t="s">
        <v>18</v>
      </c>
      <c r="C1061" s="4" t="s">
        <v>19</v>
      </c>
      <c r="D1061" s="4" t="s">
        <v>20</v>
      </c>
      <c r="E1061" s="7">
        <v>43410</v>
      </c>
      <c r="F1061" s="4" t="s">
        <v>123</v>
      </c>
      <c r="G1061" s="4" t="s">
        <v>544</v>
      </c>
      <c r="H1061" s="4">
        <v>50</v>
      </c>
      <c r="I1061" s="4">
        <v>49</v>
      </c>
      <c r="J1061" s="5">
        <v>0.02</v>
      </c>
      <c r="K1061" s="3">
        <v>80</v>
      </c>
      <c r="L1061" s="4">
        <f>tblSales[[#This Row],[Quantity]]*tblSales[[#This Row],[Actual Price]]</f>
        <v>3920</v>
      </c>
    </row>
    <row r="1062" spans="1:12" x14ac:dyDescent="0.35">
      <c r="A1062" s="3" t="s">
        <v>1604</v>
      </c>
      <c r="B1062" s="4" t="s">
        <v>135</v>
      </c>
      <c r="C1062" s="4" t="s">
        <v>93</v>
      </c>
      <c r="D1062" s="4" t="s">
        <v>36</v>
      </c>
      <c r="E1062" s="7">
        <v>42795</v>
      </c>
      <c r="F1062" s="4" t="s">
        <v>47</v>
      </c>
      <c r="G1062" s="4" t="s">
        <v>1128</v>
      </c>
      <c r="H1062" s="4">
        <v>500</v>
      </c>
      <c r="I1062" s="4">
        <v>455</v>
      </c>
      <c r="J1062" s="5">
        <v>0.09</v>
      </c>
      <c r="K1062" s="3">
        <v>91</v>
      </c>
      <c r="L1062" s="4">
        <f>tblSales[[#This Row],[Quantity]]*tblSales[[#This Row],[Actual Price]]</f>
        <v>41405</v>
      </c>
    </row>
    <row r="1063" spans="1:12" x14ac:dyDescent="0.35">
      <c r="A1063" s="3" t="s">
        <v>1605</v>
      </c>
      <c r="B1063" s="4" t="s">
        <v>60</v>
      </c>
      <c r="C1063" s="4" t="s">
        <v>61</v>
      </c>
      <c r="D1063" s="4" t="s">
        <v>14</v>
      </c>
      <c r="E1063" s="7">
        <v>42577</v>
      </c>
      <c r="F1063" s="4" t="s">
        <v>73</v>
      </c>
      <c r="G1063" s="4" t="s">
        <v>1015</v>
      </c>
      <c r="H1063" s="4">
        <v>500</v>
      </c>
      <c r="I1063" s="4">
        <v>490</v>
      </c>
      <c r="J1063" s="5">
        <v>0.02</v>
      </c>
      <c r="K1063" s="3">
        <v>66</v>
      </c>
      <c r="L1063" s="4">
        <f>tblSales[[#This Row],[Quantity]]*tblSales[[#This Row],[Actual Price]]</f>
        <v>32340</v>
      </c>
    </row>
    <row r="1064" spans="1:12" x14ac:dyDescent="0.35">
      <c r="A1064" s="3" t="s">
        <v>1606</v>
      </c>
      <c r="B1064" s="4" t="s">
        <v>18</v>
      </c>
      <c r="C1064" s="4" t="s">
        <v>19</v>
      </c>
      <c r="D1064" s="4" t="s">
        <v>20</v>
      </c>
      <c r="E1064" s="7">
        <v>42384</v>
      </c>
      <c r="F1064" s="4" t="s">
        <v>123</v>
      </c>
      <c r="G1064" s="4" t="s">
        <v>914</v>
      </c>
      <c r="H1064" s="4">
        <v>50</v>
      </c>
      <c r="I1064" s="4">
        <v>47</v>
      </c>
      <c r="J1064" s="5">
        <v>0.06</v>
      </c>
      <c r="K1064" s="3">
        <v>40</v>
      </c>
      <c r="L1064" s="4">
        <f>tblSales[[#This Row],[Quantity]]*tblSales[[#This Row],[Actual Price]]</f>
        <v>1880</v>
      </c>
    </row>
    <row r="1065" spans="1:12" x14ac:dyDescent="0.35">
      <c r="A1065" s="3" t="s">
        <v>1607</v>
      </c>
      <c r="B1065" s="4" t="s">
        <v>86</v>
      </c>
      <c r="C1065" s="4" t="s">
        <v>87</v>
      </c>
      <c r="D1065" s="4" t="s">
        <v>14</v>
      </c>
      <c r="E1065" s="7">
        <v>42039</v>
      </c>
      <c r="F1065" s="4" t="s">
        <v>26</v>
      </c>
      <c r="G1065" s="4" t="s">
        <v>88</v>
      </c>
      <c r="H1065" s="4">
        <v>700</v>
      </c>
      <c r="I1065" s="4">
        <v>665</v>
      </c>
      <c r="J1065" s="5">
        <v>0.05</v>
      </c>
      <c r="K1065" s="3">
        <v>65</v>
      </c>
      <c r="L1065" s="4">
        <f>tblSales[[#This Row],[Quantity]]*tblSales[[#This Row],[Actual Price]]</f>
        <v>43225</v>
      </c>
    </row>
    <row r="1066" spans="1:12" x14ac:dyDescent="0.35">
      <c r="A1066" s="3" t="s">
        <v>1608</v>
      </c>
      <c r="B1066" s="4" t="s">
        <v>50</v>
      </c>
      <c r="C1066" s="4" t="s">
        <v>51</v>
      </c>
      <c r="D1066" s="4" t="s">
        <v>25</v>
      </c>
      <c r="E1066" s="7">
        <v>43261</v>
      </c>
      <c r="F1066" s="4" t="s">
        <v>123</v>
      </c>
      <c r="G1066" s="4" t="s">
        <v>379</v>
      </c>
      <c r="H1066" s="4">
        <v>50</v>
      </c>
      <c r="I1066" s="4">
        <v>43</v>
      </c>
      <c r="J1066" s="5">
        <v>0.14000000000000001</v>
      </c>
      <c r="K1066" s="3">
        <v>29</v>
      </c>
      <c r="L1066" s="4">
        <f>tblSales[[#This Row],[Quantity]]*tblSales[[#This Row],[Actual Price]]</f>
        <v>1247</v>
      </c>
    </row>
    <row r="1067" spans="1:12" x14ac:dyDescent="0.35">
      <c r="A1067" s="3" t="s">
        <v>1609</v>
      </c>
      <c r="B1067" s="4" t="s">
        <v>54</v>
      </c>
      <c r="C1067" s="4" t="s">
        <v>55</v>
      </c>
      <c r="D1067" s="4" t="s">
        <v>14</v>
      </c>
      <c r="E1067" s="7">
        <v>42942</v>
      </c>
      <c r="F1067" s="4" t="s">
        <v>116</v>
      </c>
      <c r="G1067" s="4" t="s">
        <v>796</v>
      </c>
      <c r="H1067" s="4">
        <v>250</v>
      </c>
      <c r="I1067" s="4">
        <v>243</v>
      </c>
      <c r="J1067" s="5">
        <v>2.8000000000000001E-2</v>
      </c>
      <c r="K1067" s="3">
        <v>22</v>
      </c>
      <c r="L1067" s="4">
        <f>tblSales[[#This Row],[Quantity]]*tblSales[[#This Row],[Actual Price]]</f>
        <v>5346</v>
      </c>
    </row>
    <row r="1068" spans="1:12" x14ac:dyDescent="0.35">
      <c r="A1068" s="3" t="s">
        <v>1610</v>
      </c>
      <c r="B1068" s="4" t="s">
        <v>128</v>
      </c>
      <c r="C1068" s="4" t="s">
        <v>129</v>
      </c>
      <c r="D1068" s="4" t="s">
        <v>14</v>
      </c>
      <c r="E1068" s="7">
        <v>42707</v>
      </c>
      <c r="F1068" s="4" t="s">
        <v>15</v>
      </c>
      <c r="G1068" s="4" t="s">
        <v>535</v>
      </c>
      <c r="H1068" s="4">
        <v>80</v>
      </c>
      <c r="I1068" s="4">
        <v>79</v>
      </c>
      <c r="J1068" s="5">
        <v>1.2500000000000001E-2</v>
      </c>
      <c r="K1068" s="3">
        <v>5</v>
      </c>
      <c r="L1068" s="4">
        <f>tblSales[[#This Row],[Quantity]]*tblSales[[#This Row],[Actual Price]]</f>
        <v>395</v>
      </c>
    </row>
    <row r="1069" spans="1:12" x14ac:dyDescent="0.35">
      <c r="A1069" s="3" t="s">
        <v>1611</v>
      </c>
      <c r="B1069" s="4" t="s">
        <v>100</v>
      </c>
      <c r="C1069" s="4" t="s">
        <v>101</v>
      </c>
      <c r="D1069" s="4" t="s">
        <v>14</v>
      </c>
      <c r="E1069" s="7">
        <v>41835</v>
      </c>
      <c r="F1069" s="4" t="s">
        <v>116</v>
      </c>
      <c r="G1069" s="4" t="s">
        <v>753</v>
      </c>
      <c r="H1069" s="4">
        <v>250</v>
      </c>
      <c r="I1069" s="4">
        <v>230</v>
      </c>
      <c r="J1069" s="5">
        <v>0.08</v>
      </c>
      <c r="K1069" s="3">
        <v>16</v>
      </c>
      <c r="L1069" s="4">
        <f>tblSales[[#This Row],[Quantity]]*tblSales[[#This Row],[Actual Price]]</f>
        <v>3680</v>
      </c>
    </row>
    <row r="1070" spans="1:12" x14ac:dyDescent="0.35">
      <c r="A1070" s="3" t="s">
        <v>1612</v>
      </c>
      <c r="B1070" s="4" t="s">
        <v>18</v>
      </c>
      <c r="C1070" s="4" t="s">
        <v>19</v>
      </c>
      <c r="D1070" s="4" t="s">
        <v>20</v>
      </c>
      <c r="E1070" s="7">
        <v>42910</v>
      </c>
      <c r="F1070" s="4" t="s">
        <v>105</v>
      </c>
      <c r="G1070" s="4" t="s">
        <v>479</v>
      </c>
      <c r="H1070" s="4">
        <v>70</v>
      </c>
      <c r="I1070" s="4">
        <v>67</v>
      </c>
      <c r="J1070" s="5">
        <v>4.2900000000000001E-2</v>
      </c>
      <c r="K1070" s="3">
        <v>78</v>
      </c>
      <c r="L1070" s="4">
        <f>tblSales[[#This Row],[Quantity]]*tblSales[[#This Row],[Actual Price]]</f>
        <v>5226</v>
      </c>
    </row>
    <row r="1071" spans="1:12" x14ac:dyDescent="0.35">
      <c r="A1071" s="3" t="s">
        <v>1613</v>
      </c>
      <c r="B1071" s="4" t="s">
        <v>82</v>
      </c>
      <c r="C1071" s="4" t="s">
        <v>83</v>
      </c>
      <c r="D1071" s="4" t="s">
        <v>14</v>
      </c>
      <c r="E1071" s="7">
        <v>43461</v>
      </c>
      <c r="F1071" s="4" t="s">
        <v>116</v>
      </c>
      <c r="G1071" s="4" t="s">
        <v>557</v>
      </c>
      <c r="H1071" s="4">
        <v>250</v>
      </c>
      <c r="I1071" s="4">
        <v>213</v>
      </c>
      <c r="J1071" s="5">
        <v>0.14799999999999999</v>
      </c>
      <c r="K1071" s="3">
        <v>29</v>
      </c>
      <c r="L1071" s="4">
        <f>tblSales[[#This Row],[Quantity]]*tblSales[[#This Row],[Actual Price]]</f>
        <v>6177</v>
      </c>
    </row>
    <row r="1072" spans="1:12" x14ac:dyDescent="0.35">
      <c r="A1072" s="3" t="s">
        <v>1614</v>
      </c>
      <c r="B1072" s="4" t="s">
        <v>96</v>
      </c>
      <c r="C1072" s="4" t="s">
        <v>97</v>
      </c>
      <c r="D1072" s="4" t="s">
        <v>14</v>
      </c>
      <c r="E1072" s="7">
        <v>43298</v>
      </c>
      <c r="F1072" s="4" t="s">
        <v>15</v>
      </c>
      <c r="G1072" s="4" t="s">
        <v>1276</v>
      </c>
      <c r="H1072" s="4">
        <v>80</v>
      </c>
      <c r="I1072" s="4">
        <v>79</v>
      </c>
      <c r="J1072" s="5">
        <v>1.2500000000000001E-2</v>
      </c>
      <c r="K1072" s="3">
        <v>84</v>
      </c>
      <c r="L1072" s="4">
        <f>tblSales[[#This Row],[Quantity]]*tblSales[[#This Row],[Actual Price]]</f>
        <v>6636</v>
      </c>
    </row>
    <row r="1073" spans="1:12" x14ac:dyDescent="0.35">
      <c r="A1073" s="3" t="s">
        <v>1615</v>
      </c>
      <c r="B1073" s="4" t="s">
        <v>188</v>
      </c>
      <c r="C1073" s="4" t="s">
        <v>189</v>
      </c>
      <c r="D1073" s="4" t="s">
        <v>14</v>
      </c>
      <c r="E1073" s="7">
        <v>42703</v>
      </c>
      <c r="F1073" s="4" t="s">
        <v>62</v>
      </c>
      <c r="G1073" s="4" t="s">
        <v>684</v>
      </c>
      <c r="H1073" s="4">
        <v>1000</v>
      </c>
      <c r="I1073" s="4">
        <v>700</v>
      </c>
      <c r="J1073" s="5">
        <v>0.3</v>
      </c>
      <c r="K1073" s="3">
        <v>66</v>
      </c>
      <c r="L1073" s="4">
        <f>tblSales[[#This Row],[Quantity]]*tblSales[[#This Row],[Actual Price]]</f>
        <v>46200</v>
      </c>
    </row>
    <row r="1074" spans="1:12" x14ac:dyDescent="0.35">
      <c r="A1074" s="3" t="s">
        <v>1616</v>
      </c>
      <c r="B1074" s="4" t="s">
        <v>222</v>
      </c>
      <c r="C1074" s="4" t="s">
        <v>41</v>
      </c>
      <c r="D1074" s="4" t="s">
        <v>36</v>
      </c>
      <c r="E1074" s="7">
        <v>42436</v>
      </c>
      <c r="F1074" s="4" t="s">
        <v>47</v>
      </c>
      <c r="G1074" s="4" t="s">
        <v>1060</v>
      </c>
      <c r="H1074" s="4">
        <v>500</v>
      </c>
      <c r="I1074" s="4">
        <v>445</v>
      </c>
      <c r="J1074" s="5">
        <v>0.11</v>
      </c>
      <c r="K1074" s="3">
        <v>35</v>
      </c>
      <c r="L1074" s="4">
        <f>tblSales[[#This Row],[Quantity]]*tblSales[[#This Row],[Actual Price]]</f>
        <v>15575</v>
      </c>
    </row>
    <row r="1075" spans="1:12" x14ac:dyDescent="0.35">
      <c r="A1075" s="3" t="s">
        <v>1617</v>
      </c>
      <c r="B1075" s="4" t="s">
        <v>104</v>
      </c>
      <c r="C1075" s="4" t="s">
        <v>72</v>
      </c>
      <c r="D1075" s="4" t="s">
        <v>36</v>
      </c>
      <c r="E1075" s="7">
        <v>42837</v>
      </c>
      <c r="F1075" s="4" t="s">
        <v>123</v>
      </c>
      <c r="G1075" s="4" t="s">
        <v>106</v>
      </c>
      <c r="H1075" s="4">
        <v>50</v>
      </c>
      <c r="I1075" s="4">
        <v>47</v>
      </c>
      <c r="J1075" s="5">
        <v>0.06</v>
      </c>
      <c r="K1075" s="3">
        <v>91</v>
      </c>
      <c r="L1075" s="4">
        <f>tblSales[[#This Row],[Quantity]]*tblSales[[#This Row],[Actual Price]]</f>
        <v>4277</v>
      </c>
    </row>
    <row r="1076" spans="1:12" x14ac:dyDescent="0.35">
      <c r="A1076" s="3" t="s">
        <v>1618</v>
      </c>
      <c r="B1076" s="4" t="s">
        <v>242</v>
      </c>
      <c r="C1076" s="4" t="s">
        <v>243</v>
      </c>
      <c r="D1076" s="4" t="s">
        <v>14</v>
      </c>
      <c r="E1076" s="7">
        <v>41713</v>
      </c>
      <c r="F1076" s="4" t="s">
        <v>31</v>
      </c>
      <c r="G1076" s="4" t="s">
        <v>351</v>
      </c>
      <c r="H1076" s="4">
        <v>150</v>
      </c>
      <c r="I1076" s="4">
        <v>131</v>
      </c>
      <c r="J1076" s="5">
        <v>0.12670000000000001</v>
      </c>
      <c r="K1076" s="3">
        <v>86</v>
      </c>
      <c r="L1076" s="4">
        <f>tblSales[[#This Row],[Quantity]]*tblSales[[#This Row],[Actual Price]]</f>
        <v>11266</v>
      </c>
    </row>
    <row r="1077" spans="1:12" x14ac:dyDescent="0.35">
      <c r="A1077" s="3" t="s">
        <v>1619</v>
      </c>
      <c r="B1077" s="4" t="s">
        <v>242</v>
      </c>
      <c r="C1077" s="4" t="s">
        <v>243</v>
      </c>
      <c r="D1077" s="4" t="s">
        <v>14</v>
      </c>
      <c r="E1077" s="7">
        <v>43174</v>
      </c>
      <c r="F1077" s="4" t="s">
        <v>26</v>
      </c>
      <c r="G1077" s="4" t="s">
        <v>627</v>
      </c>
      <c r="H1077" s="4">
        <v>700</v>
      </c>
      <c r="I1077" s="4">
        <v>616</v>
      </c>
      <c r="J1077" s="5">
        <v>0.12</v>
      </c>
      <c r="K1077" s="3">
        <v>16</v>
      </c>
      <c r="L1077" s="4">
        <f>tblSales[[#This Row],[Quantity]]*tblSales[[#This Row],[Actual Price]]</f>
        <v>9856</v>
      </c>
    </row>
    <row r="1078" spans="1:12" x14ac:dyDescent="0.35">
      <c r="A1078" s="3" t="s">
        <v>1620</v>
      </c>
      <c r="B1078" s="4" t="s">
        <v>135</v>
      </c>
      <c r="C1078" s="4" t="s">
        <v>93</v>
      </c>
      <c r="D1078" s="4" t="s">
        <v>36</v>
      </c>
      <c r="E1078" s="7">
        <v>43427</v>
      </c>
      <c r="F1078" s="4" t="s">
        <v>37</v>
      </c>
      <c r="G1078" s="4" t="s">
        <v>850</v>
      </c>
      <c r="H1078" s="4">
        <v>50</v>
      </c>
      <c r="I1078" s="4">
        <v>46</v>
      </c>
      <c r="J1078" s="5">
        <v>0.08</v>
      </c>
      <c r="K1078" s="3">
        <v>55</v>
      </c>
      <c r="L1078" s="4">
        <f>tblSales[[#This Row],[Quantity]]*tblSales[[#This Row],[Actual Price]]</f>
        <v>2530</v>
      </c>
    </row>
    <row r="1079" spans="1:12" x14ac:dyDescent="0.35">
      <c r="A1079" s="3" t="s">
        <v>1621</v>
      </c>
      <c r="B1079" s="4" t="s">
        <v>119</v>
      </c>
      <c r="C1079" s="4" t="s">
        <v>120</v>
      </c>
      <c r="D1079" s="4" t="s">
        <v>36</v>
      </c>
      <c r="E1079" s="7">
        <v>43213</v>
      </c>
      <c r="F1079" s="4" t="s">
        <v>47</v>
      </c>
      <c r="G1079" s="4" t="s">
        <v>121</v>
      </c>
      <c r="H1079" s="4">
        <v>500</v>
      </c>
      <c r="I1079" s="4">
        <v>480</v>
      </c>
      <c r="J1079" s="5">
        <v>0.04</v>
      </c>
      <c r="K1079" s="3">
        <v>65</v>
      </c>
      <c r="L1079" s="4">
        <f>tblSales[[#This Row],[Quantity]]*tblSales[[#This Row],[Actual Price]]</f>
        <v>31200</v>
      </c>
    </row>
    <row r="1080" spans="1:12" x14ac:dyDescent="0.35">
      <c r="A1080" s="3" t="s">
        <v>1622</v>
      </c>
      <c r="B1080" s="4" t="s">
        <v>92</v>
      </c>
      <c r="C1080" s="4" t="s">
        <v>93</v>
      </c>
      <c r="D1080" s="4" t="s">
        <v>36</v>
      </c>
      <c r="E1080" s="7">
        <v>42095</v>
      </c>
      <c r="F1080" s="4" t="s">
        <v>123</v>
      </c>
      <c r="G1080" s="4" t="s">
        <v>496</v>
      </c>
      <c r="H1080" s="4">
        <v>50</v>
      </c>
      <c r="I1080" s="4">
        <v>47</v>
      </c>
      <c r="J1080" s="5">
        <v>0.06</v>
      </c>
      <c r="K1080" s="3">
        <v>83</v>
      </c>
      <c r="L1080" s="4">
        <f>tblSales[[#This Row],[Quantity]]*tblSales[[#This Row],[Actual Price]]</f>
        <v>3901</v>
      </c>
    </row>
    <row r="1081" spans="1:12" x14ac:dyDescent="0.35">
      <c r="A1081" s="3" t="s">
        <v>1623</v>
      </c>
      <c r="B1081" s="4" t="s">
        <v>54</v>
      </c>
      <c r="C1081" s="4" t="s">
        <v>55</v>
      </c>
      <c r="D1081" s="4" t="s">
        <v>14</v>
      </c>
      <c r="E1081" s="7">
        <v>42190</v>
      </c>
      <c r="F1081" s="4" t="s">
        <v>31</v>
      </c>
      <c r="G1081" s="4" t="s">
        <v>57</v>
      </c>
      <c r="H1081" s="4">
        <v>150</v>
      </c>
      <c r="I1081" s="4">
        <v>146</v>
      </c>
      <c r="J1081" s="5">
        <v>2.6700000000000002E-2</v>
      </c>
      <c r="K1081" s="3">
        <v>3</v>
      </c>
      <c r="L1081" s="4">
        <f>tblSales[[#This Row],[Quantity]]*tblSales[[#This Row],[Actual Price]]</f>
        <v>438</v>
      </c>
    </row>
    <row r="1082" spans="1:12" x14ac:dyDescent="0.35">
      <c r="A1082" s="3" t="s">
        <v>1624</v>
      </c>
      <c r="B1082" s="4" t="s">
        <v>147</v>
      </c>
      <c r="C1082" s="4" t="s">
        <v>148</v>
      </c>
      <c r="D1082" s="4" t="s">
        <v>14</v>
      </c>
      <c r="E1082" s="7">
        <v>42655</v>
      </c>
      <c r="F1082" s="4" t="s">
        <v>105</v>
      </c>
      <c r="G1082" s="4" t="s">
        <v>1625</v>
      </c>
      <c r="H1082" s="4">
        <v>70</v>
      </c>
      <c r="I1082" s="4">
        <v>67</v>
      </c>
      <c r="J1082" s="5">
        <v>4.2900000000000001E-2</v>
      </c>
      <c r="K1082" s="3">
        <v>83</v>
      </c>
      <c r="L1082" s="4">
        <f>tblSales[[#This Row],[Quantity]]*tblSales[[#This Row],[Actual Price]]</f>
        <v>5561</v>
      </c>
    </row>
    <row r="1083" spans="1:12" x14ac:dyDescent="0.35">
      <c r="A1083" s="3" t="s">
        <v>1626</v>
      </c>
      <c r="B1083" s="4" t="s">
        <v>119</v>
      </c>
      <c r="C1083" s="4" t="s">
        <v>120</v>
      </c>
      <c r="D1083" s="4" t="s">
        <v>36</v>
      </c>
      <c r="E1083" s="7">
        <v>43083</v>
      </c>
      <c r="F1083" s="4" t="s">
        <v>73</v>
      </c>
      <c r="G1083" s="4" t="s">
        <v>710</v>
      </c>
      <c r="H1083" s="4">
        <v>500</v>
      </c>
      <c r="I1083" s="4">
        <v>495</v>
      </c>
      <c r="J1083" s="5">
        <v>0.01</v>
      </c>
      <c r="K1083" s="3">
        <v>63</v>
      </c>
      <c r="L1083" s="4">
        <f>tblSales[[#This Row],[Quantity]]*tblSales[[#This Row],[Actual Price]]</f>
        <v>31185</v>
      </c>
    </row>
    <row r="1084" spans="1:12" x14ac:dyDescent="0.35">
      <c r="A1084" s="3" t="s">
        <v>1627</v>
      </c>
      <c r="B1084" s="4" t="s">
        <v>78</v>
      </c>
      <c r="C1084" s="4" t="s">
        <v>79</v>
      </c>
      <c r="D1084" s="4" t="s">
        <v>36</v>
      </c>
      <c r="E1084" s="7">
        <v>41881</v>
      </c>
      <c r="F1084" s="4" t="s">
        <v>105</v>
      </c>
      <c r="G1084" s="4" t="s">
        <v>318</v>
      </c>
      <c r="H1084" s="4">
        <v>70</v>
      </c>
      <c r="I1084" s="4">
        <v>57</v>
      </c>
      <c r="J1084" s="5">
        <v>0.1857</v>
      </c>
      <c r="K1084" s="3">
        <v>99</v>
      </c>
      <c r="L1084" s="4">
        <f>tblSales[[#This Row],[Quantity]]*tblSales[[#This Row],[Actual Price]]</f>
        <v>5643</v>
      </c>
    </row>
    <row r="1085" spans="1:12" x14ac:dyDescent="0.35">
      <c r="A1085" s="3" t="s">
        <v>1628</v>
      </c>
      <c r="B1085" s="4" t="s">
        <v>265</v>
      </c>
      <c r="C1085" s="4" t="s">
        <v>266</v>
      </c>
      <c r="D1085" s="4" t="s">
        <v>14</v>
      </c>
      <c r="E1085" s="7">
        <v>43290</v>
      </c>
      <c r="F1085" s="4" t="s">
        <v>123</v>
      </c>
      <c r="G1085" s="4" t="s">
        <v>370</v>
      </c>
      <c r="H1085" s="4">
        <v>50</v>
      </c>
      <c r="I1085" s="4">
        <v>47</v>
      </c>
      <c r="J1085" s="5">
        <v>0.06</v>
      </c>
      <c r="K1085" s="3">
        <v>60</v>
      </c>
      <c r="L1085" s="4">
        <f>tblSales[[#This Row],[Quantity]]*tblSales[[#This Row],[Actual Price]]</f>
        <v>2820</v>
      </c>
    </row>
    <row r="1086" spans="1:12" x14ac:dyDescent="0.35">
      <c r="A1086" s="3" t="s">
        <v>1629</v>
      </c>
      <c r="B1086" s="4" t="s">
        <v>242</v>
      </c>
      <c r="C1086" s="4" t="s">
        <v>243</v>
      </c>
      <c r="D1086" s="4" t="s">
        <v>14</v>
      </c>
      <c r="E1086" s="7">
        <v>41821</v>
      </c>
      <c r="F1086" s="4" t="s">
        <v>31</v>
      </c>
      <c r="G1086" s="4" t="s">
        <v>288</v>
      </c>
      <c r="H1086" s="4">
        <v>150</v>
      </c>
      <c r="I1086" s="4">
        <v>125</v>
      </c>
      <c r="J1086" s="5">
        <v>0.16669999999999999</v>
      </c>
      <c r="K1086" s="3">
        <v>60</v>
      </c>
      <c r="L1086" s="4">
        <f>tblSales[[#This Row],[Quantity]]*tblSales[[#This Row],[Actual Price]]</f>
        <v>7500</v>
      </c>
    </row>
    <row r="1087" spans="1:12" x14ac:dyDescent="0.35">
      <c r="A1087" s="3" t="s">
        <v>1630</v>
      </c>
      <c r="B1087" s="4" t="s">
        <v>34</v>
      </c>
      <c r="C1087" s="4" t="s">
        <v>35</v>
      </c>
      <c r="D1087" s="4" t="s">
        <v>36</v>
      </c>
      <c r="E1087" s="7">
        <v>42311</v>
      </c>
      <c r="F1087" s="4" t="s">
        <v>37</v>
      </c>
      <c r="G1087" s="4" t="s">
        <v>161</v>
      </c>
      <c r="H1087" s="4">
        <v>50</v>
      </c>
      <c r="I1087" s="4">
        <v>34</v>
      </c>
      <c r="J1087" s="5">
        <v>0.32</v>
      </c>
      <c r="K1087" s="3">
        <v>79</v>
      </c>
      <c r="L1087" s="4">
        <f>tblSales[[#This Row],[Quantity]]*tblSales[[#This Row],[Actual Price]]</f>
        <v>2686</v>
      </c>
    </row>
    <row r="1088" spans="1:12" x14ac:dyDescent="0.35">
      <c r="A1088" s="3" t="s">
        <v>1631</v>
      </c>
      <c r="B1088" s="4" t="s">
        <v>40</v>
      </c>
      <c r="C1088" s="4" t="s">
        <v>41</v>
      </c>
      <c r="D1088" s="4" t="s">
        <v>36</v>
      </c>
      <c r="E1088" s="7">
        <v>41673</v>
      </c>
      <c r="F1088" s="4" t="s">
        <v>26</v>
      </c>
      <c r="G1088" s="4" t="s">
        <v>1632</v>
      </c>
      <c r="H1088" s="4">
        <v>700</v>
      </c>
      <c r="I1088" s="4">
        <v>539</v>
      </c>
      <c r="J1088" s="5">
        <v>0.23</v>
      </c>
      <c r="K1088" s="3">
        <v>49</v>
      </c>
      <c r="L1088" s="4">
        <f>tblSales[[#This Row],[Quantity]]*tblSales[[#This Row],[Actual Price]]</f>
        <v>26411</v>
      </c>
    </row>
    <row r="1089" spans="1:12" x14ac:dyDescent="0.35">
      <c r="A1089" s="3" t="s">
        <v>1633</v>
      </c>
      <c r="B1089" s="4" t="s">
        <v>435</v>
      </c>
      <c r="C1089" s="4" t="s">
        <v>436</v>
      </c>
      <c r="D1089" s="4" t="s">
        <v>25</v>
      </c>
      <c r="E1089" s="7">
        <v>42760</v>
      </c>
      <c r="F1089" s="4" t="s">
        <v>26</v>
      </c>
      <c r="G1089" s="4" t="s">
        <v>829</v>
      </c>
      <c r="H1089" s="4">
        <v>700</v>
      </c>
      <c r="I1089" s="4">
        <v>693</v>
      </c>
      <c r="J1089" s="5">
        <v>0.01</v>
      </c>
      <c r="K1089" s="3">
        <v>7</v>
      </c>
      <c r="L1089" s="4">
        <f>tblSales[[#This Row],[Quantity]]*tblSales[[#This Row],[Actual Price]]</f>
        <v>4851</v>
      </c>
    </row>
    <row r="1090" spans="1:12" x14ac:dyDescent="0.35">
      <c r="A1090" s="3" t="s">
        <v>1634</v>
      </c>
      <c r="B1090" s="4" t="s">
        <v>12</v>
      </c>
      <c r="C1090" s="4" t="s">
        <v>13</v>
      </c>
      <c r="D1090" s="4" t="s">
        <v>14</v>
      </c>
      <c r="E1090" s="7">
        <v>43425</v>
      </c>
      <c r="F1090" s="4" t="s">
        <v>31</v>
      </c>
      <c r="G1090" s="4" t="s">
        <v>194</v>
      </c>
      <c r="H1090" s="4">
        <v>150</v>
      </c>
      <c r="I1090" s="4">
        <v>147</v>
      </c>
      <c r="J1090" s="5">
        <v>0.02</v>
      </c>
      <c r="K1090" s="3">
        <v>86</v>
      </c>
      <c r="L1090" s="4">
        <f>tblSales[[#This Row],[Quantity]]*tblSales[[#This Row],[Actual Price]]</f>
        <v>12642</v>
      </c>
    </row>
    <row r="1091" spans="1:12" x14ac:dyDescent="0.35">
      <c r="A1091" s="3" t="s">
        <v>1635</v>
      </c>
      <c r="B1091" s="4" t="s">
        <v>175</v>
      </c>
      <c r="C1091" s="4" t="s">
        <v>176</v>
      </c>
      <c r="D1091" s="4" t="s">
        <v>14</v>
      </c>
      <c r="E1091" s="7">
        <v>41823</v>
      </c>
      <c r="F1091" s="4" t="s">
        <v>123</v>
      </c>
      <c r="G1091" s="4" t="s">
        <v>789</v>
      </c>
      <c r="H1091" s="4">
        <v>50</v>
      </c>
      <c r="I1091" s="4">
        <v>42</v>
      </c>
      <c r="J1091" s="5">
        <v>0.16</v>
      </c>
      <c r="K1091" s="3">
        <v>89</v>
      </c>
      <c r="L1091" s="4">
        <f>tblSales[[#This Row],[Quantity]]*tblSales[[#This Row],[Actual Price]]</f>
        <v>3738</v>
      </c>
    </row>
    <row r="1092" spans="1:12" x14ac:dyDescent="0.35">
      <c r="A1092" s="3" t="s">
        <v>1636</v>
      </c>
      <c r="B1092" s="4" t="s">
        <v>29</v>
      </c>
      <c r="C1092" s="4" t="s">
        <v>30</v>
      </c>
      <c r="D1092" s="4" t="s">
        <v>14</v>
      </c>
      <c r="E1092" s="7">
        <v>42667</v>
      </c>
      <c r="F1092" s="4" t="s">
        <v>123</v>
      </c>
      <c r="G1092" s="4" t="s">
        <v>555</v>
      </c>
      <c r="H1092" s="4">
        <v>50</v>
      </c>
      <c r="I1092" s="4">
        <v>44</v>
      </c>
      <c r="J1092" s="5">
        <v>0.12</v>
      </c>
      <c r="K1092" s="3">
        <v>58</v>
      </c>
      <c r="L1092" s="4">
        <f>tblSales[[#This Row],[Quantity]]*tblSales[[#This Row],[Actual Price]]</f>
        <v>2552</v>
      </c>
    </row>
    <row r="1093" spans="1:12" x14ac:dyDescent="0.35">
      <c r="A1093" s="3" t="s">
        <v>1637</v>
      </c>
      <c r="B1093" s="4" t="s">
        <v>112</v>
      </c>
      <c r="C1093" s="4" t="s">
        <v>83</v>
      </c>
      <c r="D1093" s="4" t="s">
        <v>14</v>
      </c>
      <c r="E1093" s="7">
        <v>43224</v>
      </c>
      <c r="F1093" s="4" t="s">
        <v>123</v>
      </c>
      <c r="G1093" s="4" t="s">
        <v>113</v>
      </c>
      <c r="H1093" s="4">
        <v>50</v>
      </c>
      <c r="I1093" s="4">
        <v>49</v>
      </c>
      <c r="J1093" s="5">
        <v>0.02</v>
      </c>
      <c r="K1093" s="3">
        <v>46</v>
      </c>
      <c r="L1093" s="4">
        <f>tblSales[[#This Row],[Quantity]]*tblSales[[#This Row],[Actual Price]]</f>
        <v>2254</v>
      </c>
    </row>
    <row r="1094" spans="1:12" x14ac:dyDescent="0.35">
      <c r="A1094" s="3" t="s">
        <v>1638</v>
      </c>
      <c r="B1094" s="4" t="s">
        <v>12</v>
      </c>
      <c r="C1094" s="4" t="s">
        <v>13</v>
      </c>
      <c r="D1094" s="4" t="s">
        <v>14</v>
      </c>
      <c r="E1094" s="7">
        <v>43338</v>
      </c>
      <c r="F1094" s="4" t="s">
        <v>15</v>
      </c>
      <c r="G1094" s="4" t="s">
        <v>277</v>
      </c>
      <c r="H1094" s="4">
        <v>80</v>
      </c>
      <c r="I1094" s="4">
        <v>78</v>
      </c>
      <c r="J1094" s="5">
        <v>2.5000000000000001E-2</v>
      </c>
      <c r="K1094" s="3">
        <v>27</v>
      </c>
      <c r="L1094" s="4">
        <f>tblSales[[#This Row],[Quantity]]*tblSales[[#This Row],[Actual Price]]</f>
        <v>2106</v>
      </c>
    </row>
    <row r="1095" spans="1:12" x14ac:dyDescent="0.35">
      <c r="A1095" s="3" t="s">
        <v>1639</v>
      </c>
      <c r="B1095" s="4" t="s">
        <v>290</v>
      </c>
      <c r="C1095" s="4" t="s">
        <v>109</v>
      </c>
      <c r="D1095" s="4" t="s">
        <v>20</v>
      </c>
      <c r="E1095" s="7">
        <v>43058</v>
      </c>
      <c r="F1095" s="4" t="s">
        <v>123</v>
      </c>
      <c r="G1095" s="4" t="s">
        <v>291</v>
      </c>
      <c r="H1095" s="4">
        <v>50</v>
      </c>
      <c r="I1095" s="4">
        <v>48</v>
      </c>
      <c r="J1095" s="5">
        <v>0.04</v>
      </c>
      <c r="K1095" s="3">
        <v>12</v>
      </c>
      <c r="L1095" s="4">
        <f>tblSales[[#This Row],[Quantity]]*tblSales[[#This Row],[Actual Price]]</f>
        <v>576</v>
      </c>
    </row>
    <row r="1096" spans="1:12" x14ac:dyDescent="0.35">
      <c r="A1096" s="3" t="s">
        <v>1640</v>
      </c>
      <c r="B1096" s="4" t="s">
        <v>158</v>
      </c>
      <c r="C1096" s="4" t="s">
        <v>109</v>
      </c>
      <c r="D1096" s="4" t="s">
        <v>20</v>
      </c>
      <c r="E1096" s="7">
        <v>43144</v>
      </c>
      <c r="F1096" s="4" t="s">
        <v>31</v>
      </c>
      <c r="G1096" s="4" t="s">
        <v>465</v>
      </c>
      <c r="H1096" s="4">
        <v>150</v>
      </c>
      <c r="I1096" s="4">
        <v>147</v>
      </c>
      <c r="J1096" s="5">
        <v>0.02</v>
      </c>
      <c r="K1096" s="3">
        <v>58</v>
      </c>
      <c r="L1096" s="4">
        <f>tblSales[[#This Row],[Quantity]]*tblSales[[#This Row],[Actual Price]]</f>
        <v>8526</v>
      </c>
    </row>
    <row r="1097" spans="1:12" x14ac:dyDescent="0.35">
      <c r="A1097" s="3" t="s">
        <v>1641</v>
      </c>
      <c r="B1097" s="4" t="s">
        <v>54</v>
      </c>
      <c r="C1097" s="4" t="s">
        <v>55</v>
      </c>
      <c r="D1097" s="4" t="s">
        <v>14</v>
      </c>
      <c r="E1097" s="7">
        <v>42229</v>
      </c>
      <c r="F1097" s="4" t="s">
        <v>62</v>
      </c>
      <c r="G1097" s="4" t="s">
        <v>1207</v>
      </c>
      <c r="H1097" s="4">
        <v>1000</v>
      </c>
      <c r="I1097" s="4">
        <v>620</v>
      </c>
      <c r="J1097" s="5">
        <v>0.38</v>
      </c>
      <c r="K1097" s="3">
        <v>32</v>
      </c>
      <c r="L1097" s="4">
        <f>tblSales[[#This Row],[Quantity]]*tblSales[[#This Row],[Actual Price]]</f>
        <v>19840</v>
      </c>
    </row>
    <row r="1098" spans="1:12" x14ac:dyDescent="0.35">
      <c r="A1098" s="3" t="s">
        <v>1642</v>
      </c>
      <c r="B1098" s="4" t="s">
        <v>128</v>
      </c>
      <c r="C1098" s="4" t="s">
        <v>129</v>
      </c>
      <c r="D1098" s="4" t="s">
        <v>14</v>
      </c>
      <c r="E1098" s="7">
        <v>43144</v>
      </c>
      <c r="F1098" s="4" t="s">
        <v>73</v>
      </c>
      <c r="G1098" s="4" t="s">
        <v>921</v>
      </c>
      <c r="H1098" s="4">
        <v>500</v>
      </c>
      <c r="I1098" s="4">
        <v>495</v>
      </c>
      <c r="J1098" s="5">
        <v>0.01</v>
      </c>
      <c r="K1098" s="3">
        <v>44</v>
      </c>
      <c r="L1098" s="4">
        <f>tblSales[[#This Row],[Quantity]]*tblSales[[#This Row],[Actual Price]]</f>
        <v>21780</v>
      </c>
    </row>
    <row r="1099" spans="1:12" x14ac:dyDescent="0.35">
      <c r="A1099" s="3" t="s">
        <v>1643</v>
      </c>
      <c r="B1099" s="4" t="s">
        <v>222</v>
      </c>
      <c r="C1099" s="4" t="s">
        <v>41</v>
      </c>
      <c r="D1099" s="4" t="s">
        <v>36</v>
      </c>
      <c r="E1099" s="7">
        <v>43189</v>
      </c>
      <c r="F1099" s="4" t="s">
        <v>123</v>
      </c>
      <c r="G1099" s="4" t="s">
        <v>1060</v>
      </c>
      <c r="H1099" s="4">
        <v>50</v>
      </c>
      <c r="I1099" s="4">
        <v>47</v>
      </c>
      <c r="J1099" s="5">
        <v>0.06</v>
      </c>
      <c r="K1099" s="3">
        <v>71</v>
      </c>
      <c r="L1099" s="4">
        <f>tblSales[[#This Row],[Quantity]]*tblSales[[#This Row],[Actual Price]]</f>
        <v>3337</v>
      </c>
    </row>
    <row r="1100" spans="1:12" x14ac:dyDescent="0.35">
      <c r="A1100" s="3" t="s">
        <v>1644</v>
      </c>
      <c r="B1100" s="4" t="s">
        <v>135</v>
      </c>
      <c r="C1100" s="4" t="s">
        <v>93</v>
      </c>
      <c r="D1100" s="4" t="s">
        <v>36</v>
      </c>
      <c r="E1100" s="7">
        <v>42578</v>
      </c>
      <c r="F1100" s="4" t="s">
        <v>56</v>
      </c>
      <c r="G1100" s="4" t="s">
        <v>136</v>
      </c>
      <c r="H1100" s="4">
        <v>800</v>
      </c>
      <c r="I1100" s="4">
        <v>744</v>
      </c>
      <c r="J1100" s="5">
        <v>7.0000000000000007E-2</v>
      </c>
      <c r="K1100" s="3">
        <v>56</v>
      </c>
      <c r="L1100" s="4">
        <f>tblSales[[#This Row],[Quantity]]*tblSales[[#This Row],[Actual Price]]</f>
        <v>41664</v>
      </c>
    </row>
    <row r="1101" spans="1:12" x14ac:dyDescent="0.35">
      <c r="A1101" s="3" t="s">
        <v>1645</v>
      </c>
      <c r="B1101" s="4" t="s">
        <v>50</v>
      </c>
      <c r="C1101" s="4" t="s">
        <v>51</v>
      </c>
      <c r="D1101" s="4" t="s">
        <v>25</v>
      </c>
      <c r="E1101" s="7">
        <v>42959</v>
      </c>
      <c r="F1101" s="4" t="s">
        <v>47</v>
      </c>
      <c r="G1101" s="4" t="s">
        <v>69</v>
      </c>
      <c r="H1101" s="4">
        <v>500</v>
      </c>
      <c r="I1101" s="4">
        <v>490</v>
      </c>
      <c r="J1101" s="5">
        <v>0.02</v>
      </c>
      <c r="K1101" s="3">
        <v>48</v>
      </c>
      <c r="L1101" s="4">
        <f>tblSales[[#This Row],[Quantity]]*tblSales[[#This Row],[Actual Price]]</f>
        <v>23520</v>
      </c>
    </row>
    <row r="1102" spans="1:12" x14ac:dyDescent="0.35">
      <c r="A1102" s="3" t="s">
        <v>1646</v>
      </c>
      <c r="B1102" s="4" t="s">
        <v>175</v>
      </c>
      <c r="C1102" s="4" t="s">
        <v>176</v>
      </c>
      <c r="D1102" s="4" t="s">
        <v>14</v>
      </c>
      <c r="E1102" s="7">
        <v>42112</v>
      </c>
      <c r="F1102" s="4" t="s">
        <v>56</v>
      </c>
      <c r="G1102" s="4" t="s">
        <v>220</v>
      </c>
      <c r="H1102" s="4">
        <v>800</v>
      </c>
      <c r="I1102" s="4">
        <v>576</v>
      </c>
      <c r="J1102" s="5">
        <v>0.28000000000000003</v>
      </c>
      <c r="K1102" s="3">
        <v>88</v>
      </c>
      <c r="L1102" s="4">
        <f>tblSales[[#This Row],[Quantity]]*tblSales[[#This Row],[Actual Price]]</f>
        <v>50688</v>
      </c>
    </row>
    <row r="1103" spans="1:12" x14ac:dyDescent="0.35">
      <c r="A1103" s="3" t="s">
        <v>1647</v>
      </c>
      <c r="B1103" s="4" t="s">
        <v>147</v>
      </c>
      <c r="C1103" s="4" t="s">
        <v>148</v>
      </c>
      <c r="D1103" s="4" t="s">
        <v>14</v>
      </c>
      <c r="E1103" s="7">
        <v>43269</v>
      </c>
      <c r="F1103" s="4" t="s">
        <v>47</v>
      </c>
      <c r="G1103" s="4" t="s">
        <v>1648</v>
      </c>
      <c r="H1103" s="4">
        <v>500</v>
      </c>
      <c r="I1103" s="4">
        <v>455</v>
      </c>
      <c r="J1103" s="5">
        <v>0.09</v>
      </c>
      <c r="K1103" s="3">
        <v>24</v>
      </c>
      <c r="L1103" s="4">
        <f>tblSales[[#This Row],[Quantity]]*tblSales[[#This Row],[Actual Price]]</f>
        <v>10920</v>
      </c>
    </row>
    <row r="1104" spans="1:12" x14ac:dyDescent="0.35">
      <c r="A1104" s="3" t="s">
        <v>1649</v>
      </c>
      <c r="B1104" s="4" t="s">
        <v>228</v>
      </c>
      <c r="C1104" s="4" t="s">
        <v>229</v>
      </c>
      <c r="D1104" s="4" t="s">
        <v>25</v>
      </c>
      <c r="E1104" s="7">
        <v>41858</v>
      </c>
      <c r="F1104" s="4" t="s">
        <v>31</v>
      </c>
      <c r="G1104" s="4" t="s">
        <v>686</v>
      </c>
      <c r="H1104" s="4">
        <v>150</v>
      </c>
      <c r="I1104" s="4">
        <v>135</v>
      </c>
      <c r="J1104" s="5">
        <v>0.1</v>
      </c>
      <c r="K1104" s="3">
        <v>26</v>
      </c>
      <c r="L1104" s="4">
        <f>tblSales[[#This Row],[Quantity]]*tblSales[[#This Row],[Actual Price]]</f>
        <v>3510</v>
      </c>
    </row>
    <row r="1105" spans="1:12" x14ac:dyDescent="0.35">
      <c r="A1105" s="3" t="s">
        <v>1650</v>
      </c>
      <c r="B1105" s="4" t="s">
        <v>12</v>
      </c>
      <c r="C1105" s="4" t="s">
        <v>13</v>
      </c>
      <c r="D1105" s="4" t="s">
        <v>14</v>
      </c>
      <c r="E1105" s="7">
        <v>43220</v>
      </c>
      <c r="F1105" s="4" t="s">
        <v>73</v>
      </c>
      <c r="G1105" s="4" t="s">
        <v>138</v>
      </c>
      <c r="H1105" s="4">
        <v>500</v>
      </c>
      <c r="I1105" s="4">
        <v>490</v>
      </c>
      <c r="J1105" s="5">
        <v>0.02</v>
      </c>
      <c r="K1105" s="3">
        <v>86</v>
      </c>
      <c r="L1105" s="4">
        <f>tblSales[[#This Row],[Quantity]]*tblSales[[#This Row],[Actual Price]]</f>
        <v>42140</v>
      </c>
    </row>
    <row r="1106" spans="1:12" x14ac:dyDescent="0.35">
      <c r="A1106" s="3" t="s">
        <v>1651</v>
      </c>
      <c r="B1106" s="4" t="s">
        <v>271</v>
      </c>
      <c r="C1106" s="4" t="s">
        <v>272</v>
      </c>
      <c r="D1106" s="4" t="s">
        <v>36</v>
      </c>
      <c r="E1106" s="7">
        <v>41798</v>
      </c>
      <c r="F1106" s="4" t="s">
        <v>73</v>
      </c>
      <c r="G1106" s="4" t="s">
        <v>810</v>
      </c>
      <c r="H1106" s="4">
        <v>500</v>
      </c>
      <c r="I1106" s="4">
        <v>495</v>
      </c>
      <c r="J1106" s="5">
        <v>0.01</v>
      </c>
      <c r="K1106" s="3">
        <v>19</v>
      </c>
      <c r="L1106" s="4">
        <f>tblSales[[#This Row],[Quantity]]*tblSales[[#This Row],[Actual Price]]</f>
        <v>9405</v>
      </c>
    </row>
    <row r="1107" spans="1:12" x14ac:dyDescent="0.35">
      <c r="A1107" s="3" t="s">
        <v>1652</v>
      </c>
      <c r="B1107" s="4" t="s">
        <v>60</v>
      </c>
      <c r="C1107" s="4" t="s">
        <v>61</v>
      </c>
      <c r="D1107" s="4" t="s">
        <v>14</v>
      </c>
      <c r="E1107" s="7">
        <v>42878</v>
      </c>
      <c r="F1107" s="4" t="s">
        <v>123</v>
      </c>
      <c r="G1107" s="4" t="s">
        <v>63</v>
      </c>
      <c r="H1107" s="4">
        <v>50</v>
      </c>
      <c r="I1107" s="4">
        <v>45</v>
      </c>
      <c r="J1107" s="5">
        <v>0.1</v>
      </c>
      <c r="K1107" s="3">
        <v>6</v>
      </c>
      <c r="L1107" s="4">
        <f>tblSales[[#This Row],[Quantity]]*tblSales[[#This Row],[Actual Price]]</f>
        <v>270</v>
      </c>
    </row>
    <row r="1108" spans="1:12" x14ac:dyDescent="0.35">
      <c r="A1108" s="3" t="s">
        <v>1653</v>
      </c>
      <c r="B1108" s="4" t="s">
        <v>225</v>
      </c>
      <c r="C1108" s="4" t="s">
        <v>51</v>
      </c>
      <c r="D1108" s="4" t="s">
        <v>25</v>
      </c>
      <c r="E1108" s="7">
        <v>42991</v>
      </c>
      <c r="F1108" s="4" t="s">
        <v>42</v>
      </c>
      <c r="G1108" s="4" t="s">
        <v>775</v>
      </c>
      <c r="H1108" s="4">
        <v>30</v>
      </c>
      <c r="I1108" s="4">
        <v>28</v>
      </c>
      <c r="J1108" s="5">
        <v>6.6699999999999995E-2</v>
      </c>
      <c r="K1108" s="3">
        <v>71</v>
      </c>
      <c r="L1108" s="4">
        <f>tblSales[[#This Row],[Quantity]]*tblSales[[#This Row],[Actual Price]]</f>
        <v>1988</v>
      </c>
    </row>
    <row r="1109" spans="1:12" x14ac:dyDescent="0.35">
      <c r="A1109" s="3" t="s">
        <v>1654</v>
      </c>
      <c r="B1109" s="4" t="s">
        <v>325</v>
      </c>
      <c r="C1109" s="4" t="s">
        <v>326</v>
      </c>
      <c r="D1109" s="4" t="s">
        <v>14</v>
      </c>
      <c r="E1109" s="7">
        <v>43151</v>
      </c>
      <c r="F1109" s="4" t="s">
        <v>56</v>
      </c>
      <c r="G1109" s="4" t="s">
        <v>923</v>
      </c>
      <c r="H1109" s="4">
        <v>800</v>
      </c>
      <c r="I1109" s="4">
        <v>472</v>
      </c>
      <c r="J1109" s="5">
        <v>0.41</v>
      </c>
      <c r="K1109" s="3">
        <v>36</v>
      </c>
      <c r="L1109" s="4">
        <f>tblSales[[#This Row],[Quantity]]*tblSales[[#This Row],[Actual Price]]</f>
        <v>16992</v>
      </c>
    </row>
    <row r="1110" spans="1:12" x14ac:dyDescent="0.35">
      <c r="A1110" s="3" t="s">
        <v>1655</v>
      </c>
      <c r="B1110" s="4" t="s">
        <v>147</v>
      </c>
      <c r="C1110" s="4" t="s">
        <v>148</v>
      </c>
      <c r="D1110" s="4" t="s">
        <v>14</v>
      </c>
      <c r="E1110" s="7">
        <v>42809</v>
      </c>
      <c r="F1110" s="4" t="s">
        <v>62</v>
      </c>
      <c r="G1110" s="4" t="s">
        <v>1335</v>
      </c>
      <c r="H1110" s="4">
        <v>1000</v>
      </c>
      <c r="I1110" s="4">
        <v>680</v>
      </c>
      <c r="J1110" s="5">
        <v>0.32</v>
      </c>
      <c r="K1110" s="3">
        <v>50</v>
      </c>
      <c r="L1110" s="4">
        <f>tblSales[[#This Row],[Quantity]]*tblSales[[#This Row],[Actual Price]]</f>
        <v>34000</v>
      </c>
    </row>
    <row r="1111" spans="1:12" x14ac:dyDescent="0.35">
      <c r="A1111" s="3" t="s">
        <v>1656</v>
      </c>
      <c r="B1111" s="4" t="s">
        <v>128</v>
      </c>
      <c r="C1111" s="4" t="s">
        <v>129</v>
      </c>
      <c r="D1111" s="4" t="s">
        <v>14</v>
      </c>
      <c r="E1111" s="7">
        <v>42790</v>
      </c>
      <c r="F1111" s="4" t="s">
        <v>31</v>
      </c>
      <c r="G1111" s="4" t="s">
        <v>234</v>
      </c>
      <c r="H1111" s="4">
        <v>150</v>
      </c>
      <c r="I1111" s="4">
        <v>150</v>
      </c>
      <c r="J1111" s="5">
        <v>0</v>
      </c>
      <c r="K1111" s="3">
        <v>48</v>
      </c>
      <c r="L1111" s="4">
        <f>tblSales[[#This Row],[Quantity]]*tblSales[[#This Row],[Actual Price]]</f>
        <v>7200</v>
      </c>
    </row>
    <row r="1112" spans="1:12" x14ac:dyDescent="0.35">
      <c r="A1112" s="3" t="s">
        <v>1657</v>
      </c>
      <c r="B1112" s="4" t="s">
        <v>228</v>
      </c>
      <c r="C1112" s="4" t="s">
        <v>229</v>
      </c>
      <c r="D1112" s="4" t="s">
        <v>25</v>
      </c>
      <c r="E1112" s="7">
        <v>43056</v>
      </c>
      <c r="F1112" s="4" t="s">
        <v>42</v>
      </c>
      <c r="G1112" s="4" t="s">
        <v>837</v>
      </c>
      <c r="H1112" s="4">
        <v>30</v>
      </c>
      <c r="I1112" s="4">
        <v>28</v>
      </c>
      <c r="J1112" s="5">
        <v>6.6699999999999995E-2</v>
      </c>
      <c r="K1112" s="3">
        <v>10</v>
      </c>
      <c r="L1112" s="4">
        <f>tblSales[[#This Row],[Quantity]]*tblSales[[#This Row],[Actual Price]]</f>
        <v>280</v>
      </c>
    </row>
    <row r="1113" spans="1:12" x14ac:dyDescent="0.35">
      <c r="A1113" s="3" t="s">
        <v>1658</v>
      </c>
      <c r="B1113" s="4" t="s">
        <v>50</v>
      </c>
      <c r="C1113" s="4" t="s">
        <v>51</v>
      </c>
      <c r="D1113" s="4" t="s">
        <v>25</v>
      </c>
      <c r="E1113" s="7">
        <v>42892</v>
      </c>
      <c r="F1113" s="4" t="s">
        <v>47</v>
      </c>
      <c r="G1113" s="4" t="s">
        <v>1001</v>
      </c>
      <c r="H1113" s="4">
        <v>500</v>
      </c>
      <c r="I1113" s="4">
        <v>450</v>
      </c>
      <c r="J1113" s="5">
        <v>0.1</v>
      </c>
      <c r="K1113" s="3">
        <v>86</v>
      </c>
      <c r="L1113" s="4">
        <f>tblSales[[#This Row],[Quantity]]*tblSales[[#This Row],[Actual Price]]</f>
        <v>38700</v>
      </c>
    </row>
    <row r="1114" spans="1:12" x14ac:dyDescent="0.35">
      <c r="A1114" s="3" t="s">
        <v>1659</v>
      </c>
      <c r="B1114" s="4" t="s">
        <v>188</v>
      </c>
      <c r="C1114" s="4" t="s">
        <v>189</v>
      </c>
      <c r="D1114" s="4" t="s">
        <v>14</v>
      </c>
      <c r="E1114" s="7">
        <v>42959</v>
      </c>
      <c r="F1114" s="4" t="s">
        <v>31</v>
      </c>
      <c r="G1114" s="4" t="s">
        <v>684</v>
      </c>
      <c r="H1114" s="4">
        <v>150</v>
      </c>
      <c r="I1114" s="4">
        <v>149</v>
      </c>
      <c r="J1114" s="5">
        <v>6.7000000000000002E-3</v>
      </c>
      <c r="K1114" s="3">
        <v>50</v>
      </c>
      <c r="L1114" s="4">
        <f>tblSales[[#This Row],[Quantity]]*tblSales[[#This Row],[Actual Price]]</f>
        <v>7450</v>
      </c>
    </row>
    <row r="1115" spans="1:12" x14ac:dyDescent="0.35">
      <c r="A1115" s="3" t="s">
        <v>1660</v>
      </c>
      <c r="B1115" s="4" t="s">
        <v>50</v>
      </c>
      <c r="C1115" s="4" t="s">
        <v>51</v>
      </c>
      <c r="D1115" s="4" t="s">
        <v>25</v>
      </c>
      <c r="E1115" s="7">
        <v>42226</v>
      </c>
      <c r="F1115" s="4" t="s">
        <v>15</v>
      </c>
      <c r="G1115" s="4" t="s">
        <v>659</v>
      </c>
      <c r="H1115" s="4">
        <v>80</v>
      </c>
      <c r="I1115" s="4">
        <v>53</v>
      </c>
      <c r="J1115" s="5">
        <v>0.33750000000000002</v>
      </c>
      <c r="K1115" s="3">
        <v>34</v>
      </c>
      <c r="L1115" s="4">
        <f>tblSales[[#This Row],[Quantity]]*tblSales[[#This Row],[Actual Price]]</f>
        <v>1802</v>
      </c>
    </row>
    <row r="1116" spans="1:12" x14ac:dyDescent="0.35">
      <c r="A1116" s="3" t="s">
        <v>1661</v>
      </c>
      <c r="B1116" s="4" t="s">
        <v>12</v>
      </c>
      <c r="C1116" s="4" t="s">
        <v>13</v>
      </c>
      <c r="D1116" s="4" t="s">
        <v>14</v>
      </c>
      <c r="E1116" s="7">
        <v>42961</v>
      </c>
      <c r="F1116" s="4" t="s">
        <v>47</v>
      </c>
      <c r="G1116" s="4" t="s">
        <v>294</v>
      </c>
      <c r="H1116" s="4">
        <v>500</v>
      </c>
      <c r="I1116" s="4">
        <v>480</v>
      </c>
      <c r="J1116" s="5">
        <v>0.04</v>
      </c>
      <c r="K1116" s="3">
        <v>66</v>
      </c>
      <c r="L1116" s="4">
        <f>tblSales[[#This Row],[Quantity]]*tblSales[[#This Row],[Actual Price]]</f>
        <v>31680</v>
      </c>
    </row>
    <row r="1117" spans="1:12" x14ac:dyDescent="0.35">
      <c r="A1117" s="3" t="s">
        <v>1662</v>
      </c>
      <c r="B1117" s="4" t="s">
        <v>23</v>
      </c>
      <c r="C1117" s="4" t="s">
        <v>24</v>
      </c>
      <c r="D1117" s="4" t="s">
        <v>25</v>
      </c>
      <c r="E1117" s="7">
        <v>42381</v>
      </c>
      <c r="F1117" s="4" t="s">
        <v>47</v>
      </c>
      <c r="G1117" s="4" t="s">
        <v>625</v>
      </c>
      <c r="H1117" s="4">
        <v>500</v>
      </c>
      <c r="I1117" s="4">
        <v>495</v>
      </c>
      <c r="J1117" s="5">
        <v>0.01</v>
      </c>
      <c r="K1117" s="3">
        <v>56</v>
      </c>
      <c r="L1117" s="4">
        <f>tblSales[[#This Row],[Quantity]]*tblSales[[#This Row],[Actual Price]]</f>
        <v>27720</v>
      </c>
    </row>
    <row r="1118" spans="1:12" x14ac:dyDescent="0.35">
      <c r="A1118" s="3" t="s">
        <v>1663</v>
      </c>
      <c r="B1118" s="4" t="s">
        <v>12</v>
      </c>
      <c r="C1118" s="4" t="s">
        <v>13</v>
      </c>
      <c r="D1118" s="4" t="s">
        <v>14</v>
      </c>
      <c r="E1118" s="7">
        <v>41642</v>
      </c>
      <c r="F1118" s="4" t="s">
        <v>123</v>
      </c>
      <c r="G1118" s="4" t="s">
        <v>1160</v>
      </c>
      <c r="H1118" s="4">
        <v>50</v>
      </c>
      <c r="I1118" s="4">
        <v>48</v>
      </c>
      <c r="J1118" s="5">
        <v>0.04</v>
      </c>
      <c r="K1118" s="3">
        <v>11</v>
      </c>
      <c r="L1118" s="4">
        <f>tblSales[[#This Row],[Quantity]]*tblSales[[#This Row],[Actual Price]]</f>
        <v>528</v>
      </c>
    </row>
    <row r="1119" spans="1:12" x14ac:dyDescent="0.35">
      <c r="A1119" s="3" t="s">
        <v>1664</v>
      </c>
      <c r="B1119" s="4" t="s">
        <v>206</v>
      </c>
      <c r="C1119" s="4" t="s">
        <v>207</v>
      </c>
      <c r="D1119" s="4" t="s">
        <v>25</v>
      </c>
      <c r="E1119" s="7">
        <v>41970</v>
      </c>
      <c r="F1119" s="4" t="s">
        <v>37</v>
      </c>
      <c r="G1119" s="4" t="s">
        <v>362</v>
      </c>
      <c r="H1119" s="4">
        <v>50</v>
      </c>
      <c r="I1119" s="4">
        <v>45</v>
      </c>
      <c r="J1119" s="5">
        <v>0.1</v>
      </c>
      <c r="K1119" s="3">
        <v>43</v>
      </c>
      <c r="L1119" s="4">
        <f>tblSales[[#This Row],[Quantity]]*tblSales[[#This Row],[Actual Price]]</f>
        <v>1935</v>
      </c>
    </row>
    <row r="1120" spans="1:12" x14ac:dyDescent="0.35">
      <c r="A1120" s="3" t="s">
        <v>1665</v>
      </c>
      <c r="B1120" s="4" t="s">
        <v>228</v>
      </c>
      <c r="C1120" s="4" t="s">
        <v>229</v>
      </c>
      <c r="D1120" s="4" t="s">
        <v>25</v>
      </c>
      <c r="E1120" s="7">
        <v>42505</v>
      </c>
      <c r="F1120" s="4" t="s">
        <v>15</v>
      </c>
      <c r="G1120" s="4" t="s">
        <v>622</v>
      </c>
      <c r="H1120" s="4">
        <v>80</v>
      </c>
      <c r="I1120" s="4">
        <v>74</v>
      </c>
      <c r="J1120" s="5">
        <v>7.4999999999999997E-2</v>
      </c>
      <c r="K1120" s="3">
        <v>16</v>
      </c>
      <c r="L1120" s="4">
        <f>tblSales[[#This Row],[Quantity]]*tblSales[[#This Row],[Actual Price]]</f>
        <v>1184</v>
      </c>
    </row>
    <row r="1121" spans="1:12" x14ac:dyDescent="0.35">
      <c r="A1121" s="3" t="s">
        <v>1666</v>
      </c>
      <c r="B1121" s="4" t="s">
        <v>151</v>
      </c>
      <c r="C1121" s="4" t="s">
        <v>152</v>
      </c>
      <c r="D1121" s="4" t="s">
        <v>14</v>
      </c>
      <c r="E1121" s="7">
        <v>42486</v>
      </c>
      <c r="F1121" s="4" t="s">
        <v>56</v>
      </c>
      <c r="G1121" s="4" t="s">
        <v>153</v>
      </c>
      <c r="H1121" s="4">
        <v>800</v>
      </c>
      <c r="I1121" s="4">
        <v>592</v>
      </c>
      <c r="J1121" s="5">
        <v>0.26</v>
      </c>
      <c r="K1121" s="3">
        <v>15</v>
      </c>
      <c r="L1121" s="4">
        <f>tblSales[[#This Row],[Quantity]]*tblSales[[#This Row],[Actual Price]]</f>
        <v>8880</v>
      </c>
    </row>
    <row r="1122" spans="1:12" x14ac:dyDescent="0.35">
      <c r="A1122" s="3" t="s">
        <v>1667</v>
      </c>
      <c r="B1122" s="4" t="s">
        <v>112</v>
      </c>
      <c r="C1122" s="4" t="s">
        <v>83</v>
      </c>
      <c r="D1122" s="4" t="s">
        <v>14</v>
      </c>
      <c r="E1122" s="7">
        <v>42718</v>
      </c>
      <c r="F1122" s="4" t="s">
        <v>15</v>
      </c>
      <c r="G1122" s="4" t="s">
        <v>373</v>
      </c>
      <c r="H1122" s="4">
        <v>80</v>
      </c>
      <c r="I1122" s="4">
        <v>74</v>
      </c>
      <c r="J1122" s="5">
        <v>7.4999999999999997E-2</v>
      </c>
      <c r="K1122" s="3">
        <v>86</v>
      </c>
      <c r="L1122" s="4">
        <f>tblSales[[#This Row],[Quantity]]*tblSales[[#This Row],[Actual Price]]</f>
        <v>6364</v>
      </c>
    </row>
    <row r="1123" spans="1:12" x14ac:dyDescent="0.35">
      <c r="A1123" s="3" t="s">
        <v>1668</v>
      </c>
      <c r="B1123" s="4" t="s">
        <v>128</v>
      </c>
      <c r="C1123" s="4" t="s">
        <v>129</v>
      </c>
      <c r="D1123" s="4" t="s">
        <v>14</v>
      </c>
      <c r="E1123" s="7">
        <v>42143</v>
      </c>
      <c r="F1123" s="4" t="s">
        <v>42</v>
      </c>
      <c r="G1123" s="4" t="s">
        <v>921</v>
      </c>
      <c r="H1123" s="4">
        <v>30</v>
      </c>
      <c r="I1123" s="4">
        <v>20</v>
      </c>
      <c r="J1123" s="5">
        <v>0.33329999999999999</v>
      </c>
      <c r="K1123" s="3">
        <v>21</v>
      </c>
      <c r="L1123" s="4">
        <f>tblSales[[#This Row],[Quantity]]*tblSales[[#This Row],[Actual Price]]</f>
        <v>420</v>
      </c>
    </row>
    <row r="1124" spans="1:12" x14ac:dyDescent="0.35">
      <c r="A1124" s="3" t="s">
        <v>1669</v>
      </c>
      <c r="B1124" s="4" t="s">
        <v>45</v>
      </c>
      <c r="C1124" s="4" t="s">
        <v>46</v>
      </c>
      <c r="D1124" s="4" t="s">
        <v>25</v>
      </c>
      <c r="E1124" s="7">
        <v>42887</v>
      </c>
      <c r="F1124" s="4" t="s">
        <v>31</v>
      </c>
      <c r="G1124" s="4" t="s">
        <v>48</v>
      </c>
      <c r="H1124" s="4">
        <v>150</v>
      </c>
      <c r="I1124" s="4">
        <v>138</v>
      </c>
      <c r="J1124" s="5">
        <v>0.08</v>
      </c>
      <c r="K1124" s="3">
        <v>31</v>
      </c>
      <c r="L1124" s="4">
        <f>tblSales[[#This Row],[Quantity]]*tblSales[[#This Row],[Actual Price]]</f>
        <v>4278</v>
      </c>
    </row>
    <row r="1125" spans="1:12" x14ac:dyDescent="0.35">
      <c r="A1125" s="3" t="s">
        <v>1670</v>
      </c>
      <c r="B1125" s="4" t="s">
        <v>60</v>
      </c>
      <c r="C1125" s="4" t="s">
        <v>61</v>
      </c>
      <c r="D1125" s="4" t="s">
        <v>14</v>
      </c>
      <c r="E1125" s="7">
        <v>43428</v>
      </c>
      <c r="F1125" s="4" t="s">
        <v>42</v>
      </c>
      <c r="G1125" s="4" t="s">
        <v>313</v>
      </c>
      <c r="H1125" s="4">
        <v>30</v>
      </c>
      <c r="I1125" s="4">
        <v>30</v>
      </c>
      <c r="J1125" s="5">
        <v>0</v>
      </c>
      <c r="K1125" s="3">
        <v>23</v>
      </c>
      <c r="L1125" s="4">
        <f>tblSales[[#This Row],[Quantity]]*tblSales[[#This Row],[Actual Price]]</f>
        <v>690</v>
      </c>
    </row>
    <row r="1126" spans="1:12" x14ac:dyDescent="0.35">
      <c r="A1126" s="3" t="s">
        <v>1671</v>
      </c>
      <c r="B1126" s="4" t="s">
        <v>171</v>
      </c>
      <c r="C1126" s="4" t="s">
        <v>172</v>
      </c>
      <c r="D1126" s="4" t="s">
        <v>14</v>
      </c>
      <c r="E1126" s="7">
        <v>42461</v>
      </c>
      <c r="F1126" s="4" t="s">
        <v>116</v>
      </c>
      <c r="G1126" s="4" t="s">
        <v>441</v>
      </c>
      <c r="H1126" s="4">
        <v>250</v>
      </c>
      <c r="I1126" s="4">
        <v>225</v>
      </c>
      <c r="J1126" s="5">
        <v>0.1</v>
      </c>
      <c r="K1126" s="3">
        <v>47</v>
      </c>
      <c r="L1126" s="4">
        <f>tblSales[[#This Row],[Quantity]]*tblSales[[#This Row],[Actual Price]]</f>
        <v>10575</v>
      </c>
    </row>
    <row r="1127" spans="1:12" x14ac:dyDescent="0.35">
      <c r="A1127" s="3" t="s">
        <v>1672</v>
      </c>
      <c r="B1127" s="4" t="s">
        <v>12</v>
      </c>
      <c r="C1127" s="4" t="s">
        <v>13</v>
      </c>
      <c r="D1127" s="4" t="s">
        <v>14</v>
      </c>
      <c r="E1127" s="7">
        <v>43169</v>
      </c>
      <c r="F1127" s="4" t="s">
        <v>31</v>
      </c>
      <c r="G1127" s="4" t="s">
        <v>349</v>
      </c>
      <c r="H1127" s="4">
        <v>150</v>
      </c>
      <c r="I1127" s="4">
        <v>143</v>
      </c>
      <c r="J1127" s="5">
        <v>4.6699999999999998E-2</v>
      </c>
      <c r="K1127" s="3">
        <v>64</v>
      </c>
      <c r="L1127" s="4">
        <f>tblSales[[#This Row],[Quantity]]*tblSales[[#This Row],[Actual Price]]</f>
        <v>9152</v>
      </c>
    </row>
    <row r="1128" spans="1:12" x14ac:dyDescent="0.35">
      <c r="A1128" s="3" t="s">
        <v>1673</v>
      </c>
      <c r="B1128" s="4" t="s">
        <v>188</v>
      </c>
      <c r="C1128" s="4" t="s">
        <v>189</v>
      </c>
      <c r="D1128" s="4" t="s">
        <v>14</v>
      </c>
      <c r="E1128" s="7">
        <v>42095</v>
      </c>
      <c r="F1128" s="4" t="s">
        <v>26</v>
      </c>
      <c r="G1128" s="4" t="s">
        <v>792</v>
      </c>
      <c r="H1128" s="4">
        <v>700</v>
      </c>
      <c r="I1128" s="4">
        <v>679</v>
      </c>
      <c r="J1128" s="5">
        <v>0.03</v>
      </c>
      <c r="K1128" s="3">
        <v>63</v>
      </c>
      <c r="L1128" s="4">
        <f>tblSales[[#This Row],[Quantity]]*tblSales[[#This Row],[Actual Price]]</f>
        <v>42777</v>
      </c>
    </row>
    <row r="1129" spans="1:12" x14ac:dyDescent="0.35">
      <c r="A1129" s="3" t="s">
        <v>1674</v>
      </c>
      <c r="B1129" s="4" t="s">
        <v>401</v>
      </c>
      <c r="C1129" s="4" t="s">
        <v>402</v>
      </c>
      <c r="D1129" s="4" t="s">
        <v>14</v>
      </c>
      <c r="E1129" s="7">
        <v>41862</v>
      </c>
      <c r="F1129" s="4" t="s">
        <v>73</v>
      </c>
      <c r="G1129" s="4" t="s">
        <v>1168</v>
      </c>
      <c r="H1129" s="4">
        <v>500</v>
      </c>
      <c r="I1129" s="4">
        <v>495</v>
      </c>
      <c r="J1129" s="5">
        <v>0.01</v>
      </c>
      <c r="K1129" s="3">
        <v>61</v>
      </c>
      <c r="L1129" s="4">
        <f>tblSales[[#This Row],[Quantity]]*tblSales[[#This Row],[Actual Price]]</f>
        <v>30195</v>
      </c>
    </row>
    <row r="1130" spans="1:12" x14ac:dyDescent="0.35">
      <c r="A1130" s="3" t="s">
        <v>1675</v>
      </c>
      <c r="B1130" s="4" t="s">
        <v>132</v>
      </c>
      <c r="C1130" s="4" t="s">
        <v>109</v>
      </c>
      <c r="D1130" s="4" t="s">
        <v>20</v>
      </c>
      <c r="E1130" s="7">
        <v>41899</v>
      </c>
      <c r="F1130" s="4" t="s">
        <v>47</v>
      </c>
      <c r="G1130" s="4" t="s">
        <v>537</v>
      </c>
      <c r="H1130" s="4">
        <v>500</v>
      </c>
      <c r="I1130" s="4">
        <v>400</v>
      </c>
      <c r="J1130" s="5">
        <v>0.2</v>
      </c>
      <c r="K1130" s="3">
        <v>23</v>
      </c>
      <c r="L1130" s="4">
        <f>tblSales[[#This Row],[Quantity]]*tblSales[[#This Row],[Actual Price]]</f>
        <v>9200</v>
      </c>
    </row>
    <row r="1131" spans="1:12" x14ac:dyDescent="0.35">
      <c r="A1131" s="3" t="s">
        <v>1676</v>
      </c>
      <c r="B1131" s="4" t="s">
        <v>108</v>
      </c>
      <c r="C1131" s="4" t="s">
        <v>109</v>
      </c>
      <c r="D1131" s="4" t="s">
        <v>20</v>
      </c>
      <c r="E1131" s="7">
        <v>43235</v>
      </c>
      <c r="F1131" s="4" t="s">
        <v>37</v>
      </c>
      <c r="G1131" s="4" t="s">
        <v>895</v>
      </c>
      <c r="H1131" s="4">
        <v>50</v>
      </c>
      <c r="I1131" s="4">
        <v>48</v>
      </c>
      <c r="J1131" s="5">
        <v>0.04</v>
      </c>
      <c r="K1131" s="3">
        <v>35</v>
      </c>
      <c r="L1131" s="4">
        <f>tblSales[[#This Row],[Quantity]]*tblSales[[#This Row],[Actual Price]]</f>
        <v>1680</v>
      </c>
    </row>
    <row r="1132" spans="1:12" x14ac:dyDescent="0.35">
      <c r="A1132" s="3" t="s">
        <v>1677</v>
      </c>
      <c r="B1132" s="4" t="s">
        <v>82</v>
      </c>
      <c r="C1132" s="4" t="s">
        <v>83</v>
      </c>
      <c r="D1132" s="4" t="s">
        <v>14</v>
      </c>
      <c r="E1132" s="7">
        <v>42172</v>
      </c>
      <c r="F1132" s="4" t="s">
        <v>42</v>
      </c>
      <c r="G1132" s="4" t="s">
        <v>954</v>
      </c>
      <c r="H1132" s="4">
        <v>30</v>
      </c>
      <c r="I1132" s="4">
        <v>19</v>
      </c>
      <c r="J1132" s="5">
        <v>0.36670000000000003</v>
      </c>
      <c r="K1132" s="3">
        <v>41</v>
      </c>
      <c r="L1132" s="4">
        <f>tblSales[[#This Row],[Quantity]]*tblSales[[#This Row],[Actual Price]]</f>
        <v>779</v>
      </c>
    </row>
    <row r="1133" spans="1:12" x14ac:dyDescent="0.35">
      <c r="A1133" s="3" t="s">
        <v>1678</v>
      </c>
      <c r="B1133" s="4" t="s">
        <v>128</v>
      </c>
      <c r="C1133" s="4" t="s">
        <v>129</v>
      </c>
      <c r="D1133" s="4" t="s">
        <v>14</v>
      </c>
      <c r="E1133" s="7">
        <v>41746</v>
      </c>
      <c r="F1133" s="4" t="s">
        <v>42</v>
      </c>
      <c r="G1133" s="4" t="s">
        <v>234</v>
      </c>
      <c r="H1133" s="4">
        <v>30</v>
      </c>
      <c r="I1133" s="4">
        <v>22</v>
      </c>
      <c r="J1133" s="5">
        <v>0.26669999999999999</v>
      </c>
      <c r="K1133" s="3">
        <v>12</v>
      </c>
      <c r="L1133" s="4">
        <f>tblSales[[#This Row],[Quantity]]*tblSales[[#This Row],[Actual Price]]</f>
        <v>264</v>
      </c>
    </row>
    <row r="1134" spans="1:12" x14ac:dyDescent="0.35">
      <c r="A1134" s="3" t="s">
        <v>1679</v>
      </c>
      <c r="B1134" s="4" t="s">
        <v>29</v>
      </c>
      <c r="C1134" s="4" t="s">
        <v>30</v>
      </c>
      <c r="D1134" s="4" t="s">
        <v>14</v>
      </c>
      <c r="E1134" s="7">
        <v>42801</v>
      </c>
      <c r="F1134" s="4" t="s">
        <v>73</v>
      </c>
      <c r="G1134" s="4" t="s">
        <v>425</v>
      </c>
      <c r="H1134" s="4">
        <v>500</v>
      </c>
      <c r="I1134" s="4">
        <v>500</v>
      </c>
      <c r="J1134" s="5">
        <v>0</v>
      </c>
      <c r="K1134" s="3">
        <v>88</v>
      </c>
      <c r="L1134" s="4">
        <f>tblSales[[#This Row],[Quantity]]*tblSales[[#This Row],[Actual Price]]</f>
        <v>44000</v>
      </c>
    </row>
    <row r="1135" spans="1:12" x14ac:dyDescent="0.35">
      <c r="A1135" s="3" t="s">
        <v>1680</v>
      </c>
      <c r="B1135" s="4" t="s">
        <v>132</v>
      </c>
      <c r="C1135" s="4" t="s">
        <v>109</v>
      </c>
      <c r="D1135" s="4" t="s">
        <v>20</v>
      </c>
      <c r="E1135" s="7">
        <v>42943</v>
      </c>
      <c r="F1135" s="4" t="s">
        <v>37</v>
      </c>
      <c r="G1135" s="4" t="s">
        <v>1551</v>
      </c>
      <c r="H1135" s="4">
        <v>50</v>
      </c>
      <c r="I1135" s="4">
        <v>50</v>
      </c>
      <c r="J1135" s="5">
        <v>0</v>
      </c>
      <c r="K1135" s="3">
        <v>66</v>
      </c>
      <c r="L1135" s="4">
        <f>tblSales[[#This Row],[Quantity]]*tblSales[[#This Row],[Actual Price]]</f>
        <v>3300</v>
      </c>
    </row>
    <row r="1136" spans="1:12" x14ac:dyDescent="0.35">
      <c r="A1136" s="3" t="s">
        <v>1681</v>
      </c>
      <c r="B1136" s="4" t="s">
        <v>119</v>
      </c>
      <c r="C1136" s="4" t="s">
        <v>120</v>
      </c>
      <c r="D1136" s="4" t="s">
        <v>36</v>
      </c>
      <c r="E1136" s="7">
        <v>41855</v>
      </c>
      <c r="F1136" s="4" t="s">
        <v>123</v>
      </c>
      <c r="G1136" s="4" t="s">
        <v>1682</v>
      </c>
      <c r="H1136" s="4">
        <v>50</v>
      </c>
      <c r="I1136" s="4">
        <v>50</v>
      </c>
      <c r="J1136" s="5">
        <v>0</v>
      </c>
      <c r="K1136" s="3">
        <v>84</v>
      </c>
      <c r="L1136" s="4">
        <f>tblSales[[#This Row],[Quantity]]*tblSales[[#This Row],[Actual Price]]</f>
        <v>4200</v>
      </c>
    </row>
    <row r="1137" spans="1:12" x14ac:dyDescent="0.35">
      <c r="A1137" s="3" t="s">
        <v>1683</v>
      </c>
      <c r="B1137" s="4" t="s">
        <v>155</v>
      </c>
      <c r="C1137" s="4" t="s">
        <v>109</v>
      </c>
      <c r="D1137" s="4" t="s">
        <v>20</v>
      </c>
      <c r="E1137" s="7">
        <v>42705</v>
      </c>
      <c r="F1137" s="4" t="s">
        <v>62</v>
      </c>
      <c r="G1137" s="4" t="s">
        <v>1412</v>
      </c>
      <c r="H1137" s="4">
        <v>1000</v>
      </c>
      <c r="I1137" s="4">
        <v>710</v>
      </c>
      <c r="J1137" s="5">
        <v>0.28999999999999998</v>
      </c>
      <c r="K1137" s="3">
        <v>2</v>
      </c>
      <c r="L1137" s="4">
        <f>tblSales[[#This Row],[Quantity]]*tblSales[[#This Row],[Actual Price]]</f>
        <v>1420</v>
      </c>
    </row>
    <row r="1138" spans="1:12" x14ac:dyDescent="0.35">
      <c r="A1138" s="3" t="s">
        <v>1684</v>
      </c>
      <c r="B1138" s="4" t="s">
        <v>128</v>
      </c>
      <c r="C1138" s="4" t="s">
        <v>129</v>
      </c>
      <c r="D1138" s="4" t="s">
        <v>14</v>
      </c>
      <c r="E1138" s="7">
        <v>43433</v>
      </c>
      <c r="F1138" s="4" t="s">
        <v>15</v>
      </c>
      <c r="G1138" s="4" t="s">
        <v>386</v>
      </c>
      <c r="H1138" s="4">
        <v>80</v>
      </c>
      <c r="I1138" s="4">
        <v>74</v>
      </c>
      <c r="J1138" s="5">
        <v>7.4999999999999997E-2</v>
      </c>
      <c r="K1138" s="3">
        <v>57</v>
      </c>
      <c r="L1138" s="4">
        <f>tblSales[[#This Row],[Quantity]]*tblSales[[#This Row],[Actual Price]]</f>
        <v>4218</v>
      </c>
    </row>
    <row r="1139" spans="1:12" x14ac:dyDescent="0.35">
      <c r="A1139" s="3" t="s">
        <v>1685</v>
      </c>
      <c r="B1139" s="4" t="s">
        <v>82</v>
      </c>
      <c r="C1139" s="4" t="s">
        <v>83</v>
      </c>
      <c r="D1139" s="4" t="s">
        <v>14</v>
      </c>
      <c r="E1139" s="7">
        <v>42457</v>
      </c>
      <c r="F1139" s="4" t="s">
        <v>123</v>
      </c>
      <c r="G1139" s="4" t="s">
        <v>1494</v>
      </c>
      <c r="H1139" s="4">
        <v>50</v>
      </c>
      <c r="I1139" s="4">
        <v>50</v>
      </c>
      <c r="J1139" s="5">
        <v>0</v>
      </c>
      <c r="K1139" s="3">
        <v>8</v>
      </c>
      <c r="L1139" s="4">
        <f>tblSales[[#This Row],[Quantity]]*tblSales[[#This Row],[Actual Price]]</f>
        <v>400</v>
      </c>
    </row>
    <row r="1140" spans="1:12" x14ac:dyDescent="0.35">
      <c r="A1140" s="3" t="s">
        <v>1686</v>
      </c>
      <c r="B1140" s="4" t="s">
        <v>155</v>
      </c>
      <c r="C1140" s="4" t="s">
        <v>109</v>
      </c>
      <c r="D1140" s="4" t="s">
        <v>20</v>
      </c>
      <c r="E1140" s="7">
        <v>41745</v>
      </c>
      <c r="F1140" s="4" t="s">
        <v>116</v>
      </c>
      <c r="G1140" s="4" t="s">
        <v>1186</v>
      </c>
      <c r="H1140" s="4">
        <v>250</v>
      </c>
      <c r="I1140" s="4">
        <v>208</v>
      </c>
      <c r="J1140" s="5">
        <v>0.16800000000000001</v>
      </c>
      <c r="K1140" s="3">
        <v>78</v>
      </c>
      <c r="L1140" s="4">
        <f>tblSales[[#This Row],[Quantity]]*tblSales[[#This Row],[Actual Price]]</f>
        <v>16224</v>
      </c>
    </row>
    <row r="1141" spans="1:12" x14ac:dyDescent="0.35">
      <c r="A1141" s="3" t="s">
        <v>1687</v>
      </c>
      <c r="B1141" s="4" t="s">
        <v>92</v>
      </c>
      <c r="C1141" s="4" t="s">
        <v>93</v>
      </c>
      <c r="D1141" s="4" t="s">
        <v>36</v>
      </c>
      <c r="E1141" s="7">
        <v>42796</v>
      </c>
      <c r="F1141" s="4" t="s">
        <v>123</v>
      </c>
      <c r="G1141" s="4" t="s">
        <v>200</v>
      </c>
      <c r="H1141" s="4">
        <v>50</v>
      </c>
      <c r="I1141" s="4">
        <v>46</v>
      </c>
      <c r="J1141" s="5">
        <v>0.08</v>
      </c>
      <c r="K1141" s="3">
        <v>57</v>
      </c>
      <c r="L1141" s="4">
        <f>tblSales[[#This Row],[Quantity]]*tblSales[[#This Row],[Actual Price]]</f>
        <v>2622</v>
      </c>
    </row>
    <row r="1142" spans="1:12" x14ac:dyDescent="0.35">
      <c r="A1142" s="3" t="s">
        <v>1688</v>
      </c>
      <c r="B1142" s="4" t="s">
        <v>112</v>
      </c>
      <c r="C1142" s="4" t="s">
        <v>83</v>
      </c>
      <c r="D1142" s="4" t="s">
        <v>14</v>
      </c>
      <c r="E1142" s="7">
        <v>42046</v>
      </c>
      <c r="F1142" s="4" t="s">
        <v>56</v>
      </c>
      <c r="G1142" s="4" t="s">
        <v>1689</v>
      </c>
      <c r="H1142" s="4">
        <v>800</v>
      </c>
      <c r="I1142" s="4">
        <v>744</v>
      </c>
      <c r="J1142" s="5">
        <v>7.0000000000000007E-2</v>
      </c>
      <c r="K1142" s="3">
        <v>74</v>
      </c>
      <c r="L1142" s="4">
        <f>tblSales[[#This Row],[Quantity]]*tblSales[[#This Row],[Actual Price]]</f>
        <v>55056</v>
      </c>
    </row>
    <row r="1143" spans="1:12" x14ac:dyDescent="0.35">
      <c r="A1143" s="3" t="s">
        <v>1690</v>
      </c>
      <c r="B1143" s="4" t="s">
        <v>65</v>
      </c>
      <c r="C1143" s="4" t="s">
        <v>66</v>
      </c>
      <c r="D1143" s="4" t="s">
        <v>36</v>
      </c>
      <c r="E1143" s="7">
        <v>42839</v>
      </c>
      <c r="F1143" s="4" t="s">
        <v>15</v>
      </c>
      <c r="G1143" s="4" t="s">
        <v>1537</v>
      </c>
      <c r="H1143" s="4">
        <v>80</v>
      </c>
      <c r="I1143" s="4">
        <v>76</v>
      </c>
      <c r="J1143" s="5">
        <v>0.05</v>
      </c>
      <c r="K1143" s="3">
        <v>69</v>
      </c>
      <c r="L1143" s="4">
        <f>tblSales[[#This Row],[Quantity]]*tblSales[[#This Row],[Actual Price]]</f>
        <v>5244</v>
      </c>
    </row>
    <row r="1144" spans="1:12" x14ac:dyDescent="0.35">
      <c r="A1144" s="3" t="s">
        <v>1691</v>
      </c>
      <c r="B1144" s="4" t="s">
        <v>119</v>
      </c>
      <c r="C1144" s="4" t="s">
        <v>120</v>
      </c>
      <c r="D1144" s="4" t="s">
        <v>36</v>
      </c>
      <c r="E1144" s="7">
        <v>42889</v>
      </c>
      <c r="F1144" s="4" t="s">
        <v>31</v>
      </c>
      <c r="G1144" s="4" t="s">
        <v>541</v>
      </c>
      <c r="H1144" s="4">
        <v>150</v>
      </c>
      <c r="I1144" s="4">
        <v>146</v>
      </c>
      <c r="J1144" s="5">
        <v>2.6700000000000002E-2</v>
      </c>
      <c r="K1144" s="3">
        <v>8</v>
      </c>
      <c r="L1144" s="4">
        <f>tblSales[[#This Row],[Quantity]]*tblSales[[#This Row],[Actual Price]]</f>
        <v>1168</v>
      </c>
    </row>
    <row r="1145" spans="1:12" x14ac:dyDescent="0.35">
      <c r="A1145" s="3" t="s">
        <v>1692</v>
      </c>
      <c r="B1145" s="4" t="s">
        <v>222</v>
      </c>
      <c r="C1145" s="4" t="s">
        <v>41</v>
      </c>
      <c r="D1145" s="4" t="s">
        <v>36</v>
      </c>
      <c r="E1145" s="7">
        <v>43416</v>
      </c>
      <c r="F1145" s="4" t="s">
        <v>47</v>
      </c>
      <c r="G1145" s="4" t="s">
        <v>1180</v>
      </c>
      <c r="H1145" s="4">
        <v>500</v>
      </c>
      <c r="I1145" s="4">
        <v>475</v>
      </c>
      <c r="J1145" s="5">
        <v>0.05</v>
      </c>
      <c r="K1145" s="3">
        <v>50</v>
      </c>
      <c r="L1145" s="4">
        <f>tblSales[[#This Row],[Quantity]]*tblSales[[#This Row],[Actual Price]]</f>
        <v>23750</v>
      </c>
    </row>
    <row r="1146" spans="1:12" x14ac:dyDescent="0.35">
      <c r="A1146" s="3" t="s">
        <v>1693</v>
      </c>
      <c r="B1146" s="4" t="s">
        <v>242</v>
      </c>
      <c r="C1146" s="4" t="s">
        <v>243</v>
      </c>
      <c r="D1146" s="4" t="s">
        <v>14</v>
      </c>
      <c r="E1146" s="7">
        <v>42690</v>
      </c>
      <c r="F1146" s="4" t="s">
        <v>15</v>
      </c>
      <c r="G1146" s="4" t="s">
        <v>381</v>
      </c>
      <c r="H1146" s="4">
        <v>80</v>
      </c>
      <c r="I1146" s="4">
        <v>68</v>
      </c>
      <c r="J1146" s="5">
        <v>0.15</v>
      </c>
      <c r="K1146" s="3">
        <v>95</v>
      </c>
      <c r="L1146" s="4">
        <f>tblSales[[#This Row],[Quantity]]*tblSales[[#This Row],[Actual Price]]</f>
        <v>6460</v>
      </c>
    </row>
    <row r="1147" spans="1:12" x14ac:dyDescent="0.35">
      <c r="A1147" s="3" t="s">
        <v>1694</v>
      </c>
      <c r="B1147" s="4" t="s">
        <v>325</v>
      </c>
      <c r="C1147" s="4" t="s">
        <v>326</v>
      </c>
      <c r="D1147" s="4" t="s">
        <v>14</v>
      </c>
      <c r="E1147" s="7">
        <v>42235</v>
      </c>
      <c r="F1147" s="4" t="s">
        <v>73</v>
      </c>
      <c r="G1147" s="4" t="s">
        <v>1469</v>
      </c>
      <c r="H1147" s="4">
        <v>500</v>
      </c>
      <c r="I1147" s="4">
        <v>500</v>
      </c>
      <c r="J1147" s="5">
        <v>0</v>
      </c>
      <c r="K1147" s="3">
        <v>43</v>
      </c>
      <c r="L1147" s="4">
        <f>tblSales[[#This Row],[Quantity]]*tblSales[[#This Row],[Actual Price]]</f>
        <v>21500</v>
      </c>
    </row>
    <row r="1148" spans="1:12" x14ac:dyDescent="0.35">
      <c r="A1148" s="3" t="s">
        <v>1695</v>
      </c>
      <c r="B1148" s="4" t="s">
        <v>256</v>
      </c>
      <c r="C1148" s="4" t="s">
        <v>257</v>
      </c>
      <c r="D1148" s="4" t="s">
        <v>14</v>
      </c>
      <c r="E1148" s="7">
        <v>41700</v>
      </c>
      <c r="F1148" s="4" t="s">
        <v>116</v>
      </c>
      <c r="G1148" s="4" t="s">
        <v>1374</v>
      </c>
      <c r="H1148" s="4">
        <v>250</v>
      </c>
      <c r="I1148" s="4">
        <v>243</v>
      </c>
      <c r="J1148" s="5">
        <v>2.8000000000000001E-2</v>
      </c>
      <c r="K1148" s="3">
        <v>92</v>
      </c>
      <c r="L1148" s="4">
        <f>tblSales[[#This Row],[Quantity]]*tblSales[[#This Row],[Actual Price]]</f>
        <v>22356</v>
      </c>
    </row>
    <row r="1149" spans="1:12" x14ac:dyDescent="0.35">
      <c r="A1149" s="3" t="s">
        <v>1696</v>
      </c>
      <c r="B1149" s="4" t="s">
        <v>23</v>
      </c>
      <c r="C1149" s="4" t="s">
        <v>24</v>
      </c>
      <c r="D1149" s="4" t="s">
        <v>25</v>
      </c>
      <c r="E1149" s="7">
        <v>42483</v>
      </c>
      <c r="F1149" s="4" t="s">
        <v>62</v>
      </c>
      <c r="G1149" s="4" t="s">
        <v>145</v>
      </c>
      <c r="H1149" s="4">
        <v>1000</v>
      </c>
      <c r="I1149" s="4">
        <v>500</v>
      </c>
      <c r="J1149" s="5">
        <v>0.5</v>
      </c>
      <c r="K1149" s="3">
        <v>28</v>
      </c>
      <c r="L1149" s="4">
        <f>tblSales[[#This Row],[Quantity]]*tblSales[[#This Row],[Actual Price]]</f>
        <v>14000</v>
      </c>
    </row>
    <row r="1150" spans="1:12" x14ac:dyDescent="0.35">
      <c r="A1150" s="3" t="s">
        <v>1697</v>
      </c>
      <c r="B1150" s="4" t="s">
        <v>225</v>
      </c>
      <c r="C1150" s="4" t="s">
        <v>51</v>
      </c>
      <c r="D1150" s="4" t="s">
        <v>25</v>
      </c>
      <c r="E1150" s="7">
        <v>43355</v>
      </c>
      <c r="F1150" s="4" t="s">
        <v>62</v>
      </c>
      <c r="G1150" s="4" t="s">
        <v>735</v>
      </c>
      <c r="H1150" s="4">
        <v>1000</v>
      </c>
      <c r="I1150" s="4">
        <v>700</v>
      </c>
      <c r="J1150" s="5">
        <v>0.3</v>
      </c>
      <c r="K1150" s="3">
        <v>7</v>
      </c>
      <c r="L1150" s="4">
        <f>tblSales[[#This Row],[Quantity]]*tblSales[[#This Row],[Actual Price]]</f>
        <v>4900</v>
      </c>
    </row>
    <row r="1151" spans="1:12" x14ac:dyDescent="0.35">
      <c r="A1151" s="3" t="s">
        <v>1698</v>
      </c>
      <c r="B1151" s="4" t="s">
        <v>401</v>
      </c>
      <c r="C1151" s="4" t="s">
        <v>402</v>
      </c>
      <c r="D1151" s="4" t="s">
        <v>14</v>
      </c>
      <c r="E1151" s="7">
        <v>43218</v>
      </c>
      <c r="F1151" s="4" t="s">
        <v>15</v>
      </c>
      <c r="G1151" s="4" t="s">
        <v>403</v>
      </c>
      <c r="H1151" s="4">
        <v>80</v>
      </c>
      <c r="I1151" s="4">
        <v>58</v>
      </c>
      <c r="J1151" s="5">
        <v>0.27500000000000002</v>
      </c>
      <c r="K1151" s="3">
        <v>43</v>
      </c>
      <c r="L1151" s="4">
        <f>tblSales[[#This Row],[Quantity]]*tblSales[[#This Row],[Actual Price]]</f>
        <v>2494</v>
      </c>
    </row>
    <row r="1152" spans="1:12" x14ac:dyDescent="0.35">
      <c r="A1152" s="3" t="s">
        <v>1699</v>
      </c>
      <c r="B1152" s="4" t="s">
        <v>175</v>
      </c>
      <c r="C1152" s="4" t="s">
        <v>176</v>
      </c>
      <c r="D1152" s="4" t="s">
        <v>14</v>
      </c>
      <c r="E1152" s="7">
        <v>42077</v>
      </c>
      <c r="F1152" s="4" t="s">
        <v>56</v>
      </c>
      <c r="G1152" s="4" t="s">
        <v>608</v>
      </c>
      <c r="H1152" s="4">
        <v>800</v>
      </c>
      <c r="I1152" s="4">
        <v>664</v>
      </c>
      <c r="J1152" s="5">
        <v>0.17</v>
      </c>
      <c r="K1152" s="3">
        <v>27</v>
      </c>
      <c r="L1152" s="4">
        <f>tblSales[[#This Row],[Quantity]]*tblSales[[#This Row],[Actual Price]]</f>
        <v>17928</v>
      </c>
    </row>
    <row r="1153" spans="1:12" x14ac:dyDescent="0.35">
      <c r="A1153" s="3" t="s">
        <v>1700</v>
      </c>
      <c r="B1153" s="4" t="s">
        <v>54</v>
      </c>
      <c r="C1153" s="4" t="s">
        <v>55</v>
      </c>
      <c r="D1153" s="4" t="s">
        <v>14</v>
      </c>
      <c r="E1153" s="7">
        <v>41681</v>
      </c>
      <c r="F1153" s="4" t="s">
        <v>105</v>
      </c>
      <c r="G1153" s="4" t="s">
        <v>796</v>
      </c>
      <c r="H1153" s="4">
        <v>70</v>
      </c>
      <c r="I1153" s="4">
        <v>69</v>
      </c>
      <c r="J1153" s="5">
        <v>1.43E-2</v>
      </c>
      <c r="K1153" s="3">
        <v>40</v>
      </c>
      <c r="L1153" s="4">
        <f>tblSales[[#This Row],[Quantity]]*tblSales[[#This Row],[Actual Price]]</f>
        <v>2760</v>
      </c>
    </row>
    <row r="1154" spans="1:12" x14ac:dyDescent="0.35">
      <c r="A1154" s="3" t="s">
        <v>1701</v>
      </c>
      <c r="B1154" s="4" t="s">
        <v>50</v>
      </c>
      <c r="C1154" s="4" t="s">
        <v>51</v>
      </c>
      <c r="D1154" s="4" t="s">
        <v>25</v>
      </c>
      <c r="E1154" s="7">
        <v>41954</v>
      </c>
      <c r="F1154" s="4" t="s">
        <v>123</v>
      </c>
      <c r="G1154" s="4" t="s">
        <v>379</v>
      </c>
      <c r="H1154" s="4">
        <v>50</v>
      </c>
      <c r="I1154" s="4">
        <v>50</v>
      </c>
      <c r="J1154" s="5">
        <v>0</v>
      </c>
      <c r="K1154" s="3">
        <v>75</v>
      </c>
      <c r="L1154" s="4">
        <f>tblSales[[#This Row],[Quantity]]*tblSales[[#This Row],[Actual Price]]</f>
        <v>3750</v>
      </c>
    </row>
    <row r="1155" spans="1:12" x14ac:dyDescent="0.35">
      <c r="A1155" s="3" t="s">
        <v>1702</v>
      </c>
      <c r="B1155" s="4" t="s">
        <v>271</v>
      </c>
      <c r="C1155" s="4" t="s">
        <v>272</v>
      </c>
      <c r="D1155" s="4" t="s">
        <v>36</v>
      </c>
      <c r="E1155" s="7">
        <v>41689</v>
      </c>
      <c r="F1155" s="4" t="s">
        <v>15</v>
      </c>
      <c r="G1155" s="4" t="s">
        <v>338</v>
      </c>
      <c r="H1155" s="4">
        <v>80</v>
      </c>
      <c r="I1155" s="4">
        <v>75</v>
      </c>
      <c r="J1155" s="5">
        <v>6.25E-2</v>
      </c>
      <c r="K1155" s="3">
        <v>44</v>
      </c>
      <c r="L1155" s="4">
        <f>tblSales[[#This Row],[Quantity]]*tblSales[[#This Row],[Actual Price]]</f>
        <v>3300</v>
      </c>
    </row>
    <row r="1156" spans="1:12" x14ac:dyDescent="0.35">
      <c r="A1156" s="3" t="s">
        <v>1703</v>
      </c>
      <c r="B1156" s="4" t="s">
        <v>12</v>
      </c>
      <c r="C1156" s="4" t="s">
        <v>13</v>
      </c>
      <c r="D1156" s="4" t="s">
        <v>14</v>
      </c>
      <c r="E1156" s="7">
        <v>42875</v>
      </c>
      <c r="F1156" s="4" t="s">
        <v>15</v>
      </c>
      <c r="G1156" s="4" t="s">
        <v>1160</v>
      </c>
      <c r="H1156" s="4">
        <v>80</v>
      </c>
      <c r="I1156" s="4">
        <v>76</v>
      </c>
      <c r="J1156" s="5">
        <v>0.05</v>
      </c>
      <c r="K1156" s="3">
        <v>69</v>
      </c>
      <c r="L1156" s="4">
        <f>tblSales[[#This Row],[Quantity]]*tblSales[[#This Row],[Actual Price]]</f>
        <v>5244</v>
      </c>
    </row>
    <row r="1157" spans="1:12" x14ac:dyDescent="0.35">
      <c r="A1157" s="3" t="s">
        <v>1704</v>
      </c>
      <c r="B1157" s="4" t="s">
        <v>104</v>
      </c>
      <c r="C1157" s="4" t="s">
        <v>72</v>
      </c>
      <c r="D1157" s="4" t="s">
        <v>36</v>
      </c>
      <c r="E1157" s="7">
        <v>42143</v>
      </c>
      <c r="F1157" s="4" t="s">
        <v>116</v>
      </c>
      <c r="G1157" s="4" t="s">
        <v>728</v>
      </c>
      <c r="H1157" s="4">
        <v>250</v>
      </c>
      <c r="I1157" s="4">
        <v>190</v>
      </c>
      <c r="J1157" s="5">
        <v>0.24</v>
      </c>
      <c r="K1157" s="3">
        <v>7</v>
      </c>
      <c r="L1157" s="4">
        <f>tblSales[[#This Row],[Quantity]]*tblSales[[#This Row],[Actual Price]]</f>
        <v>1330</v>
      </c>
    </row>
    <row r="1158" spans="1:12" x14ac:dyDescent="0.35">
      <c r="A1158" s="3" t="s">
        <v>1705</v>
      </c>
      <c r="B1158" s="4" t="s">
        <v>242</v>
      </c>
      <c r="C1158" s="4" t="s">
        <v>243</v>
      </c>
      <c r="D1158" s="4" t="s">
        <v>14</v>
      </c>
      <c r="E1158" s="7">
        <v>42737</v>
      </c>
      <c r="F1158" s="4" t="s">
        <v>62</v>
      </c>
      <c r="G1158" s="4" t="s">
        <v>1153</v>
      </c>
      <c r="H1158" s="4">
        <v>1000</v>
      </c>
      <c r="I1158" s="4">
        <v>650</v>
      </c>
      <c r="J1158" s="5">
        <v>0.35</v>
      </c>
      <c r="K1158" s="3">
        <v>53</v>
      </c>
      <c r="L1158" s="4">
        <f>tblSales[[#This Row],[Quantity]]*tblSales[[#This Row],[Actual Price]]</f>
        <v>34450</v>
      </c>
    </row>
    <row r="1159" spans="1:12" x14ac:dyDescent="0.35">
      <c r="A1159" s="3" t="s">
        <v>1706</v>
      </c>
      <c r="B1159" s="4" t="s">
        <v>222</v>
      </c>
      <c r="C1159" s="4" t="s">
        <v>41</v>
      </c>
      <c r="D1159" s="4" t="s">
        <v>36</v>
      </c>
      <c r="E1159" s="7">
        <v>42346</v>
      </c>
      <c r="F1159" s="4" t="s">
        <v>15</v>
      </c>
      <c r="G1159" s="4" t="s">
        <v>223</v>
      </c>
      <c r="H1159" s="4">
        <v>80</v>
      </c>
      <c r="I1159" s="4">
        <v>58</v>
      </c>
      <c r="J1159" s="5">
        <v>0.27500000000000002</v>
      </c>
      <c r="K1159" s="3">
        <v>5</v>
      </c>
      <c r="L1159" s="4">
        <f>tblSales[[#This Row],[Quantity]]*tblSales[[#This Row],[Actual Price]]</f>
        <v>290</v>
      </c>
    </row>
    <row r="1160" spans="1:12" x14ac:dyDescent="0.35">
      <c r="A1160" s="3" t="s">
        <v>1707</v>
      </c>
      <c r="B1160" s="4" t="s">
        <v>40</v>
      </c>
      <c r="C1160" s="4" t="s">
        <v>41</v>
      </c>
      <c r="D1160" s="4" t="s">
        <v>36</v>
      </c>
      <c r="E1160" s="7">
        <v>41642</v>
      </c>
      <c r="F1160" s="4" t="s">
        <v>116</v>
      </c>
      <c r="G1160" s="4" t="s">
        <v>1708</v>
      </c>
      <c r="H1160" s="4">
        <v>250</v>
      </c>
      <c r="I1160" s="4">
        <v>235</v>
      </c>
      <c r="J1160" s="5">
        <v>0.06</v>
      </c>
      <c r="K1160" s="3">
        <v>21</v>
      </c>
      <c r="L1160" s="4">
        <f>tblSales[[#This Row],[Quantity]]*tblSales[[#This Row],[Actual Price]]</f>
        <v>4935</v>
      </c>
    </row>
    <row r="1161" spans="1:12" x14ac:dyDescent="0.35">
      <c r="A1161" s="3" t="s">
        <v>1709</v>
      </c>
      <c r="B1161" s="4" t="s">
        <v>188</v>
      </c>
      <c r="C1161" s="4" t="s">
        <v>189</v>
      </c>
      <c r="D1161" s="4" t="s">
        <v>14</v>
      </c>
      <c r="E1161" s="7">
        <v>42452</v>
      </c>
      <c r="F1161" s="4" t="s">
        <v>47</v>
      </c>
      <c r="G1161" s="4" t="s">
        <v>238</v>
      </c>
      <c r="H1161" s="4">
        <v>500</v>
      </c>
      <c r="I1161" s="4">
        <v>440</v>
      </c>
      <c r="J1161" s="5">
        <v>0.12</v>
      </c>
      <c r="K1161" s="3">
        <v>24</v>
      </c>
      <c r="L1161" s="4">
        <f>tblSales[[#This Row],[Quantity]]*tblSales[[#This Row],[Actual Price]]</f>
        <v>10560</v>
      </c>
    </row>
    <row r="1162" spans="1:12" x14ac:dyDescent="0.35">
      <c r="A1162" s="3" t="s">
        <v>1710</v>
      </c>
      <c r="B1162" s="4" t="s">
        <v>128</v>
      </c>
      <c r="C1162" s="4" t="s">
        <v>129</v>
      </c>
      <c r="D1162" s="4" t="s">
        <v>14</v>
      </c>
      <c r="E1162" s="7">
        <v>43029</v>
      </c>
      <c r="F1162" s="4" t="s">
        <v>123</v>
      </c>
      <c r="G1162" s="4" t="s">
        <v>130</v>
      </c>
      <c r="H1162" s="4">
        <v>50</v>
      </c>
      <c r="I1162" s="4">
        <v>46</v>
      </c>
      <c r="J1162" s="5">
        <v>0.08</v>
      </c>
      <c r="K1162" s="3">
        <v>42</v>
      </c>
      <c r="L1162" s="4">
        <f>tblSales[[#This Row],[Quantity]]*tblSales[[#This Row],[Actual Price]]</f>
        <v>1932</v>
      </c>
    </row>
    <row r="1163" spans="1:12" x14ac:dyDescent="0.35">
      <c r="A1163" s="3" t="s">
        <v>1711</v>
      </c>
      <c r="B1163" s="4" t="s">
        <v>183</v>
      </c>
      <c r="C1163" s="4" t="s">
        <v>109</v>
      </c>
      <c r="D1163" s="4" t="s">
        <v>20</v>
      </c>
      <c r="E1163" s="7">
        <v>43258</v>
      </c>
      <c r="F1163" s="4" t="s">
        <v>105</v>
      </c>
      <c r="G1163" s="4" t="s">
        <v>674</v>
      </c>
      <c r="H1163" s="4">
        <v>70</v>
      </c>
      <c r="I1163" s="4">
        <v>63</v>
      </c>
      <c r="J1163" s="5">
        <v>0.1</v>
      </c>
      <c r="K1163" s="3">
        <v>74</v>
      </c>
      <c r="L1163" s="4">
        <f>tblSales[[#This Row],[Quantity]]*tblSales[[#This Row],[Actual Price]]</f>
        <v>4662</v>
      </c>
    </row>
    <row r="1164" spans="1:12" x14ac:dyDescent="0.35">
      <c r="A1164" s="3" t="s">
        <v>1712</v>
      </c>
      <c r="B1164" s="4" t="s">
        <v>228</v>
      </c>
      <c r="C1164" s="4" t="s">
        <v>229</v>
      </c>
      <c r="D1164" s="4" t="s">
        <v>25</v>
      </c>
      <c r="E1164" s="7">
        <v>43173</v>
      </c>
      <c r="F1164" s="4" t="s">
        <v>31</v>
      </c>
      <c r="G1164" s="4" t="s">
        <v>439</v>
      </c>
      <c r="H1164" s="4">
        <v>150</v>
      </c>
      <c r="I1164" s="4">
        <v>128</v>
      </c>
      <c r="J1164" s="5">
        <v>0.1467</v>
      </c>
      <c r="K1164" s="3">
        <v>48</v>
      </c>
      <c r="L1164" s="4">
        <f>tblSales[[#This Row],[Quantity]]*tblSales[[#This Row],[Actual Price]]</f>
        <v>6144</v>
      </c>
    </row>
    <row r="1165" spans="1:12" x14ac:dyDescent="0.35">
      <c r="A1165" s="3" t="s">
        <v>1713</v>
      </c>
      <c r="B1165" s="4" t="s">
        <v>65</v>
      </c>
      <c r="C1165" s="4" t="s">
        <v>66</v>
      </c>
      <c r="D1165" s="4" t="s">
        <v>36</v>
      </c>
      <c r="E1165" s="7">
        <v>42715</v>
      </c>
      <c r="F1165" s="4" t="s">
        <v>31</v>
      </c>
      <c r="G1165" s="4" t="s">
        <v>530</v>
      </c>
      <c r="H1165" s="4">
        <v>150</v>
      </c>
      <c r="I1165" s="4">
        <v>150</v>
      </c>
      <c r="J1165" s="5">
        <v>0</v>
      </c>
      <c r="K1165" s="3">
        <v>4</v>
      </c>
      <c r="L1165" s="4">
        <f>tblSales[[#This Row],[Quantity]]*tblSales[[#This Row],[Actual Price]]</f>
        <v>600</v>
      </c>
    </row>
    <row r="1166" spans="1:12" x14ac:dyDescent="0.35">
      <c r="A1166" s="3" t="s">
        <v>1714</v>
      </c>
      <c r="B1166" s="4" t="s">
        <v>12</v>
      </c>
      <c r="C1166" s="4" t="s">
        <v>13</v>
      </c>
      <c r="D1166" s="4" t="s">
        <v>14</v>
      </c>
      <c r="E1166" s="7">
        <v>42778</v>
      </c>
      <c r="F1166" s="4" t="s">
        <v>47</v>
      </c>
      <c r="G1166" s="4" t="s">
        <v>349</v>
      </c>
      <c r="H1166" s="4">
        <v>500</v>
      </c>
      <c r="I1166" s="4">
        <v>485</v>
      </c>
      <c r="J1166" s="5">
        <v>0.03</v>
      </c>
      <c r="K1166" s="3">
        <v>13</v>
      </c>
      <c r="L1166" s="4">
        <f>tblSales[[#This Row],[Quantity]]*tblSales[[#This Row],[Actual Price]]</f>
        <v>6305</v>
      </c>
    </row>
    <row r="1167" spans="1:12" x14ac:dyDescent="0.35">
      <c r="A1167" s="3" t="s">
        <v>1715</v>
      </c>
      <c r="B1167" s="4" t="s">
        <v>86</v>
      </c>
      <c r="C1167" s="4" t="s">
        <v>87</v>
      </c>
      <c r="D1167" s="4" t="s">
        <v>14</v>
      </c>
      <c r="E1167" s="7">
        <v>42881</v>
      </c>
      <c r="F1167" s="4" t="s">
        <v>116</v>
      </c>
      <c r="G1167" s="4" t="s">
        <v>341</v>
      </c>
      <c r="H1167" s="4">
        <v>250</v>
      </c>
      <c r="I1167" s="4">
        <v>230</v>
      </c>
      <c r="J1167" s="5">
        <v>0.08</v>
      </c>
      <c r="K1167" s="3">
        <v>66</v>
      </c>
      <c r="L1167" s="4">
        <f>tblSales[[#This Row],[Quantity]]*tblSales[[#This Row],[Actual Price]]</f>
        <v>15180</v>
      </c>
    </row>
    <row r="1168" spans="1:12" x14ac:dyDescent="0.35">
      <c r="A1168" s="3" t="s">
        <v>1716</v>
      </c>
      <c r="B1168" s="4" t="s">
        <v>115</v>
      </c>
      <c r="C1168" s="4" t="s">
        <v>55</v>
      </c>
      <c r="D1168" s="4" t="s">
        <v>14</v>
      </c>
      <c r="E1168" s="7">
        <v>42643</v>
      </c>
      <c r="F1168" s="4" t="s">
        <v>105</v>
      </c>
      <c r="G1168" s="4" t="s">
        <v>368</v>
      </c>
      <c r="H1168" s="4">
        <v>70</v>
      </c>
      <c r="I1168" s="4">
        <v>62</v>
      </c>
      <c r="J1168" s="5">
        <v>0.1143</v>
      </c>
      <c r="K1168" s="3">
        <v>100</v>
      </c>
      <c r="L1168" s="4">
        <f>tblSales[[#This Row],[Quantity]]*tblSales[[#This Row],[Actual Price]]</f>
        <v>6200</v>
      </c>
    </row>
    <row r="1169" spans="1:12" x14ac:dyDescent="0.35">
      <c r="A1169" s="3" t="s">
        <v>1717</v>
      </c>
      <c r="B1169" s="4" t="s">
        <v>65</v>
      </c>
      <c r="C1169" s="4" t="s">
        <v>66</v>
      </c>
      <c r="D1169" s="4" t="s">
        <v>36</v>
      </c>
      <c r="E1169" s="7">
        <v>42924</v>
      </c>
      <c r="F1169" s="4" t="s">
        <v>26</v>
      </c>
      <c r="G1169" s="4" t="s">
        <v>1718</v>
      </c>
      <c r="H1169" s="4">
        <v>700</v>
      </c>
      <c r="I1169" s="4">
        <v>665</v>
      </c>
      <c r="J1169" s="5">
        <v>0.05</v>
      </c>
      <c r="K1169" s="3">
        <v>97</v>
      </c>
      <c r="L1169" s="4">
        <f>tblSales[[#This Row],[Quantity]]*tblSales[[#This Row],[Actual Price]]</f>
        <v>64505</v>
      </c>
    </row>
    <row r="1170" spans="1:12" x14ac:dyDescent="0.35">
      <c r="A1170" s="3" t="s">
        <v>1719</v>
      </c>
      <c r="B1170" s="4" t="s">
        <v>132</v>
      </c>
      <c r="C1170" s="4" t="s">
        <v>109</v>
      </c>
      <c r="D1170" s="4" t="s">
        <v>20</v>
      </c>
      <c r="E1170" s="7">
        <v>43038</v>
      </c>
      <c r="F1170" s="4" t="s">
        <v>37</v>
      </c>
      <c r="G1170" s="4" t="s">
        <v>383</v>
      </c>
      <c r="H1170" s="4">
        <v>50</v>
      </c>
      <c r="I1170" s="4">
        <v>50</v>
      </c>
      <c r="J1170" s="5">
        <v>0</v>
      </c>
      <c r="K1170" s="3">
        <v>87</v>
      </c>
      <c r="L1170" s="4">
        <f>tblSales[[#This Row],[Quantity]]*tblSales[[#This Row],[Actual Price]]</f>
        <v>4350</v>
      </c>
    </row>
    <row r="1171" spans="1:12" x14ac:dyDescent="0.35">
      <c r="A1171" s="3" t="s">
        <v>1720</v>
      </c>
      <c r="B1171" s="4" t="s">
        <v>188</v>
      </c>
      <c r="C1171" s="4" t="s">
        <v>189</v>
      </c>
      <c r="D1171" s="4" t="s">
        <v>14</v>
      </c>
      <c r="E1171" s="7">
        <v>41795</v>
      </c>
      <c r="F1171" s="4" t="s">
        <v>15</v>
      </c>
      <c r="G1171" s="4" t="s">
        <v>792</v>
      </c>
      <c r="H1171" s="4">
        <v>80</v>
      </c>
      <c r="I1171" s="4">
        <v>56</v>
      </c>
      <c r="J1171" s="5">
        <v>0.3</v>
      </c>
      <c r="K1171" s="3">
        <v>43</v>
      </c>
      <c r="L1171" s="4">
        <f>tblSales[[#This Row],[Quantity]]*tblSales[[#This Row],[Actual Price]]</f>
        <v>2408</v>
      </c>
    </row>
    <row r="1172" spans="1:12" x14ac:dyDescent="0.35">
      <c r="A1172" s="3" t="s">
        <v>1721</v>
      </c>
      <c r="B1172" s="4" t="s">
        <v>96</v>
      </c>
      <c r="C1172" s="4" t="s">
        <v>97</v>
      </c>
      <c r="D1172" s="4" t="s">
        <v>14</v>
      </c>
      <c r="E1172" s="7">
        <v>43281</v>
      </c>
      <c r="F1172" s="4" t="s">
        <v>105</v>
      </c>
      <c r="G1172" s="4" t="s">
        <v>461</v>
      </c>
      <c r="H1172" s="4">
        <v>70</v>
      </c>
      <c r="I1172" s="4">
        <v>65</v>
      </c>
      <c r="J1172" s="5">
        <v>7.1400000000000005E-2</v>
      </c>
      <c r="K1172" s="3">
        <v>7</v>
      </c>
      <c r="L1172" s="4">
        <f>tblSales[[#This Row],[Quantity]]*tblSales[[#This Row],[Actual Price]]</f>
        <v>455</v>
      </c>
    </row>
    <row r="1173" spans="1:12" x14ac:dyDescent="0.35">
      <c r="A1173" s="3" t="s">
        <v>1722</v>
      </c>
      <c r="B1173" s="4" t="s">
        <v>435</v>
      </c>
      <c r="C1173" s="4" t="s">
        <v>436</v>
      </c>
      <c r="D1173" s="4" t="s">
        <v>25</v>
      </c>
      <c r="E1173" s="7">
        <v>42508</v>
      </c>
      <c r="F1173" s="4" t="s">
        <v>37</v>
      </c>
      <c r="G1173" s="4" t="s">
        <v>765</v>
      </c>
      <c r="H1173" s="4">
        <v>50</v>
      </c>
      <c r="I1173" s="4">
        <v>43</v>
      </c>
      <c r="J1173" s="5">
        <v>0.14000000000000001</v>
      </c>
      <c r="K1173" s="3">
        <v>38</v>
      </c>
      <c r="L1173" s="4">
        <f>tblSales[[#This Row],[Quantity]]*tblSales[[#This Row],[Actual Price]]</f>
        <v>1634</v>
      </c>
    </row>
    <row r="1174" spans="1:12" x14ac:dyDescent="0.35">
      <c r="A1174" s="3" t="s">
        <v>1723</v>
      </c>
      <c r="B1174" s="4" t="s">
        <v>71</v>
      </c>
      <c r="C1174" s="4" t="s">
        <v>72</v>
      </c>
      <c r="D1174" s="4" t="s">
        <v>36</v>
      </c>
      <c r="E1174" s="7">
        <v>42288</v>
      </c>
      <c r="F1174" s="4" t="s">
        <v>31</v>
      </c>
      <c r="G1174" s="4" t="s">
        <v>1724</v>
      </c>
      <c r="H1174" s="4">
        <v>150</v>
      </c>
      <c r="I1174" s="4">
        <v>126</v>
      </c>
      <c r="J1174" s="5">
        <v>0.16</v>
      </c>
      <c r="K1174" s="3">
        <v>56</v>
      </c>
      <c r="L1174" s="4">
        <f>tblSales[[#This Row],[Quantity]]*tblSales[[#This Row],[Actual Price]]</f>
        <v>7056</v>
      </c>
    </row>
    <row r="1175" spans="1:12" x14ac:dyDescent="0.35">
      <c r="A1175" s="3" t="s">
        <v>1725</v>
      </c>
      <c r="B1175" s="4" t="s">
        <v>222</v>
      </c>
      <c r="C1175" s="4" t="s">
        <v>41</v>
      </c>
      <c r="D1175" s="4" t="s">
        <v>36</v>
      </c>
      <c r="E1175" s="7">
        <v>42035</v>
      </c>
      <c r="F1175" s="4" t="s">
        <v>47</v>
      </c>
      <c r="G1175" s="4" t="s">
        <v>1323</v>
      </c>
      <c r="H1175" s="4">
        <v>500</v>
      </c>
      <c r="I1175" s="4">
        <v>360</v>
      </c>
      <c r="J1175" s="5">
        <v>0.28000000000000003</v>
      </c>
      <c r="K1175" s="3">
        <v>67</v>
      </c>
      <c r="L1175" s="4">
        <f>tblSales[[#This Row],[Quantity]]*tblSales[[#This Row],[Actual Price]]</f>
        <v>24120</v>
      </c>
    </row>
    <row r="1176" spans="1:12" x14ac:dyDescent="0.35">
      <c r="A1176" s="3" t="s">
        <v>1726</v>
      </c>
      <c r="B1176" s="4" t="s">
        <v>228</v>
      </c>
      <c r="C1176" s="4" t="s">
        <v>229</v>
      </c>
      <c r="D1176" s="4" t="s">
        <v>25</v>
      </c>
      <c r="E1176" s="7">
        <v>42622</v>
      </c>
      <c r="F1176" s="4" t="s">
        <v>15</v>
      </c>
      <c r="G1176" s="4" t="s">
        <v>622</v>
      </c>
      <c r="H1176" s="4">
        <v>80</v>
      </c>
      <c r="I1176" s="4">
        <v>71</v>
      </c>
      <c r="J1176" s="5">
        <v>0.1125</v>
      </c>
      <c r="K1176" s="3">
        <v>6</v>
      </c>
      <c r="L1176" s="4">
        <f>tblSales[[#This Row],[Quantity]]*tblSales[[#This Row],[Actual Price]]</f>
        <v>426</v>
      </c>
    </row>
    <row r="1177" spans="1:12" x14ac:dyDescent="0.35">
      <c r="A1177" s="3" t="s">
        <v>1727</v>
      </c>
      <c r="B1177" s="4" t="s">
        <v>132</v>
      </c>
      <c r="C1177" s="4" t="s">
        <v>109</v>
      </c>
      <c r="D1177" s="4" t="s">
        <v>20</v>
      </c>
      <c r="E1177" s="7">
        <v>41654</v>
      </c>
      <c r="F1177" s="4" t="s">
        <v>42</v>
      </c>
      <c r="G1177" s="4" t="s">
        <v>133</v>
      </c>
      <c r="H1177" s="4">
        <v>30</v>
      </c>
      <c r="I1177" s="4">
        <v>29</v>
      </c>
      <c r="J1177" s="5">
        <v>3.3300000000000003E-2</v>
      </c>
      <c r="K1177" s="3">
        <v>89</v>
      </c>
      <c r="L1177" s="4">
        <f>tblSales[[#This Row],[Quantity]]*tblSales[[#This Row],[Actual Price]]</f>
        <v>2581</v>
      </c>
    </row>
    <row r="1178" spans="1:12" x14ac:dyDescent="0.35">
      <c r="A1178" s="3" t="s">
        <v>1728</v>
      </c>
      <c r="B1178" s="4" t="s">
        <v>171</v>
      </c>
      <c r="C1178" s="4" t="s">
        <v>172</v>
      </c>
      <c r="D1178" s="4" t="s">
        <v>14</v>
      </c>
      <c r="E1178" s="7">
        <v>42733</v>
      </c>
      <c r="F1178" s="4" t="s">
        <v>116</v>
      </c>
      <c r="G1178" s="4" t="s">
        <v>519</v>
      </c>
      <c r="H1178" s="4">
        <v>250</v>
      </c>
      <c r="I1178" s="4">
        <v>248</v>
      </c>
      <c r="J1178" s="5">
        <v>8.0000000000000002E-3</v>
      </c>
      <c r="K1178" s="3">
        <v>55</v>
      </c>
      <c r="L1178" s="4">
        <f>tblSales[[#This Row],[Quantity]]*tblSales[[#This Row],[Actual Price]]</f>
        <v>13640</v>
      </c>
    </row>
    <row r="1179" spans="1:12" x14ac:dyDescent="0.35">
      <c r="A1179" s="3" t="s">
        <v>1729</v>
      </c>
      <c r="B1179" s="4" t="s">
        <v>135</v>
      </c>
      <c r="C1179" s="4" t="s">
        <v>93</v>
      </c>
      <c r="D1179" s="4" t="s">
        <v>36</v>
      </c>
      <c r="E1179" s="7">
        <v>43394</v>
      </c>
      <c r="F1179" s="4" t="s">
        <v>42</v>
      </c>
      <c r="G1179" s="4" t="s">
        <v>1063</v>
      </c>
      <c r="H1179" s="4">
        <v>30</v>
      </c>
      <c r="I1179" s="4">
        <v>27</v>
      </c>
      <c r="J1179" s="5">
        <v>0.1</v>
      </c>
      <c r="K1179" s="3">
        <v>90</v>
      </c>
      <c r="L1179" s="4">
        <f>tblSales[[#This Row],[Quantity]]*tblSales[[#This Row],[Actual Price]]</f>
        <v>2430</v>
      </c>
    </row>
    <row r="1180" spans="1:12" x14ac:dyDescent="0.35">
      <c r="A1180" s="3" t="s">
        <v>1730</v>
      </c>
      <c r="B1180" s="4" t="s">
        <v>147</v>
      </c>
      <c r="C1180" s="4" t="s">
        <v>148</v>
      </c>
      <c r="D1180" s="4" t="s">
        <v>14</v>
      </c>
      <c r="E1180" s="7">
        <v>42948</v>
      </c>
      <c r="F1180" s="4" t="s">
        <v>105</v>
      </c>
      <c r="G1180" s="4" t="s">
        <v>1319</v>
      </c>
      <c r="H1180" s="4">
        <v>70</v>
      </c>
      <c r="I1180" s="4">
        <v>66</v>
      </c>
      <c r="J1180" s="5">
        <v>5.7099999999999998E-2</v>
      </c>
      <c r="K1180" s="3">
        <v>3</v>
      </c>
      <c r="L1180" s="4">
        <f>tblSales[[#This Row],[Quantity]]*tblSales[[#This Row],[Actual Price]]</f>
        <v>198</v>
      </c>
    </row>
    <row r="1181" spans="1:12" x14ac:dyDescent="0.35">
      <c r="A1181" s="3" t="s">
        <v>1731</v>
      </c>
      <c r="B1181" s="4" t="s">
        <v>18</v>
      </c>
      <c r="C1181" s="4" t="s">
        <v>19</v>
      </c>
      <c r="D1181" s="4" t="s">
        <v>20</v>
      </c>
      <c r="E1181" s="7">
        <v>41904</v>
      </c>
      <c r="F1181" s="4" t="s">
        <v>37</v>
      </c>
      <c r="G1181" s="4" t="s">
        <v>21</v>
      </c>
      <c r="H1181" s="4">
        <v>50</v>
      </c>
      <c r="I1181" s="4">
        <v>50</v>
      </c>
      <c r="J1181" s="5">
        <v>0</v>
      </c>
      <c r="K1181" s="3">
        <v>89</v>
      </c>
      <c r="L1181" s="4">
        <f>tblSales[[#This Row],[Quantity]]*tblSales[[#This Row],[Actual Price]]</f>
        <v>4450</v>
      </c>
    </row>
    <row r="1182" spans="1:12" x14ac:dyDescent="0.35">
      <c r="A1182" s="3" t="s">
        <v>1732</v>
      </c>
      <c r="B1182" s="4" t="s">
        <v>151</v>
      </c>
      <c r="C1182" s="4" t="s">
        <v>152</v>
      </c>
      <c r="D1182" s="4" t="s">
        <v>14</v>
      </c>
      <c r="E1182" s="7">
        <v>42134</v>
      </c>
      <c r="F1182" s="4" t="s">
        <v>62</v>
      </c>
      <c r="G1182" s="4" t="s">
        <v>825</v>
      </c>
      <c r="H1182" s="4">
        <v>1000</v>
      </c>
      <c r="I1182" s="4">
        <v>690</v>
      </c>
      <c r="J1182" s="5">
        <v>0.31</v>
      </c>
      <c r="K1182" s="3">
        <v>92</v>
      </c>
      <c r="L1182" s="4">
        <f>tblSales[[#This Row],[Quantity]]*tblSales[[#This Row],[Actual Price]]</f>
        <v>63480</v>
      </c>
    </row>
    <row r="1183" spans="1:12" x14ac:dyDescent="0.35">
      <c r="A1183" s="3" t="s">
        <v>1733</v>
      </c>
      <c r="B1183" s="4" t="s">
        <v>132</v>
      </c>
      <c r="C1183" s="4" t="s">
        <v>109</v>
      </c>
      <c r="D1183" s="4" t="s">
        <v>20</v>
      </c>
      <c r="E1183" s="7">
        <v>42880</v>
      </c>
      <c r="F1183" s="4" t="s">
        <v>31</v>
      </c>
      <c r="G1183" s="4" t="s">
        <v>537</v>
      </c>
      <c r="H1183" s="4">
        <v>150</v>
      </c>
      <c r="I1183" s="4">
        <v>150</v>
      </c>
      <c r="J1183" s="5">
        <v>0</v>
      </c>
      <c r="K1183" s="3">
        <v>56</v>
      </c>
      <c r="L1183" s="4">
        <f>tblSales[[#This Row],[Quantity]]*tblSales[[#This Row],[Actual Price]]</f>
        <v>8400</v>
      </c>
    </row>
    <row r="1184" spans="1:12" x14ac:dyDescent="0.35">
      <c r="A1184" s="3" t="s">
        <v>1734</v>
      </c>
      <c r="B1184" s="4" t="s">
        <v>104</v>
      </c>
      <c r="C1184" s="4" t="s">
        <v>72</v>
      </c>
      <c r="D1184" s="4" t="s">
        <v>36</v>
      </c>
      <c r="E1184" s="7">
        <v>42227</v>
      </c>
      <c r="F1184" s="4" t="s">
        <v>26</v>
      </c>
      <c r="G1184" s="4" t="s">
        <v>248</v>
      </c>
      <c r="H1184" s="4">
        <v>700</v>
      </c>
      <c r="I1184" s="4">
        <v>560</v>
      </c>
      <c r="J1184" s="5">
        <v>0.2</v>
      </c>
      <c r="K1184" s="3">
        <v>57</v>
      </c>
      <c r="L1184" s="4">
        <f>tblSales[[#This Row],[Quantity]]*tblSales[[#This Row],[Actual Price]]</f>
        <v>31920</v>
      </c>
    </row>
    <row r="1185" spans="1:12" x14ac:dyDescent="0.35">
      <c r="A1185" s="3" t="s">
        <v>1735</v>
      </c>
      <c r="B1185" s="4" t="s">
        <v>225</v>
      </c>
      <c r="C1185" s="4" t="s">
        <v>51</v>
      </c>
      <c r="D1185" s="4" t="s">
        <v>25</v>
      </c>
      <c r="E1185" s="7">
        <v>41716</v>
      </c>
      <c r="F1185" s="4" t="s">
        <v>73</v>
      </c>
      <c r="G1185" s="4" t="s">
        <v>414</v>
      </c>
      <c r="H1185" s="4">
        <v>500</v>
      </c>
      <c r="I1185" s="4">
        <v>495</v>
      </c>
      <c r="J1185" s="5">
        <v>0.01</v>
      </c>
      <c r="K1185" s="3">
        <v>2</v>
      </c>
      <c r="L1185" s="4">
        <f>tblSales[[#This Row],[Quantity]]*tblSales[[#This Row],[Actual Price]]</f>
        <v>990</v>
      </c>
    </row>
    <row r="1186" spans="1:12" x14ac:dyDescent="0.35">
      <c r="A1186" s="3" t="s">
        <v>1736</v>
      </c>
      <c r="B1186" s="4" t="s">
        <v>290</v>
      </c>
      <c r="C1186" s="4" t="s">
        <v>109</v>
      </c>
      <c r="D1186" s="4" t="s">
        <v>20</v>
      </c>
      <c r="E1186" s="7">
        <v>42020</v>
      </c>
      <c r="F1186" s="4" t="s">
        <v>42</v>
      </c>
      <c r="G1186" s="4" t="s">
        <v>1130</v>
      </c>
      <c r="H1186" s="4">
        <v>30</v>
      </c>
      <c r="I1186" s="4">
        <v>30</v>
      </c>
      <c r="J1186" s="5">
        <v>0</v>
      </c>
      <c r="K1186" s="3">
        <v>83</v>
      </c>
      <c r="L1186" s="4">
        <f>tblSales[[#This Row],[Quantity]]*tblSales[[#This Row],[Actual Price]]</f>
        <v>2490</v>
      </c>
    </row>
    <row r="1187" spans="1:12" x14ac:dyDescent="0.35">
      <c r="A1187" s="3" t="s">
        <v>1737</v>
      </c>
      <c r="B1187" s="4" t="s">
        <v>34</v>
      </c>
      <c r="C1187" s="4" t="s">
        <v>35</v>
      </c>
      <c r="D1187" s="4" t="s">
        <v>36</v>
      </c>
      <c r="E1187" s="7">
        <v>42339</v>
      </c>
      <c r="F1187" s="4" t="s">
        <v>31</v>
      </c>
      <c r="G1187" s="4" t="s">
        <v>452</v>
      </c>
      <c r="H1187" s="4">
        <v>150</v>
      </c>
      <c r="I1187" s="4">
        <v>132</v>
      </c>
      <c r="J1187" s="5">
        <v>0.12</v>
      </c>
      <c r="K1187" s="3">
        <v>48</v>
      </c>
      <c r="L1187" s="4">
        <f>tblSales[[#This Row],[Quantity]]*tblSales[[#This Row],[Actual Price]]</f>
        <v>6336</v>
      </c>
    </row>
    <row r="1188" spans="1:12" x14ac:dyDescent="0.35">
      <c r="A1188" s="3" t="s">
        <v>1738</v>
      </c>
      <c r="B1188" s="4" t="s">
        <v>45</v>
      </c>
      <c r="C1188" s="4" t="s">
        <v>46</v>
      </c>
      <c r="D1188" s="4" t="s">
        <v>25</v>
      </c>
      <c r="E1188" s="7">
        <v>41985</v>
      </c>
      <c r="F1188" s="4" t="s">
        <v>47</v>
      </c>
      <c r="G1188" s="4" t="s">
        <v>202</v>
      </c>
      <c r="H1188" s="4">
        <v>500</v>
      </c>
      <c r="I1188" s="4">
        <v>425</v>
      </c>
      <c r="J1188" s="5">
        <v>0.15</v>
      </c>
      <c r="K1188" s="3">
        <v>59</v>
      </c>
      <c r="L1188" s="4">
        <f>tblSales[[#This Row],[Quantity]]*tblSales[[#This Row],[Actual Price]]</f>
        <v>25075</v>
      </c>
    </row>
    <row r="1189" spans="1:12" x14ac:dyDescent="0.35">
      <c r="A1189" s="3" t="s">
        <v>1739</v>
      </c>
      <c r="B1189" s="4" t="s">
        <v>401</v>
      </c>
      <c r="C1189" s="4" t="s">
        <v>402</v>
      </c>
      <c r="D1189" s="4" t="s">
        <v>14</v>
      </c>
      <c r="E1189" s="7">
        <v>43075</v>
      </c>
      <c r="F1189" s="4" t="s">
        <v>62</v>
      </c>
      <c r="G1189" s="4" t="s">
        <v>1740</v>
      </c>
      <c r="H1189" s="4">
        <v>1000</v>
      </c>
      <c r="I1189" s="4">
        <v>790</v>
      </c>
      <c r="J1189" s="5">
        <v>0.21</v>
      </c>
      <c r="K1189" s="3">
        <v>22</v>
      </c>
      <c r="L1189" s="4">
        <f>tblSales[[#This Row],[Quantity]]*tblSales[[#This Row],[Actual Price]]</f>
        <v>17380</v>
      </c>
    </row>
    <row r="1190" spans="1:12" x14ac:dyDescent="0.35">
      <c r="A1190" s="3" t="s">
        <v>1741</v>
      </c>
      <c r="B1190" s="4" t="s">
        <v>29</v>
      </c>
      <c r="C1190" s="4" t="s">
        <v>30</v>
      </c>
      <c r="D1190" s="4" t="s">
        <v>14</v>
      </c>
      <c r="E1190" s="7">
        <v>42535</v>
      </c>
      <c r="F1190" s="4" t="s">
        <v>62</v>
      </c>
      <c r="G1190" s="4" t="s">
        <v>425</v>
      </c>
      <c r="H1190" s="4">
        <v>1000</v>
      </c>
      <c r="I1190" s="4">
        <v>980</v>
      </c>
      <c r="J1190" s="5">
        <v>0.02</v>
      </c>
      <c r="K1190" s="3">
        <v>64</v>
      </c>
      <c r="L1190" s="4">
        <f>tblSales[[#This Row],[Quantity]]*tblSales[[#This Row],[Actual Price]]</f>
        <v>62720</v>
      </c>
    </row>
    <row r="1191" spans="1:12" x14ac:dyDescent="0.35">
      <c r="A1191" s="3" t="s">
        <v>1742</v>
      </c>
      <c r="B1191" s="4" t="s">
        <v>82</v>
      </c>
      <c r="C1191" s="4" t="s">
        <v>83</v>
      </c>
      <c r="D1191" s="4" t="s">
        <v>14</v>
      </c>
      <c r="E1191" s="7">
        <v>42102</v>
      </c>
      <c r="F1191" s="4" t="s">
        <v>47</v>
      </c>
      <c r="G1191" s="4" t="s">
        <v>862</v>
      </c>
      <c r="H1191" s="4">
        <v>500</v>
      </c>
      <c r="I1191" s="4">
        <v>345</v>
      </c>
      <c r="J1191" s="5">
        <v>0.31</v>
      </c>
      <c r="K1191" s="3">
        <v>11</v>
      </c>
      <c r="L1191" s="4">
        <f>tblSales[[#This Row],[Quantity]]*tblSales[[#This Row],[Actual Price]]</f>
        <v>3795</v>
      </c>
    </row>
    <row r="1192" spans="1:12" x14ac:dyDescent="0.35">
      <c r="A1192" s="3" t="s">
        <v>1743</v>
      </c>
      <c r="B1192" s="4" t="s">
        <v>29</v>
      </c>
      <c r="C1192" s="4" t="s">
        <v>30</v>
      </c>
      <c r="D1192" s="4" t="s">
        <v>14</v>
      </c>
      <c r="E1192" s="7">
        <v>42668</v>
      </c>
      <c r="F1192" s="4" t="s">
        <v>123</v>
      </c>
      <c r="G1192" s="4" t="s">
        <v>1744</v>
      </c>
      <c r="H1192" s="4">
        <v>50</v>
      </c>
      <c r="I1192" s="4">
        <v>44</v>
      </c>
      <c r="J1192" s="5">
        <v>0.12</v>
      </c>
      <c r="K1192" s="3">
        <v>31</v>
      </c>
      <c r="L1192" s="4">
        <f>tblSales[[#This Row],[Quantity]]*tblSales[[#This Row],[Actual Price]]</f>
        <v>1364</v>
      </c>
    </row>
    <row r="1193" spans="1:12" x14ac:dyDescent="0.35">
      <c r="A1193" s="3" t="s">
        <v>1745</v>
      </c>
      <c r="B1193" s="4" t="s">
        <v>225</v>
      </c>
      <c r="C1193" s="4" t="s">
        <v>51</v>
      </c>
      <c r="D1193" s="4" t="s">
        <v>25</v>
      </c>
      <c r="E1193" s="7">
        <v>43130</v>
      </c>
      <c r="F1193" s="4" t="s">
        <v>123</v>
      </c>
      <c r="G1193" s="4" t="s">
        <v>414</v>
      </c>
      <c r="H1193" s="4">
        <v>50</v>
      </c>
      <c r="I1193" s="4">
        <v>43</v>
      </c>
      <c r="J1193" s="5">
        <v>0.14000000000000001</v>
      </c>
      <c r="K1193" s="3">
        <v>62</v>
      </c>
      <c r="L1193" s="4">
        <f>tblSales[[#This Row],[Quantity]]*tblSales[[#This Row],[Actual Price]]</f>
        <v>2666</v>
      </c>
    </row>
    <row r="1194" spans="1:12" x14ac:dyDescent="0.35">
      <c r="A1194" s="3" t="s">
        <v>1746</v>
      </c>
      <c r="B1194" s="4" t="s">
        <v>271</v>
      </c>
      <c r="C1194" s="4" t="s">
        <v>272</v>
      </c>
      <c r="D1194" s="4" t="s">
        <v>36</v>
      </c>
      <c r="E1194" s="7">
        <v>43201</v>
      </c>
      <c r="F1194" s="4" t="s">
        <v>42</v>
      </c>
      <c r="G1194" s="4" t="s">
        <v>716</v>
      </c>
      <c r="H1194" s="4">
        <v>30</v>
      </c>
      <c r="I1194" s="4">
        <v>29</v>
      </c>
      <c r="J1194" s="5">
        <v>3.3300000000000003E-2</v>
      </c>
      <c r="K1194" s="3">
        <v>9</v>
      </c>
      <c r="L1194" s="4">
        <f>tblSales[[#This Row],[Quantity]]*tblSales[[#This Row],[Actual Price]]</f>
        <v>261</v>
      </c>
    </row>
    <row r="1195" spans="1:12" x14ac:dyDescent="0.35">
      <c r="A1195" s="3" t="s">
        <v>1747</v>
      </c>
      <c r="B1195" s="4" t="s">
        <v>271</v>
      </c>
      <c r="C1195" s="4" t="s">
        <v>272</v>
      </c>
      <c r="D1195" s="4" t="s">
        <v>36</v>
      </c>
      <c r="E1195" s="7">
        <v>42916</v>
      </c>
      <c r="F1195" s="4" t="s">
        <v>42</v>
      </c>
      <c r="G1195" s="4" t="s">
        <v>567</v>
      </c>
      <c r="H1195" s="4">
        <v>30</v>
      </c>
      <c r="I1195" s="4">
        <v>29</v>
      </c>
      <c r="J1195" s="5">
        <v>3.3300000000000003E-2</v>
      </c>
      <c r="K1195" s="3">
        <v>15</v>
      </c>
      <c r="L1195" s="4">
        <f>tblSales[[#This Row],[Quantity]]*tblSales[[#This Row],[Actual Price]]</f>
        <v>435</v>
      </c>
    </row>
    <row r="1196" spans="1:12" x14ac:dyDescent="0.35">
      <c r="A1196" s="3" t="s">
        <v>1748</v>
      </c>
      <c r="B1196" s="4" t="s">
        <v>290</v>
      </c>
      <c r="C1196" s="4" t="s">
        <v>109</v>
      </c>
      <c r="D1196" s="4" t="s">
        <v>20</v>
      </c>
      <c r="E1196" s="7">
        <v>42620</v>
      </c>
      <c r="F1196" s="4" t="s">
        <v>26</v>
      </c>
      <c r="G1196" s="4" t="s">
        <v>291</v>
      </c>
      <c r="H1196" s="4">
        <v>700</v>
      </c>
      <c r="I1196" s="4">
        <v>700</v>
      </c>
      <c r="J1196" s="5">
        <v>0</v>
      </c>
      <c r="K1196" s="3">
        <v>6</v>
      </c>
      <c r="L1196" s="4">
        <f>tblSales[[#This Row],[Quantity]]*tblSales[[#This Row],[Actual Price]]</f>
        <v>4200</v>
      </c>
    </row>
    <row r="1197" spans="1:12" x14ac:dyDescent="0.35">
      <c r="A1197" s="3" t="s">
        <v>1749</v>
      </c>
      <c r="B1197" s="4" t="s">
        <v>54</v>
      </c>
      <c r="C1197" s="4" t="s">
        <v>55</v>
      </c>
      <c r="D1197" s="4" t="s">
        <v>14</v>
      </c>
      <c r="E1197" s="7">
        <v>42044</v>
      </c>
      <c r="F1197" s="4" t="s">
        <v>116</v>
      </c>
      <c r="G1197" s="4" t="s">
        <v>823</v>
      </c>
      <c r="H1197" s="4">
        <v>250</v>
      </c>
      <c r="I1197" s="4">
        <v>238</v>
      </c>
      <c r="J1197" s="5">
        <v>4.8000000000000001E-2</v>
      </c>
      <c r="K1197" s="3">
        <v>47</v>
      </c>
      <c r="L1197" s="4">
        <f>tblSales[[#This Row],[Quantity]]*tblSales[[#This Row],[Actual Price]]</f>
        <v>11186</v>
      </c>
    </row>
    <row r="1198" spans="1:12" x14ac:dyDescent="0.35">
      <c r="A1198" s="3" t="s">
        <v>1750</v>
      </c>
      <c r="B1198" s="4" t="s">
        <v>60</v>
      </c>
      <c r="C1198" s="4" t="s">
        <v>61</v>
      </c>
      <c r="D1198" s="4" t="s">
        <v>14</v>
      </c>
      <c r="E1198" s="7">
        <v>42754</v>
      </c>
      <c r="F1198" s="4" t="s">
        <v>47</v>
      </c>
      <c r="G1198" s="4" t="s">
        <v>1751</v>
      </c>
      <c r="H1198" s="4">
        <v>500</v>
      </c>
      <c r="I1198" s="4">
        <v>485</v>
      </c>
      <c r="J1198" s="5">
        <v>0.03</v>
      </c>
      <c r="K1198" s="3">
        <v>40</v>
      </c>
      <c r="L1198" s="4">
        <f>tblSales[[#This Row],[Quantity]]*tblSales[[#This Row],[Actual Price]]</f>
        <v>19400</v>
      </c>
    </row>
    <row r="1199" spans="1:12" x14ac:dyDescent="0.35">
      <c r="A1199" s="3" t="s">
        <v>1752</v>
      </c>
      <c r="B1199" s="4" t="s">
        <v>158</v>
      </c>
      <c r="C1199" s="4" t="s">
        <v>109</v>
      </c>
      <c r="D1199" s="4" t="s">
        <v>20</v>
      </c>
      <c r="E1199" s="7">
        <v>41785</v>
      </c>
      <c r="F1199" s="4" t="s">
        <v>56</v>
      </c>
      <c r="G1199" s="4" t="s">
        <v>465</v>
      </c>
      <c r="H1199" s="4">
        <v>800</v>
      </c>
      <c r="I1199" s="4">
        <v>456</v>
      </c>
      <c r="J1199" s="5">
        <v>0.43</v>
      </c>
      <c r="K1199" s="3">
        <v>34</v>
      </c>
      <c r="L1199" s="4">
        <f>tblSales[[#This Row],[Quantity]]*tblSales[[#This Row],[Actual Price]]</f>
        <v>15504</v>
      </c>
    </row>
    <row r="1200" spans="1:12" x14ac:dyDescent="0.35">
      <c r="A1200" s="3" t="s">
        <v>1753</v>
      </c>
      <c r="B1200" s="4" t="s">
        <v>108</v>
      </c>
      <c r="C1200" s="4" t="s">
        <v>109</v>
      </c>
      <c r="D1200" s="4" t="s">
        <v>20</v>
      </c>
      <c r="E1200" s="7">
        <v>42957</v>
      </c>
      <c r="F1200" s="4" t="s">
        <v>105</v>
      </c>
      <c r="G1200" s="4" t="s">
        <v>110</v>
      </c>
      <c r="H1200" s="4">
        <v>70</v>
      </c>
      <c r="I1200" s="4">
        <v>66</v>
      </c>
      <c r="J1200" s="5">
        <v>5.7099999999999998E-2</v>
      </c>
      <c r="K1200" s="3">
        <v>85</v>
      </c>
      <c r="L1200" s="4">
        <f>tblSales[[#This Row],[Quantity]]*tblSales[[#This Row],[Actual Price]]</f>
        <v>5610</v>
      </c>
    </row>
    <row r="1201" spans="1:12" x14ac:dyDescent="0.35">
      <c r="A1201" s="3" t="s">
        <v>1754</v>
      </c>
      <c r="B1201" s="4" t="s">
        <v>54</v>
      </c>
      <c r="C1201" s="4" t="s">
        <v>55</v>
      </c>
      <c r="D1201" s="4" t="s">
        <v>14</v>
      </c>
      <c r="E1201" s="7">
        <v>41831</v>
      </c>
      <c r="F1201" s="4" t="s">
        <v>42</v>
      </c>
      <c r="G1201" s="4" t="s">
        <v>648</v>
      </c>
      <c r="H1201" s="4">
        <v>30</v>
      </c>
      <c r="I1201" s="4">
        <v>30</v>
      </c>
      <c r="J1201" s="5">
        <v>0</v>
      </c>
      <c r="K1201" s="3">
        <v>6</v>
      </c>
      <c r="L1201" s="4">
        <f>tblSales[[#This Row],[Quantity]]*tblSales[[#This Row],[Actual Price]]</f>
        <v>180</v>
      </c>
    </row>
    <row r="1202" spans="1:12" x14ac:dyDescent="0.35">
      <c r="A1202" s="3" t="s">
        <v>1755</v>
      </c>
      <c r="B1202" s="4" t="s">
        <v>119</v>
      </c>
      <c r="C1202" s="4" t="s">
        <v>120</v>
      </c>
      <c r="D1202" s="4" t="s">
        <v>36</v>
      </c>
      <c r="E1202" s="7">
        <v>42686</v>
      </c>
      <c r="F1202" s="4" t="s">
        <v>42</v>
      </c>
      <c r="G1202" s="4" t="s">
        <v>121</v>
      </c>
      <c r="H1202" s="4">
        <v>30</v>
      </c>
      <c r="I1202" s="4">
        <v>29</v>
      </c>
      <c r="J1202" s="5">
        <v>3.3300000000000003E-2</v>
      </c>
      <c r="K1202" s="3">
        <v>61</v>
      </c>
      <c r="L1202" s="4">
        <f>tblSales[[#This Row],[Quantity]]*tblSales[[#This Row],[Actual Price]]</f>
        <v>1769</v>
      </c>
    </row>
    <row r="1203" spans="1:12" x14ac:dyDescent="0.35">
      <c r="A1203" s="3" t="s">
        <v>1756</v>
      </c>
      <c r="B1203" s="4" t="s">
        <v>147</v>
      </c>
      <c r="C1203" s="4" t="s">
        <v>148</v>
      </c>
      <c r="D1203" s="4" t="s">
        <v>14</v>
      </c>
      <c r="E1203" s="7">
        <v>42187</v>
      </c>
      <c r="F1203" s="4" t="s">
        <v>105</v>
      </c>
      <c r="G1203" s="4" t="s">
        <v>1648</v>
      </c>
      <c r="H1203" s="4">
        <v>70</v>
      </c>
      <c r="I1203" s="4">
        <v>62</v>
      </c>
      <c r="J1203" s="5">
        <v>0.1143</v>
      </c>
      <c r="K1203" s="3">
        <v>62</v>
      </c>
      <c r="L1203" s="4">
        <f>tblSales[[#This Row],[Quantity]]*tblSales[[#This Row],[Actual Price]]</f>
        <v>3844</v>
      </c>
    </row>
    <row r="1204" spans="1:12" x14ac:dyDescent="0.35">
      <c r="A1204" s="3" t="s">
        <v>1757</v>
      </c>
      <c r="B1204" s="4" t="s">
        <v>132</v>
      </c>
      <c r="C1204" s="4" t="s">
        <v>109</v>
      </c>
      <c r="D1204" s="4" t="s">
        <v>20</v>
      </c>
      <c r="E1204" s="7">
        <v>42188</v>
      </c>
      <c r="F1204" s="4" t="s">
        <v>73</v>
      </c>
      <c r="G1204" s="4" t="s">
        <v>383</v>
      </c>
      <c r="H1204" s="4">
        <v>500</v>
      </c>
      <c r="I1204" s="4">
        <v>500</v>
      </c>
      <c r="J1204" s="5">
        <v>0</v>
      </c>
      <c r="K1204" s="3">
        <v>39</v>
      </c>
      <c r="L1204" s="4">
        <f>tblSales[[#This Row],[Quantity]]*tblSales[[#This Row],[Actual Price]]</f>
        <v>19500</v>
      </c>
    </row>
    <row r="1205" spans="1:12" x14ac:dyDescent="0.35">
      <c r="A1205" s="3" t="s">
        <v>1758</v>
      </c>
      <c r="B1205" s="4" t="s">
        <v>18</v>
      </c>
      <c r="C1205" s="4" t="s">
        <v>19</v>
      </c>
      <c r="D1205" s="4" t="s">
        <v>20</v>
      </c>
      <c r="E1205" s="7">
        <v>42552</v>
      </c>
      <c r="F1205" s="4" t="s">
        <v>123</v>
      </c>
      <c r="G1205" s="4" t="s">
        <v>544</v>
      </c>
      <c r="H1205" s="4">
        <v>50</v>
      </c>
      <c r="I1205" s="4">
        <v>45</v>
      </c>
      <c r="J1205" s="5">
        <v>0.1</v>
      </c>
      <c r="K1205" s="3">
        <v>23</v>
      </c>
      <c r="L1205" s="4">
        <f>tblSales[[#This Row],[Quantity]]*tblSales[[#This Row],[Actual Price]]</f>
        <v>1035</v>
      </c>
    </row>
    <row r="1206" spans="1:12" x14ac:dyDescent="0.35">
      <c r="A1206" s="3" t="s">
        <v>1759</v>
      </c>
      <c r="B1206" s="4" t="s">
        <v>242</v>
      </c>
      <c r="C1206" s="4" t="s">
        <v>243</v>
      </c>
      <c r="D1206" s="4" t="s">
        <v>14</v>
      </c>
      <c r="E1206" s="7">
        <v>43175</v>
      </c>
      <c r="F1206" s="4" t="s">
        <v>26</v>
      </c>
      <c r="G1206" s="4" t="s">
        <v>780</v>
      </c>
      <c r="H1206" s="4">
        <v>700</v>
      </c>
      <c r="I1206" s="4">
        <v>623</v>
      </c>
      <c r="J1206" s="5">
        <v>0.11</v>
      </c>
      <c r="K1206" s="3">
        <v>100</v>
      </c>
      <c r="L1206" s="4">
        <f>tblSales[[#This Row],[Quantity]]*tblSales[[#This Row],[Actual Price]]</f>
        <v>62300</v>
      </c>
    </row>
    <row r="1207" spans="1:12" x14ac:dyDescent="0.35">
      <c r="A1207" s="3" t="s">
        <v>1760</v>
      </c>
      <c r="B1207" s="4" t="s">
        <v>71</v>
      </c>
      <c r="C1207" s="4" t="s">
        <v>72</v>
      </c>
      <c r="D1207" s="4" t="s">
        <v>36</v>
      </c>
      <c r="E1207" s="7">
        <v>42968</v>
      </c>
      <c r="F1207" s="4" t="s">
        <v>73</v>
      </c>
      <c r="G1207" s="4" t="s">
        <v>1415</v>
      </c>
      <c r="H1207" s="4">
        <v>500</v>
      </c>
      <c r="I1207" s="4">
        <v>490</v>
      </c>
      <c r="J1207" s="5">
        <v>0.02</v>
      </c>
      <c r="K1207" s="3">
        <v>44</v>
      </c>
      <c r="L1207" s="4">
        <f>tblSales[[#This Row],[Quantity]]*tblSales[[#This Row],[Actual Price]]</f>
        <v>21560</v>
      </c>
    </row>
    <row r="1208" spans="1:12" x14ac:dyDescent="0.35">
      <c r="A1208" s="3" t="s">
        <v>1761</v>
      </c>
      <c r="B1208" s="4" t="s">
        <v>96</v>
      </c>
      <c r="C1208" s="4" t="s">
        <v>97</v>
      </c>
      <c r="D1208" s="4" t="s">
        <v>14</v>
      </c>
      <c r="E1208" s="7">
        <v>42900</v>
      </c>
      <c r="F1208" s="4" t="s">
        <v>123</v>
      </c>
      <c r="G1208" s="4" t="s">
        <v>98</v>
      </c>
      <c r="H1208" s="4">
        <v>50</v>
      </c>
      <c r="I1208" s="4">
        <v>22</v>
      </c>
      <c r="J1208" s="5">
        <v>0.56000000000000005</v>
      </c>
      <c r="K1208" s="3">
        <v>85</v>
      </c>
      <c r="L1208" s="4">
        <f>tblSales[[#This Row],[Quantity]]*tblSales[[#This Row],[Actual Price]]</f>
        <v>1870</v>
      </c>
    </row>
    <row r="1209" spans="1:12" x14ac:dyDescent="0.35">
      <c r="A1209" s="3" t="s">
        <v>1762</v>
      </c>
      <c r="B1209" s="4" t="s">
        <v>206</v>
      </c>
      <c r="C1209" s="4" t="s">
        <v>207</v>
      </c>
      <c r="D1209" s="4" t="s">
        <v>25</v>
      </c>
      <c r="E1209" s="7">
        <v>43259</v>
      </c>
      <c r="F1209" s="4" t="s">
        <v>31</v>
      </c>
      <c r="G1209" s="4" t="s">
        <v>661</v>
      </c>
      <c r="H1209" s="4">
        <v>150</v>
      </c>
      <c r="I1209" s="4">
        <v>129</v>
      </c>
      <c r="J1209" s="5">
        <v>0.14000000000000001</v>
      </c>
      <c r="K1209" s="3">
        <v>28</v>
      </c>
      <c r="L1209" s="4">
        <f>tblSales[[#This Row],[Quantity]]*tblSales[[#This Row],[Actual Price]]</f>
        <v>3612</v>
      </c>
    </row>
    <row r="1210" spans="1:12" x14ac:dyDescent="0.35">
      <c r="A1210" s="3" t="s">
        <v>1763</v>
      </c>
      <c r="B1210" s="4" t="s">
        <v>115</v>
      </c>
      <c r="C1210" s="4" t="s">
        <v>55</v>
      </c>
      <c r="D1210" s="4" t="s">
        <v>14</v>
      </c>
      <c r="E1210" s="7">
        <v>41856</v>
      </c>
      <c r="F1210" s="4" t="s">
        <v>15</v>
      </c>
      <c r="G1210" s="4" t="s">
        <v>368</v>
      </c>
      <c r="H1210" s="4">
        <v>80</v>
      </c>
      <c r="I1210" s="4">
        <v>78</v>
      </c>
      <c r="J1210" s="5">
        <v>2.5000000000000001E-2</v>
      </c>
      <c r="K1210" s="3">
        <v>76</v>
      </c>
      <c r="L1210" s="4">
        <f>tblSales[[#This Row],[Quantity]]*tblSales[[#This Row],[Actual Price]]</f>
        <v>5928</v>
      </c>
    </row>
    <row r="1211" spans="1:12" x14ac:dyDescent="0.35">
      <c r="A1211" s="3" t="s">
        <v>1764</v>
      </c>
      <c r="B1211" s="4" t="s">
        <v>128</v>
      </c>
      <c r="C1211" s="4" t="s">
        <v>129</v>
      </c>
      <c r="D1211" s="4" t="s">
        <v>14</v>
      </c>
      <c r="E1211" s="7">
        <v>41787</v>
      </c>
      <c r="F1211" s="4" t="s">
        <v>116</v>
      </c>
      <c r="G1211" s="4" t="s">
        <v>130</v>
      </c>
      <c r="H1211" s="4">
        <v>250</v>
      </c>
      <c r="I1211" s="4">
        <v>208</v>
      </c>
      <c r="J1211" s="5">
        <v>0.16800000000000001</v>
      </c>
      <c r="K1211" s="3">
        <v>98</v>
      </c>
      <c r="L1211" s="4">
        <f>tblSales[[#This Row],[Quantity]]*tblSales[[#This Row],[Actual Price]]</f>
        <v>20384</v>
      </c>
    </row>
    <row r="1212" spans="1:12" x14ac:dyDescent="0.35">
      <c r="A1212" s="3" t="s">
        <v>1765</v>
      </c>
      <c r="B1212" s="4" t="s">
        <v>100</v>
      </c>
      <c r="C1212" s="4" t="s">
        <v>101</v>
      </c>
      <c r="D1212" s="4" t="s">
        <v>14</v>
      </c>
      <c r="E1212" s="7">
        <v>42147</v>
      </c>
      <c r="F1212" s="4" t="s">
        <v>123</v>
      </c>
      <c r="G1212" s="4" t="s">
        <v>753</v>
      </c>
      <c r="H1212" s="4">
        <v>50</v>
      </c>
      <c r="I1212" s="4">
        <v>37</v>
      </c>
      <c r="J1212" s="5">
        <v>0.26</v>
      </c>
      <c r="K1212" s="3">
        <v>27</v>
      </c>
      <c r="L1212" s="4">
        <f>tblSales[[#This Row],[Quantity]]*tblSales[[#This Row],[Actual Price]]</f>
        <v>999</v>
      </c>
    </row>
    <row r="1213" spans="1:12" x14ac:dyDescent="0.35">
      <c r="A1213" s="3" t="s">
        <v>1766</v>
      </c>
      <c r="B1213" s="4" t="s">
        <v>435</v>
      </c>
      <c r="C1213" s="4" t="s">
        <v>436</v>
      </c>
      <c r="D1213" s="4" t="s">
        <v>25</v>
      </c>
      <c r="E1213" s="7">
        <v>42005</v>
      </c>
      <c r="F1213" s="4" t="s">
        <v>31</v>
      </c>
      <c r="G1213" s="4" t="s">
        <v>551</v>
      </c>
      <c r="H1213" s="4">
        <v>150</v>
      </c>
      <c r="I1213" s="4">
        <v>143</v>
      </c>
      <c r="J1213" s="5">
        <v>4.6699999999999998E-2</v>
      </c>
      <c r="K1213" s="3">
        <v>74</v>
      </c>
      <c r="L1213" s="4">
        <f>tblSales[[#This Row],[Quantity]]*tblSales[[#This Row],[Actual Price]]</f>
        <v>10582</v>
      </c>
    </row>
    <row r="1214" spans="1:12" x14ac:dyDescent="0.35">
      <c r="A1214" s="3" t="s">
        <v>1767</v>
      </c>
      <c r="B1214" s="4" t="s">
        <v>18</v>
      </c>
      <c r="C1214" s="4" t="s">
        <v>19</v>
      </c>
      <c r="D1214" s="4" t="s">
        <v>20</v>
      </c>
      <c r="E1214" s="7">
        <v>42869</v>
      </c>
      <c r="F1214" s="4" t="s">
        <v>123</v>
      </c>
      <c r="G1214" s="4" t="s">
        <v>777</v>
      </c>
      <c r="H1214" s="4">
        <v>50</v>
      </c>
      <c r="I1214" s="4">
        <v>46</v>
      </c>
      <c r="J1214" s="5">
        <v>0.08</v>
      </c>
      <c r="K1214" s="3">
        <v>64</v>
      </c>
      <c r="L1214" s="4">
        <f>tblSales[[#This Row],[Quantity]]*tblSales[[#This Row],[Actual Price]]</f>
        <v>2944</v>
      </c>
    </row>
    <row r="1215" spans="1:12" x14ac:dyDescent="0.35">
      <c r="A1215" s="3" t="s">
        <v>1768</v>
      </c>
      <c r="B1215" s="4" t="s">
        <v>206</v>
      </c>
      <c r="C1215" s="4" t="s">
        <v>207</v>
      </c>
      <c r="D1215" s="4" t="s">
        <v>25</v>
      </c>
      <c r="E1215" s="7">
        <v>42301</v>
      </c>
      <c r="F1215" s="4" t="s">
        <v>42</v>
      </c>
      <c r="G1215" s="4" t="s">
        <v>682</v>
      </c>
      <c r="H1215" s="4">
        <v>30</v>
      </c>
      <c r="I1215" s="4">
        <v>29</v>
      </c>
      <c r="J1215" s="5">
        <v>3.3300000000000003E-2</v>
      </c>
      <c r="K1215" s="3">
        <v>39</v>
      </c>
      <c r="L1215" s="4">
        <f>tblSales[[#This Row],[Quantity]]*tblSales[[#This Row],[Actual Price]]</f>
        <v>1131</v>
      </c>
    </row>
    <row r="1216" spans="1:12" x14ac:dyDescent="0.35">
      <c r="A1216" s="3" t="s">
        <v>1769</v>
      </c>
      <c r="B1216" s="4" t="s">
        <v>271</v>
      </c>
      <c r="C1216" s="4" t="s">
        <v>272</v>
      </c>
      <c r="D1216" s="4" t="s">
        <v>36</v>
      </c>
      <c r="E1216" s="7">
        <v>43342</v>
      </c>
      <c r="F1216" s="4" t="s">
        <v>123</v>
      </c>
      <c r="G1216" s="4" t="s">
        <v>810</v>
      </c>
      <c r="H1216" s="4">
        <v>50</v>
      </c>
      <c r="I1216" s="4">
        <v>44</v>
      </c>
      <c r="J1216" s="5">
        <v>0.12</v>
      </c>
      <c r="K1216" s="3">
        <v>97</v>
      </c>
      <c r="L1216" s="4">
        <f>tblSales[[#This Row],[Quantity]]*tblSales[[#This Row],[Actual Price]]</f>
        <v>4268</v>
      </c>
    </row>
    <row r="1217" spans="1:12" x14ac:dyDescent="0.35">
      <c r="A1217" s="3" t="s">
        <v>1770</v>
      </c>
      <c r="B1217" s="4" t="s">
        <v>86</v>
      </c>
      <c r="C1217" s="4" t="s">
        <v>87</v>
      </c>
      <c r="D1217" s="4" t="s">
        <v>14</v>
      </c>
      <c r="E1217" s="7">
        <v>42990</v>
      </c>
      <c r="F1217" s="4" t="s">
        <v>42</v>
      </c>
      <c r="G1217" s="4" t="s">
        <v>629</v>
      </c>
      <c r="H1217" s="4">
        <v>30</v>
      </c>
      <c r="I1217" s="4">
        <v>29</v>
      </c>
      <c r="J1217" s="5">
        <v>3.3300000000000003E-2</v>
      </c>
      <c r="K1217" s="3">
        <v>90</v>
      </c>
      <c r="L1217" s="4">
        <f>tblSales[[#This Row],[Quantity]]*tblSales[[#This Row],[Actual Price]]</f>
        <v>2610</v>
      </c>
    </row>
    <row r="1218" spans="1:12" x14ac:dyDescent="0.35">
      <c r="A1218" s="3" t="s">
        <v>1771</v>
      </c>
      <c r="B1218" s="4" t="s">
        <v>147</v>
      </c>
      <c r="C1218" s="4" t="s">
        <v>148</v>
      </c>
      <c r="D1218" s="4" t="s">
        <v>14</v>
      </c>
      <c r="E1218" s="7">
        <v>41739</v>
      </c>
      <c r="F1218" s="4" t="s">
        <v>56</v>
      </c>
      <c r="G1218" s="4" t="s">
        <v>359</v>
      </c>
      <c r="H1218" s="4">
        <v>800</v>
      </c>
      <c r="I1218" s="4">
        <v>720</v>
      </c>
      <c r="J1218" s="5">
        <v>0.1</v>
      </c>
      <c r="K1218" s="3">
        <v>16</v>
      </c>
      <c r="L1218" s="4">
        <f>tblSales[[#This Row],[Quantity]]*tblSales[[#This Row],[Actual Price]]</f>
        <v>11520</v>
      </c>
    </row>
    <row r="1219" spans="1:12" x14ac:dyDescent="0.35">
      <c r="A1219" s="3" t="s">
        <v>1772</v>
      </c>
      <c r="B1219" s="4" t="s">
        <v>206</v>
      </c>
      <c r="C1219" s="4" t="s">
        <v>207</v>
      </c>
      <c r="D1219" s="4" t="s">
        <v>25</v>
      </c>
      <c r="E1219" s="7">
        <v>41769</v>
      </c>
      <c r="F1219" s="4" t="s">
        <v>47</v>
      </c>
      <c r="G1219" s="4" t="s">
        <v>1773</v>
      </c>
      <c r="H1219" s="4">
        <v>500</v>
      </c>
      <c r="I1219" s="4">
        <v>430</v>
      </c>
      <c r="J1219" s="5">
        <v>0.14000000000000001</v>
      </c>
      <c r="K1219" s="3">
        <v>73</v>
      </c>
      <c r="L1219" s="4">
        <f>tblSales[[#This Row],[Quantity]]*tblSales[[#This Row],[Actual Price]]</f>
        <v>31390</v>
      </c>
    </row>
    <row r="1220" spans="1:12" x14ac:dyDescent="0.35">
      <c r="A1220" s="3" t="s">
        <v>1774</v>
      </c>
      <c r="B1220" s="4" t="s">
        <v>242</v>
      </c>
      <c r="C1220" s="4" t="s">
        <v>243</v>
      </c>
      <c r="D1220" s="4" t="s">
        <v>14</v>
      </c>
      <c r="E1220" s="7">
        <v>42829</v>
      </c>
      <c r="F1220" s="4" t="s">
        <v>42</v>
      </c>
      <c r="G1220" s="4" t="s">
        <v>244</v>
      </c>
      <c r="H1220" s="4">
        <v>30</v>
      </c>
      <c r="I1220" s="4">
        <v>29</v>
      </c>
      <c r="J1220" s="5">
        <v>3.3300000000000003E-2</v>
      </c>
      <c r="K1220" s="3">
        <v>36</v>
      </c>
      <c r="L1220" s="4">
        <f>tblSales[[#This Row],[Quantity]]*tblSales[[#This Row],[Actual Price]]</f>
        <v>1044</v>
      </c>
    </row>
    <row r="1221" spans="1:12" x14ac:dyDescent="0.35">
      <c r="A1221" s="3" t="s">
        <v>1775</v>
      </c>
      <c r="B1221" s="4" t="s">
        <v>171</v>
      </c>
      <c r="C1221" s="4" t="s">
        <v>172</v>
      </c>
      <c r="D1221" s="4" t="s">
        <v>14</v>
      </c>
      <c r="E1221" s="7">
        <v>41665</v>
      </c>
      <c r="F1221" s="4" t="s">
        <v>105</v>
      </c>
      <c r="G1221" s="4" t="s">
        <v>519</v>
      </c>
      <c r="H1221" s="4">
        <v>70</v>
      </c>
      <c r="I1221" s="4">
        <v>53</v>
      </c>
      <c r="J1221" s="5">
        <v>0.2429</v>
      </c>
      <c r="K1221" s="3">
        <v>91</v>
      </c>
      <c r="L1221" s="4">
        <f>tblSales[[#This Row],[Quantity]]*tblSales[[#This Row],[Actual Price]]</f>
        <v>4823</v>
      </c>
    </row>
    <row r="1222" spans="1:12" x14ac:dyDescent="0.35">
      <c r="A1222" s="3" t="s">
        <v>1776</v>
      </c>
      <c r="B1222" s="4" t="s">
        <v>108</v>
      </c>
      <c r="C1222" s="4" t="s">
        <v>109</v>
      </c>
      <c r="D1222" s="4" t="s">
        <v>20</v>
      </c>
      <c r="E1222" s="7">
        <v>41916</v>
      </c>
      <c r="F1222" s="4" t="s">
        <v>123</v>
      </c>
      <c r="G1222" s="4" t="s">
        <v>947</v>
      </c>
      <c r="H1222" s="4">
        <v>50</v>
      </c>
      <c r="I1222" s="4">
        <v>41</v>
      </c>
      <c r="J1222" s="5">
        <v>0.18</v>
      </c>
      <c r="K1222" s="3">
        <v>20</v>
      </c>
      <c r="L1222" s="4">
        <f>tblSales[[#This Row],[Quantity]]*tblSales[[#This Row],[Actual Price]]</f>
        <v>820</v>
      </c>
    </row>
    <row r="1223" spans="1:12" x14ac:dyDescent="0.35">
      <c r="A1223" s="3" t="s">
        <v>1777</v>
      </c>
      <c r="B1223" s="4" t="s">
        <v>290</v>
      </c>
      <c r="C1223" s="4" t="s">
        <v>109</v>
      </c>
      <c r="D1223" s="4" t="s">
        <v>20</v>
      </c>
      <c r="E1223" s="7">
        <v>42671</v>
      </c>
      <c r="F1223" s="4" t="s">
        <v>56</v>
      </c>
      <c r="G1223" s="4" t="s">
        <v>973</v>
      </c>
      <c r="H1223" s="4">
        <v>800</v>
      </c>
      <c r="I1223" s="4">
        <v>600</v>
      </c>
      <c r="J1223" s="5">
        <v>0.25</v>
      </c>
      <c r="K1223" s="3">
        <v>9</v>
      </c>
      <c r="L1223" s="4">
        <f>tblSales[[#This Row],[Quantity]]*tblSales[[#This Row],[Actual Price]]</f>
        <v>5400</v>
      </c>
    </row>
    <row r="1224" spans="1:12" x14ac:dyDescent="0.35">
      <c r="A1224" s="3" t="s">
        <v>1778</v>
      </c>
      <c r="B1224" s="4" t="s">
        <v>60</v>
      </c>
      <c r="C1224" s="4" t="s">
        <v>61</v>
      </c>
      <c r="D1224" s="4" t="s">
        <v>14</v>
      </c>
      <c r="E1224" s="7">
        <v>42622</v>
      </c>
      <c r="F1224" s="4" t="s">
        <v>31</v>
      </c>
      <c r="G1224" s="4" t="s">
        <v>1779</v>
      </c>
      <c r="H1224" s="4">
        <v>150</v>
      </c>
      <c r="I1224" s="4">
        <v>143</v>
      </c>
      <c r="J1224" s="5">
        <v>4.6699999999999998E-2</v>
      </c>
      <c r="K1224" s="3">
        <v>87</v>
      </c>
      <c r="L1224" s="4">
        <f>tblSales[[#This Row],[Quantity]]*tblSales[[#This Row],[Actual Price]]</f>
        <v>12441</v>
      </c>
    </row>
    <row r="1225" spans="1:12" x14ac:dyDescent="0.35">
      <c r="A1225" s="3" t="s">
        <v>1780</v>
      </c>
      <c r="B1225" s="4" t="s">
        <v>135</v>
      </c>
      <c r="C1225" s="4" t="s">
        <v>93</v>
      </c>
      <c r="D1225" s="4" t="s">
        <v>36</v>
      </c>
      <c r="E1225" s="7">
        <v>42941</v>
      </c>
      <c r="F1225" s="4" t="s">
        <v>47</v>
      </c>
      <c r="G1225" s="4" t="s">
        <v>850</v>
      </c>
      <c r="H1225" s="4">
        <v>500</v>
      </c>
      <c r="I1225" s="4">
        <v>480</v>
      </c>
      <c r="J1225" s="5">
        <v>0.04</v>
      </c>
      <c r="K1225" s="3">
        <v>46</v>
      </c>
      <c r="L1225" s="4">
        <f>tblSales[[#This Row],[Quantity]]*tblSales[[#This Row],[Actual Price]]</f>
        <v>22080</v>
      </c>
    </row>
    <row r="1226" spans="1:12" x14ac:dyDescent="0.35">
      <c r="A1226" s="3" t="s">
        <v>1781</v>
      </c>
      <c r="B1226" s="4" t="s">
        <v>115</v>
      </c>
      <c r="C1226" s="4" t="s">
        <v>55</v>
      </c>
      <c r="D1226" s="4" t="s">
        <v>14</v>
      </c>
      <c r="E1226" s="7">
        <v>43234</v>
      </c>
      <c r="F1226" s="4" t="s">
        <v>73</v>
      </c>
      <c r="G1226" s="4" t="s">
        <v>1069</v>
      </c>
      <c r="H1226" s="4">
        <v>500</v>
      </c>
      <c r="I1226" s="4">
        <v>495</v>
      </c>
      <c r="J1226" s="5">
        <v>0.01</v>
      </c>
      <c r="K1226" s="3">
        <v>49</v>
      </c>
      <c r="L1226" s="4">
        <f>tblSales[[#This Row],[Quantity]]*tblSales[[#This Row],[Actual Price]]</f>
        <v>24255</v>
      </c>
    </row>
    <row r="1227" spans="1:12" x14ac:dyDescent="0.35">
      <c r="A1227" s="3" t="s">
        <v>1782</v>
      </c>
      <c r="B1227" s="4" t="s">
        <v>325</v>
      </c>
      <c r="C1227" s="4" t="s">
        <v>326</v>
      </c>
      <c r="D1227" s="4" t="s">
        <v>14</v>
      </c>
      <c r="E1227" s="7">
        <v>41817</v>
      </c>
      <c r="F1227" s="4" t="s">
        <v>31</v>
      </c>
      <c r="G1227" s="4" t="s">
        <v>1248</v>
      </c>
      <c r="H1227" s="4">
        <v>150</v>
      </c>
      <c r="I1227" s="4">
        <v>147</v>
      </c>
      <c r="J1227" s="5">
        <v>0.02</v>
      </c>
      <c r="K1227" s="3">
        <v>64</v>
      </c>
      <c r="L1227" s="4">
        <f>tblSales[[#This Row],[Quantity]]*tblSales[[#This Row],[Actual Price]]</f>
        <v>9408</v>
      </c>
    </row>
    <row r="1228" spans="1:12" x14ac:dyDescent="0.35">
      <c r="A1228" s="3" t="s">
        <v>1783</v>
      </c>
      <c r="B1228" s="4" t="s">
        <v>128</v>
      </c>
      <c r="C1228" s="4" t="s">
        <v>129</v>
      </c>
      <c r="D1228" s="4" t="s">
        <v>14</v>
      </c>
      <c r="E1228" s="7">
        <v>42715</v>
      </c>
      <c r="F1228" s="4" t="s">
        <v>123</v>
      </c>
      <c r="G1228" s="4" t="s">
        <v>921</v>
      </c>
      <c r="H1228" s="4">
        <v>50</v>
      </c>
      <c r="I1228" s="4">
        <v>49</v>
      </c>
      <c r="J1228" s="5">
        <v>0.02</v>
      </c>
      <c r="K1228" s="3">
        <v>78</v>
      </c>
      <c r="L1228" s="4">
        <f>tblSales[[#This Row],[Quantity]]*tblSales[[#This Row],[Actual Price]]</f>
        <v>3822</v>
      </c>
    </row>
    <row r="1229" spans="1:12" x14ac:dyDescent="0.35">
      <c r="A1229" s="3" t="s">
        <v>1784</v>
      </c>
      <c r="B1229" s="4" t="s">
        <v>171</v>
      </c>
      <c r="C1229" s="4" t="s">
        <v>172</v>
      </c>
      <c r="D1229" s="4" t="s">
        <v>14</v>
      </c>
      <c r="E1229" s="7">
        <v>42656</v>
      </c>
      <c r="F1229" s="4" t="s">
        <v>15</v>
      </c>
      <c r="G1229" s="4" t="s">
        <v>275</v>
      </c>
      <c r="H1229" s="4">
        <v>80</v>
      </c>
      <c r="I1229" s="4">
        <v>69</v>
      </c>
      <c r="J1229" s="5">
        <v>0.13750000000000001</v>
      </c>
      <c r="K1229" s="3">
        <v>17</v>
      </c>
      <c r="L1229" s="4">
        <f>tblSales[[#This Row],[Quantity]]*tblSales[[#This Row],[Actual Price]]</f>
        <v>1173</v>
      </c>
    </row>
    <row r="1230" spans="1:12" x14ac:dyDescent="0.35">
      <c r="A1230" s="3" t="s">
        <v>1785</v>
      </c>
      <c r="B1230" s="4" t="s">
        <v>86</v>
      </c>
      <c r="C1230" s="4" t="s">
        <v>87</v>
      </c>
      <c r="D1230" s="4" t="s">
        <v>14</v>
      </c>
      <c r="E1230" s="7">
        <v>42428</v>
      </c>
      <c r="F1230" s="4" t="s">
        <v>42</v>
      </c>
      <c r="G1230" s="4" t="s">
        <v>1250</v>
      </c>
      <c r="H1230" s="4">
        <v>30</v>
      </c>
      <c r="I1230" s="4">
        <v>26</v>
      </c>
      <c r="J1230" s="5">
        <v>0.1333</v>
      </c>
      <c r="K1230" s="3">
        <v>2</v>
      </c>
      <c r="L1230" s="4">
        <f>tblSales[[#This Row],[Quantity]]*tblSales[[#This Row],[Actual Price]]</f>
        <v>52</v>
      </c>
    </row>
    <row r="1231" spans="1:12" x14ac:dyDescent="0.35">
      <c r="A1231" s="3" t="s">
        <v>1786</v>
      </c>
      <c r="B1231" s="4" t="s">
        <v>147</v>
      </c>
      <c r="C1231" s="4" t="s">
        <v>148</v>
      </c>
      <c r="D1231" s="4" t="s">
        <v>14</v>
      </c>
      <c r="E1231" s="7">
        <v>42393</v>
      </c>
      <c r="F1231" s="4" t="s">
        <v>56</v>
      </c>
      <c r="G1231" s="4" t="s">
        <v>1007</v>
      </c>
      <c r="H1231" s="4">
        <v>800</v>
      </c>
      <c r="I1231" s="4">
        <v>592</v>
      </c>
      <c r="J1231" s="5">
        <v>0.26</v>
      </c>
      <c r="K1231" s="3">
        <v>39</v>
      </c>
      <c r="L1231" s="4">
        <f>tblSales[[#This Row],[Quantity]]*tblSales[[#This Row],[Actual Price]]</f>
        <v>23088</v>
      </c>
    </row>
    <row r="1232" spans="1:12" x14ac:dyDescent="0.35">
      <c r="A1232" s="3" t="s">
        <v>1787</v>
      </c>
      <c r="B1232" s="4" t="s">
        <v>40</v>
      </c>
      <c r="C1232" s="4" t="s">
        <v>41</v>
      </c>
      <c r="D1232" s="4" t="s">
        <v>36</v>
      </c>
      <c r="E1232" s="7">
        <v>41760</v>
      </c>
      <c r="F1232" s="4" t="s">
        <v>26</v>
      </c>
      <c r="G1232" s="4" t="s">
        <v>1632</v>
      </c>
      <c r="H1232" s="4">
        <v>700</v>
      </c>
      <c r="I1232" s="4">
        <v>560</v>
      </c>
      <c r="J1232" s="5">
        <v>0.2</v>
      </c>
      <c r="K1232" s="3">
        <v>30</v>
      </c>
      <c r="L1232" s="4">
        <f>tblSales[[#This Row],[Quantity]]*tblSales[[#This Row],[Actual Price]]</f>
        <v>16800</v>
      </c>
    </row>
    <row r="1233" spans="1:12" x14ac:dyDescent="0.35">
      <c r="A1233" s="3" t="s">
        <v>1788</v>
      </c>
      <c r="B1233" s="4" t="s">
        <v>206</v>
      </c>
      <c r="C1233" s="4" t="s">
        <v>207</v>
      </c>
      <c r="D1233" s="4" t="s">
        <v>25</v>
      </c>
      <c r="E1233" s="7">
        <v>43368</v>
      </c>
      <c r="F1233" s="4" t="s">
        <v>123</v>
      </c>
      <c r="G1233" s="4" t="s">
        <v>1479</v>
      </c>
      <c r="H1233" s="4">
        <v>50</v>
      </c>
      <c r="I1233" s="4">
        <v>45</v>
      </c>
      <c r="J1233" s="5">
        <v>0.1</v>
      </c>
      <c r="K1233" s="3">
        <v>39</v>
      </c>
      <c r="L1233" s="4">
        <f>tblSales[[#This Row],[Quantity]]*tblSales[[#This Row],[Actual Price]]</f>
        <v>1755</v>
      </c>
    </row>
    <row r="1234" spans="1:12" x14ac:dyDescent="0.35">
      <c r="A1234" s="3" t="s">
        <v>1789</v>
      </c>
      <c r="B1234" s="4" t="s">
        <v>78</v>
      </c>
      <c r="C1234" s="4" t="s">
        <v>79</v>
      </c>
      <c r="D1234" s="4" t="s">
        <v>36</v>
      </c>
      <c r="E1234" s="7">
        <v>42067</v>
      </c>
      <c r="F1234" s="4" t="s">
        <v>105</v>
      </c>
      <c r="G1234" s="4" t="s">
        <v>1790</v>
      </c>
      <c r="H1234" s="4">
        <v>70</v>
      </c>
      <c r="I1234" s="4">
        <v>67</v>
      </c>
      <c r="J1234" s="5">
        <v>4.2900000000000001E-2</v>
      </c>
      <c r="K1234" s="3">
        <v>73</v>
      </c>
      <c r="L1234" s="4">
        <f>tblSales[[#This Row],[Quantity]]*tblSales[[#This Row],[Actual Price]]</f>
        <v>4891</v>
      </c>
    </row>
    <row r="1235" spans="1:12" x14ac:dyDescent="0.35">
      <c r="A1235" s="3" t="s">
        <v>1791</v>
      </c>
      <c r="B1235" s="4" t="s">
        <v>135</v>
      </c>
      <c r="C1235" s="4" t="s">
        <v>93</v>
      </c>
      <c r="D1235" s="4" t="s">
        <v>36</v>
      </c>
      <c r="E1235" s="7">
        <v>42620</v>
      </c>
      <c r="F1235" s="4" t="s">
        <v>116</v>
      </c>
      <c r="G1235" s="4" t="s">
        <v>1136</v>
      </c>
      <c r="H1235" s="4">
        <v>250</v>
      </c>
      <c r="I1235" s="4">
        <v>240</v>
      </c>
      <c r="J1235" s="5">
        <v>0.04</v>
      </c>
      <c r="K1235" s="3">
        <v>48</v>
      </c>
      <c r="L1235" s="4">
        <f>tblSales[[#This Row],[Quantity]]*tblSales[[#This Row],[Actual Price]]</f>
        <v>11520</v>
      </c>
    </row>
    <row r="1236" spans="1:12" x14ac:dyDescent="0.35">
      <c r="A1236" s="3" t="s">
        <v>1792</v>
      </c>
      <c r="B1236" s="4" t="s">
        <v>45</v>
      </c>
      <c r="C1236" s="4" t="s">
        <v>46</v>
      </c>
      <c r="D1236" s="4" t="s">
        <v>25</v>
      </c>
      <c r="E1236" s="7">
        <v>42642</v>
      </c>
      <c r="F1236" s="4" t="s">
        <v>37</v>
      </c>
      <c r="G1236" s="4" t="s">
        <v>1147</v>
      </c>
      <c r="H1236" s="4">
        <v>50</v>
      </c>
      <c r="I1236" s="4">
        <v>46</v>
      </c>
      <c r="J1236" s="5">
        <v>0.08</v>
      </c>
      <c r="K1236" s="3">
        <v>71</v>
      </c>
      <c r="L1236" s="4">
        <f>tblSales[[#This Row],[Quantity]]*tblSales[[#This Row],[Actual Price]]</f>
        <v>3266</v>
      </c>
    </row>
    <row r="1237" spans="1:12" x14ac:dyDescent="0.35">
      <c r="A1237" s="3" t="s">
        <v>1793</v>
      </c>
      <c r="B1237" s="4" t="s">
        <v>151</v>
      </c>
      <c r="C1237" s="4" t="s">
        <v>152</v>
      </c>
      <c r="D1237" s="4" t="s">
        <v>14</v>
      </c>
      <c r="E1237" s="7">
        <v>43436</v>
      </c>
      <c r="F1237" s="4" t="s">
        <v>116</v>
      </c>
      <c r="G1237" s="4" t="s">
        <v>153</v>
      </c>
      <c r="H1237" s="4">
        <v>250</v>
      </c>
      <c r="I1237" s="4">
        <v>240</v>
      </c>
      <c r="J1237" s="5">
        <v>0.04</v>
      </c>
      <c r="K1237" s="3">
        <v>38</v>
      </c>
      <c r="L1237" s="4">
        <f>tblSales[[#This Row],[Quantity]]*tblSales[[#This Row],[Actual Price]]</f>
        <v>9120</v>
      </c>
    </row>
    <row r="1238" spans="1:12" x14ac:dyDescent="0.35">
      <c r="A1238" s="3" t="s">
        <v>1794</v>
      </c>
      <c r="B1238" s="4" t="s">
        <v>206</v>
      </c>
      <c r="C1238" s="4" t="s">
        <v>207</v>
      </c>
      <c r="D1238" s="4" t="s">
        <v>25</v>
      </c>
      <c r="E1238" s="7">
        <v>42005</v>
      </c>
      <c r="F1238" s="4" t="s">
        <v>116</v>
      </c>
      <c r="G1238" s="4" t="s">
        <v>597</v>
      </c>
      <c r="H1238" s="4">
        <v>250</v>
      </c>
      <c r="I1238" s="4">
        <v>220</v>
      </c>
      <c r="J1238" s="5">
        <v>0.12</v>
      </c>
      <c r="K1238" s="3">
        <v>10</v>
      </c>
      <c r="L1238" s="4">
        <f>tblSales[[#This Row],[Quantity]]*tblSales[[#This Row],[Actual Price]]</f>
        <v>2200</v>
      </c>
    </row>
    <row r="1239" spans="1:12" x14ac:dyDescent="0.35">
      <c r="A1239" s="3" t="s">
        <v>1795</v>
      </c>
      <c r="B1239" s="4" t="s">
        <v>82</v>
      </c>
      <c r="C1239" s="4" t="s">
        <v>83</v>
      </c>
      <c r="D1239" s="4" t="s">
        <v>14</v>
      </c>
      <c r="E1239" s="7">
        <v>42265</v>
      </c>
      <c r="F1239" s="4" t="s">
        <v>37</v>
      </c>
      <c r="G1239" s="4" t="s">
        <v>557</v>
      </c>
      <c r="H1239" s="4">
        <v>50</v>
      </c>
      <c r="I1239" s="4">
        <v>34</v>
      </c>
      <c r="J1239" s="5">
        <v>0.32</v>
      </c>
      <c r="K1239" s="3">
        <v>35</v>
      </c>
      <c r="L1239" s="4">
        <f>tblSales[[#This Row],[Quantity]]*tblSales[[#This Row],[Actual Price]]</f>
        <v>1190</v>
      </c>
    </row>
    <row r="1240" spans="1:12" x14ac:dyDescent="0.35">
      <c r="A1240" s="3" t="s">
        <v>1796</v>
      </c>
      <c r="B1240" s="4" t="s">
        <v>23</v>
      </c>
      <c r="C1240" s="4" t="s">
        <v>24</v>
      </c>
      <c r="D1240" s="4" t="s">
        <v>25</v>
      </c>
      <c r="E1240" s="7">
        <v>43082</v>
      </c>
      <c r="F1240" s="4" t="s">
        <v>73</v>
      </c>
      <c r="G1240" s="4" t="s">
        <v>484</v>
      </c>
      <c r="H1240" s="4">
        <v>500</v>
      </c>
      <c r="I1240" s="4">
        <v>490</v>
      </c>
      <c r="J1240" s="5">
        <v>0.02</v>
      </c>
      <c r="K1240" s="3">
        <v>92</v>
      </c>
      <c r="L1240" s="4">
        <f>tblSales[[#This Row],[Quantity]]*tblSales[[#This Row],[Actual Price]]</f>
        <v>45080</v>
      </c>
    </row>
    <row r="1241" spans="1:12" x14ac:dyDescent="0.35">
      <c r="A1241" s="3" t="s">
        <v>1797</v>
      </c>
      <c r="B1241" s="4" t="s">
        <v>104</v>
      </c>
      <c r="C1241" s="4" t="s">
        <v>72</v>
      </c>
      <c r="D1241" s="4" t="s">
        <v>36</v>
      </c>
      <c r="E1241" s="7">
        <v>43070</v>
      </c>
      <c r="F1241" s="4" t="s">
        <v>56</v>
      </c>
      <c r="G1241" s="4" t="s">
        <v>498</v>
      </c>
      <c r="H1241" s="4">
        <v>800</v>
      </c>
      <c r="I1241" s="4">
        <v>608</v>
      </c>
      <c r="J1241" s="5">
        <v>0.24</v>
      </c>
      <c r="K1241" s="3">
        <v>100</v>
      </c>
      <c r="L1241" s="4">
        <f>tblSales[[#This Row],[Quantity]]*tblSales[[#This Row],[Actual Price]]</f>
        <v>60800</v>
      </c>
    </row>
    <row r="1242" spans="1:12" x14ac:dyDescent="0.35">
      <c r="A1242" s="3" t="s">
        <v>1798</v>
      </c>
      <c r="B1242" s="4" t="s">
        <v>108</v>
      </c>
      <c r="C1242" s="4" t="s">
        <v>109</v>
      </c>
      <c r="D1242" s="4" t="s">
        <v>20</v>
      </c>
      <c r="E1242" s="7">
        <v>43397</v>
      </c>
      <c r="F1242" s="4" t="s">
        <v>42</v>
      </c>
      <c r="G1242" s="4" t="s">
        <v>818</v>
      </c>
      <c r="H1242" s="4">
        <v>30</v>
      </c>
      <c r="I1242" s="4">
        <v>29</v>
      </c>
      <c r="J1242" s="5">
        <v>3.3300000000000003E-2</v>
      </c>
      <c r="K1242" s="3">
        <v>89</v>
      </c>
      <c r="L1242" s="4">
        <f>tblSales[[#This Row],[Quantity]]*tblSales[[#This Row],[Actual Price]]</f>
        <v>2581</v>
      </c>
    </row>
    <row r="1243" spans="1:12" x14ac:dyDescent="0.35">
      <c r="A1243" s="3" t="s">
        <v>1799</v>
      </c>
      <c r="B1243" s="4" t="s">
        <v>18</v>
      </c>
      <c r="C1243" s="4" t="s">
        <v>19</v>
      </c>
      <c r="D1243" s="4" t="s">
        <v>20</v>
      </c>
      <c r="E1243" s="7">
        <v>43094</v>
      </c>
      <c r="F1243" s="4" t="s">
        <v>116</v>
      </c>
      <c r="G1243" s="4" t="s">
        <v>90</v>
      </c>
      <c r="H1243" s="4">
        <v>250</v>
      </c>
      <c r="I1243" s="4">
        <v>235</v>
      </c>
      <c r="J1243" s="5">
        <v>0.06</v>
      </c>
      <c r="K1243" s="3">
        <v>53</v>
      </c>
      <c r="L1243" s="4">
        <f>tblSales[[#This Row],[Quantity]]*tblSales[[#This Row],[Actual Price]]</f>
        <v>12455</v>
      </c>
    </row>
    <row r="1244" spans="1:12" x14ac:dyDescent="0.35">
      <c r="A1244" s="3" t="s">
        <v>1800</v>
      </c>
      <c r="B1244" s="4" t="s">
        <v>175</v>
      </c>
      <c r="C1244" s="4" t="s">
        <v>176</v>
      </c>
      <c r="D1244" s="4" t="s">
        <v>14</v>
      </c>
      <c r="E1244" s="7">
        <v>42897</v>
      </c>
      <c r="F1244" s="4" t="s">
        <v>47</v>
      </c>
      <c r="G1244" s="4" t="s">
        <v>177</v>
      </c>
      <c r="H1244" s="4">
        <v>500</v>
      </c>
      <c r="I1244" s="4">
        <v>465</v>
      </c>
      <c r="J1244" s="5">
        <v>7.0000000000000007E-2</v>
      </c>
      <c r="K1244" s="3">
        <v>43</v>
      </c>
      <c r="L1244" s="4">
        <f>tblSales[[#This Row],[Quantity]]*tblSales[[#This Row],[Actual Price]]</f>
        <v>19995</v>
      </c>
    </row>
    <row r="1245" spans="1:12" x14ac:dyDescent="0.35">
      <c r="A1245" s="3" t="s">
        <v>1801</v>
      </c>
      <c r="B1245" s="4" t="s">
        <v>228</v>
      </c>
      <c r="C1245" s="4" t="s">
        <v>229</v>
      </c>
      <c r="D1245" s="4" t="s">
        <v>25</v>
      </c>
      <c r="E1245" s="7">
        <v>42652</v>
      </c>
      <c r="F1245" s="4" t="s">
        <v>31</v>
      </c>
      <c r="G1245" s="4" t="s">
        <v>230</v>
      </c>
      <c r="H1245" s="4">
        <v>150</v>
      </c>
      <c r="I1245" s="4">
        <v>140</v>
      </c>
      <c r="J1245" s="5">
        <v>6.6699999999999995E-2</v>
      </c>
      <c r="K1245" s="3">
        <v>49</v>
      </c>
      <c r="L1245" s="4">
        <f>tblSales[[#This Row],[Quantity]]*tblSales[[#This Row],[Actual Price]]</f>
        <v>6860</v>
      </c>
    </row>
    <row r="1246" spans="1:12" x14ac:dyDescent="0.35">
      <c r="A1246" s="3" t="s">
        <v>1802</v>
      </c>
      <c r="B1246" s="4" t="s">
        <v>228</v>
      </c>
      <c r="C1246" s="4" t="s">
        <v>229</v>
      </c>
      <c r="D1246" s="4" t="s">
        <v>25</v>
      </c>
      <c r="E1246" s="7">
        <v>43014</v>
      </c>
      <c r="F1246" s="4" t="s">
        <v>26</v>
      </c>
      <c r="G1246" s="4" t="s">
        <v>1025</v>
      </c>
      <c r="H1246" s="4">
        <v>700</v>
      </c>
      <c r="I1246" s="4">
        <v>658</v>
      </c>
      <c r="J1246" s="5">
        <v>0.06</v>
      </c>
      <c r="K1246" s="3">
        <v>30</v>
      </c>
      <c r="L1246" s="4">
        <f>tblSales[[#This Row],[Quantity]]*tblSales[[#This Row],[Actual Price]]</f>
        <v>19740</v>
      </c>
    </row>
    <row r="1247" spans="1:12" x14ac:dyDescent="0.35">
      <c r="A1247" s="3" t="s">
        <v>1803</v>
      </c>
      <c r="B1247" s="4" t="s">
        <v>23</v>
      </c>
      <c r="C1247" s="4" t="s">
        <v>24</v>
      </c>
      <c r="D1247" s="4" t="s">
        <v>25</v>
      </c>
      <c r="E1247" s="7">
        <v>41791</v>
      </c>
      <c r="F1247" s="4" t="s">
        <v>62</v>
      </c>
      <c r="G1247" s="4" t="s">
        <v>145</v>
      </c>
      <c r="H1247" s="4">
        <v>1000</v>
      </c>
      <c r="I1247" s="4">
        <v>600</v>
      </c>
      <c r="J1247" s="5">
        <v>0.4</v>
      </c>
      <c r="K1247" s="3">
        <v>50</v>
      </c>
      <c r="L1247" s="4">
        <f>tblSales[[#This Row],[Quantity]]*tblSales[[#This Row],[Actual Price]]</f>
        <v>30000</v>
      </c>
    </row>
    <row r="1248" spans="1:12" x14ac:dyDescent="0.35">
      <c r="A1248" s="3" t="s">
        <v>1804</v>
      </c>
      <c r="B1248" s="4" t="s">
        <v>225</v>
      </c>
      <c r="C1248" s="4" t="s">
        <v>51</v>
      </c>
      <c r="D1248" s="4" t="s">
        <v>25</v>
      </c>
      <c r="E1248" s="7">
        <v>41872</v>
      </c>
      <c r="F1248" s="4" t="s">
        <v>123</v>
      </c>
      <c r="G1248" s="4" t="s">
        <v>1240</v>
      </c>
      <c r="H1248" s="4">
        <v>50</v>
      </c>
      <c r="I1248" s="4">
        <v>44</v>
      </c>
      <c r="J1248" s="5">
        <v>0.12</v>
      </c>
      <c r="K1248" s="3">
        <v>21</v>
      </c>
      <c r="L1248" s="4">
        <f>tblSales[[#This Row],[Quantity]]*tblSales[[#This Row],[Actual Price]]</f>
        <v>924</v>
      </c>
    </row>
    <row r="1249" spans="1:12" x14ac:dyDescent="0.35">
      <c r="A1249" s="3" t="s">
        <v>1805</v>
      </c>
      <c r="B1249" s="4" t="s">
        <v>132</v>
      </c>
      <c r="C1249" s="4" t="s">
        <v>109</v>
      </c>
      <c r="D1249" s="4" t="s">
        <v>20</v>
      </c>
      <c r="E1249" s="7">
        <v>42511</v>
      </c>
      <c r="F1249" s="4" t="s">
        <v>56</v>
      </c>
      <c r="G1249" s="4" t="s">
        <v>547</v>
      </c>
      <c r="H1249" s="4">
        <v>800</v>
      </c>
      <c r="I1249" s="4">
        <v>544</v>
      </c>
      <c r="J1249" s="5">
        <v>0.32</v>
      </c>
      <c r="K1249" s="3">
        <v>1</v>
      </c>
      <c r="L1249" s="4">
        <f>tblSales[[#This Row],[Quantity]]*tblSales[[#This Row],[Actual Price]]</f>
        <v>544</v>
      </c>
    </row>
    <row r="1250" spans="1:12" x14ac:dyDescent="0.35">
      <c r="A1250" s="3" t="s">
        <v>1806</v>
      </c>
      <c r="B1250" s="4" t="s">
        <v>158</v>
      </c>
      <c r="C1250" s="4" t="s">
        <v>109</v>
      </c>
      <c r="D1250" s="4" t="s">
        <v>20</v>
      </c>
      <c r="E1250" s="7">
        <v>43067</v>
      </c>
      <c r="F1250" s="4" t="s">
        <v>105</v>
      </c>
      <c r="G1250" s="4" t="s">
        <v>982</v>
      </c>
      <c r="H1250" s="4">
        <v>70</v>
      </c>
      <c r="I1250" s="4">
        <v>68</v>
      </c>
      <c r="J1250" s="5">
        <v>2.86E-2</v>
      </c>
      <c r="K1250" s="3">
        <v>90</v>
      </c>
      <c r="L1250" s="4">
        <f>tblSales[[#This Row],[Quantity]]*tblSales[[#This Row],[Actual Price]]</f>
        <v>6120</v>
      </c>
    </row>
    <row r="1251" spans="1:12" x14ac:dyDescent="0.35">
      <c r="A1251" s="3" t="s">
        <v>1807</v>
      </c>
      <c r="B1251" s="4" t="s">
        <v>119</v>
      </c>
      <c r="C1251" s="4" t="s">
        <v>120</v>
      </c>
      <c r="D1251" s="4" t="s">
        <v>36</v>
      </c>
      <c r="E1251" s="7">
        <v>42193</v>
      </c>
      <c r="F1251" s="4" t="s">
        <v>37</v>
      </c>
      <c r="G1251" s="4" t="s">
        <v>541</v>
      </c>
      <c r="H1251" s="4">
        <v>50</v>
      </c>
      <c r="I1251" s="4">
        <v>50</v>
      </c>
      <c r="J1251" s="5">
        <v>0</v>
      </c>
      <c r="K1251" s="3">
        <v>60</v>
      </c>
      <c r="L1251" s="4">
        <f>tblSales[[#This Row],[Quantity]]*tblSales[[#This Row],[Actual Price]]</f>
        <v>3000</v>
      </c>
    </row>
    <row r="1252" spans="1:12" x14ac:dyDescent="0.35">
      <c r="A1252" s="3" t="s">
        <v>1808</v>
      </c>
      <c r="B1252" s="4" t="s">
        <v>256</v>
      </c>
      <c r="C1252" s="4" t="s">
        <v>257</v>
      </c>
      <c r="D1252" s="4" t="s">
        <v>14</v>
      </c>
      <c r="E1252" s="7">
        <v>43161</v>
      </c>
      <c r="F1252" s="4" t="s">
        <v>31</v>
      </c>
      <c r="G1252" s="4" t="s">
        <v>1098</v>
      </c>
      <c r="H1252" s="4">
        <v>150</v>
      </c>
      <c r="I1252" s="4">
        <v>135</v>
      </c>
      <c r="J1252" s="5">
        <v>0.1</v>
      </c>
      <c r="K1252" s="3">
        <v>93</v>
      </c>
      <c r="L1252" s="4">
        <f>tblSales[[#This Row],[Quantity]]*tblSales[[#This Row],[Actual Price]]</f>
        <v>12555</v>
      </c>
    </row>
    <row r="1253" spans="1:12" x14ac:dyDescent="0.35">
      <c r="A1253" s="3" t="s">
        <v>1809</v>
      </c>
      <c r="B1253" s="4" t="s">
        <v>54</v>
      </c>
      <c r="C1253" s="4" t="s">
        <v>55</v>
      </c>
      <c r="D1253" s="4" t="s">
        <v>14</v>
      </c>
      <c r="E1253" s="7">
        <v>43123</v>
      </c>
      <c r="F1253" s="4" t="s">
        <v>123</v>
      </c>
      <c r="G1253" s="4" t="s">
        <v>815</v>
      </c>
      <c r="H1253" s="4">
        <v>50</v>
      </c>
      <c r="I1253" s="4">
        <v>50</v>
      </c>
      <c r="J1253" s="5">
        <v>0</v>
      </c>
      <c r="K1253" s="3">
        <v>72</v>
      </c>
      <c r="L1253" s="4">
        <f>tblSales[[#This Row],[Quantity]]*tblSales[[#This Row],[Actual Price]]</f>
        <v>3600</v>
      </c>
    </row>
    <row r="1254" spans="1:12" x14ac:dyDescent="0.35">
      <c r="A1254" s="3" t="s">
        <v>1810</v>
      </c>
      <c r="B1254" s="4" t="s">
        <v>71</v>
      </c>
      <c r="C1254" s="4" t="s">
        <v>72</v>
      </c>
      <c r="D1254" s="4" t="s">
        <v>36</v>
      </c>
      <c r="E1254" s="7">
        <v>42347</v>
      </c>
      <c r="F1254" s="4" t="s">
        <v>37</v>
      </c>
      <c r="G1254" s="4" t="s">
        <v>1811</v>
      </c>
      <c r="H1254" s="4">
        <v>50</v>
      </c>
      <c r="I1254" s="4">
        <v>33</v>
      </c>
      <c r="J1254" s="5">
        <v>0.34</v>
      </c>
      <c r="K1254" s="3">
        <v>24</v>
      </c>
      <c r="L1254" s="4">
        <f>tblSales[[#This Row],[Quantity]]*tblSales[[#This Row],[Actual Price]]</f>
        <v>792</v>
      </c>
    </row>
    <row r="1255" spans="1:12" x14ac:dyDescent="0.35">
      <c r="A1255" s="3" t="s">
        <v>1812</v>
      </c>
      <c r="B1255" s="4" t="s">
        <v>271</v>
      </c>
      <c r="C1255" s="4" t="s">
        <v>272</v>
      </c>
      <c r="D1255" s="4" t="s">
        <v>36</v>
      </c>
      <c r="E1255" s="7">
        <v>43008</v>
      </c>
      <c r="F1255" s="4" t="s">
        <v>37</v>
      </c>
      <c r="G1255" s="4" t="s">
        <v>714</v>
      </c>
      <c r="H1255" s="4">
        <v>50</v>
      </c>
      <c r="I1255" s="4">
        <v>46</v>
      </c>
      <c r="J1255" s="5">
        <v>0.08</v>
      </c>
      <c r="K1255" s="3">
        <v>62</v>
      </c>
      <c r="L1255" s="4">
        <f>tblSales[[#This Row],[Quantity]]*tblSales[[#This Row],[Actual Price]]</f>
        <v>2852</v>
      </c>
    </row>
    <row r="1256" spans="1:12" x14ac:dyDescent="0.35">
      <c r="A1256" s="3" t="s">
        <v>1813</v>
      </c>
      <c r="B1256" s="4" t="s">
        <v>96</v>
      </c>
      <c r="C1256" s="4" t="s">
        <v>97</v>
      </c>
      <c r="D1256" s="4" t="s">
        <v>14</v>
      </c>
      <c r="E1256" s="7">
        <v>41967</v>
      </c>
      <c r="F1256" s="4" t="s">
        <v>47</v>
      </c>
      <c r="G1256" s="4" t="s">
        <v>181</v>
      </c>
      <c r="H1256" s="4">
        <v>500</v>
      </c>
      <c r="I1256" s="4">
        <v>370</v>
      </c>
      <c r="J1256" s="5">
        <v>0.26</v>
      </c>
      <c r="K1256" s="3">
        <v>38</v>
      </c>
      <c r="L1256" s="4">
        <f>tblSales[[#This Row],[Quantity]]*tblSales[[#This Row],[Actual Price]]</f>
        <v>14060</v>
      </c>
    </row>
    <row r="1257" spans="1:12" x14ac:dyDescent="0.35">
      <c r="A1257" s="3" t="s">
        <v>1814</v>
      </c>
      <c r="B1257" s="4" t="s">
        <v>271</v>
      </c>
      <c r="C1257" s="4" t="s">
        <v>272</v>
      </c>
      <c r="D1257" s="4" t="s">
        <v>36</v>
      </c>
      <c r="E1257" s="7">
        <v>42066</v>
      </c>
      <c r="F1257" s="4" t="s">
        <v>26</v>
      </c>
      <c r="G1257" s="4" t="s">
        <v>810</v>
      </c>
      <c r="H1257" s="4">
        <v>700</v>
      </c>
      <c r="I1257" s="4">
        <v>448</v>
      </c>
      <c r="J1257" s="5">
        <v>0.36</v>
      </c>
      <c r="K1257" s="3">
        <v>58</v>
      </c>
      <c r="L1257" s="4">
        <f>tblSales[[#This Row],[Quantity]]*tblSales[[#This Row],[Actual Price]]</f>
        <v>25984</v>
      </c>
    </row>
    <row r="1258" spans="1:12" x14ac:dyDescent="0.35">
      <c r="A1258" s="3" t="s">
        <v>1815</v>
      </c>
      <c r="B1258" s="4" t="s">
        <v>104</v>
      </c>
      <c r="C1258" s="4" t="s">
        <v>72</v>
      </c>
      <c r="D1258" s="4" t="s">
        <v>36</v>
      </c>
      <c r="E1258" s="7">
        <v>43096</v>
      </c>
      <c r="F1258" s="4" t="s">
        <v>37</v>
      </c>
      <c r="G1258" s="4" t="s">
        <v>1816</v>
      </c>
      <c r="H1258" s="4">
        <v>50</v>
      </c>
      <c r="I1258" s="4">
        <v>48</v>
      </c>
      <c r="J1258" s="5">
        <v>0.04</v>
      </c>
      <c r="K1258" s="3">
        <v>91</v>
      </c>
      <c r="L1258" s="4">
        <f>tblSales[[#This Row],[Quantity]]*tblSales[[#This Row],[Actual Price]]</f>
        <v>4368</v>
      </c>
    </row>
    <row r="1259" spans="1:12" x14ac:dyDescent="0.35">
      <c r="A1259" s="3" t="s">
        <v>1817</v>
      </c>
      <c r="B1259" s="4" t="s">
        <v>206</v>
      </c>
      <c r="C1259" s="4" t="s">
        <v>207</v>
      </c>
      <c r="D1259" s="4" t="s">
        <v>25</v>
      </c>
      <c r="E1259" s="7">
        <v>43178</v>
      </c>
      <c r="F1259" s="4" t="s">
        <v>73</v>
      </c>
      <c r="G1259" s="4" t="s">
        <v>1479</v>
      </c>
      <c r="H1259" s="4">
        <v>500</v>
      </c>
      <c r="I1259" s="4">
        <v>490</v>
      </c>
      <c r="J1259" s="5">
        <v>0.02</v>
      </c>
      <c r="K1259" s="3">
        <v>75</v>
      </c>
      <c r="L1259" s="4">
        <f>tblSales[[#This Row],[Quantity]]*tblSales[[#This Row],[Actual Price]]</f>
        <v>36750</v>
      </c>
    </row>
    <row r="1260" spans="1:12" x14ac:dyDescent="0.35">
      <c r="A1260" s="3" t="s">
        <v>1818</v>
      </c>
      <c r="B1260" s="4" t="s">
        <v>12</v>
      </c>
      <c r="C1260" s="4" t="s">
        <v>13</v>
      </c>
      <c r="D1260" s="4" t="s">
        <v>14</v>
      </c>
      <c r="E1260" s="7">
        <v>42885</v>
      </c>
      <c r="F1260" s="4" t="s">
        <v>123</v>
      </c>
      <c r="G1260" s="4" t="s">
        <v>16</v>
      </c>
      <c r="H1260" s="4">
        <v>50</v>
      </c>
      <c r="I1260" s="4">
        <v>49</v>
      </c>
      <c r="J1260" s="5">
        <v>0.02</v>
      </c>
      <c r="K1260" s="3">
        <v>79</v>
      </c>
      <c r="L1260" s="4">
        <f>tblSales[[#This Row],[Quantity]]*tblSales[[#This Row],[Actual Price]]</f>
        <v>3871</v>
      </c>
    </row>
    <row r="1261" spans="1:12" x14ac:dyDescent="0.35">
      <c r="A1261" s="3" t="s">
        <v>1819</v>
      </c>
      <c r="B1261" s="4" t="s">
        <v>119</v>
      </c>
      <c r="C1261" s="4" t="s">
        <v>120</v>
      </c>
      <c r="D1261" s="4" t="s">
        <v>36</v>
      </c>
      <c r="E1261" s="7">
        <v>43037</v>
      </c>
      <c r="F1261" s="4" t="s">
        <v>56</v>
      </c>
      <c r="G1261" s="4" t="s">
        <v>121</v>
      </c>
      <c r="H1261" s="4">
        <v>800</v>
      </c>
      <c r="I1261" s="4">
        <v>616</v>
      </c>
      <c r="J1261" s="5">
        <v>0.23</v>
      </c>
      <c r="K1261" s="3">
        <v>47</v>
      </c>
      <c r="L1261" s="4">
        <f>tblSales[[#This Row],[Quantity]]*tblSales[[#This Row],[Actual Price]]</f>
        <v>28952</v>
      </c>
    </row>
    <row r="1262" spans="1:12" x14ac:dyDescent="0.35">
      <c r="A1262" s="3" t="s">
        <v>1820</v>
      </c>
      <c r="B1262" s="4" t="s">
        <v>45</v>
      </c>
      <c r="C1262" s="4" t="s">
        <v>46</v>
      </c>
      <c r="D1262" s="4" t="s">
        <v>25</v>
      </c>
      <c r="E1262" s="7">
        <v>43114</v>
      </c>
      <c r="F1262" s="4" t="s">
        <v>37</v>
      </c>
      <c r="G1262" s="4" t="s">
        <v>48</v>
      </c>
      <c r="H1262" s="4">
        <v>50</v>
      </c>
      <c r="I1262" s="4">
        <v>46</v>
      </c>
      <c r="J1262" s="5">
        <v>0.08</v>
      </c>
      <c r="K1262" s="3">
        <v>1</v>
      </c>
      <c r="L1262" s="4">
        <f>tblSales[[#This Row],[Quantity]]*tblSales[[#This Row],[Actual Price]]</f>
        <v>46</v>
      </c>
    </row>
    <row r="1263" spans="1:12" x14ac:dyDescent="0.35">
      <c r="A1263" s="3" t="s">
        <v>1821</v>
      </c>
      <c r="B1263" s="4" t="s">
        <v>158</v>
      </c>
      <c r="C1263" s="4" t="s">
        <v>109</v>
      </c>
      <c r="D1263" s="4" t="s">
        <v>20</v>
      </c>
      <c r="E1263" s="7">
        <v>42317</v>
      </c>
      <c r="F1263" s="4" t="s">
        <v>15</v>
      </c>
      <c r="G1263" s="4" t="s">
        <v>926</v>
      </c>
      <c r="H1263" s="4">
        <v>80</v>
      </c>
      <c r="I1263" s="4">
        <v>70</v>
      </c>
      <c r="J1263" s="5">
        <v>0.125</v>
      </c>
      <c r="K1263" s="3">
        <v>4</v>
      </c>
      <c r="L1263" s="4">
        <f>tblSales[[#This Row],[Quantity]]*tblSales[[#This Row],[Actual Price]]</f>
        <v>280</v>
      </c>
    </row>
    <row r="1264" spans="1:12" x14ac:dyDescent="0.35">
      <c r="A1264" s="3" t="s">
        <v>1822</v>
      </c>
      <c r="B1264" s="4" t="s">
        <v>86</v>
      </c>
      <c r="C1264" s="4" t="s">
        <v>87</v>
      </c>
      <c r="D1264" s="4" t="s">
        <v>14</v>
      </c>
      <c r="E1264" s="7">
        <v>42687</v>
      </c>
      <c r="F1264" s="4" t="s">
        <v>47</v>
      </c>
      <c r="G1264" s="4" t="s">
        <v>1823</v>
      </c>
      <c r="H1264" s="4">
        <v>500</v>
      </c>
      <c r="I1264" s="4">
        <v>490</v>
      </c>
      <c r="J1264" s="5">
        <v>0.02</v>
      </c>
      <c r="K1264" s="3">
        <v>73</v>
      </c>
      <c r="L1264" s="4">
        <f>tblSales[[#This Row],[Quantity]]*tblSales[[#This Row],[Actual Price]]</f>
        <v>35770</v>
      </c>
    </row>
    <row r="1265" spans="1:12" x14ac:dyDescent="0.35">
      <c r="A1265" s="3" t="s">
        <v>1824</v>
      </c>
      <c r="B1265" s="4" t="s">
        <v>86</v>
      </c>
      <c r="C1265" s="4" t="s">
        <v>87</v>
      </c>
      <c r="D1265" s="4" t="s">
        <v>14</v>
      </c>
      <c r="E1265" s="7">
        <v>41891</v>
      </c>
      <c r="F1265" s="4" t="s">
        <v>116</v>
      </c>
      <c r="G1265" s="4" t="s">
        <v>517</v>
      </c>
      <c r="H1265" s="4">
        <v>250</v>
      </c>
      <c r="I1265" s="4">
        <v>190</v>
      </c>
      <c r="J1265" s="5">
        <v>0.24</v>
      </c>
      <c r="K1265" s="3">
        <v>69</v>
      </c>
      <c r="L1265" s="4">
        <f>tblSales[[#This Row],[Quantity]]*tblSales[[#This Row],[Actual Price]]</f>
        <v>13110</v>
      </c>
    </row>
    <row r="1266" spans="1:12" x14ac:dyDescent="0.35">
      <c r="A1266" s="3" t="s">
        <v>1825</v>
      </c>
      <c r="B1266" s="4" t="s">
        <v>100</v>
      </c>
      <c r="C1266" s="4" t="s">
        <v>101</v>
      </c>
      <c r="D1266" s="4" t="s">
        <v>14</v>
      </c>
      <c r="E1266" s="7">
        <v>43398</v>
      </c>
      <c r="F1266" s="4" t="s">
        <v>15</v>
      </c>
      <c r="G1266" s="4" t="s">
        <v>1826</v>
      </c>
      <c r="H1266" s="4">
        <v>80</v>
      </c>
      <c r="I1266" s="4">
        <v>68</v>
      </c>
      <c r="J1266" s="5">
        <v>0.15</v>
      </c>
      <c r="K1266" s="3">
        <v>40</v>
      </c>
      <c r="L1266" s="4">
        <f>tblSales[[#This Row],[Quantity]]*tblSales[[#This Row],[Actual Price]]</f>
        <v>2720</v>
      </c>
    </row>
    <row r="1267" spans="1:12" x14ac:dyDescent="0.35">
      <c r="A1267" s="3" t="s">
        <v>1827</v>
      </c>
      <c r="B1267" s="4" t="s">
        <v>271</v>
      </c>
      <c r="C1267" s="4" t="s">
        <v>272</v>
      </c>
      <c r="D1267" s="4" t="s">
        <v>36</v>
      </c>
      <c r="E1267" s="7">
        <v>42564</v>
      </c>
      <c r="F1267" s="4" t="s">
        <v>37</v>
      </c>
      <c r="G1267" s="4" t="s">
        <v>1828</v>
      </c>
      <c r="H1267" s="4">
        <v>50</v>
      </c>
      <c r="I1267" s="4">
        <v>46</v>
      </c>
      <c r="J1267" s="5">
        <v>0.08</v>
      </c>
      <c r="K1267" s="3">
        <v>56</v>
      </c>
      <c r="L1267" s="4">
        <f>tblSales[[#This Row],[Quantity]]*tblSales[[#This Row],[Actual Price]]</f>
        <v>2576</v>
      </c>
    </row>
    <row r="1268" spans="1:12" x14ac:dyDescent="0.35">
      <c r="A1268" s="3" t="s">
        <v>1829</v>
      </c>
      <c r="B1268" s="4" t="s">
        <v>256</v>
      </c>
      <c r="C1268" s="4" t="s">
        <v>257</v>
      </c>
      <c r="D1268" s="4" t="s">
        <v>14</v>
      </c>
      <c r="E1268" s="7">
        <v>41667</v>
      </c>
      <c r="F1268" s="4" t="s">
        <v>26</v>
      </c>
      <c r="G1268" s="4" t="s">
        <v>1830</v>
      </c>
      <c r="H1268" s="4">
        <v>700</v>
      </c>
      <c r="I1268" s="4">
        <v>574</v>
      </c>
      <c r="J1268" s="5">
        <v>0.18</v>
      </c>
      <c r="K1268" s="3">
        <v>88</v>
      </c>
      <c r="L1268" s="4">
        <f>tblSales[[#This Row],[Quantity]]*tblSales[[#This Row],[Actual Price]]</f>
        <v>50512</v>
      </c>
    </row>
    <row r="1269" spans="1:12" x14ac:dyDescent="0.35">
      <c r="A1269" s="3" t="s">
        <v>1831</v>
      </c>
      <c r="B1269" s="4" t="s">
        <v>271</v>
      </c>
      <c r="C1269" s="4" t="s">
        <v>272</v>
      </c>
      <c r="D1269" s="4" t="s">
        <v>36</v>
      </c>
      <c r="E1269" s="7">
        <v>42839</v>
      </c>
      <c r="F1269" s="4" t="s">
        <v>15</v>
      </c>
      <c r="G1269" s="4" t="s">
        <v>714</v>
      </c>
      <c r="H1269" s="4">
        <v>80</v>
      </c>
      <c r="I1269" s="4">
        <v>74</v>
      </c>
      <c r="J1269" s="5">
        <v>7.4999999999999997E-2</v>
      </c>
      <c r="K1269" s="3">
        <v>85</v>
      </c>
      <c r="L1269" s="4">
        <f>tblSales[[#This Row],[Quantity]]*tblSales[[#This Row],[Actual Price]]</f>
        <v>6290</v>
      </c>
    </row>
    <row r="1270" spans="1:12" x14ac:dyDescent="0.35">
      <c r="A1270" s="3" t="s">
        <v>1832</v>
      </c>
      <c r="B1270" s="4" t="s">
        <v>50</v>
      </c>
      <c r="C1270" s="4" t="s">
        <v>51</v>
      </c>
      <c r="D1270" s="4" t="s">
        <v>25</v>
      </c>
      <c r="E1270" s="7">
        <v>43112</v>
      </c>
      <c r="F1270" s="4" t="s">
        <v>123</v>
      </c>
      <c r="G1270" s="4" t="s">
        <v>379</v>
      </c>
      <c r="H1270" s="4">
        <v>50</v>
      </c>
      <c r="I1270" s="4">
        <v>44</v>
      </c>
      <c r="J1270" s="5">
        <v>0.12</v>
      </c>
      <c r="K1270" s="3">
        <v>16</v>
      </c>
      <c r="L1270" s="4">
        <f>tblSales[[#This Row],[Quantity]]*tblSales[[#This Row],[Actual Price]]</f>
        <v>704</v>
      </c>
    </row>
    <row r="1271" spans="1:12" x14ac:dyDescent="0.35">
      <c r="A1271" s="3" t="s">
        <v>1833</v>
      </c>
      <c r="B1271" s="4" t="s">
        <v>119</v>
      </c>
      <c r="C1271" s="4" t="s">
        <v>120</v>
      </c>
      <c r="D1271" s="4" t="s">
        <v>36</v>
      </c>
      <c r="E1271" s="7">
        <v>42950</v>
      </c>
      <c r="F1271" s="4" t="s">
        <v>42</v>
      </c>
      <c r="G1271" s="4" t="s">
        <v>121</v>
      </c>
      <c r="H1271" s="4">
        <v>30</v>
      </c>
      <c r="I1271" s="4">
        <v>30</v>
      </c>
      <c r="J1271" s="5">
        <v>0</v>
      </c>
      <c r="K1271" s="3">
        <v>92</v>
      </c>
      <c r="L1271" s="4">
        <f>tblSales[[#This Row],[Quantity]]*tblSales[[#This Row],[Actual Price]]</f>
        <v>2760</v>
      </c>
    </row>
    <row r="1272" spans="1:12" x14ac:dyDescent="0.35">
      <c r="A1272" s="3" t="s">
        <v>1834</v>
      </c>
      <c r="B1272" s="4" t="s">
        <v>96</v>
      </c>
      <c r="C1272" s="4" t="s">
        <v>97</v>
      </c>
      <c r="D1272" s="4" t="s">
        <v>14</v>
      </c>
      <c r="E1272" s="7">
        <v>42934</v>
      </c>
      <c r="F1272" s="4" t="s">
        <v>73</v>
      </c>
      <c r="G1272" s="4" t="s">
        <v>1409</v>
      </c>
      <c r="H1272" s="4">
        <v>500</v>
      </c>
      <c r="I1272" s="4">
        <v>500</v>
      </c>
      <c r="J1272" s="5">
        <v>0</v>
      </c>
      <c r="K1272" s="3">
        <v>98</v>
      </c>
      <c r="L1272" s="4">
        <f>tblSales[[#This Row],[Quantity]]*tblSales[[#This Row],[Actual Price]]</f>
        <v>49000</v>
      </c>
    </row>
    <row r="1273" spans="1:12" x14ac:dyDescent="0.35">
      <c r="A1273" s="3" t="s">
        <v>1835</v>
      </c>
      <c r="B1273" s="4" t="s">
        <v>158</v>
      </c>
      <c r="C1273" s="4" t="s">
        <v>109</v>
      </c>
      <c r="D1273" s="4" t="s">
        <v>20</v>
      </c>
      <c r="E1273" s="7">
        <v>41723</v>
      </c>
      <c r="F1273" s="4" t="s">
        <v>37</v>
      </c>
      <c r="G1273" s="4" t="s">
        <v>1287</v>
      </c>
      <c r="H1273" s="4">
        <v>50</v>
      </c>
      <c r="I1273" s="4">
        <v>47</v>
      </c>
      <c r="J1273" s="5">
        <v>0.06</v>
      </c>
      <c r="K1273" s="3">
        <v>88</v>
      </c>
      <c r="L1273" s="4">
        <f>tblSales[[#This Row],[Quantity]]*tblSales[[#This Row],[Actual Price]]</f>
        <v>4136</v>
      </c>
    </row>
    <row r="1274" spans="1:12" x14ac:dyDescent="0.35">
      <c r="A1274" s="3" t="s">
        <v>1836</v>
      </c>
      <c r="B1274" s="4" t="s">
        <v>82</v>
      </c>
      <c r="C1274" s="4" t="s">
        <v>83</v>
      </c>
      <c r="D1274" s="4" t="s">
        <v>14</v>
      </c>
      <c r="E1274" s="7">
        <v>42853</v>
      </c>
      <c r="F1274" s="4" t="s">
        <v>37</v>
      </c>
      <c r="G1274" s="4" t="s">
        <v>283</v>
      </c>
      <c r="H1274" s="4">
        <v>50</v>
      </c>
      <c r="I1274" s="4">
        <v>46</v>
      </c>
      <c r="J1274" s="5">
        <v>0.08</v>
      </c>
      <c r="K1274" s="3">
        <v>14</v>
      </c>
      <c r="L1274" s="4">
        <f>tblSales[[#This Row],[Quantity]]*tblSales[[#This Row],[Actual Price]]</f>
        <v>644</v>
      </c>
    </row>
    <row r="1275" spans="1:12" x14ac:dyDescent="0.35">
      <c r="A1275" s="3" t="s">
        <v>1837</v>
      </c>
      <c r="B1275" s="4" t="s">
        <v>132</v>
      </c>
      <c r="C1275" s="4" t="s">
        <v>109</v>
      </c>
      <c r="D1275" s="4" t="s">
        <v>20</v>
      </c>
      <c r="E1275" s="7">
        <v>42662</v>
      </c>
      <c r="F1275" s="4" t="s">
        <v>37</v>
      </c>
      <c r="G1275" s="4" t="s">
        <v>689</v>
      </c>
      <c r="H1275" s="4">
        <v>50</v>
      </c>
      <c r="I1275" s="4">
        <v>44</v>
      </c>
      <c r="J1275" s="5">
        <v>0.12</v>
      </c>
      <c r="K1275" s="3">
        <v>58</v>
      </c>
      <c r="L1275" s="4">
        <f>tblSales[[#This Row],[Quantity]]*tblSales[[#This Row],[Actual Price]]</f>
        <v>2552</v>
      </c>
    </row>
    <row r="1276" spans="1:12" x14ac:dyDescent="0.35">
      <c r="A1276" s="3" t="s">
        <v>1838</v>
      </c>
      <c r="B1276" s="4" t="s">
        <v>23</v>
      </c>
      <c r="C1276" s="4" t="s">
        <v>24</v>
      </c>
      <c r="D1276" s="4" t="s">
        <v>25</v>
      </c>
      <c r="E1276" s="7">
        <v>41884</v>
      </c>
      <c r="F1276" s="4" t="s">
        <v>47</v>
      </c>
      <c r="G1276" s="4" t="s">
        <v>625</v>
      </c>
      <c r="H1276" s="4">
        <v>500</v>
      </c>
      <c r="I1276" s="4">
        <v>355</v>
      </c>
      <c r="J1276" s="5">
        <v>0.28999999999999998</v>
      </c>
      <c r="K1276" s="3">
        <v>97</v>
      </c>
      <c r="L1276" s="4">
        <f>tblSales[[#This Row],[Quantity]]*tblSales[[#This Row],[Actual Price]]</f>
        <v>34435</v>
      </c>
    </row>
    <row r="1277" spans="1:12" x14ac:dyDescent="0.35">
      <c r="A1277" s="3" t="s">
        <v>1839</v>
      </c>
      <c r="B1277" s="4" t="s">
        <v>132</v>
      </c>
      <c r="C1277" s="4" t="s">
        <v>109</v>
      </c>
      <c r="D1277" s="4" t="s">
        <v>20</v>
      </c>
      <c r="E1277" s="7">
        <v>43124</v>
      </c>
      <c r="F1277" s="4" t="s">
        <v>47</v>
      </c>
      <c r="G1277" s="4" t="s">
        <v>213</v>
      </c>
      <c r="H1277" s="4">
        <v>500</v>
      </c>
      <c r="I1277" s="4">
        <v>495</v>
      </c>
      <c r="J1277" s="5">
        <v>0.01</v>
      </c>
      <c r="K1277" s="3">
        <v>54</v>
      </c>
      <c r="L1277" s="4">
        <f>tblSales[[#This Row],[Quantity]]*tblSales[[#This Row],[Actual Price]]</f>
        <v>26730</v>
      </c>
    </row>
    <row r="1278" spans="1:12" x14ac:dyDescent="0.35">
      <c r="A1278" s="3" t="s">
        <v>1840</v>
      </c>
      <c r="B1278" s="4" t="s">
        <v>228</v>
      </c>
      <c r="C1278" s="4" t="s">
        <v>229</v>
      </c>
      <c r="D1278" s="4" t="s">
        <v>25</v>
      </c>
      <c r="E1278" s="7">
        <v>42303</v>
      </c>
      <c r="F1278" s="4" t="s">
        <v>15</v>
      </c>
      <c r="G1278" s="4" t="s">
        <v>837</v>
      </c>
      <c r="H1278" s="4">
        <v>80</v>
      </c>
      <c r="I1278" s="4">
        <v>61</v>
      </c>
      <c r="J1278" s="5">
        <v>0.23749999999999999</v>
      </c>
      <c r="K1278" s="3">
        <v>49</v>
      </c>
      <c r="L1278" s="4">
        <f>tblSales[[#This Row],[Quantity]]*tblSales[[#This Row],[Actual Price]]</f>
        <v>2989</v>
      </c>
    </row>
    <row r="1279" spans="1:12" x14ac:dyDescent="0.35">
      <c r="A1279" s="3" t="s">
        <v>1841</v>
      </c>
      <c r="B1279" s="4" t="s">
        <v>96</v>
      </c>
      <c r="C1279" s="4" t="s">
        <v>97</v>
      </c>
      <c r="D1279" s="4" t="s">
        <v>14</v>
      </c>
      <c r="E1279" s="7">
        <v>43424</v>
      </c>
      <c r="F1279" s="4" t="s">
        <v>73</v>
      </c>
      <c r="G1279" s="4" t="s">
        <v>217</v>
      </c>
      <c r="H1279" s="4">
        <v>500</v>
      </c>
      <c r="I1279" s="4">
        <v>495</v>
      </c>
      <c r="J1279" s="5">
        <v>0.01</v>
      </c>
      <c r="K1279" s="3">
        <v>72</v>
      </c>
      <c r="L1279" s="4">
        <f>tblSales[[#This Row],[Quantity]]*tblSales[[#This Row],[Actual Price]]</f>
        <v>35640</v>
      </c>
    </row>
    <row r="1280" spans="1:12" x14ac:dyDescent="0.35">
      <c r="A1280" s="3" t="s">
        <v>1842</v>
      </c>
      <c r="B1280" s="4" t="s">
        <v>60</v>
      </c>
      <c r="C1280" s="4" t="s">
        <v>61</v>
      </c>
      <c r="D1280" s="4" t="s">
        <v>14</v>
      </c>
      <c r="E1280" s="7">
        <v>43434</v>
      </c>
      <c r="F1280" s="4" t="s">
        <v>123</v>
      </c>
      <c r="G1280" s="4" t="s">
        <v>1843</v>
      </c>
      <c r="H1280" s="4">
        <v>50</v>
      </c>
      <c r="I1280" s="4">
        <v>48</v>
      </c>
      <c r="J1280" s="5">
        <v>0.04</v>
      </c>
      <c r="K1280" s="3">
        <v>39</v>
      </c>
      <c r="L1280" s="4">
        <f>tblSales[[#This Row],[Quantity]]*tblSales[[#This Row],[Actual Price]]</f>
        <v>1872</v>
      </c>
    </row>
    <row r="1281" spans="1:12" x14ac:dyDescent="0.35">
      <c r="A1281" s="3" t="s">
        <v>1844</v>
      </c>
      <c r="B1281" s="4" t="s">
        <v>175</v>
      </c>
      <c r="C1281" s="4" t="s">
        <v>176</v>
      </c>
      <c r="D1281" s="4" t="s">
        <v>14</v>
      </c>
      <c r="E1281" s="7">
        <v>43188</v>
      </c>
      <c r="F1281" s="4" t="s">
        <v>56</v>
      </c>
      <c r="G1281" s="4" t="s">
        <v>608</v>
      </c>
      <c r="H1281" s="4">
        <v>800</v>
      </c>
      <c r="I1281" s="4">
        <v>520</v>
      </c>
      <c r="J1281" s="5">
        <v>0.35</v>
      </c>
      <c r="K1281" s="3">
        <v>70</v>
      </c>
      <c r="L1281" s="4">
        <f>tblSales[[#This Row],[Quantity]]*tblSales[[#This Row],[Actual Price]]</f>
        <v>36400</v>
      </c>
    </row>
    <row r="1282" spans="1:12" x14ac:dyDescent="0.35">
      <c r="A1282" s="3" t="s">
        <v>1845</v>
      </c>
      <c r="B1282" s="4" t="s">
        <v>271</v>
      </c>
      <c r="C1282" s="4" t="s">
        <v>272</v>
      </c>
      <c r="D1282" s="4" t="s">
        <v>36</v>
      </c>
      <c r="E1282" s="7">
        <v>41866</v>
      </c>
      <c r="F1282" s="4" t="s">
        <v>73</v>
      </c>
      <c r="G1282" s="4" t="s">
        <v>567</v>
      </c>
      <c r="H1282" s="4">
        <v>500</v>
      </c>
      <c r="I1282" s="4">
        <v>490</v>
      </c>
      <c r="J1282" s="5">
        <v>0.02</v>
      </c>
      <c r="K1282" s="3">
        <v>48</v>
      </c>
      <c r="L1282" s="4">
        <f>tblSales[[#This Row],[Quantity]]*tblSales[[#This Row],[Actual Price]]</f>
        <v>23520</v>
      </c>
    </row>
    <row r="1283" spans="1:12" x14ac:dyDescent="0.35">
      <c r="A1283" s="3" t="s">
        <v>1846</v>
      </c>
      <c r="B1283" s="4" t="s">
        <v>50</v>
      </c>
      <c r="C1283" s="4" t="s">
        <v>51</v>
      </c>
      <c r="D1283" s="4" t="s">
        <v>25</v>
      </c>
      <c r="E1283" s="7">
        <v>42932</v>
      </c>
      <c r="F1283" s="4" t="s">
        <v>26</v>
      </c>
      <c r="G1283" s="4" t="s">
        <v>52</v>
      </c>
      <c r="H1283" s="4">
        <v>700</v>
      </c>
      <c r="I1283" s="4">
        <v>637</v>
      </c>
      <c r="J1283" s="5">
        <v>0.09</v>
      </c>
      <c r="K1283" s="3">
        <v>5</v>
      </c>
      <c r="L1283" s="4">
        <f>tblSales[[#This Row],[Quantity]]*tblSales[[#This Row],[Actual Price]]</f>
        <v>3185</v>
      </c>
    </row>
    <row r="1284" spans="1:12" x14ac:dyDescent="0.35">
      <c r="A1284" s="3" t="s">
        <v>1847</v>
      </c>
      <c r="B1284" s="4" t="s">
        <v>256</v>
      </c>
      <c r="C1284" s="4" t="s">
        <v>257</v>
      </c>
      <c r="D1284" s="4" t="s">
        <v>14</v>
      </c>
      <c r="E1284" s="7">
        <v>41812</v>
      </c>
      <c r="F1284" s="4" t="s">
        <v>116</v>
      </c>
      <c r="G1284" s="4" t="s">
        <v>1342</v>
      </c>
      <c r="H1284" s="4">
        <v>250</v>
      </c>
      <c r="I1284" s="4">
        <v>203</v>
      </c>
      <c r="J1284" s="5">
        <v>0.188</v>
      </c>
      <c r="K1284" s="3">
        <v>19</v>
      </c>
      <c r="L1284" s="4">
        <f>tblSales[[#This Row],[Quantity]]*tblSales[[#This Row],[Actual Price]]</f>
        <v>3857</v>
      </c>
    </row>
    <row r="1285" spans="1:12" x14ac:dyDescent="0.35">
      <c r="A1285" s="3" t="s">
        <v>1848</v>
      </c>
      <c r="B1285" s="4" t="s">
        <v>82</v>
      </c>
      <c r="C1285" s="4" t="s">
        <v>83</v>
      </c>
      <c r="D1285" s="4" t="s">
        <v>14</v>
      </c>
      <c r="E1285" s="7">
        <v>43452</v>
      </c>
      <c r="F1285" s="4" t="s">
        <v>47</v>
      </c>
      <c r="G1285" s="4" t="s">
        <v>84</v>
      </c>
      <c r="H1285" s="4">
        <v>500</v>
      </c>
      <c r="I1285" s="4">
        <v>500</v>
      </c>
      <c r="J1285" s="5">
        <v>0</v>
      </c>
      <c r="K1285" s="3">
        <v>55</v>
      </c>
      <c r="L1285" s="4">
        <f>tblSales[[#This Row],[Quantity]]*tblSales[[#This Row],[Actual Price]]</f>
        <v>27500</v>
      </c>
    </row>
    <row r="1286" spans="1:12" x14ac:dyDescent="0.35">
      <c r="A1286" s="3" t="s">
        <v>1849</v>
      </c>
      <c r="B1286" s="4" t="s">
        <v>151</v>
      </c>
      <c r="C1286" s="4" t="s">
        <v>152</v>
      </c>
      <c r="D1286" s="4" t="s">
        <v>14</v>
      </c>
      <c r="E1286" s="7">
        <v>42053</v>
      </c>
      <c r="F1286" s="4" t="s">
        <v>42</v>
      </c>
      <c r="G1286" s="4" t="s">
        <v>410</v>
      </c>
      <c r="H1286" s="4">
        <v>30</v>
      </c>
      <c r="I1286" s="4">
        <v>20</v>
      </c>
      <c r="J1286" s="5">
        <v>0.33329999999999999</v>
      </c>
      <c r="K1286" s="3">
        <v>74</v>
      </c>
      <c r="L1286" s="4">
        <f>tblSales[[#This Row],[Quantity]]*tblSales[[#This Row],[Actual Price]]</f>
        <v>1480</v>
      </c>
    </row>
    <row r="1287" spans="1:12" x14ac:dyDescent="0.35">
      <c r="A1287" s="3" t="s">
        <v>1850</v>
      </c>
      <c r="B1287" s="4" t="s">
        <v>108</v>
      </c>
      <c r="C1287" s="4" t="s">
        <v>109</v>
      </c>
      <c r="D1287" s="4" t="s">
        <v>20</v>
      </c>
      <c r="E1287" s="7">
        <v>42462</v>
      </c>
      <c r="F1287" s="4" t="s">
        <v>73</v>
      </c>
      <c r="G1287" s="4" t="s">
        <v>947</v>
      </c>
      <c r="H1287" s="4">
        <v>500</v>
      </c>
      <c r="I1287" s="4">
        <v>500</v>
      </c>
      <c r="J1287" s="5">
        <v>0</v>
      </c>
      <c r="K1287" s="3">
        <v>15</v>
      </c>
      <c r="L1287" s="4">
        <f>tblSales[[#This Row],[Quantity]]*tblSales[[#This Row],[Actual Price]]</f>
        <v>7500</v>
      </c>
    </row>
    <row r="1288" spans="1:12" x14ac:dyDescent="0.35">
      <c r="A1288" s="3" t="s">
        <v>1851</v>
      </c>
      <c r="B1288" s="4" t="s">
        <v>125</v>
      </c>
      <c r="C1288" s="4" t="s">
        <v>41</v>
      </c>
      <c r="D1288" s="4" t="s">
        <v>36</v>
      </c>
      <c r="E1288" s="7">
        <v>42137</v>
      </c>
      <c r="F1288" s="4" t="s">
        <v>62</v>
      </c>
      <c r="G1288" s="4" t="s">
        <v>917</v>
      </c>
      <c r="H1288" s="4">
        <v>1000</v>
      </c>
      <c r="I1288" s="4">
        <v>910</v>
      </c>
      <c r="J1288" s="5">
        <v>0.09</v>
      </c>
      <c r="K1288" s="3">
        <v>57</v>
      </c>
      <c r="L1288" s="4">
        <f>tblSales[[#This Row],[Quantity]]*tblSales[[#This Row],[Actual Price]]</f>
        <v>51870</v>
      </c>
    </row>
    <row r="1289" spans="1:12" x14ac:dyDescent="0.35">
      <c r="A1289" s="3" t="s">
        <v>1852</v>
      </c>
      <c r="B1289" s="4" t="s">
        <v>171</v>
      </c>
      <c r="C1289" s="4" t="s">
        <v>172</v>
      </c>
      <c r="D1289" s="4" t="s">
        <v>14</v>
      </c>
      <c r="E1289" s="7">
        <v>42459</v>
      </c>
      <c r="F1289" s="4" t="s">
        <v>62</v>
      </c>
      <c r="G1289" s="4" t="s">
        <v>412</v>
      </c>
      <c r="H1289" s="4">
        <v>1000</v>
      </c>
      <c r="I1289" s="4">
        <v>960</v>
      </c>
      <c r="J1289" s="5">
        <v>0.04</v>
      </c>
      <c r="K1289" s="3">
        <v>67</v>
      </c>
      <c r="L1289" s="4">
        <f>tblSales[[#This Row],[Quantity]]*tblSales[[#This Row],[Actual Price]]</f>
        <v>64320</v>
      </c>
    </row>
    <row r="1290" spans="1:12" x14ac:dyDescent="0.35">
      <c r="A1290" s="3" t="s">
        <v>1853</v>
      </c>
      <c r="B1290" s="4" t="s">
        <v>271</v>
      </c>
      <c r="C1290" s="4" t="s">
        <v>272</v>
      </c>
      <c r="D1290" s="4" t="s">
        <v>36</v>
      </c>
      <c r="E1290" s="7">
        <v>41822</v>
      </c>
      <c r="F1290" s="4" t="s">
        <v>62</v>
      </c>
      <c r="G1290" s="4" t="s">
        <v>716</v>
      </c>
      <c r="H1290" s="4">
        <v>1000</v>
      </c>
      <c r="I1290" s="4">
        <v>540</v>
      </c>
      <c r="J1290" s="5">
        <v>0.46</v>
      </c>
      <c r="K1290" s="3">
        <v>16</v>
      </c>
      <c r="L1290" s="4">
        <f>tblSales[[#This Row],[Quantity]]*tblSales[[#This Row],[Actual Price]]</f>
        <v>8640</v>
      </c>
    </row>
    <row r="1291" spans="1:12" x14ac:dyDescent="0.35">
      <c r="A1291" s="3" t="s">
        <v>1854</v>
      </c>
      <c r="B1291" s="4" t="s">
        <v>183</v>
      </c>
      <c r="C1291" s="4" t="s">
        <v>109</v>
      </c>
      <c r="D1291" s="4" t="s">
        <v>20</v>
      </c>
      <c r="E1291" s="7">
        <v>43197</v>
      </c>
      <c r="F1291" s="4" t="s">
        <v>37</v>
      </c>
      <c r="G1291" s="4" t="s">
        <v>503</v>
      </c>
      <c r="H1291" s="4">
        <v>50</v>
      </c>
      <c r="I1291" s="4">
        <v>49</v>
      </c>
      <c r="J1291" s="5">
        <v>0.02</v>
      </c>
      <c r="K1291" s="3">
        <v>30</v>
      </c>
      <c r="L1291" s="4">
        <f>tblSales[[#This Row],[Quantity]]*tblSales[[#This Row],[Actual Price]]</f>
        <v>1470</v>
      </c>
    </row>
    <row r="1292" spans="1:12" x14ac:dyDescent="0.35">
      <c r="A1292" s="3" t="s">
        <v>1855</v>
      </c>
      <c r="B1292" s="4" t="s">
        <v>96</v>
      </c>
      <c r="C1292" s="4" t="s">
        <v>97</v>
      </c>
      <c r="D1292" s="4" t="s">
        <v>14</v>
      </c>
      <c r="E1292" s="7">
        <v>42936</v>
      </c>
      <c r="F1292" s="4" t="s">
        <v>37</v>
      </c>
      <c r="G1292" s="4" t="s">
        <v>461</v>
      </c>
      <c r="H1292" s="4">
        <v>50</v>
      </c>
      <c r="I1292" s="4">
        <v>47</v>
      </c>
      <c r="J1292" s="5">
        <v>0.06</v>
      </c>
      <c r="K1292" s="3">
        <v>50</v>
      </c>
      <c r="L1292" s="4">
        <f>tblSales[[#This Row],[Quantity]]*tblSales[[#This Row],[Actual Price]]</f>
        <v>2350</v>
      </c>
    </row>
    <row r="1293" spans="1:12" x14ac:dyDescent="0.35">
      <c r="A1293" s="3" t="s">
        <v>1856</v>
      </c>
      <c r="B1293" s="4" t="s">
        <v>60</v>
      </c>
      <c r="C1293" s="4" t="s">
        <v>61</v>
      </c>
      <c r="D1293" s="4" t="s">
        <v>14</v>
      </c>
      <c r="E1293" s="7">
        <v>42076</v>
      </c>
      <c r="F1293" s="4" t="s">
        <v>26</v>
      </c>
      <c r="G1293" s="4" t="s">
        <v>782</v>
      </c>
      <c r="H1293" s="4">
        <v>700</v>
      </c>
      <c r="I1293" s="4">
        <v>511</v>
      </c>
      <c r="J1293" s="5">
        <v>0.27</v>
      </c>
      <c r="K1293" s="3">
        <v>44</v>
      </c>
      <c r="L1293" s="4">
        <f>tblSales[[#This Row],[Quantity]]*tblSales[[#This Row],[Actual Price]]</f>
        <v>22484</v>
      </c>
    </row>
    <row r="1294" spans="1:12" x14ac:dyDescent="0.35">
      <c r="A1294" s="3" t="s">
        <v>1857</v>
      </c>
      <c r="B1294" s="4" t="s">
        <v>256</v>
      </c>
      <c r="C1294" s="4" t="s">
        <v>257</v>
      </c>
      <c r="D1294" s="4" t="s">
        <v>14</v>
      </c>
      <c r="E1294" s="7">
        <v>43386</v>
      </c>
      <c r="F1294" s="4" t="s">
        <v>56</v>
      </c>
      <c r="G1294" s="4" t="s">
        <v>1374</v>
      </c>
      <c r="H1294" s="4">
        <v>800</v>
      </c>
      <c r="I1294" s="4">
        <v>688</v>
      </c>
      <c r="J1294" s="5">
        <v>0.14000000000000001</v>
      </c>
      <c r="K1294" s="3">
        <v>79</v>
      </c>
      <c r="L1294" s="4">
        <f>tblSales[[#This Row],[Quantity]]*tblSales[[#This Row],[Actual Price]]</f>
        <v>54352</v>
      </c>
    </row>
    <row r="1295" spans="1:12" x14ac:dyDescent="0.35">
      <c r="A1295" s="3" t="s">
        <v>1858</v>
      </c>
      <c r="B1295" s="4" t="s">
        <v>115</v>
      </c>
      <c r="C1295" s="4" t="s">
        <v>55</v>
      </c>
      <c r="D1295" s="4" t="s">
        <v>14</v>
      </c>
      <c r="E1295" s="7">
        <v>43316</v>
      </c>
      <c r="F1295" s="4" t="s">
        <v>56</v>
      </c>
      <c r="G1295" s="4" t="s">
        <v>1497</v>
      </c>
      <c r="H1295" s="4">
        <v>800</v>
      </c>
      <c r="I1295" s="4">
        <v>648</v>
      </c>
      <c r="J1295" s="5">
        <v>0.19</v>
      </c>
      <c r="K1295" s="3">
        <v>62</v>
      </c>
      <c r="L1295" s="4">
        <f>tblSales[[#This Row],[Quantity]]*tblSales[[#This Row],[Actual Price]]</f>
        <v>40176</v>
      </c>
    </row>
    <row r="1296" spans="1:12" x14ac:dyDescent="0.35">
      <c r="A1296" s="3" t="s">
        <v>1859</v>
      </c>
      <c r="B1296" s="4" t="s">
        <v>188</v>
      </c>
      <c r="C1296" s="4" t="s">
        <v>189</v>
      </c>
      <c r="D1296" s="4" t="s">
        <v>14</v>
      </c>
      <c r="E1296" s="7">
        <v>42884</v>
      </c>
      <c r="F1296" s="4" t="s">
        <v>42</v>
      </c>
      <c r="G1296" s="4" t="s">
        <v>742</v>
      </c>
      <c r="H1296" s="4">
        <v>30</v>
      </c>
      <c r="I1296" s="4">
        <v>30</v>
      </c>
      <c r="J1296" s="5">
        <v>0</v>
      </c>
      <c r="K1296" s="3">
        <v>47</v>
      </c>
      <c r="L1296" s="4">
        <f>tblSales[[#This Row],[Quantity]]*tblSales[[#This Row],[Actual Price]]</f>
        <v>1410</v>
      </c>
    </row>
    <row r="1297" spans="1:12" x14ac:dyDescent="0.35">
      <c r="A1297" s="3" t="s">
        <v>1860</v>
      </c>
      <c r="B1297" s="4" t="s">
        <v>228</v>
      </c>
      <c r="C1297" s="4" t="s">
        <v>229</v>
      </c>
      <c r="D1297" s="4" t="s">
        <v>25</v>
      </c>
      <c r="E1297" s="7">
        <v>41908</v>
      </c>
      <c r="F1297" s="4" t="s">
        <v>116</v>
      </c>
      <c r="G1297" s="4" t="s">
        <v>279</v>
      </c>
      <c r="H1297" s="4">
        <v>250</v>
      </c>
      <c r="I1297" s="4">
        <v>230</v>
      </c>
      <c r="J1297" s="5">
        <v>0.08</v>
      </c>
      <c r="K1297" s="3">
        <v>67</v>
      </c>
      <c r="L1297" s="4">
        <f>tblSales[[#This Row],[Quantity]]*tblSales[[#This Row],[Actual Price]]</f>
        <v>15410</v>
      </c>
    </row>
    <row r="1298" spans="1:12" x14ac:dyDescent="0.35">
      <c r="A1298" s="3" t="s">
        <v>1861</v>
      </c>
      <c r="B1298" s="4" t="s">
        <v>18</v>
      </c>
      <c r="C1298" s="4" t="s">
        <v>19</v>
      </c>
      <c r="D1298" s="4" t="s">
        <v>20</v>
      </c>
      <c r="E1298" s="7">
        <v>43428</v>
      </c>
      <c r="F1298" s="4" t="s">
        <v>123</v>
      </c>
      <c r="G1298" s="4" t="s">
        <v>777</v>
      </c>
      <c r="H1298" s="4">
        <v>50</v>
      </c>
      <c r="I1298" s="4">
        <v>47</v>
      </c>
      <c r="J1298" s="5">
        <v>0.06</v>
      </c>
      <c r="K1298" s="3">
        <v>62</v>
      </c>
      <c r="L1298" s="4">
        <f>tblSales[[#This Row],[Quantity]]*tblSales[[#This Row],[Actual Price]]</f>
        <v>2914</v>
      </c>
    </row>
    <row r="1299" spans="1:12" x14ac:dyDescent="0.35">
      <c r="A1299" s="3" t="s">
        <v>1862</v>
      </c>
      <c r="B1299" s="4" t="s">
        <v>256</v>
      </c>
      <c r="C1299" s="4" t="s">
        <v>257</v>
      </c>
      <c r="D1299" s="4" t="s">
        <v>14</v>
      </c>
      <c r="E1299" s="7">
        <v>42147</v>
      </c>
      <c r="F1299" s="4" t="s">
        <v>42</v>
      </c>
      <c r="G1299" s="4" t="s">
        <v>523</v>
      </c>
      <c r="H1299" s="4">
        <v>30</v>
      </c>
      <c r="I1299" s="4">
        <v>25</v>
      </c>
      <c r="J1299" s="5">
        <v>0.16669999999999999</v>
      </c>
      <c r="K1299" s="3">
        <v>46</v>
      </c>
      <c r="L1299" s="4">
        <f>tblSales[[#This Row],[Quantity]]*tblSales[[#This Row],[Actual Price]]</f>
        <v>1150</v>
      </c>
    </row>
    <row r="1300" spans="1:12" x14ac:dyDescent="0.35">
      <c r="A1300" s="3" t="s">
        <v>1863</v>
      </c>
      <c r="B1300" s="4" t="s">
        <v>188</v>
      </c>
      <c r="C1300" s="4" t="s">
        <v>189</v>
      </c>
      <c r="D1300" s="4" t="s">
        <v>14</v>
      </c>
      <c r="E1300" s="7">
        <v>43022</v>
      </c>
      <c r="F1300" s="4" t="s">
        <v>105</v>
      </c>
      <c r="G1300" s="4" t="s">
        <v>742</v>
      </c>
      <c r="H1300" s="4">
        <v>70</v>
      </c>
      <c r="I1300" s="4">
        <v>67</v>
      </c>
      <c r="J1300" s="5">
        <v>4.2900000000000001E-2</v>
      </c>
      <c r="K1300" s="3">
        <v>4</v>
      </c>
      <c r="L1300" s="4">
        <f>tblSales[[#This Row],[Quantity]]*tblSales[[#This Row],[Actual Price]]</f>
        <v>268</v>
      </c>
    </row>
    <row r="1301" spans="1:12" x14ac:dyDescent="0.35">
      <c r="A1301" s="3" t="s">
        <v>1864</v>
      </c>
      <c r="B1301" s="4" t="s">
        <v>171</v>
      </c>
      <c r="C1301" s="4" t="s">
        <v>172</v>
      </c>
      <c r="D1301" s="4" t="s">
        <v>14</v>
      </c>
      <c r="E1301" s="7">
        <v>43250</v>
      </c>
      <c r="F1301" s="4" t="s">
        <v>62</v>
      </c>
      <c r="G1301" s="4" t="s">
        <v>1865</v>
      </c>
      <c r="H1301" s="4">
        <v>1000</v>
      </c>
      <c r="I1301" s="4">
        <v>940</v>
      </c>
      <c r="J1301" s="5">
        <v>0.06</v>
      </c>
      <c r="K1301" s="3">
        <v>31</v>
      </c>
      <c r="L1301" s="4">
        <f>tblSales[[#This Row],[Quantity]]*tblSales[[#This Row],[Actual Price]]</f>
        <v>29140</v>
      </c>
    </row>
    <row r="1302" spans="1:12" x14ac:dyDescent="0.35">
      <c r="A1302" s="3" t="s">
        <v>1866</v>
      </c>
      <c r="B1302" s="4" t="s">
        <v>155</v>
      </c>
      <c r="C1302" s="4" t="s">
        <v>109</v>
      </c>
      <c r="D1302" s="4" t="s">
        <v>20</v>
      </c>
      <c r="E1302" s="7">
        <v>42301</v>
      </c>
      <c r="F1302" s="4" t="s">
        <v>47</v>
      </c>
      <c r="G1302" s="4" t="s">
        <v>994</v>
      </c>
      <c r="H1302" s="4">
        <v>500</v>
      </c>
      <c r="I1302" s="4">
        <v>480</v>
      </c>
      <c r="J1302" s="5">
        <v>0.04</v>
      </c>
      <c r="K1302" s="3">
        <v>10</v>
      </c>
      <c r="L1302" s="4">
        <f>tblSales[[#This Row],[Quantity]]*tblSales[[#This Row],[Actual Price]]</f>
        <v>4800</v>
      </c>
    </row>
    <row r="1303" spans="1:12" x14ac:dyDescent="0.35">
      <c r="A1303" s="3" t="s">
        <v>1867</v>
      </c>
      <c r="B1303" s="4" t="s">
        <v>96</v>
      </c>
      <c r="C1303" s="4" t="s">
        <v>97</v>
      </c>
      <c r="D1303" s="4" t="s">
        <v>14</v>
      </c>
      <c r="E1303" s="7">
        <v>43126</v>
      </c>
      <c r="F1303" s="4" t="s">
        <v>105</v>
      </c>
      <c r="G1303" s="4" t="s">
        <v>461</v>
      </c>
      <c r="H1303" s="4">
        <v>70</v>
      </c>
      <c r="I1303" s="4">
        <v>68</v>
      </c>
      <c r="J1303" s="5">
        <v>2.86E-2</v>
      </c>
      <c r="K1303" s="3">
        <v>6</v>
      </c>
      <c r="L1303" s="4">
        <f>tblSales[[#This Row],[Quantity]]*tblSales[[#This Row],[Actual Price]]</f>
        <v>408</v>
      </c>
    </row>
    <row r="1304" spans="1:12" x14ac:dyDescent="0.35">
      <c r="A1304" s="3" t="s">
        <v>1868</v>
      </c>
      <c r="B1304" s="4" t="s">
        <v>100</v>
      </c>
      <c r="C1304" s="4" t="s">
        <v>101</v>
      </c>
      <c r="D1304" s="4" t="s">
        <v>14</v>
      </c>
      <c r="E1304" s="7">
        <v>43266</v>
      </c>
      <c r="F1304" s="4" t="s">
        <v>31</v>
      </c>
      <c r="G1304" s="4" t="s">
        <v>1826</v>
      </c>
      <c r="H1304" s="4">
        <v>150</v>
      </c>
      <c r="I1304" s="4">
        <v>147</v>
      </c>
      <c r="J1304" s="5">
        <v>0.02</v>
      </c>
      <c r="K1304" s="3">
        <v>84</v>
      </c>
      <c r="L1304" s="4">
        <f>tblSales[[#This Row],[Quantity]]*tblSales[[#This Row],[Actual Price]]</f>
        <v>12348</v>
      </c>
    </row>
    <row r="1305" spans="1:12" x14ac:dyDescent="0.35">
      <c r="A1305" s="3" t="s">
        <v>1869</v>
      </c>
      <c r="B1305" s="4" t="s">
        <v>171</v>
      </c>
      <c r="C1305" s="4" t="s">
        <v>172</v>
      </c>
      <c r="D1305" s="4" t="s">
        <v>14</v>
      </c>
      <c r="E1305" s="7">
        <v>42915</v>
      </c>
      <c r="F1305" s="4" t="s">
        <v>15</v>
      </c>
      <c r="G1305" s="4" t="s">
        <v>1422</v>
      </c>
      <c r="H1305" s="4">
        <v>80</v>
      </c>
      <c r="I1305" s="4">
        <v>74</v>
      </c>
      <c r="J1305" s="5">
        <v>7.4999999999999997E-2</v>
      </c>
      <c r="K1305" s="3">
        <v>42</v>
      </c>
      <c r="L1305" s="4">
        <f>tblSales[[#This Row],[Quantity]]*tblSales[[#This Row],[Actual Price]]</f>
        <v>3108</v>
      </c>
    </row>
    <row r="1306" spans="1:12" x14ac:dyDescent="0.35">
      <c r="A1306" s="3" t="s">
        <v>1870</v>
      </c>
      <c r="B1306" s="4" t="s">
        <v>158</v>
      </c>
      <c r="C1306" s="4" t="s">
        <v>109</v>
      </c>
      <c r="D1306" s="4" t="s">
        <v>20</v>
      </c>
      <c r="E1306" s="7">
        <v>42580</v>
      </c>
      <c r="F1306" s="4" t="s">
        <v>73</v>
      </c>
      <c r="G1306" s="4" t="s">
        <v>1871</v>
      </c>
      <c r="H1306" s="4">
        <v>500</v>
      </c>
      <c r="I1306" s="4">
        <v>490</v>
      </c>
      <c r="J1306" s="5">
        <v>0.02</v>
      </c>
      <c r="K1306" s="3">
        <v>80</v>
      </c>
      <c r="L1306" s="4">
        <f>tblSales[[#This Row],[Quantity]]*tblSales[[#This Row],[Actual Price]]</f>
        <v>39200</v>
      </c>
    </row>
    <row r="1307" spans="1:12" x14ac:dyDescent="0.35">
      <c r="A1307" s="3" t="s">
        <v>1872</v>
      </c>
      <c r="B1307" s="4" t="s">
        <v>206</v>
      </c>
      <c r="C1307" s="4" t="s">
        <v>207</v>
      </c>
      <c r="D1307" s="4" t="s">
        <v>25</v>
      </c>
      <c r="E1307" s="7">
        <v>42509</v>
      </c>
      <c r="F1307" s="4" t="s">
        <v>73</v>
      </c>
      <c r="G1307" s="4" t="s">
        <v>1873</v>
      </c>
      <c r="H1307" s="4">
        <v>500</v>
      </c>
      <c r="I1307" s="4">
        <v>490</v>
      </c>
      <c r="J1307" s="5">
        <v>0.02</v>
      </c>
      <c r="K1307" s="3">
        <v>76</v>
      </c>
      <c r="L1307" s="4">
        <f>tblSales[[#This Row],[Quantity]]*tblSales[[#This Row],[Actual Price]]</f>
        <v>37240</v>
      </c>
    </row>
    <row r="1308" spans="1:12" x14ac:dyDescent="0.35">
      <c r="A1308" s="3" t="s">
        <v>1874</v>
      </c>
      <c r="B1308" s="4" t="s">
        <v>119</v>
      </c>
      <c r="C1308" s="4" t="s">
        <v>120</v>
      </c>
      <c r="D1308" s="4" t="s">
        <v>36</v>
      </c>
      <c r="E1308" s="7">
        <v>41731</v>
      </c>
      <c r="F1308" s="4" t="s">
        <v>105</v>
      </c>
      <c r="G1308" s="4" t="s">
        <v>848</v>
      </c>
      <c r="H1308" s="4">
        <v>70</v>
      </c>
      <c r="I1308" s="4">
        <v>70</v>
      </c>
      <c r="J1308" s="5">
        <v>0</v>
      </c>
      <c r="K1308" s="3">
        <v>86</v>
      </c>
      <c r="L1308" s="4">
        <f>tblSales[[#This Row],[Quantity]]*tblSales[[#This Row],[Actual Price]]</f>
        <v>6020</v>
      </c>
    </row>
    <row r="1309" spans="1:12" x14ac:dyDescent="0.35">
      <c r="A1309" s="3" t="s">
        <v>1875</v>
      </c>
      <c r="B1309" s="4" t="s">
        <v>86</v>
      </c>
      <c r="C1309" s="4" t="s">
        <v>87</v>
      </c>
      <c r="D1309" s="4" t="s">
        <v>14</v>
      </c>
      <c r="E1309" s="7">
        <v>41972</v>
      </c>
      <c r="F1309" s="4" t="s">
        <v>73</v>
      </c>
      <c r="G1309" s="4" t="s">
        <v>574</v>
      </c>
      <c r="H1309" s="4">
        <v>500</v>
      </c>
      <c r="I1309" s="4">
        <v>500</v>
      </c>
      <c r="J1309" s="5">
        <v>0</v>
      </c>
      <c r="K1309" s="3">
        <v>63</v>
      </c>
      <c r="L1309" s="4">
        <f>tblSales[[#This Row],[Quantity]]*tblSales[[#This Row],[Actual Price]]</f>
        <v>31500</v>
      </c>
    </row>
    <row r="1310" spans="1:12" x14ac:dyDescent="0.35">
      <c r="A1310" s="3" t="s">
        <v>1876</v>
      </c>
      <c r="B1310" s="4" t="s">
        <v>78</v>
      </c>
      <c r="C1310" s="4" t="s">
        <v>79</v>
      </c>
      <c r="D1310" s="4" t="s">
        <v>36</v>
      </c>
      <c r="E1310" s="7">
        <v>42305</v>
      </c>
      <c r="F1310" s="4" t="s">
        <v>26</v>
      </c>
      <c r="G1310" s="4" t="s">
        <v>163</v>
      </c>
      <c r="H1310" s="4">
        <v>700</v>
      </c>
      <c r="I1310" s="4">
        <v>630</v>
      </c>
      <c r="J1310" s="5">
        <v>0.1</v>
      </c>
      <c r="K1310" s="3">
        <v>25</v>
      </c>
      <c r="L1310" s="4">
        <f>tblSales[[#This Row],[Quantity]]*tblSales[[#This Row],[Actual Price]]</f>
        <v>15750</v>
      </c>
    </row>
    <row r="1311" spans="1:12" x14ac:dyDescent="0.35">
      <c r="A1311" s="3" t="s">
        <v>1877</v>
      </c>
      <c r="B1311" s="4" t="s">
        <v>96</v>
      </c>
      <c r="C1311" s="4" t="s">
        <v>97</v>
      </c>
      <c r="D1311" s="4" t="s">
        <v>14</v>
      </c>
      <c r="E1311" s="7">
        <v>42170</v>
      </c>
      <c r="F1311" s="4" t="s">
        <v>37</v>
      </c>
      <c r="G1311" s="4" t="s">
        <v>1276</v>
      </c>
      <c r="H1311" s="4">
        <v>50</v>
      </c>
      <c r="I1311" s="4">
        <v>48</v>
      </c>
      <c r="J1311" s="5">
        <v>0.04</v>
      </c>
      <c r="K1311" s="3">
        <v>67</v>
      </c>
      <c r="L1311" s="4">
        <f>tblSales[[#This Row],[Quantity]]*tblSales[[#This Row],[Actual Price]]</f>
        <v>3216</v>
      </c>
    </row>
    <row r="1312" spans="1:12" x14ac:dyDescent="0.35">
      <c r="A1312" s="3" t="s">
        <v>1878</v>
      </c>
      <c r="B1312" s="4" t="s">
        <v>242</v>
      </c>
      <c r="C1312" s="4" t="s">
        <v>243</v>
      </c>
      <c r="D1312" s="4" t="s">
        <v>14</v>
      </c>
      <c r="E1312" s="7">
        <v>43402</v>
      </c>
      <c r="F1312" s="4" t="s">
        <v>56</v>
      </c>
      <c r="G1312" s="4" t="s">
        <v>627</v>
      </c>
      <c r="H1312" s="4">
        <v>800</v>
      </c>
      <c r="I1312" s="4">
        <v>736</v>
      </c>
      <c r="J1312" s="5">
        <v>0.08</v>
      </c>
      <c r="K1312" s="3">
        <v>4</v>
      </c>
      <c r="L1312" s="4">
        <f>tblSales[[#This Row],[Quantity]]*tblSales[[#This Row],[Actual Price]]</f>
        <v>2944</v>
      </c>
    </row>
    <row r="1313" spans="1:12" x14ac:dyDescent="0.35">
      <c r="A1313" s="3" t="s">
        <v>1879</v>
      </c>
      <c r="B1313" s="4" t="s">
        <v>128</v>
      </c>
      <c r="C1313" s="4" t="s">
        <v>129</v>
      </c>
      <c r="D1313" s="4" t="s">
        <v>14</v>
      </c>
      <c r="E1313" s="7">
        <v>42819</v>
      </c>
      <c r="F1313" s="4" t="s">
        <v>56</v>
      </c>
      <c r="G1313" s="4" t="s">
        <v>921</v>
      </c>
      <c r="H1313" s="4">
        <v>800</v>
      </c>
      <c r="I1313" s="4">
        <v>784</v>
      </c>
      <c r="J1313" s="5">
        <v>0.02</v>
      </c>
      <c r="K1313" s="3">
        <v>14</v>
      </c>
      <c r="L1313" s="4">
        <f>tblSales[[#This Row],[Quantity]]*tblSales[[#This Row],[Actual Price]]</f>
        <v>10976</v>
      </c>
    </row>
    <row r="1314" spans="1:12" x14ac:dyDescent="0.35">
      <c r="A1314" s="3" t="s">
        <v>1880</v>
      </c>
      <c r="B1314" s="4" t="s">
        <v>151</v>
      </c>
      <c r="C1314" s="4" t="s">
        <v>152</v>
      </c>
      <c r="D1314" s="4" t="s">
        <v>14</v>
      </c>
      <c r="E1314" s="7">
        <v>42912</v>
      </c>
      <c r="F1314" s="4" t="s">
        <v>116</v>
      </c>
      <c r="G1314" s="4" t="s">
        <v>772</v>
      </c>
      <c r="H1314" s="4">
        <v>250</v>
      </c>
      <c r="I1314" s="4">
        <v>230</v>
      </c>
      <c r="J1314" s="5">
        <v>0.08</v>
      </c>
      <c r="K1314" s="3">
        <v>95</v>
      </c>
      <c r="L1314" s="4">
        <f>tblSales[[#This Row],[Quantity]]*tblSales[[#This Row],[Actual Price]]</f>
        <v>21850</v>
      </c>
    </row>
    <row r="1315" spans="1:12" x14ac:dyDescent="0.35">
      <c r="A1315" s="3" t="s">
        <v>1881</v>
      </c>
      <c r="B1315" s="4" t="s">
        <v>40</v>
      </c>
      <c r="C1315" s="4" t="s">
        <v>41</v>
      </c>
      <c r="D1315" s="4" t="s">
        <v>36</v>
      </c>
      <c r="E1315" s="7">
        <v>42675</v>
      </c>
      <c r="F1315" s="4" t="s">
        <v>105</v>
      </c>
      <c r="G1315" s="4" t="s">
        <v>1882</v>
      </c>
      <c r="H1315" s="4">
        <v>70</v>
      </c>
      <c r="I1315" s="4">
        <v>62</v>
      </c>
      <c r="J1315" s="5">
        <v>0.1143</v>
      </c>
      <c r="K1315" s="3">
        <v>47</v>
      </c>
      <c r="L1315" s="4">
        <f>tblSales[[#This Row],[Quantity]]*tblSales[[#This Row],[Actual Price]]</f>
        <v>2914</v>
      </c>
    </row>
    <row r="1316" spans="1:12" x14ac:dyDescent="0.35">
      <c r="A1316" s="3" t="s">
        <v>1883</v>
      </c>
      <c r="B1316" s="4" t="s">
        <v>23</v>
      </c>
      <c r="C1316" s="4" t="s">
        <v>24</v>
      </c>
      <c r="D1316" s="4" t="s">
        <v>25</v>
      </c>
      <c r="E1316" s="7">
        <v>41847</v>
      </c>
      <c r="F1316" s="4" t="s">
        <v>116</v>
      </c>
      <c r="G1316" s="4" t="s">
        <v>311</v>
      </c>
      <c r="H1316" s="4">
        <v>250</v>
      </c>
      <c r="I1316" s="4">
        <v>193</v>
      </c>
      <c r="J1316" s="5">
        <v>0.22800000000000001</v>
      </c>
      <c r="K1316" s="3">
        <v>51</v>
      </c>
      <c r="L1316" s="4">
        <f>tblSales[[#This Row],[Quantity]]*tblSales[[#This Row],[Actual Price]]</f>
        <v>9843</v>
      </c>
    </row>
    <row r="1317" spans="1:12" x14ac:dyDescent="0.35">
      <c r="A1317" s="3" t="s">
        <v>1884</v>
      </c>
      <c r="B1317" s="4" t="s">
        <v>78</v>
      </c>
      <c r="C1317" s="4" t="s">
        <v>79</v>
      </c>
      <c r="D1317" s="4" t="s">
        <v>36</v>
      </c>
      <c r="E1317" s="7">
        <v>42076</v>
      </c>
      <c r="F1317" s="4" t="s">
        <v>73</v>
      </c>
      <c r="G1317" s="4" t="s">
        <v>763</v>
      </c>
      <c r="H1317" s="4">
        <v>500</v>
      </c>
      <c r="I1317" s="4">
        <v>495</v>
      </c>
      <c r="J1317" s="5">
        <v>0.01</v>
      </c>
      <c r="K1317" s="3">
        <v>53</v>
      </c>
      <c r="L1317" s="4">
        <f>tblSales[[#This Row],[Quantity]]*tblSales[[#This Row],[Actual Price]]</f>
        <v>26235</v>
      </c>
    </row>
    <row r="1318" spans="1:12" x14ac:dyDescent="0.35">
      <c r="A1318" s="3" t="s">
        <v>1885</v>
      </c>
      <c r="B1318" s="4" t="s">
        <v>151</v>
      </c>
      <c r="C1318" s="4" t="s">
        <v>152</v>
      </c>
      <c r="D1318" s="4" t="s">
        <v>14</v>
      </c>
      <c r="E1318" s="7">
        <v>41883</v>
      </c>
      <c r="F1318" s="4" t="s">
        <v>56</v>
      </c>
      <c r="G1318" s="4" t="s">
        <v>153</v>
      </c>
      <c r="H1318" s="4">
        <v>800</v>
      </c>
      <c r="I1318" s="4">
        <v>784</v>
      </c>
      <c r="J1318" s="5">
        <v>0.02</v>
      </c>
      <c r="K1318" s="3">
        <v>36</v>
      </c>
      <c r="L1318" s="4">
        <f>tblSales[[#This Row],[Quantity]]*tblSales[[#This Row],[Actual Price]]</f>
        <v>28224</v>
      </c>
    </row>
    <row r="1319" spans="1:12" x14ac:dyDescent="0.35">
      <c r="A1319" s="3" t="s">
        <v>1886</v>
      </c>
      <c r="B1319" s="4" t="s">
        <v>206</v>
      </c>
      <c r="C1319" s="4" t="s">
        <v>207</v>
      </c>
      <c r="D1319" s="4" t="s">
        <v>25</v>
      </c>
      <c r="E1319" s="7">
        <v>41989</v>
      </c>
      <c r="F1319" s="4" t="s">
        <v>15</v>
      </c>
      <c r="G1319" s="4" t="s">
        <v>682</v>
      </c>
      <c r="H1319" s="4">
        <v>80</v>
      </c>
      <c r="I1319" s="4">
        <v>60</v>
      </c>
      <c r="J1319" s="5">
        <v>0.25</v>
      </c>
      <c r="K1319" s="3">
        <v>44</v>
      </c>
      <c r="L1319" s="4">
        <f>tblSales[[#This Row],[Quantity]]*tblSales[[#This Row],[Actual Price]]</f>
        <v>2640</v>
      </c>
    </row>
    <row r="1320" spans="1:12" x14ac:dyDescent="0.35">
      <c r="A1320" s="3" t="s">
        <v>1887</v>
      </c>
      <c r="B1320" s="4" t="s">
        <v>128</v>
      </c>
      <c r="C1320" s="4" t="s">
        <v>129</v>
      </c>
      <c r="D1320" s="4" t="s">
        <v>14</v>
      </c>
      <c r="E1320" s="7">
        <v>43063</v>
      </c>
      <c r="F1320" s="4" t="s">
        <v>116</v>
      </c>
      <c r="G1320" s="4" t="s">
        <v>1262</v>
      </c>
      <c r="H1320" s="4">
        <v>250</v>
      </c>
      <c r="I1320" s="4">
        <v>235</v>
      </c>
      <c r="J1320" s="5">
        <v>0.06</v>
      </c>
      <c r="K1320" s="3">
        <v>76</v>
      </c>
      <c r="L1320" s="4">
        <f>tblSales[[#This Row],[Quantity]]*tblSales[[#This Row],[Actual Price]]</f>
        <v>17860</v>
      </c>
    </row>
    <row r="1321" spans="1:12" x14ac:dyDescent="0.35">
      <c r="A1321" s="3" t="s">
        <v>1888</v>
      </c>
      <c r="B1321" s="4" t="s">
        <v>82</v>
      </c>
      <c r="C1321" s="4" t="s">
        <v>83</v>
      </c>
      <c r="D1321" s="4" t="s">
        <v>14</v>
      </c>
      <c r="E1321" s="7">
        <v>42364</v>
      </c>
      <c r="F1321" s="4" t="s">
        <v>116</v>
      </c>
      <c r="G1321" s="4" t="s">
        <v>954</v>
      </c>
      <c r="H1321" s="4">
        <v>250</v>
      </c>
      <c r="I1321" s="4">
        <v>228</v>
      </c>
      <c r="J1321" s="5">
        <v>8.7999999999999995E-2</v>
      </c>
      <c r="K1321" s="3">
        <v>70</v>
      </c>
      <c r="L1321" s="4">
        <f>tblSales[[#This Row],[Quantity]]*tblSales[[#This Row],[Actual Price]]</f>
        <v>15960</v>
      </c>
    </row>
    <row r="1322" spans="1:12" x14ac:dyDescent="0.35">
      <c r="A1322" s="3" t="s">
        <v>1889</v>
      </c>
      <c r="B1322" s="4" t="s">
        <v>147</v>
      </c>
      <c r="C1322" s="4" t="s">
        <v>148</v>
      </c>
      <c r="D1322" s="4" t="s">
        <v>14</v>
      </c>
      <c r="E1322" s="7">
        <v>42425</v>
      </c>
      <c r="F1322" s="4" t="s">
        <v>15</v>
      </c>
      <c r="G1322" s="4" t="s">
        <v>1319</v>
      </c>
      <c r="H1322" s="4">
        <v>80</v>
      </c>
      <c r="I1322" s="4">
        <v>68</v>
      </c>
      <c r="J1322" s="5">
        <v>0.15</v>
      </c>
      <c r="K1322" s="3">
        <v>14</v>
      </c>
      <c r="L1322" s="4">
        <f>tblSales[[#This Row],[Quantity]]*tblSales[[#This Row],[Actual Price]]</f>
        <v>952</v>
      </c>
    </row>
    <row r="1323" spans="1:12" x14ac:dyDescent="0.35">
      <c r="A1323" s="3" t="s">
        <v>1890</v>
      </c>
      <c r="B1323" s="4" t="s">
        <v>128</v>
      </c>
      <c r="C1323" s="4" t="s">
        <v>129</v>
      </c>
      <c r="D1323" s="4" t="s">
        <v>14</v>
      </c>
      <c r="E1323" s="7">
        <v>42172</v>
      </c>
      <c r="F1323" s="4" t="s">
        <v>105</v>
      </c>
      <c r="G1323" s="4" t="s">
        <v>921</v>
      </c>
      <c r="H1323" s="4">
        <v>70</v>
      </c>
      <c r="I1323" s="4">
        <v>64</v>
      </c>
      <c r="J1323" s="5">
        <v>8.5699999999999998E-2</v>
      </c>
      <c r="K1323" s="3">
        <v>10</v>
      </c>
      <c r="L1323" s="4">
        <f>tblSales[[#This Row],[Quantity]]*tblSales[[#This Row],[Actual Price]]</f>
        <v>640</v>
      </c>
    </row>
    <row r="1324" spans="1:12" x14ac:dyDescent="0.35">
      <c r="A1324" s="3" t="s">
        <v>1891</v>
      </c>
      <c r="B1324" s="4" t="s">
        <v>12</v>
      </c>
      <c r="C1324" s="4" t="s">
        <v>13</v>
      </c>
      <c r="D1324" s="4" t="s">
        <v>14</v>
      </c>
      <c r="E1324" s="7">
        <v>42042</v>
      </c>
      <c r="F1324" s="4" t="s">
        <v>56</v>
      </c>
      <c r="G1324" s="4" t="s">
        <v>349</v>
      </c>
      <c r="H1324" s="4">
        <v>800</v>
      </c>
      <c r="I1324" s="4">
        <v>576</v>
      </c>
      <c r="J1324" s="5">
        <v>0.28000000000000003</v>
      </c>
      <c r="K1324" s="3">
        <v>27</v>
      </c>
      <c r="L1324" s="4">
        <f>tblSales[[#This Row],[Quantity]]*tblSales[[#This Row],[Actual Price]]</f>
        <v>15552</v>
      </c>
    </row>
    <row r="1325" spans="1:12" x14ac:dyDescent="0.35">
      <c r="A1325" s="3" t="s">
        <v>1892</v>
      </c>
      <c r="B1325" s="4" t="s">
        <v>54</v>
      </c>
      <c r="C1325" s="4" t="s">
        <v>55</v>
      </c>
      <c r="D1325" s="4" t="s">
        <v>14</v>
      </c>
      <c r="E1325" s="7">
        <v>42917</v>
      </c>
      <c r="F1325" s="4" t="s">
        <v>37</v>
      </c>
      <c r="G1325" s="4" t="s">
        <v>1207</v>
      </c>
      <c r="H1325" s="4">
        <v>50</v>
      </c>
      <c r="I1325" s="4">
        <v>48</v>
      </c>
      <c r="J1325" s="5">
        <v>0.04</v>
      </c>
      <c r="K1325" s="3">
        <v>76</v>
      </c>
      <c r="L1325" s="4">
        <f>tblSales[[#This Row],[Quantity]]*tblSales[[#This Row],[Actual Price]]</f>
        <v>3648</v>
      </c>
    </row>
    <row r="1326" spans="1:12" x14ac:dyDescent="0.35">
      <c r="A1326" s="3" t="s">
        <v>1893</v>
      </c>
      <c r="B1326" s="4" t="s">
        <v>325</v>
      </c>
      <c r="C1326" s="4" t="s">
        <v>326</v>
      </c>
      <c r="D1326" s="4" t="s">
        <v>14</v>
      </c>
      <c r="E1326" s="7">
        <v>41907</v>
      </c>
      <c r="F1326" s="4" t="s">
        <v>116</v>
      </c>
      <c r="G1326" s="4" t="s">
        <v>327</v>
      </c>
      <c r="H1326" s="4">
        <v>250</v>
      </c>
      <c r="I1326" s="4">
        <v>248</v>
      </c>
      <c r="J1326" s="5">
        <v>8.0000000000000002E-3</v>
      </c>
      <c r="K1326" s="3">
        <v>5</v>
      </c>
      <c r="L1326" s="4">
        <f>tblSales[[#This Row],[Quantity]]*tblSales[[#This Row],[Actual Price]]</f>
        <v>1240</v>
      </c>
    </row>
    <row r="1327" spans="1:12" x14ac:dyDescent="0.35">
      <c r="A1327" s="3" t="s">
        <v>1894</v>
      </c>
      <c r="B1327" s="4" t="s">
        <v>104</v>
      </c>
      <c r="C1327" s="4" t="s">
        <v>72</v>
      </c>
      <c r="D1327" s="4" t="s">
        <v>36</v>
      </c>
      <c r="E1327" s="7">
        <v>42339</v>
      </c>
      <c r="F1327" s="4" t="s">
        <v>26</v>
      </c>
      <c r="G1327" s="4" t="s">
        <v>498</v>
      </c>
      <c r="H1327" s="4">
        <v>700</v>
      </c>
      <c r="I1327" s="4">
        <v>567</v>
      </c>
      <c r="J1327" s="5">
        <v>0.19</v>
      </c>
      <c r="K1327" s="3">
        <v>18</v>
      </c>
      <c r="L1327" s="4">
        <f>tblSales[[#This Row],[Quantity]]*tblSales[[#This Row],[Actual Price]]</f>
        <v>10206</v>
      </c>
    </row>
    <row r="1328" spans="1:12" x14ac:dyDescent="0.35">
      <c r="A1328" s="3" t="s">
        <v>1895</v>
      </c>
      <c r="B1328" s="4" t="s">
        <v>71</v>
      </c>
      <c r="C1328" s="4" t="s">
        <v>72</v>
      </c>
      <c r="D1328" s="4" t="s">
        <v>36</v>
      </c>
      <c r="E1328" s="7">
        <v>42891</v>
      </c>
      <c r="F1328" s="4" t="s">
        <v>56</v>
      </c>
      <c r="G1328" s="4" t="s">
        <v>963</v>
      </c>
      <c r="H1328" s="4">
        <v>800</v>
      </c>
      <c r="I1328" s="4">
        <v>472</v>
      </c>
      <c r="J1328" s="5">
        <v>0.41</v>
      </c>
      <c r="K1328" s="3">
        <v>71</v>
      </c>
      <c r="L1328" s="4">
        <f>tblSales[[#This Row],[Quantity]]*tblSales[[#This Row],[Actual Price]]</f>
        <v>33512</v>
      </c>
    </row>
    <row r="1329" spans="1:12" x14ac:dyDescent="0.35">
      <c r="A1329" s="3" t="s">
        <v>1896</v>
      </c>
      <c r="B1329" s="4" t="s">
        <v>271</v>
      </c>
      <c r="C1329" s="4" t="s">
        <v>272</v>
      </c>
      <c r="D1329" s="4" t="s">
        <v>36</v>
      </c>
      <c r="E1329" s="7">
        <v>42171</v>
      </c>
      <c r="F1329" s="4" t="s">
        <v>26</v>
      </c>
      <c r="G1329" s="4" t="s">
        <v>567</v>
      </c>
      <c r="H1329" s="4">
        <v>700</v>
      </c>
      <c r="I1329" s="4">
        <v>595</v>
      </c>
      <c r="J1329" s="5">
        <v>0.15</v>
      </c>
      <c r="K1329" s="3">
        <v>9</v>
      </c>
      <c r="L1329" s="4">
        <f>tblSales[[#This Row],[Quantity]]*tblSales[[#This Row],[Actual Price]]</f>
        <v>5355</v>
      </c>
    </row>
    <row r="1330" spans="1:12" x14ac:dyDescent="0.35">
      <c r="A1330" s="3" t="s">
        <v>1897</v>
      </c>
      <c r="B1330" s="4" t="s">
        <v>119</v>
      </c>
      <c r="C1330" s="4" t="s">
        <v>120</v>
      </c>
      <c r="D1330" s="4" t="s">
        <v>36</v>
      </c>
      <c r="E1330" s="7">
        <v>42448</v>
      </c>
      <c r="F1330" s="4" t="s">
        <v>42</v>
      </c>
      <c r="G1330" s="4" t="s">
        <v>121</v>
      </c>
      <c r="H1330" s="4">
        <v>30</v>
      </c>
      <c r="I1330" s="4">
        <v>29</v>
      </c>
      <c r="J1330" s="5">
        <v>3.3300000000000003E-2</v>
      </c>
      <c r="K1330" s="3">
        <v>78</v>
      </c>
      <c r="L1330" s="4">
        <f>tblSales[[#This Row],[Quantity]]*tblSales[[#This Row],[Actual Price]]</f>
        <v>2262</v>
      </c>
    </row>
    <row r="1331" spans="1:12" x14ac:dyDescent="0.35">
      <c r="A1331" s="3" t="s">
        <v>1898</v>
      </c>
      <c r="B1331" s="4" t="s">
        <v>96</v>
      </c>
      <c r="C1331" s="4" t="s">
        <v>97</v>
      </c>
      <c r="D1331" s="4" t="s">
        <v>14</v>
      </c>
      <c r="E1331" s="7">
        <v>41970</v>
      </c>
      <c r="F1331" s="4" t="s">
        <v>123</v>
      </c>
      <c r="G1331" s="4" t="s">
        <v>770</v>
      </c>
      <c r="H1331" s="4">
        <v>50</v>
      </c>
      <c r="I1331" s="4">
        <v>36</v>
      </c>
      <c r="J1331" s="5">
        <v>0.28000000000000003</v>
      </c>
      <c r="K1331" s="3">
        <v>25</v>
      </c>
      <c r="L1331" s="4">
        <f>tblSales[[#This Row],[Quantity]]*tblSales[[#This Row],[Actual Price]]</f>
        <v>900</v>
      </c>
    </row>
    <row r="1332" spans="1:12" x14ac:dyDescent="0.35">
      <c r="A1332" s="3" t="s">
        <v>1899</v>
      </c>
      <c r="B1332" s="4" t="s">
        <v>115</v>
      </c>
      <c r="C1332" s="4" t="s">
        <v>55</v>
      </c>
      <c r="D1332" s="4" t="s">
        <v>14</v>
      </c>
      <c r="E1332" s="7">
        <v>42022</v>
      </c>
      <c r="F1332" s="4" t="s">
        <v>37</v>
      </c>
      <c r="G1332" s="4" t="s">
        <v>236</v>
      </c>
      <c r="H1332" s="4">
        <v>50</v>
      </c>
      <c r="I1332" s="4">
        <v>31</v>
      </c>
      <c r="J1332" s="5">
        <v>0.38</v>
      </c>
      <c r="K1332" s="3">
        <v>47</v>
      </c>
      <c r="L1332" s="4">
        <f>tblSales[[#This Row],[Quantity]]*tblSales[[#This Row],[Actual Price]]</f>
        <v>1457</v>
      </c>
    </row>
    <row r="1333" spans="1:12" x14ac:dyDescent="0.35">
      <c r="A1333" s="3" t="s">
        <v>1900</v>
      </c>
      <c r="B1333" s="4" t="s">
        <v>112</v>
      </c>
      <c r="C1333" s="4" t="s">
        <v>83</v>
      </c>
      <c r="D1333" s="4" t="s">
        <v>14</v>
      </c>
      <c r="E1333" s="7">
        <v>42584</v>
      </c>
      <c r="F1333" s="4" t="s">
        <v>105</v>
      </c>
      <c r="G1333" s="4" t="s">
        <v>1425</v>
      </c>
      <c r="H1333" s="4">
        <v>70</v>
      </c>
      <c r="I1333" s="4">
        <v>68</v>
      </c>
      <c r="J1333" s="5">
        <v>2.86E-2</v>
      </c>
      <c r="K1333" s="3">
        <v>96</v>
      </c>
      <c r="L1333" s="4">
        <f>tblSales[[#This Row],[Quantity]]*tblSales[[#This Row],[Actual Price]]</f>
        <v>6528</v>
      </c>
    </row>
    <row r="1334" spans="1:12" x14ac:dyDescent="0.35">
      <c r="A1334" s="3" t="s">
        <v>1901</v>
      </c>
      <c r="B1334" s="4" t="s">
        <v>158</v>
      </c>
      <c r="C1334" s="4" t="s">
        <v>109</v>
      </c>
      <c r="D1334" s="4" t="s">
        <v>20</v>
      </c>
      <c r="E1334" s="7">
        <v>42994</v>
      </c>
      <c r="F1334" s="4" t="s">
        <v>26</v>
      </c>
      <c r="G1334" s="4" t="s">
        <v>1871</v>
      </c>
      <c r="H1334" s="4">
        <v>700</v>
      </c>
      <c r="I1334" s="4">
        <v>672</v>
      </c>
      <c r="J1334" s="5">
        <v>0.04</v>
      </c>
      <c r="K1334" s="3">
        <v>21</v>
      </c>
      <c r="L1334" s="4">
        <f>tblSales[[#This Row],[Quantity]]*tblSales[[#This Row],[Actual Price]]</f>
        <v>14112</v>
      </c>
    </row>
    <row r="1335" spans="1:12" x14ac:dyDescent="0.35">
      <c r="A1335" s="3" t="s">
        <v>1902</v>
      </c>
      <c r="B1335" s="4" t="s">
        <v>125</v>
      </c>
      <c r="C1335" s="4" t="s">
        <v>41</v>
      </c>
      <c r="D1335" s="4" t="s">
        <v>36</v>
      </c>
      <c r="E1335" s="7">
        <v>42698</v>
      </c>
      <c r="F1335" s="4" t="s">
        <v>116</v>
      </c>
      <c r="G1335" s="4" t="s">
        <v>1018</v>
      </c>
      <c r="H1335" s="4">
        <v>250</v>
      </c>
      <c r="I1335" s="4">
        <v>240</v>
      </c>
      <c r="J1335" s="5">
        <v>0.04</v>
      </c>
      <c r="K1335" s="3">
        <v>60</v>
      </c>
      <c r="L1335" s="4">
        <f>tblSales[[#This Row],[Quantity]]*tblSales[[#This Row],[Actual Price]]</f>
        <v>14400</v>
      </c>
    </row>
    <row r="1336" spans="1:12" x14ac:dyDescent="0.35">
      <c r="A1336" s="3" t="s">
        <v>1903</v>
      </c>
      <c r="B1336" s="4" t="s">
        <v>100</v>
      </c>
      <c r="C1336" s="4" t="s">
        <v>101</v>
      </c>
      <c r="D1336" s="4" t="s">
        <v>14</v>
      </c>
      <c r="E1336" s="7">
        <v>43373</v>
      </c>
      <c r="F1336" s="4" t="s">
        <v>56</v>
      </c>
      <c r="G1336" s="4" t="s">
        <v>949</v>
      </c>
      <c r="H1336" s="4">
        <v>800</v>
      </c>
      <c r="I1336" s="4">
        <v>696</v>
      </c>
      <c r="J1336" s="5">
        <v>0.13</v>
      </c>
      <c r="K1336" s="3">
        <v>60</v>
      </c>
      <c r="L1336" s="4">
        <f>tblSales[[#This Row],[Quantity]]*tblSales[[#This Row],[Actual Price]]</f>
        <v>41760</v>
      </c>
    </row>
    <row r="1337" spans="1:12" x14ac:dyDescent="0.35">
      <c r="A1337" s="3" t="s">
        <v>1904</v>
      </c>
      <c r="B1337" s="4" t="s">
        <v>78</v>
      </c>
      <c r="C1337" s="4" t="s">
        <v>79</v>
      </c>
      <c r="D1337" s="4" t="s">
        <v>36</v>
      </c>
      <c r="E1337" s="7">
        <v>43416</v>
      </c>
      <c r="F1337" s="4" t="s">
        <v>26</v>
      </c>
      <c r="G1337" s="4" t="s">
        <v>395</v>
      </c>
      <c r="H1337" s="4">
        <v>700</v>
      </c>
      <c r="I1337" s="4">
        <v>602</v>
      </c>
      <c r="J1337" s="5">
        <v>0.14000000000000001</v>
      </c>
      <c r="K1337" s="3">
        <v>62</v>
      </c>
      <c r="L1337" s="4">
        <f>tblSales[[#This Row],[Quantity]]*tblSales[[#This Row],[Actual Price]]</f>
        <v>37324</v>
      </c>
    </row>
    <row r="1338" spans="1:12" x14ac:dyDescent="0.35">
      <c r="A1338" s="3" t="s">
        <v>1905</v>
      </c>
      <c r="B1338" s="4" t="s">
        <v>242</v>
      </c>
      <c r="C1338" s="4" t="s">
        <v>243</v>
      </c>
      <c r="D1338" s="4" t="s">
        <v>14</v>
      </c>
      <c r="E1338" s="7">
        <v>42418</v>
      </c>
      <c r="F1338" s="4" t="s">
        <v>37</v>
      </c>
      <c r="G1338" s="4" t="s">
        <v>288</v>
      </c>
      <c r="H1338" s="4">
        <v>50</v>
      </c>
      <c r="I1338" s="4">
        <v>43</v>
      </c>
      <c r="J1338" s="5">
        <v>0.14000000000000001</v>
      </c>
      <c r="K1338" s="3">
        <v>77</v>
      </c>
      <c r="L1338" s="4">
        <f>tblSales[[#This Row],[Quantity]]*tblSales[[#This Row],[Actual Price]]</f>
        <v>3311</v>
      </c>
    </row>
    <row r="1339" spans="1:12" x14ac:dyDescent="0.35">
      <c r="A1339" s="3" t="s">
        <v>1906</v>
      </c>
      <c r="B1339" s="4" t="s">
        <v>23</v>
      </c>
      <c r="C1339" s="4" t="s">
        <v>24</v>
      </c>
      <c r="D1339" s="4" t="s">
        <v>25</v>
      </c>
      <c r="E1339" s="7">
        <v>42120</v>
      </c>
      <c r="F1339" s="4" t="s">
        <v>105</v>
      </c>
      <c r="G1339" s="4" t="s">
        <v>484</v>
      </c>
      <c r="H1339" s="4">
        <v>70</v>
      </c>
      <c r="I1339" s="4">
        <v>42</v>
      </c>
      <c r="J1339" s="5">
        <v>0.4</v>
      </c>
      <c r="K1339" s="3">
        <v>62</v>
      </c>
      <c r="L1339" s="4">
        <f>tblSales[[#This Row],[Quantity]]*tblSales[[#This Row],[Actual Price]]</f>
        <v>2604</v>
      </c>
    </row>
    <row r="1340" spans="1:12" x14ac:dyDescent="0.35">
      <c r="A1340" s="3" t="s">
        <v>1907</v>
      </c>
      <c r="B1340" s="4" t="s">
        <v>188</v>
      </c>
      <c r="C1340" s="4" t="s">
        <v>189</v>
      </c>
      <c r="D1340" s="4" t="s">
        <v>14</v>
      </c>
      <c r="E1340" s="7">
        <v>41821</v>
      </c>
      <c r="F1340" s="4" t="s">
        <v>42</v>
      </c>
      <c r="G1340" s="4" t="s">
        <v>742</v>
      </c>
      <c r="H1340" s="4">
        <v>30</v>
      </c>
      <c r="I1340" s="4">
        <v>30</v>
      </c>
      <c r="J1340" s="5">
        <v>0</v>
      </c>
      <c r="K1340" s="3">
        <v>91</v>
      </c>
      <c r="L1340" s="4">
        <f>tblSales[[#This Row],[Quantity]]*tblSales[[#This Row],[Actual Price]]</f>
        <v>2730</v>
      </c>
    </row>
    <row r="1341" spans="1:12" x14ac:dyDescent="0.35">
      <c r="A1341" s="3" t="s">
        <v>1908</v>
      </c>
      <c r="B1341" s="4" t="s">
        <v>265</v>
      </c>
      <c r="C1341" s="4" t="s">
        <v>266</v>
      </c>
      <c r="D1341" s="4" t="s">
        <v>14</v>
      </c>
      <c r="E1341" s="7">
        <v>43126</v>
      </c>
      <c r="F1341" s="4" t="s">
        <v>26</v>
      </c>
      <c r="G1341" s="4" t="s">
        <v>803</v>
      </c>
      <c r="H1341" s="4">
        <v>700</v>
      </c>
      <c r="I1341" s="4">
        <v>623</v>
      </c>
      <c r="J1341" s="5">
        <v>0.11</v>
      </c>
      <c r="K1341" s="3">
        <v>96</v>
      </c>
      <c r="L1341" s="4">
        <f>tblSales[[#This Row],[Quantity]]*tblSales[[#This Row],[Actual Price]]</f>
        <v>59808</v>
      </c>
    </row>
    <row r="1342" spans="1:12" x14ac:dyDescent="0.35">
      <c r="A1342" s="3" t="s">
        <v>1909</v>
      </c>
      <c r="B1342" s="4" t="s">
        <v>104</v>
      </c>
      <c r="C1342" s="4" t="s">
        <v>72</v>
      </c>
      <c r="D1342" s="4" t="s">
        <v>36</v>
      </c>
      <c r="E1342" s="7">
        <v>42488</v>
      </c>
      <c r="F1342" s="4" t="s">
        <v>15</v>
      </c>
      <c r="G1342" s="4" t="s">
        <v>1532</v>
      </c>
      <c r="H1342" s="4">
        <v>80</v>
      </c>
      <c r="I1342" s="4">
        <v>76</v>
      </c>
      <c r="J1342" s="5">
        <v>0.05</v>
      </c>
      <c r="K1342" s="3">
        <v>71</v>
      </c>
      <c r="L1342" s="4">
        <f>tblSales[[#This Row],[Quantity]]*tblSales[[#This Row],[Actual Price]]</f>
        <v>5396</v>
      </c>
    </row>
    <row r="1343" spans="1:12" x14ac:dyDescent="0.35">
      <c r="A1343" s="3" t="s">
        <v>1910</v>
      </c>
      <c r="B1343" s="4" t="s">
        <v>50</v>
      </c>
      <c r="C1343" s="4" t="s">
        <v>51</v>
      </c>
      <c r="D1343" s="4" t="s">
        <v>25</v>
      </c>
      <c r="E1343" s="7">
        <v>42077</v>
      </c>
      <c r="F1343" s="4" t="s">
        <v>105</v>
      </c>
      <c r="G1343" s="4" t="s">
        <v>1001</v>
      </c>
      <c r="H1343" s="4">
        <v>70</v>
      </c>
      <c r="I1343" s="4">
        <v>45</v>
      </c>
      <c r="J1343" s="5">
        <v>0.35709999999999997</v>
      </c>
      <c r="K1343" s="3">
        <v>64</v>
      </c>
      <c r="L1343" s="4">
        <f>tblSales[[#This Row],[Quantity]]*tblSales[[#This Row],[Actual Price]]</f>
        <v>2880</v>
      </c>
    </row>
    <row r="1344" spans="1:12" x14ac:dyDescent="0.35">
      <c r="A1344" s="3" t="s">
        <v>1911</v>
      </c>
      <c r="B1344" s="4" t="s">
        <v>125</v>
      </c>
      <c r="C1344" s="4" t="s">
        <v>41</v>
      </c>
      <c r="D1344" s="4" t="s">
        <v>36</v>
      </c>
      <c r="E1344" s="7">
        <v>42170</v>
      </c>
      <c r="F1344" s="4" t="s">
        <v>56</v>
      </c>
      <c r="G1344" s="4" t="s">
        <v>1018</v>
      </c>
      <c r="H1344" s="4">
        <v>800</v>
      </c>
      <c r="I1344" s="4">
        <v>720</v>
      </c>
      <c r="J1344" s="5">
        <v>0.1</v>
      </c>
      <c r="K1344" s="3">
        <v>6</v>
      </c>
      <c r="L1344" s="4">
        <f>tblSales[[#This Row],[Quantity]]*tblSales[[#This Row],[Actual Price]]</f>
        <v>4320</v>
      </c>
    </row>
    <row r="1345" spans="1:12" x14ac:dyDescent="0.35">
      <c r="A1345" s="3" t="s">
        <v>1912</v>
      </c>
      <c r="B1345" s="4" t="s">
        <v>155</v>
      </c>
      <c r="C1345" s="4" t="s">
        <v>109</v>
      </c>
      <c r="D1345" s="4" t="s">
        <v>20</v>
      </c>
      <c r="E1345" s="7">
        <v>42539</v>
      </c>
      <c r="F1345" s="4" t="s">
        <v>105</v>
      </c>
      <c r="G1345" s="4" t="s">
        <v>491</v>
      </c>
      <c r="H1345" s="4">
        <v>70</v>
      </c>
      <c r="I1345" s="4">
        <v>63</v>
      </c>
      <c r="J1345" s="5">
        <v>0.1</v>
      </c>
      <c r="K1345" s="3">
        <v>42</v>
      </c>
      <c r="L1345" s="4">
        <f>tblSales[[#This Row],[Quantity]]*tblSales[[#This Row],[Actual Price]]</f>
        <v>2646</v>
      </c>
    </row>
    <row r="1346" spans="1:12" x14ac:dyDescent="0.35">
      <c r="A1346" s="3" t="s">
        <v>1913</v>
      </c>
      <c r="B1346" s="4" t="s">
        <v>54</v>
      </c>
      <c r="C1346" s="4" t="s">
        <v>55</v>
      </c>
      <c r="D1346" s="4" t="s">
        <v>14</v>
      </c>
      <c r="E1346" s="7">
        <v>42742</v>
      </c>
      <c r="F1346" s="4" t="s">
        <v>31</v>
      </c>
      <c r="G1346" s="4" t="s">
        <v>823</v>
      </c>
      <c r="H1346" s="4">
        <v>150</v>
      </c>
      <c r="I1346" s="4">
        <v>150</v>
      </c>
      <c r="J1346" s="5">
        <v>0</v>
      </c>
      <c r="K1346" s="3">
        <v>7</v>
      </c>
      <c r="L1346" s="4">
        <f>tblSales[[#This Row],[Quantity]]*tblSales[[#This Row],[Actual Price]]</f>
        <v>1050</v>
      </c>
    </row>
    <row r="1347" spans="1:12" x14ac:dyDescent="0.35">
      <c r="A1347" s="3" t="s">
        <v>1914</v>
      </c>
      <c r="B1347" s="4" t="s">
        <v>112</v>
      </c>
      <c r="C1347" s="4" t="s">
        <v>83</v>
      </c>
      <c r="D1347" s="4" t="s">
        <v>14</v>
      </c>
      <c r="E1347" s="7">
        <v>42287</v>
      </c>
      <c r="F1347" s="4" t="s">
        <v>73</v>
      </c>
      <c r="G1347" s="4" t="s">
        <v>1689</v>
      </c>
      <c r="H1347" s="4">
        <v>500</v>
      </c>
      <c r="I1347" s="4">
        <v>490</v>
      </c>
      <c r="J1347" s="5">
        <v>0.02</v>
      </c>
      <c r="K1347" s="3">
        <v>24</v>
      </c>
      <c r="L1347" s="4">
        <f>tblSales[[#This Row],[Quantity]]*tblSales[[#This Row],[Actual Price]]</f>
        <v>11760</v>
      </c>
    </row>
    <row r="1348" spans="1:12" x14ac:dyDescent="0.35">
      <c r="A1348" s="3" t="s">
        <v>1915</v>
      </c>
      <c r="B1348" s="4" t="s">
        <v>325</v>
      </c>
      <c r="C1348" s="4" t="s">
        <v>326</v>
      </c>
      <c r="D1348" s="4" t="s">
        <v>14</v>
      </c>
      <c r="E1348" s="7">
        <v>42655</v>
      </c>
      <c r="F1348" s="4" t="s">
        <v>47</v>
      </c>
      <c r="G1348" s="4" t="s">
        <v>1916</v>
      </c>
      <c r="H1348" s="4">
        <v>500</v>
      </c>
      <c r="I1348" s="4">
        <v>500</v>
      </c>
      <c r="J1348" s="5">
        <v>0</v>
      </c>
      <c r="K1348" s="3">
        <v>19</v>
      </c>
      <c r="L1348" s="4">
        <f>tblSales[[#This Row],[Quantity]]*tblSales[[#This Row],[Actual Price]]</f>
        <v>9500</v>
      </c>
    </row>
    <row r="1349" spans="1:12" x14ac:dyDescent="0.35">
      <c r="A1349" s="3" t="s">
        <v>1917</v>
      </c>
      <c r="B1349" s="4" t="s">
        <v>104</v>
      </c>
      <c r="C1349" s="4" t="s">
        <v>72</v>
      </c>
      <c r="D1349" s="4" t="s">
        <v>36</v>
      </c>
      <c r="E1349" s="7">
        <v>42969</v>
      </c>
      <c r="F1349" s="4" t="s">
        <v>116</v>
      </c>
      <c r="G1349" s="4" t="s">
        <v>728</v>
      </c>
      <c r="H1349" s="4">
        <v>250</v>
      </c>
      <c r="I1349" s="4">
        <v>225</v>
      </c>
      <c r="J1349" s="5">
        <v>0.1</v>
      </c>
      <c r="K1349" s="3">
        <v>16</v>
      </c>
      <c r="L1349" s="4">
        <f>tblSales[[#This Row],[Quantity]]*tblSales[[#This Row],[Actual Price]]</f>
        <v>3600</v>
      </c>
    </row>
    <row r="1350" spans="1:12" x14ac:dyDescent="0.35">
      <c r="A1350" s="3" t="s">
        <v>1918</v>
      </c>
      <c r="B1350" s="4" t="s">
        <v>125</v>
      </c>
      <c r="C1350" s="4" t="s">
        <v>41</v>
      </c>
      <c r="D1350" s="4" t="s">
        <v>36</v>
      </c>
      <c r="E1350" s="7">
        <v>42280</v>
      </c>
      <c r="F1350" s="4" t="s">
        <v>37</v>
      </c>
      <c r="G1350" s="4" t="s">
        <v>126</v>
      </c>
      <c r="H1350" s="4">
        <v>50</v>
      </c>
      <c r="I1350" s="4">
        <v>43</v>
      </c>
      <c r="J1350" s="5">
        <v>0.14000000000000001</v>
      </c>
      <c r="K1350" s="3">
        <v>35</v>
      </c>
      <c r="L1350" s="4">
        <f>tblSales[[#This Row],[Quantity]]*tblSales[[#This Row],[Actual Price]]</f>
        <v>1505</v>
      </c>
    </row>
    <row r="1351" spans="1:12" x14ac:dyDescent="0.35">
      <c r="A1351" s="3" t="s">
        <v>1919</v>
      </c>
      <c r="B1351" s="4" t="s">
        <v>175</v>
      </c>
      <c r="C1351" s="4" t="s">
        <v>176</v>
      </c>
      <c r="D1351" s="4" t="s">
        <v>14</v>
      </c>
      <c r="E1351" s="7">
        <v>42864</v>
      </c>
      <c r="F1351" s="4" t="s">
        <v>123</v>
      </c>
      <c r="G1351" s="4" t="s">
        <v>177</v>
      </c>
      <c r="H1351" s="4">
        <v>50</v>
      </c>
      <c r="I1351" s="4">
        <v>47</v>
      </c>
      <c r="J1351" s="5">
        <v>0.06</v>
      </c>
      <c r="K1351" s="3">
        <v>3</v>
      </c>
      <c r="L1351" s="4">
        <f>tblSales[[#This Row],[Quantity]]*tblSales[[#This Row],[Actual Price]]</f>
        <v>141</v>
      </c>
    </row>
    <row r="1352" spans="1:12" x14ac:dyDescent="0.35">
      <c r="A1352" s="3" t="s">
        <v>1920</v>
      </c>
      <c r="B1352" s="4" t="s">
        <v>222</v>
      </c>
      <c r="C1352" s="4" t="s">
        <v>41</v>
      </c>
      <c r="D1352" s="4" t="s">
        <v>36</v>
      </c>
      <c r="E1352" s="7">
        <v>42207</v>
      </c>
      <c r="F1352" s="4" t="s">
        <v>62</v>
      </c>
      <c r="G1352" s="4" t="s">
        <v>1921</v>
      </c>
      <c r="H1352" s="4">
        <v>1000</v>
      </c>
      <c r="I1352" s="4">
        <v>870</v>
      </c>
      <c r="J1352" s="5">
        <v>0.13</v>
      </c>
      <c r="K1352" s="3">
        <v>98</v>
      </c>
      <c r="L1352" s="4">
        <f>tblSales[[#This Row],[Quantity]]*tblSales[[#This Row],[Actual Price]]</f>
        <v>85260</v>
      </c>
    </row>
    <row r="1353" spans="1:12" x14ac:dyDescent="0.35">
      <c r="A1353" s="3" t="s">
        <v>1922</v>
      </c>
      <c r="B1353" s="4" t="s">
        <v>34</v>
      </c>
      <c r="C1353" s="4" t="s">
        <v>35</v>
      </c>
      <c r="D1353" s="4" t="s">
        <v>36</v>
      </c>
      <c r="E1353" s="7">
        <v>42901</v>
      </c>
      <c r="F1353" s="4" t="s">
        <v>56</v>
      </c>
      <c r="G1353" s="4" t="s">
        <v>38</v>
      </c>
      <c r="H1353" s="4">
        <v>800</v>
      </c>
      <c r="I1353" s="4">
        <v>456</v>
      </c>
      <c r="J1353" s="5">
        <v>0.43</v>
      </c>
      <c r="K1353" s="3">
        <v>29</v>
      </c>
      <c r="L1353" s="4">
        <f>tblSales[[#This Row],[Quantity]]*tblSales[[#This Row],[Actual Price]]</f>
        <v>13224</v>
      </c>
    </row>
    <row r="1354" spans="1:12" x14ac:dyDescent="0.35">
      <c r="A1354" s="3" t="s">
        <v>1923</v>
      </c>
      <c r="B1354" s="4" t="s">
        <v>71</v>
      </c>
      <c r="C1354" s="4" t="s">
        <v>72</v>
      </c>
      <c r="D1354" s="4" t="s">
        <v>36</v>
      </c>
      <c r="E1354" s="7">
        <v>42182</v>
      </c>
      <c r="F1354" s="4" t="s">
        <v>26</v>
      </c>
      <c r="G1354" s="4" t="s">
        <v>1724</v>
      </c>
      <c r="H1354" s="4">
        <v>700</v>
      </c>
      <c r="I1354" s="4">
        <v>525</v>
      </c>
      <c r="J1354" s="5">
        <v>0.25</v>
      </c>
      <c r="K1354" s="3">
        <v>78</v>
      </c>
      <c r="L1354" s="4">
        <f>tblSales[[#This Row],[Quantity]]*tblSales[[#This Row],[Actual Price]]</f>
        <v>40950</v>
      </c>
    </row>
    <row r="1355" spans="1:12" x14ac:dyDescent="0.35">
      <c r="A1355" s="3" t="s">
        <v>1924</v>
      </c>
      <c r="B1355" s="4" t="s">
        <v>104</v>
      </c>
      <c r="C1355" s="4" t="s">
        <v>72</v>
      </c>
      <c r="D1355" s="4" t="s">
        <v>36</v>
      </c>
      <c r="E1355" s="7">
        <v>42975</v>
      </c>
      <c r="F1355" s="4" t="s">
        <v>105</v>
      </c>
      <c r="G1355" s="4" t="s">
        <v>248</v>
      </c>
      <c r="H1355" s="4">
        <v>70</v>
      </c>
      <c r="I1355" s="4">
        <v>63</v>
      </c>
      <c r="J1355" s="5">
        <v>0.1</v>
      </c>
      <c r="K1355" s="3">
        <v>3</v>
      </c>
      <c r="L1355" s="4">
        <f>tblSales[[#This Row],[Quantity]]*tblSales[[#This Row],[Actual Price]]</f>
        <v>189</v>
      </c>
    </row>
    <row r="1356" spans="1:12" x14ac:dyDescent="0.35">
      <c r="A1356" s="3" t="s">
        <v>1925</v>
      </c>
      <c r="B1356" s="4" t="s">
        <v>132</v>
      </c>
      <c r="C1356" s="4" t="s">
        <v>109</v>
      </c>
      <c r="D1356" s="4" t="s">
        <v>20</v>
      </c>
      <c r="E1356" s="7">
        <v>41715</v>
      </c>
      <c r="F1356" s="4" t="s">
        <v>42</v>
      </c>
      <c r="G1356" s="4" t="s">
        <v>1551</v>
      </c>
      <c r="H1356" s="4">
        <v>30</v>
      </c>
      <c r="I1356" s="4">
        <v>26</v>
      </c>
      <c r="J1356" s="5">
        <v>0.1333</v>
      </c>
      <c r="K1356" s="3">
        <v>38</v>
      </c>
      <c r="L1356" s="4">
        <f>tblSales[[#This Row],[Quantity]]*tblSales[[#This Row],[Actual Price]]</f>
        <v>988</v>
      </c>
    </row>
    <row r="1357" spans="1:12" x14ac:dyDescent="0.35">
      <c r="A1357" s="3" t="s">
        <v>1926</v>
      </c>
      <c r="B1357" s="4" t="s">
        <v>290</v>
      </c>
      <c r="C1357" s="4" t="s">
        <v>109</v>
      </c>
      <c r="D1357" s="4" t="s">
        <v>20</v>
      </c>
      <c r="E1357" s="7">
        <v>41766</v>
      </c>
      <c r="F1357" s="4" t="s">
        <v>47</v>
      </c>
      <c r="G1357" s="4" t="s">
        <v>291</v>
      </c>
      <c r="H1357" s="4">
        <v>500</v>
      </c>
      <c r="I1357" s="4">
        <v>500</v>
      </c>
      <c r="J1357" s="5">
        <v>0</v>
      </c>
      <c r="K1357" s="3">
        <v>62</v>
      </c>
      <c r="L1357" s="4">
        <f>tblSales[[#This Row],[Quantity]]*tblSales[[#This Row],[Actual Price]]</f>
        <v>31000</v>
      </c>
    </row>
    <row r="1358" spans="1:12" x14ac:dyDescent="0.35">
      <c r="A1358" s="3" t="s">
        <v>1927</v>
      </c>
      <c r="B1358" s="4" t="s">
        <v>188</v>
      </c>
      <c r="C1358" s="4" t="s">
        <v>189</v>
      </c>
      <c r="D1358" s="4" t="s">
        <v>14</v>
      </c>
      <c r="E1358" s="7">
        <v>43287</v>
      </c>
      <c r="F1358" s="4" t="s">
        <v>42</v>
      </c>
      <c r="G1358" s="4" t="s">
        <v>1151</v>
      </c>
      <c r="H1358" s="4">
        <v>30</v>
      </c>
      <c r="I1358" s="4">
        <v>29</v>
      </c>
      <c r="J1358" s="5">
        <v>3.3300000000000003E-2</v>
      </c>
      <c r="K1358" s="3">
        <v>49</v>
      </c>
      <c r="L1358" s="4">
        <f>tblSales[[#This Row],[Quantity]]*tblSales[[#This Row],[Actual Price]]</f>
        <v>1421</v>
      </c>
    </row>
    <row r="1359" spans="1:12" x14ac:dyDescent="0.35">
      <c r="A1359" s="3" t="s">
        <v>1928</v>
      </c>
      <c r="B1359" s="4" t="s">
        <v>132</v>
      </c>
      <c r="C1359" s="4" t="s">
        <v>109</v>
      </c>
      <c r="D1359" s="4" t="s">
        <v>20</v>
      </c>
      <c r="E1359" s="7">
        <v>41761</v>
      </c>
      <c r="F1359" s="4" t="s">
        <v>42</v>
      </c>
      <c r="G1359" s="4" t="s">
        <v>213</v>
      </c>
      <c r="H1359" s="4">
        <v>30</v>
      </c>
      <c r="I1359" s="4">
        <v>23</v>
      </c>
      <c r="J1359" s="5">
        <v>0.23330000000000001</v>
      </c>
      <c r="K1359" s="3">
        <v>56</v>
      </c>
      <c r="L1359" s="4">
        <f>tblSales[[#This Row],[Quantity]]*tblSales[[#This Row],[Actual Price]]</f>
        <v>1288</v>
      </c>
    </row>
    <row r="1360" spans="1:12" x14ac:dyDescent="0.35">
      <c r="A1360" s="3" t="s">
        <v>1929</v>
      </c>
      <c r="B1360" s="4" t="s">
        <v>271</v>
      </c>
      <c r="C1360" s="4" t="s">
        <v>272</v>
      </c>
      <c r="D1360" s="4" t="s">
        <v>36</v>
      </c>
      <c r="E1360" s="7">
        <v>42655</v>
      </c>
      <c r="F1360" s="4" t="s">
        <v>73</v>
      </c>
      <c r="G1360" s="4" t="s">
        <v>716</v>
      </c>
      <c r="H1360" s="4">
        <v>500</v>
      </c>
      <c r="I1360" s="4">
        <v>495</v>
      </c>
      <c r="J1360" s="5">
        <v>0.01</v>
      </c>
      <c r="K1360" s="3">
        <v>2</v>
      </c>
      <c r="L1360" s="4">
        <f>tblSales[[#This Row],[Quantity]]*tblSales[[#This Row],[Actual Price]]</f>
        <v>990</v>
      </c>
    </row>
    <row r="1361" spans="1:12" x14ac:dyDescent="0.35">
      <c r="A1361" s="3" t="s">
        <v>1930</v>
      </c>
      <c r="B1361" s="4" t="s">
        <v>92</v>
      </c>
      <c r="C1361" s="4" t="s">
        <v>93</v>
      </c>
      <c r="D1361" s="4" t="s">
        <v>36</v>
      </c>
      <c r="E1361" s="7">
        <v>43019</v>
      </c>
      <c r="F1361" s="4" t="s">
        <v>47</v>
      </c>
      <c r="G1361" s="4" t="s">
        <v>1156</v>
      </c>
      <c r="H1361" s="4">
        <v>500</v>
      </c>
      <c r="I1361" s="4">
        <v>480</v>
      </c>
      <c r="J1361" s="5">
        <v>0.04</v>
      </c>
      <c r="K1361" s="3">
        <v>1</v>
      </c>
      <c r="L1361" s="4">
        <f>tblSales[[#This Row],[Quantity]]*tblSales[[#This Row],[Actual Price]]</f>
        <v>480</v>
      </c>
    </row>
    <row r="1362" spans="1:12" x14ac:dyDescent="0.35">
      <c r="A1362" s="3" t="s">
        <v>1931</v>
      </c>
      <c r="B1362" s="4" t="s">
        <v>96</v>
      </c>
      <c r="C1362" s="4" t="s">
        <v>97</v>
      </c>
      <c r="D1362" s="4" t="s">
        <v>14</v>
      </c>
      <c r="E1362" s="7">
        <v>42083</v>
      </c>
      <c r="F1362" s="4" t="s">
        <v>62</v>
      </c>
      <c r="G1362" s="4" t="s">
        <v>1276</v>
      </c>
      <c r="H1362" s="4">
        <v>1000</v>
      </c>
      <c r="I1362" s="4">
        <v>930</v>
      </c>
      <c r="J1362" s="5">
        <v>7.0000000000000007E-2</v>
      </c>
      <c r="K1362" s="3">
        <v>65</v>
      </c>
      <c r="L1362" s="4">
        <f>tblSales[[#This Row],[Quantity]]*tblSales[[#This Row],[Actual Price]]</f>
        <v>60450</v>
      </c>
    </row>
    <row r="1363" spans="1:12" x14ac:dyDescent="0.35">
      <c r="A1363" s="3" t="s">
        <v>1932</v>
      </c>
      <c r="B1363" s="4" t="s">
        <v>86</v>
      </c>
      <c r="C1363" s="4" t="s">
        <v>87</v>
      </c>
      <c r="D1363" s="4" t="s">
        <v>14</v>
      </c>
      <c r="E1363" s="7">
        <v>42202</v>
      </c>
      <c r="F1363" s="4" t="s">
        <v>31</v>
      </c>
      <c r="G1363" s="4" t="s">
        <v>167</v>
      </c>
      <c r="H1363" s="4">
        <v>150</v>
      </c>
      <c r="I1363" s="4">
        <v>110</v>
      </c>
      <c r="J1363" s="5">
        <v>0.26669999999999999</v>
      </c>
      <c r="K1363" s="3">
        <v>70</v>
      </c>
      <c r="L1363" s="4">
        <f>tblSales[[#This Row],[Quantity]]*tblSales[[#This Row],[Actual Price]]</f>
        <v>7700</v>
      </c>
    </row>
    <row r="1364" spans="1:12" x14ac:dyDescent="0.35">
      <c r="A1364" s="3" t="s">
        <v>1933</v>
      </c>
      <c r="B1364" s="4" t="s">
        <v>183</v>
      </c>
      <c r="C1364" s="4" t="s">
        <v>109</v>
      </c>
      <c r="D1364" s="4" t="s">
        <v>20</v>
      </c>
      <c r="E1364" s="7">
        <v>41764</v>
      </c>
      <c r="F1364" s="4" t="s">
        <v>62</v>
      </c>
      <c r="G1364" s="4" t="s">
        <v>1259</v>
      </c>
      <c r="H1364" s="4">
        <v>1000</v>
      </c>
      <c r="I1364" s="4">
        <v>910</v>
      </c>
      <c r="J1364" s="5">
        <v>0.09</v>
      </c>
      <c r="K1364" s="3">
        <v>56</v>
      </c>
      <c r="L1364" s="4">
        <f>tblSales[[#This Row],[Quantity]]*tblSales[[#This Row],[Actual Price]]</f>
        <v>50960</v>
      </c>
    </row>
    <row r="1365" spans="1:12" x14ac:dyDescent="0.35">
      <c r="A1365" s="3" t="s">
        <v>1934</v>
      </c>
      <c r="B1365" s="4" t="s">
        <v>82</v>
      </c>
      <c r="C1365" s="4" t="s">
        <v>83</v>
      </c>
      <c r="D1365" s="4" t="s">
        <v>14</v>
      </c>
      <c r="E1365" s="7">
        <v>42468</v>
      </c>
      <c r="F1365" s="4" t="s">
        <v>105</v>
      </c>
      <c r="G1365" s="4" t="s">
        <v>283</v>
      </c>
      <c r="H1365" s="4">
        <v>70</v>
      </c>
      <c r="I1365" s="4">
        <v>69</v>
      </c>
      <c r="J1365" s="5">
        <v>1.43E-2</v>
      </c>
      <c r="K1365" s="3">
        <v>36</v>
      </c>
      <c r="L1365" s="4">
        <f>tblSales[[#This Row],[Quantity]]*tblSales[[#This Row],[Actual Price]]</f>
        <v>2484</v>
      </c>
    </row>
    <row r="1366" spans="1:12" x14ac:dyDescent="0.35">
      <c r="A1366" s="3" t="s">
        <v>1935</v>
      </c>
      <c r="B1366" s="4" t="s">
        <v>12</v>
      </c>
      <c r="C1366" s="4" t="s">
        <v>13</v>
      </c>
      <c r="D1366" s="4" t="s">
        <v>14</v>
      </c>
      <c r="E1366" s="7">
        <v>42011</v>
      </c>
      <c r="F1366" s="4" t="s">
        <v>26</v>
      </c>
      <c r="G1366" s="4" t="s">
        <v>1160</v>
      </c>
      <c r="H1366" s="4">
        <v>700</v>
      </c>
      <c r="I1366" s="4">
        <v>665</v>
      </c>
      <c r="J1366" s="5">
        <v>0.05</v>
      </c>
      <c r="K1366" s="3">
        <v>80</v>
      </c>
      <c r="L1366" s="4">
        <f>tblSales[[#This Row],[Quantity]]*tblSales[[#This Row],[Actual Price]]</f>
        <v>53200</v>
      </c>
    </row>
    <row r="1367" spans="1:12" x14ac:dyDescent="0.35">
      <c r="A1367" s="3" t="s">
        <v>1936</v>
      </c>
      <c r="B1367" s="4" t="s">
        <v>60</v>
      </c>
      <c r="C1367" s="4" t="s">
        <v>61</v>
      </c>
      <c r="D1367" s="4" t="s">
        <v>14</v>
      </c>
      <c r="E1367" s="7">
        <v>43356</v>
      </c>
      <c r="F1367" s="4" t="s">
        <v>31</v>
      </c>
      <c r="G1367" s="4" t="s">
        <v>1751</v>
      </c>
      <c r="H1367" s="4">
        <v>150</v>
      </c>
      <c r="I1367" s="4">
        <v>143</v>
      </c>
      <c r="J1367" s="5">
        <v>4.6699999999999998E-2</v>
      </c>
      <c r="K1367" s="3">
        <v>68</v>
      </c>
      <c r="L1367" s="4">
        <f>tblSales[[#This Row],[Quantity]]*tblSales[[#This Row],[Actual Price]]</f>
        <v>9724</v>
      </c>
    </row>
    <row r="1368" spans="1:12" x14ac:dyDescent="0.35">
      <c r="A1368" s="3" t="s">
        <v>1937</v>
      </c>
      <c r="B1368" s="4" t="s">
        <v>92</v>
      </c>
      <c r="C1368" s="4" t="s">
        <v>93</v>
      </c>
      <c r="D1368" s="4" t="s">
        <v>36</v>
      </c>
      <c r="E1368" s="7">
        <v>42454</v>
      </c>
      <c r="F1368" s="4" t="s">
        <v>26</v>
      </c>
      <c r="G1368" s="4" t="s">
        <v>1404</v>
      </c>
      <c r="H1368" s="4">
        <v>700</v>
      </c>
      <c r="I1368" s="4">
        <v>672</v>
      </c>
      <c r="J1368" s="5">
        <v>0.04</v>
      </c>
      <c r="K1368" s="3">
        <v>17</v>
      </c>
      <c r="L1368" s="4">
        <f>tblSales[[#This Row],[Quantity]]*tblSales[[#This Row],[Actual Price]]</f>
        <v>11424</v>
      </c>
    </row>
    <row r="1369" spans="1:12" x14ac:dyDescent="0.35">
      <c r="A1369" s="3" t="s">
        <v>1938</v>
      </c>
      <c r="B1369" s="4" t="s">
        <v>132</v>
      </c>
      <c r="C1369" s="4" t="s">
        <v>109</v>
      </c>
      <c r="D1369" s="4" t="s">
        <v>20</v>
      </c>
      <c r="E1369" s="7">
        <v>42138</v>
      </c>
      <c r="F1369" s="4" t="s">
        <v>37</v>
      </c>
      <c r="G1369" s="4" t="s">
        <v>1551</v>
      </c>
      <c r="H1369" s="4">
        <v>50</v>
      </c>
      <c r="I1369" s="4">
        <v>45</v>
      </c>
      <c r="J1369" s="5">
        <v>0.1</v>
      </c>
      <c r="K1369" s="3">
        <v>76</v>
      </c>
      <c r="L1369" s="4">
        <f>tblSales[[#This Row],[Quantity]]*tblSales[[#This Row],[Actual Price]]</f>
        <v>3420</v>
      </c>
    </row>
    <row r="1370" spans="1:12" x14ac:dyDescent="0.35">
      <c r="A1370" s="3" t="s">
        <v>1939</v>
      </c>
      <c r="B1370" s="4" t="s">
        <v>325</v>
      </c>
      <c r="C1370" s="4" t="s">
        <v>326</v>
      </c>
      <c r="D1370" s="4" t="s">
        <v>14</v>
      </c>
      <c r="E1370" s="7">
        <v>42460</v>
      </c>
      <c r="F1370" s="4" t="s">
        <v>105</v>
      </c>
      <c r="G1370" s="4" t="s">
        <v>454</v>
      </c>
      <c r="H1370" s="4">
        <v>70</v>
      </c>
      <c r="I1370" s="4">
        <v>67</v>
      </c>
      <c r="J1370" s="5">
        <v>4.2900000000000001E-2</v>
      </c>
      <c r="K1370" s="3">
        <v>24</v>
      </c>
      <c r="L1370" s="4">
        <f>tblSales[[#This Row],[Quantity]]*tblSales[[#This Row],[Actual Price]]</f>
        <v>1608</v>
      </c>
    </row>
    <row r="1371" spans="1:12" x14ac:dyDescent="0.35">
      <c r="A1371" s="3" t="s">
        <v>1940</v>
      </c>
      <c r="B1371" s="4" t="s">
        <v>71</v>
      </c>
      <c r="C1371" s="4" t="s">
        <v>72</v>
      </c>
      <c r="D1371" s="4" t="s">
        <v>36</v>
      </c>
      <c r="E1371" s="7">
        <v>42014</v>
      </c>
      <c r="F1371" s="4" t="s">
        <v>123</v>
      </c>
      <c r="G1371" s="4" t="s">
        <v>392</v>
      </c>
      <c r="H1371" s="4">
        <v>50</v>
      </c>
      <c r="I1371" s="4">
        <v>38</v>
      </c>
      <c r="J1371" s="5">
        <v>0.24</v>
      </c>
      <c r="K1371" s="3">
        <v>30</v>
      </c>
      <c r="L1371" s="4">
        <f>tblSales[[#This Row],[Quantity]]*tblSales[[#This Row],[Actual Price]]</f>
        <v>1140</v>
      </c>
    </row>
    <row r="1372" spans="1:12" x14ac:dyDescent="0.35">
      <c r="A1372" s="3" t="s">
        <v>1941</v>
      </c>
      <c r="B1372" s="4" t="s">
        <v>50</v>
      </c>
      <c r="C1372" s="4" t="s">
        <v>51</v>
      </c>
      <c r="D1372" s="4" t="s">
        <v>25</v>
      </c>
      <c r="E1372" s="7">
        <v>42288</v>
      </c>
      <c r="F1372" s="4" t="s">
        <v>73</v>
      </c>
      <c r="G1372" s="4" t="s">
        <v>69</v>
      </c>
      <c r="H1372" s="4">
        <v>500</v>
      </c>
      <c r="I1372" s="4">
        <v>495</v>
      </c>
      <c r="J1372" s="5">
        <v>0.01</v>
      </c>
      <c r="K1372" s="3">
        <v>22</v>
      </c>
      <c r="L1372" s="4">
        <f>tblSales[[#This Row],[Quantity]]*tblSales[[#This Row],[Actual Price]]</f>
        <v>10890</v>
      </c>
    </row>
    <row r="1373" spans="1:12" x14ac:dyDescent="0.35">
      <c r="A1373" s="3" t="s">
        <v>1942</v>
      </c>
      <c r="B1373" s="4" t="s">
        <v>225</v>
      </c>
      <c r="C1373" s="4" t="s">
        <v>51</v>
      </c>
      <c r="D1373" s="4" t="s">
        <v>25</v>
      </c>
      <c r="E1373" s="7">
        <v>43209</v>
      </c>
      <c r="F1373" s="4" t="s">
        <v>123</v>
      </c>
      <c r="G1373" s="4" t="s">
        <v>1943</v>
      </c>
      <c r="H1373" s="4">
        <v>50</v>
      </c>
      <c r="I1373" s="4">
        <v>43</v>
      </c>
      <c r="J1373" s="5">
        <v>0.14000000000000001</v>
      </c>
      <c r="K1373" s="3">
        <v>57</v>
      </c>
      <c r="L1373" s="4">
        <f>tblSales[[#This Row],[Quantity]]*tblSales[[#This Row],[Actual Price]]</f>
        <v>2451</v>
      </c>
    </row>
    <row r="1374" spans="1:12" x14ac:dyDescent="0.35">
      <c r="A1374" s="3" t="s">
        <v>1944</v>
      </c>
      <c r="B1374" s="4" t="s">
        <v>100</v>
      </c>
      <c r="C1374" s="4" t="s">
        <v>101</v>
      </c>
      <c r="D1374" s="4" t="s">
        <v>14</v>
      </c>
      <c r="E1374" s="7">
        <v>43280</v>
      </c>
      <c r="F1374" s="4" t="s">
        <v>62</v>
      </c>
      <c r="G1374" s="4" t="s">
        <v>912</v>
      </c>
      <c r="H1374" s="4">
        <v>1000</v>
      </c>
      <c r="I1374" s="4">
        <v>930</v>
      </c>
      <c r="J1374" s="5">
        <v>7.0000000000000007E-2</v>
      </c>
      <c r="K1374" s="3">
        <v>58</v>
      </c>
      <c r="L1374" s="4">
        <f>tblSales[[#This Row],[Quantity]]*tblSales[[#This Row],[Actual Price]]</f>
        <v>53940</v>
      </c>
    </row>
    <row r="1375" spans="1:12" x14ac:dyDescent="0.35">
      <c r="A1375" s="3" t="s">
        <v>1945</v>
      </c>
      <c r="B1375" s="4" t="s">
        <v>155</v>
      </c>
      <c r="C1375" s="4" t="s">
        <v>109</v>
      </c>
      <c r="D1375" s="4" t="s">
        <v>20</v>
      </c>
      <c r="E1375" s="7">
        <v>43176</v>
      </c>
      <c r="F1375" s="4" t="s">
        <v>73</v>
      </c>
      <c r="G1375" s="4" t="s">
        <v>1293</v>
      </c>
      <c r="H1375" s="4">
        <v>500</v>
      </c>
      <c r="I1375" s="4">
        <v>490</v>
      </c>
      <c r="J1375" s="5">
        <v>0.02</v>
      </c>
      <c r="K1375" s="3">
        <v>88</v>
      </c>
      <c r="L1375" s="4">
        <f>tblSales[[#This Row],[Quantity]]*tblSales[[#This Row],[Actual Price]]</f>
        <v>43120</v>
      </c>
    </row>
    <row r="1376" spans="1:12" x14ac:dyDescent="0.35">
      <c r="A1376" s="3" t="s">
        <v>1946</v>
      </c>
      <c r="B1376" s="4" t="s">
        <v>125</v>
      </c>
      <c r="C1376" s="4" t="s">
        <v>41</v>
      </c>
      <c r="D1376" s="4" t="s">
        <v>36</v>
      </c>
      <c r="E1376" s="7">
        <v>43101</v>
      </c>
      <c r="F1376" s="4" t="s">
        <v>26</v>
      </c>
      <c r="G1376" s="4" t="s">
        <v>1018</v>
      </c>
      <c r="H1376" s="4">
        <v>700</v>
      </c>
      <c r="I1376" s="4">
        <v>658</v>
      </c>
      <c r="J1376" s="5">
        <v>0.06</v>
      </c>
      <c r="K1376" s="3">
        <v>98</v>
      </c>
      <c r="L1376" s="4">
        <f>tblSales[[#This Row],[Quantity]]*tblSales[[#This Row],[Actual Price]]</f>
        <v>64484</v>
      </c>
    </row>
    <row r="1377" spans="1:12" x14ac:dyDescent="0.35">
      <c r="A1377" s="3" t="s">
        <v>1947</v>
      </c>
      <c r="B1377" s="4" t="s">
        <v>271</v>
      </c>
      <c r="C1377" s="4" t="s">
        <v>272</v>
      </c>
      <c r="D1377" s="4" t="s">
        <v>36</v>
      </c>
      <c r="E1377" s="7">
        <v>42845</v>
      </c>
      <c r="F1377" s="4" t="s">
        <v>37</v>
      </c>
      <c r="G1377" s="4" t="s">
        <v>1828</v>
      </c>
      <c r="H1377" s="4">
        <v>50</v>
      </c>
      <c r="I1377" s="4">
        <v>47</v>
      </c>
      <c r="J1377" s="5">
        <v>0.06</v>
      </c>
      <c r="K1377" s="3">
        <v>25</v>
      </c>
      <c r="L1377" s="4">
        <f>tblSales[[#This Row],[Quantity]]*tblSales[[#This Row],[Actual Price]]</f>
        <v>1175</v>
      </c>
    </row>
    <row r="1378" spans="1:12" x14ac:dyDescent="0.35">
      <c r="A1378" s="3" t="s">
        <v>1948</v>
      </c>
      <c r="B1378" s="4" t="s">
        <v>45</v>
      </c>
      <c r="C1378" s="4" t="s">
        <v>46</v>
      </c>
      <c r="D1378" s="4" t="s">
        <v>25</v>
      </c>
      <c r="E1378" s="7">
        <v>42516</v>
      </c>
      <c r="F1378" s="4" t="s">
        <v>116</v>
      </c>
      <c r="G1378" s="4" t="s">
        <v>322</v>
      </c>
      <c r="H1378" s="4">
        <v>250</v>
      </c>
      <c r="I1378" s="4">
        <v>220</v>
      </c>
      <c r="J1378" s="5">
        <v>0.12</v>
      </c>
      <c r="K1378" s="3">
        <v>12</v>
      </c>
      <c r="L1378" s="4">
        <f>tblSales[[#This Row],[Quantity]]*tblSales[[#This Row],[Actual Price]]</f>
        <v>2640</v>
      </c>
    </row>
    <row r="1379" spans="1:12" x14ac:dyDescent="0.35">
      <c r="A1379" s="3" t="s">
        <v>1949</v>
      </c>
      <c r="B1379" s="4" t="s">
        <v>78</v>
      </c>
      <c r="C1379" s="4" t="s">
        <v>79</v>
      </c>
      <c r="D1379" s="4" t="s">
        <v>36</v>
      </c>
      <c r="E1379" s="7">
        <v>42806</v>
      </c>
      <c r="F1379" s="4" t="s">
        <v>62</v>
      </c>
      <c r="G1379" s="4" t="s">
        <v>80</v>
      </c>
      <c r="H1379" s="4">
        <v>1000</v>
      </c>
      <c r="I1379" s="4">
        <v>520</v>
      </c>
      <c r="J1379" s="5">
        <v>0.48</v>
      </c>
      <c r="K1379" s="3">
        <v>15</v>
      </c>
      <c r="L1379" s="4">
        <f>tblSales[[#This Row],[Quantity]]*tblSales[[#This Row],[Actual Price]]</f>
        <v>7800</v>
      </c>
    </row>
    <row r="1380" spans="1:12" x14ac:dyDescent="0.35">
      <c r="A1380" s="3" t="s">
        <v>1950</v>
      </c>
      <c r="B1380" s="4" t="s">
        <v>60</v>
      </c>
      <c r="C1380" s="4" t="s">
        <v>61</v>
      </c>
      <c r="D1380" s="4" t="s">
        <v>14</v>
      </c>
      <c r="E1380" s="7">
        <v>41787</v>
      </c>
      <c r="F1380" s="4" t="s">
        <v>62</v>
      </c>
      <c r="G1380" s="4" t="s">
        <v>63</v>
      </c>
      <c r="H1380" s="4">
        <v>1000</v>
      </c>
      <c r="I1380" s="4">
        <v>980</v>
      </c>
      <c r="J1380" s="5">
        <v>0.02</v>
      </c>
      <c r="K1380" s="3">
        <v>53</v>
      </c>
      <c r="L1380" s="4">
        <f>tblSales[[#This Row],[Quantity]]*tblSales[[#This Row],[Actual Price]]</f>
        <v>51940</v>
      </c>
    </row>
    <row r="1381" spans="1:12" x14ac:dyDescent="0.35">
      <c r="A1381" s="3" t="s">
        <v>1951</v>
      </c>
      <c r="B1381" s="4" t="s">
        <v>34</v>
      </c>
      <c r="C1381" s="4" t="s">
        <v>35</v>
      </c>
      <c r="D1381" s="4" t="s">
        <v>36</v>
      </c>
      <c r="E1381" s="7">
        <v>43285</v>
      </c>
      <c r="F1381" s="4" t="s">
        <v>73</v>
      </c>
      <c r="G1381" s="4" t="s">
        <v>76</v>
      </c>
      <c r="H1381" s="4">
        <v>500</v>
      </c>
      <c r="I1381" s="4">
        <v>495</v>
      </c>
      <c r="J1381" s="5">
        <v>0.01</v>
      </c>
      <c r="K1381" s="3">
        <v>10</v>
      </c>
      <c r="L1381" s="4">
        <f>tblSales[[#This Row],[Quantity]]*tblSales[[#This Row],[Actual Price]]</f>
        <v>4950</v>
      </c>
    </row>
    <row r="1382" spans="1:12" x14ac:dyDescent="0.35">
      <c r="A1382" s="3" t="s">
        <v>1952</v>
      </c>
      <c r="B1382" s="4" t="s">
        <v>34</v>
      </c>
      <c r="C1382" s="4" t="s">
        <v>35</v>
      </c>
      <c r="D1382" s="4" t="s">
        <v>36</v>
      </c>
      <c r="E1382" s="7">
        <v>41806</v>
      </c>
      <c r="F1382" s="4" t="s">
        <v>26</v>
      </c>
      <c r="G1382" s="4" t="s">
        <v>161</v>
      </c>
      <c r="H1382" s="4">
        <v>700</v>
      </c>
      <c r="I1382" s="4">
        <v>546</v>
      </c>
      <c r="J1382" s="5">
        <v>0.22</v>
      </c>
      <c r="K1382" s="3">
        <v>57</v>
      </c>
      <c r="L1382" s="4">
        <f>tblSales[[#This Row],[Quantity]]*tblSales[[#This Row],[Actual Price]]</f>
        <v>31122</v>
      </c>
    </row>
    <row r="1383" spans="1:12" x14ac:dyDescent="0.35">
      <c r="A1383" s="3" t="s">
        <v>1953</v>
      </c>
      <c r="B1383" s="4" t="s">
        <v>82</v>
      </c>
      <c r="C1383" s="4" t="s">
        <v>83</v>
      </c>
      <c r="D1383" s="4" t="s">
        <v>14</v>
      </c>
      <c r="E1383" s="7">
        <v>43063</v>
      </c>
      <c r="F1383" s="4" t="s">
        <v>26</v>
      </c>
      <c r="G1383" s="4" t="s">
        <v>862</v>
      </c>
      <c r="H1383" s="4">
        <v>700</v>
      </c>
      <c r="I1383" s="4">
        <v>693</v>
      </c>
      <c r="J1383" s="5">
        <v>0.01</v>
      </c>
      <c r="K1383" s="3">
        <v>95</v>
      </c>
      <c r="L1383" s="4">
        <f>tblSales[[#This Row],[Quantity]]*tblSales[[#This Row],[Actual Price]]</f>
        <v>65835</v>
      </c>
    </row>
    <row r="1384" spans="1:12" x14ac:dyDescent="0.35">
      <c r="A1384" s="3" t="s">
        <v>1954</v>
      </c>
      <c r="B1384" s="4" t="s">
        <v>135</v>
      </c>
      <c r="C1384" s="4" t="s">
        <v>93</v>
      </c>
      <c r="D1384" s="4" t="s">
        <v>36</v>
      </c>
      <c r="E1384" s="7">
        <v>42417</v>
      </c>
      <c r="F1384" s="4" t="s">
        <v>37</v>
      </c>
      <c r="G1384" s="4" t="s">
        <v>679</v>
      </c>
      <c r="H1384" s="4">
        <v>50</v>
      </c>
      <c r="I1384" s="4">
        <v>45</v>
      </c>
      <c r="J1384" s="5">
        <v>0.1</v>
      </c>
      <c r="K1384" s="3">
        <v>56</v>
      </c>
      <c r="L1384" s="4">
        <f>tblSales[[#This Row],[Quantity]]*tblSales[[#This Row],[Actual Price]]</f>
        <v>2520</v>
      </c>
    </row>
    <row r="1385" spans="1:12" x14ac:dyDescent="0.35">
      <c r="A1385" s="3" t="s">
        <v>1955</v>
      </c>
      <c r="B1385" s="4" t="s">
        <v>104</v>
      </c>
      <c r="C1385" s="4" t="s">
        <v>72</v>
      </c>
      <c r="D1385" s="4" t="s">
        <v>36</v>
      </c>
      <c r="E1385" s="7">
        <v>42654</v>
      </c>
      <c r="F1385" s="4" t="s">
        <v>26</v>
      </c>
      <c r="G1385" s="4" t="s">
        <v>593</v>
      </c>
      <c r="H1385" s="4">
        <v>700</v>
      </c>
      <c r="I1385" s="4">
        <v>595</v>
      </c>
      <c r="J1385" s="5">
        <v>0.15</v>
      </c>
      <c r="K1385" s="3">
        <v>95</v>
      </c>
      <c r="L1385" s="4">
        <f>tblSales[[#This Row],[Quantity]]*tblSales[[#This Row],[Actual Price]]</f>
        <v>56525</v>
      </c>
    </row>
    <row r="1386" spans="1:12" x14ac:dyDescent="0.35">
      <c r="A1386" s="3" t="s">
        <v>1956</v>
      </c>
      <c r="B1386" s="4" t="s">
        <v>401</v>
      </c>
      <c r="C1386" s="4" t="s">
        <v>402</v>
      </c>
      <c r="D1386" s="4" t="s">
        <v>14</v>
      </c>
      <c r="E1386" s="7">
        <v>43356</v>
      </c>
      <c r="F1386" s="4" t="s">
        <v>42</v>
      </c>
      <c r="G1386" s="4" t="s">
        <v>694</v>
      </c>
      <c r="H1386" s="4">
        <v>30</v>
      </c>
      <c r="I1386" s="4">
        <v>29</v>
      </c>
      <c r="J1386" s="5">
        <v>3.3300000000000003E-2</v>
      </c>
      <c r="K1386" s="3">
        <v>92</v>
      </c>
      <c r="L1386" s="4">
        <f>tblSales[[#This Row],[Quantity]]*tblSales[[#This Row],[Actual Price]]</f>
        <v>2668</v>
      </c>
    </row>
    <row r="1387" spans="1:12" x14ac:dyDescent="0.35">
      <c r="A1387" s="3" t="s">
        <v>1957</v>
      </c>
      <c r="B1387" s="4" t="s">
        <v>147</v>
      </c>
      <c r="C1387" s="4" t="s">
        <v>148</v>
      </c>
      <c r="D1387" s="4" t="s">
        <v>14</v>
      </c>
      <c r="E1387" s="7">
        <v>42420</v>
      </c>
      <c r="F1387" s="4" t="s">
        <v>42</v>
      </c>
      <c r="G1387" s="4" t="s">
        <v>1007</v>
      </c>
      <c r="H1387" s="4">
        <v>30</v>
      </c>
      <c r="I1387" s="4">
        <v>30</v>
      </c>
      <c r="J1387" s="5">
        <v>0</v>
      </c>
      <c r="K1387" s="3">
        <v>90</v>
      </c>
      <c r="L1387" s="4">
        <f>tblSales[[#This Row],[Quantity]]*tblSales[[#This Row],[Actual Price]]</f>
        <v>2700</v>
      </c>
    </row>
    <row r="1388" spans="1:12" x14ac:dyDescent="0.35">
      <c r="A1388" s="3" t="s">
        <v>1958</v>
      </c>
      <c r="B1388" s="4" t="s">
        <v>71</v>
      </c>
      <c r="C1388" s="4" t="s">
        <v>72</v>
      </c>
      <c r="D1388" s="4" t="s">
        <v>36</v>
      </c>
      <c r="E1388" s="7">
        <v>41660</v>
      </c>
      <c r="F1388" s="4" t="s">
        <v>42</v>
      </c>
      <c r="G1388" s="4" t="s">
        <v>963</v>
      </c>
      <c r="H1388" s="4">
        <v>30</v>
      </c>
      <c r="I1388" s="4">
        <v>23</v>
      </c>
      <c r="J1388" s="5">
        <v>0.23330000000000001</v>
      </c>
      <c r="K1388" s="3">
        <v>86</v>
      </c>
      <c r="L1388" s="4">
        <f>tblSales[[#This Row],[Quantity]]*tblSales[[#This Row],[Actual Price]]</f>
        <v>1978</v>
      </c>
    </row>
    <row r="1389" spans="1:12" x14ac:dyDescent="0.35">
      <c r="A1389" s="3" t="s">
        <v>1959</v>
      </c>
      <c r="B1389" s="4" t="s">
        <v>256</v>
      </c>
      <c r="C1389" s="4" t="s">
        <v>257</v>
      </c>
      <c r="D1389" s="4" t="s">
        <v>14</v>
      </c>
      <c r="E1389" s="7">
        <v>42943</v>
      </c>
      <c r="F1389" s="4" t="s">
        <v>15</v>
      </c>
      <c r="G1389" s="4" t="s">
        <v>377</v>
      </c>
      <c r="H1389" s="4">
        <v>80</v>
      </c>
      <c r="I1389" s="4">
        <v>73</v>
      </c>
      <c r="J1389" s="5">
        <v>8.7499999999999994E-2</v>
      </c>
      <c r="K1389" s="3">
        <v>53</v>
      </c>
      <c r="L1389" s="4">
        <f>tblSales[[#This Row],[Quantity]]*tblSales[[#This Row],[Actual Price]]</f>
        <v>3869</v>
      </c>
    </row>
    <row r="1390" spans="1:12" x14ac:dyDescent="0.35">
      <c r="A1390" s="3" t="s">
        <v>1960</v>
      </c>
      <c r="B1390" s="4" t="s">
        <v>175</v>
      </c>
      <c r="C1390" s="4" t="s">
        <v>176</v>
      </c>
      <c r="D1390" s="4" t="s">
        <v>14</v>
      </c>
      <c r="E1390" s="7">
        <v>42104</v>
      </c>
      <c r="F1390" s="4" t="s">
        <v>62</v>
      </c>
      <c r="G1390" s="4" t="s">
        <v>1278</v>
      </c>
      <c r="H1390" s="4">
        <v>1000</v>
      </c>
      <c r="I1390" s="4">
        <v>980</v>
      </c>
      <c r="J1390" s="5">
        <v>0.02</v>
      </c>
      <c r="K1390" s="3">
        <v>15</v>
      </c>
      <c r="L1390" s="4">
        <f>tblSales[[#This Row],[Quantity]]*tblSales[[#This Row],[Actual Price]]</f>
        <v>14700</v>
      </c>
    </row>
    <row r="1391" spans="1:12" x14ac:dyDescent="0.35">
      <c r="A1391" s="3" t="s">
        <v>1961</v>
      </c>
      <c r="B1391" s="4" t="s">
        <v>115</v>
      </c>
      <c r="C1391" s="4" t="s">
        <v>55</v>
      </c>
      <c r="D1391" s="4" t="s">
        <v>14</v>
      </c>
      <c r="E1391" s="7">
        <v>42778</v>
      </c>
      <c r="F1391" s="4" t="s">
        <v>31</v>
      </c>
      <c r="G1391" s="4" t="s">
        <v>1962</v>
      </c>
      <c r="H1391" s="4">
        <v>150</v>
      </c>
      <c r="I1391" s="4">
        <v>150</v>
      </c>
      <c r="J1391" s="5">
        <v>0</v>
      </c>
      <c r="K1391" s="3">
        <v>84</v>
      </c>
      <c r="L1391" s="4">
        <f>tblSales[[#This Row],[Quantity]]*tblSales[[#This Row],[Actual Price]]</f>
        <v>12600</v>
      </c>
    </row>
    <row r="1392" spans="1:12" x14ac:dyDescent="0.35">
      <c r="A1392" s="3" t="s">
        <v>1963</v>
      </c>
      <c r="B1392" s="4" t="s">
        <v>92</v>
      </c>
      <c r="C1392" s="4" t="s">
        <v>93</v>
      </c>
      <c r="D1392" s="4" t="s">
        <v>36</v>
      </c>
      <c r="E1392" s="7">
        <v>42031</v>
      </c>
      <c r="F1392" s="4" t="s">
        <v>105</v>
      </c>
      <c r="G1392" s="4" t="s">
        <v>286</v>
      </c>
      <c r="H1392" s="4">
        <v>70</v>
      </c>
      <c r="I1392" s="4">
        <v>32</v>
      </c>
      <c r="J1392" s="5">
        <v>0.54290000000000005</v>
      </c>
      <c r="K1392" s="3">
        <v>14</v>
      </c>
      <c r="L1392" s="4">
        <f>tblSales[[#This Row],[Quantity]]*tblSales[[#This Row],[Actual Price]]</f>
        <v>448</v>
      </c>
    </row>
    <row r="1393" spans="1:12" x14ac:dyDescent="0.35">
      <c r="A1393" s="3" t="s">
        <v>1964</v>
      </c>
      <c r="B1393" s="4" t="s">
        <v>188</v>
      </c>
      <c r="C1393" s="4" t="s">
        <v>189</v>
      </c>
      <c r="D1393" s="4" t="s">
        <v>14</v>
      </c>
      <c r="E1393" s="7">
        <v>42927</v>
      </c>
      <c r="F1393" s="4" t="s">
        <v>26</v>
      </c>
      <c r="G1393" s="4" t="s">
        <v>238</v>
      </c>
      <c r="H1393" s="4">
        <v>700</v>
      </c>
      <c r="I1393" s="4">
        <v>700</v>
      </c>
      <c r="J1393" s="5">
        <v>0</v>
      </c>
      <c r="K1393" s="3">
        <v>8</v>
      </c>
      <c r="L1393" s="4">
        <f>tblSales[[#This Row],[Quantity]]*tblSales[[#This Row],[Actual Price]]</f>
        <v>5600</v>
      </c>
    </row>
    <row r="1394" spans="1:12" x14ac:dyDescent="0.35">
      <c r="A1394" s="3" t="s">
        <v>1965</v>
      </c>
      <c r="B1394" s="4" t="s">
        <v>100</v>
      </c>
      <c r="C1394" s="4" t="s">
        <v>101</v>
      </c>
      <c r="D1394" s="4" t="s">
        <v>14</v>
      </c>
      <c r="E1394" s="7">
        <v>43218</v>
      </c>
      <c r="F1394" s="4" t="s">
        <v>42</v>
      </c>
      <c r="G1394" s="4" t="s">
        <v>1172</v>
      </c>
      <c r="H1394" s="4">
        <v>30</v>
      </c>
      <c r="I1394" s="4">
        <v>26</v>
      </c>
      <c r="J1394" s="5">
        <v>0.1333</v>
      </c>
      <c r="K1394" s="3">
        <v>70</v>
      </c>
      <c r="L1394" s="4">
        <f>tblSales[[#This Row],[Quantity]]*tblSales[[#This Row],[Actual Price]]</f>
        <v>1820</v>
      </c>
    </row>
    <row r="1395" spans="1:12" x14ac:dyDescent="0.35">
      <c r="A1395" s="3" t="s">
        <v>1966</v>
      </c>
      <c r="B1395" s="4" t="s">
        <v>34</v>
      </c>
      <c r="C1395" s="4" t="s">
        <v>35</v>
      </c>
      <c r="D1395" s="4" t="s">
        <v>36</v>
      </c>
      <c r="E1395" s="7">
        <v>42212</v>
      </c>
      <c r="F1395" s="4" t="s">
        <v>56</v>
      </c>
      <c r="G1395" s="4" t="s">
        <v>198</v>
      </c>
      <c r="H1395" s="4">
        <v>800</v>
      </c>
      <c r="I1395" s="4">
        <v>624</v>
      </c>
      <c r="J1395" s="5">
        <v>0.22</v>
      </c>
      <c r="K1395" s="3">
        <v>79</v>
      </c>
      <c r="L1395" s="4">
        <f>tblSales[[#This Row],[Quantity]]*tblSales[[#This Row],[Actual Price]]</f>
        <v>49296</v>
      </c>
    </row>
    <row r="1396" spans="1:12" x14ac:dyDescent="0.35">
      <c r="A1396" s="3" t="s">
        <v>1967</v>
      </c>
      <c r="B1396" s="4" t="s">
        <v>132</v>
      </c>
      <c r="C1396" s="4" t="s">
        <v>109</v>
      </c>
      <c r="D1396" s="4" t="s">
        <v>20</v>
      </c>
      <c r="E1396" s="7">
        <v>43216</v>
      </c>
      <c r="F1396" s="4" t="s">
        <v>56</v>
      </c>
      <c r="G1396" s="4" t="s">
        <v>794</v>
      </c>
      <c r="H1396" s="4">
        <v>800</v>
      </c>
      <c r="I1396" s="4">
        <v>560</v>
      </c>
      <c r="J1396" s="5">
        <v>0.3</v>
      </c>
      <c r="K1396" s="3">
        <v>89</v>
      </c>
      <c r="L1396" s="4">
        <f>tblSales[[#This Row],[Quantity]]*tblSales[[#This Row],[Actual Price]]</f>
        <v>49840</v>
      </c>
    </row>
    <row r="1397" spans="1:12" x14ac:dyDescent="0.35">
      <c r="A1397" s="3" t="s">
        <v>1968</v>
      </c>
      <c r="B1397" s="4" t="s">
        <v>171</v>
      </c>
      <c r="C1397" s="4" t="s">
        <v>172</v>
      </c>
      <c r="D1397" s="4" t="s">
        <v>14</v>
      </c>
      <c r="E1397" s="7">
        <v>43115</v>
      </c>
      <c r="F1397" s="4" t="s">
        <v>62</v>
      </c>
      <c r="G1397" s="4" t="s">
        <v>412</v>
      </c>
      <c r="H1397" s="4">
        <v>1000</v>
      </c>
      <c r="I1397" s="4">
        <v>970</v>
      </c>
      <c r="J1397" s="5">
        <v>0.03</v>
      </c>
      <c r="K1397" s="3">
        <v>19</v>
      </c>
      <c r="L1397" s="4">
        <f>tblSales[[#This Row],[Quantity]]*tblSales[[#This Row],[Actual Price]]</f>
        <v>18430</v>
      </c>
    </row>
    <row r="1398" spans="1:12" x14ac:dyDescent="0.35">
      <c r="A1398" s="3" t="s">
        <v>1969</v>
      </c>
      <c r="B1398" s="4" t="s">
        <v>23</v>
      </c>
      <c r="C1398" s="4" t="s">
        <v>24</v>
      </c>
      <c r="D1398" s="4" t="s">
        <v>25</v>
      </c>
      <c r="E1398" s="7">
        <v>42006</v>
      </c>
      <c r="F1398" s="4" t="s">
        <v>15</v>
      </c>
      <c r="G1398" s="4" t="s">
        <v>625</v>
      </c>
      <c r="H1398" s="4">
        <v>80</v>
      </c>
      <c r="I1398" s="4">
        <v>70</v>
      </c>
      <c r="J1398" s="5">
        <v>0.125</v>
      </c>
      <c r="K1398" s="3">
        <v>91</v>
      </c>
      <c r="L1398" s="4">
        <f>tblSales[[#This Row],[Quantity]]*tblSales[[#This Row],[Actual Price]]</f>
        <v>6370</v>
      </c>
    </row>
    <row r="1399" spans="1:12" x14ac:dyDescent="0.35">
      <c r="A1399" s="3" t="s">
        <v>1970</v>
      </c>
      <c r="B1399" s="4" t="s">
        <v>71</v>
      </c>
      <c r="C1399" s="4" t="s">
        <v>72</v>
      </c>
      <c r="D1399" s="4" t="s">
        <v>36</v>
      </c>
      <c r="E1399" s="7">
        <v>43145</v>
      </c>
      <c r="F1399" s="4" t="s">
        <v>56</v>
      </c>
      <c r="G1399" s="4" t="s">
        <v>74</v>
      </c>
      <c r="H1399" s="4">
        <v>800</v>
      </c>
      <c r="I1399" s="4">
        <v>480</v>
      </c>
      <c r="J1399" s="5">
        <v>0.4</v>
      </c>
      <c r="K1399" s="3">
        <v>54</v>
      </c>
      <c r="L1399" s="4">
        <f>tblSales[[#This Row],[Quantity]]*tblSales[[#This Row],[Actual Price]]</f>
        <v>25920</v>
      </c>
    </row>
    <row r="1400" spans="1:12" x14ac:dyDescent="0.35">
      <c r="A1400" s="3" t="s">
        <v>1971</v>
      </c>
      <c r="B1400" s="4" t="s">
        <v>115</v>
      </c>
      <c r="C1400" s="4" t="s">
        <v>55</v>
      </c>
      <c r="D1400" s="4" t="s">
        <v>14</v>
      </c>
      <c r="E1400" s="7">
        <v>43205</v>
      </c>
      <c r="F1400" s="4" t="s">
        <v>47</v>
      </c>
      <c r="G1400" s="4" t="s">
        <v>169</v>
      </c>
      <c r="H1400" s="4">
        <v>500</v>
      </c>
      <c r="I1400" s="4">
        <v>455</v>
      </c>
      <c r="J1400" s="5">
        <v>0.09</v>
      </c>
      <c r="K1400" s="3">
        <v>90</v>
      </c>
      <c r="L1400" s="4">
        <f>tblSales[[#This Row],[Quantity]]*tblSales[[#This Row],[Actual Price]]</f>
        <v>40950</v>
      </c>
    </row>
    <row r="1401" spans="1:12" x14ac:dyDescent="0.35">
      <c r="A1401" s="3" t="s">
        <v>1972</v>
      </c>
      <c r="B1401" s="4" t="s">
        <v>135</v>
      </c>
      <c r="C1401" s="4" t="s">
        <v>93</v>
      </c>
      <c r="D1401" s="4" t="s">
        <v>36</v>
      </c>
      <c r="E1401" s="7">
        <v>43079</v>
      </c>
      <c r="F1401" s="4" t="s">
        <v>105</v>
      </c>
      <c r="G1401" s="4" t="s">
        <v>808</v>
      </c>
      <c r="H1401" s="4">
        <v>70</v>
      </c>
      <c r="I1401" s="4">
        <v>69</v>
      </c>
      <c r="J1401" s="5">
        <v>1.43E-2</v>
      </c>
      <c r="K1401" s="3">
        <v>81</v>
      </c>
      <c r="L1401" s="4">
        <f>tblSales[[#This Row],[Quantity]]*tblSales[[#This Row],[Actual Price]]</f>
        <v>5589</v>
      </c>
    </row>
    <row r="1402" spans="1:12" x14ac:dyDescent="0.35">
      <c r="A1402" s="3" t="s">
        <v>1973</v>
      </c>
      <c r="B1402" s="4" t="s">
        <v>34</v>
      </c>
      <c r="C1402" s="4" t="s">
        <v>35</v>
      </c>
      <c r="D1402" s="4" t="s">
        <v>36</v>
      </c>
      <c r="E1402" s="7">
        <v>42982</v>
      </c>
      <c r="F1402" s="4" t="s">
        <v>105</v>
      </c>
      <c r="G1402" s="4" t="s">
        <v>198</v>
      </c>
      <c r="H1402" s="4">
        <v>70</v>
      </c>
      <c r="I1402" s="4">
        <v>63</v>
      </c>
      <c r="J1402" s="5">
        <v>0.1</v>
      </c>
      <c r="K1402" s="3">
        <v>8</v>
      </c>
      <c r="L1402" s="4">
        <f>tblSales[[#This Row],[Quantity]]*tblSales[[#This Row],[Actual Price]]</f>
        <v>504</v>
      </c>
    </row>
    <row r="1403" spans="1:12" x14ac:dyDescent="0.35">
      <c r="A1403" s="3" t="s">
        <v>1974</v>
      </c>
      <c r="B1403" s="4" t="s">
        <v>188</v>
      </c>
      <c r="C1403" s="4" t="s">
        <v>189</v>
      </c>
      <c r="D1403" s="4" t="s">
        <v>14</v>
      </c>
      <c r="E1403" s="7">
        <v>41658</v>
      </c>
      <c r="F1403" s="4" t="s">
        <v>37</v>
      </c>
      <c r="G1403" s="4" t="s">
        <v>742</v>
      </c>
      <c r="H1403" s="4">
        <v>50</v>
      </c>
      <c r="I1403" s="4">
        <v>38</v>
      </c>
      <c r="J1403" s="5">
        <v>0.24</v>
      </c>
      <c r="K1403" s="3">
        <v>37</v>
      </c>
      <c r="L1403" s="4">
        <f>tblSales[[#This Row],[Quantity]]*tblSales[[#This Row],[Actual Price]]</f>
        <v>1406</v>
      </c>
    </row>
    <row r="1404" spans="1:12" x14ac:dyDescent="0.35">
      <c r="A1404" s="3" t="s">
        <v>1975</v>
      </c>
      <c r="B1404" s="4" t="s">
        <v>147</v>
      </c>
      <c r="C1404" s="4" t="s">
        <v>148</v>
      </c>
      <c r="D1404" s="4" t="s">
        <v>14</v>
      </c>
      <c r="E1404" s="7">
        <v>42224</v>
      </c>
      <c r="F1404" s="4" t="s">
        <v>116</v>
      </c>
      <c r="G1404" s="4" t="s">
        <v>831</v>
      </c>
      <c r="H1404" s="4">
        <v>250</v>
      </c>
      <c r="I1404" s="4">
        <v>200</v>
      </c>
      <c r="J1404" s="5">
        <v>0.2</v>
      </c>
      <c r="K1404" s="3">
        <v>36</v>
      </c>
      <c r="L1404" s="4">
        <f>tblSales[[#This Row],[Quantity]]*tblSales[[#This Row],[Actual Price]]</f>
        <v>7200</v>
      </c>
    </row>
    <row r="1405" spans="1:12" x14ac:dyDescent="0.35">
      <c r="A1405" s="3" t="s">
        <v>1976</v>
      </c>
      <c r="B1405" s="4" t="s">
        <v>92</v>
      </c>
      <c r="C1405" s="4" t="s">
        <v>93</v>
      </c>
      <c r="D1405" s="4" t="s">
        <v>36</v>
      </c>
      <c r="E1405" s="7">
        <v>43215</v>
      </c>
      <c r="F1405" s="4" t="s">
        <v>105</v>
      </c>
      <c r="G1405" s="4" t="s">
        <v>1156</v>
      </c>
      <c r="H1405" s="4">
        <v>70</v>
      </c>
      <c r="I1405" s="4">
        <v>69</v>
      </c>
      <c r="J1405" s="5">
        <v>1.43E-2</v>
      </c>
      <c r="K1405" s="3">
        <v>31</v>
      </c>
      <c r="L1405" s="4">
        <f>tblSales[[#This Row],[Quantity]]*tblSales[[#This Row],[Actual Price]]</f>
        <v>2139</v>
      </c>
    </row>
    <row r="1406" spans="1:12" x14ac:dyDescent="0.35">
      <c r="A1406" s="3" t="s">
        <v>1977</v>
      </c>
      <c r="B1406" s="4" t="s">
        <v>50</v>
      </c>
      <c r="C1406" s="4" t="s">
        <v>51</v>
      </c>
      <c r="D1406" s="4" t="s">
        <v>25</v>
      </c>
      <c r="E1406" s="7">
        <v>43434</v>
      </c>
      <c r="F1406" s="4" t="s">
        <v>42</v>
      </c>
      <c r="G1406" s="4" t="s">
        <v>659</v>
      </c>
      <c r="H1406" s="4">
        <v>30</v>
      </c>
      <c r="I1406" s="4">
        <v>26</v>
      </c>
      <c r="J1406" s="5">
        <v>0.1333</v>
      </c>
      <c r="K1406" s="3">
        <v>66</v>
      </c>
      <c r="L1406" s="4">
        <f>tblSales[[#This Row],[Quantity]]*tblSales[[#This Row],[Actual Price]]</f>
        <v>1716</v>
      </c>
    </row>
    <row r="1407" spans="1:12" x14ac:dyDescent="0.35">
      <c r="A1407" s="3" t="s">
        <v>1978</v>
      </c>
      <c r="B1407" s="4" t="s">
        <v>12</v>
      </c>
      <c r="C1407" s="4" t="s">
        <v>13</v>
      </c>
      <c r="D1407" s="4" t="s">
        <v>14</v>
      </c>
      <c r="E1407" s="7">
        <v>42134</v>
      </c>
      <c r="F1407" s="4" t="s">
        <v>42</v>
      </c>
      <c r="G1407" s="4" t="s">
        <v>194</v>
      </c>
      <c r="H1407" s="4">
        <v>30</v>
      </c>
      <c r="I1407" s="4">
        <v>30</v>
      </c>
      <c r="J1407" s="5">
        <v>0</v>
      </c>
      <c r="K1407" s="3">
        <v>40</v>
      </c>
      <c r="L1407" s="4">
        <f>tblSales[[#This Row],[Quantity]]*tblSales[[#This Row],[Actual Price]]</f>
        <v>1200</v>
      </c>
    </row>
    <row r="1408" spans="1:12" x14ac:dyDescent="0.35">
      <c r="A1408" s="3" t="s">
        <v>1979</v>
      </c>
      <c r="B1408" s="4" t="s">
        <v>96</v>
      </c>
      <c r="C1408" s="4" t="s">
        <v>97</v>
      </c>
      <c r="D1408" s="4" t="s">
        <v>14</v>
      </c>
      <c r="E1408" s="7">
        <v>42323</v>
      </c>
      <c r="F1408" s="4" t="s">
        <v>123</v>
      </c>
      <c r="G1408" s="4" t="s">
        <v>334</v>
      </c>
      <c r="H1408" s="4">
        <v>50</v>
      </c>
      <c r="I1408" s="4">
        <v>46</v>
      </c>
      <c r="J1408" s="5">
        <v>0.08</v>
      </c>
      <c r="K1408" s="3">
        <v>4</v>
      </c>
      <c r="L1408" s="4">
        <f>tblSales[[#This Row],[Quantity]]*tblSales[[#This Row],[Actual Price]]</f>
        <v>184</v>
      </c>
    </row>
    <row r="1409" spans="1:12" x14ac:dyDescent="0.35">
      <c r="A1409" s="3" t="s">
        <v>1980</v>
      </c>
      <c r="B1409" s="4" t="s">
        <v>188</v>
      </c>
      <c r="C1409" s="4" t="s">
        <v>189</v>
      </c>
      <c r="D1409" s="4" t="s">
        <v>14</v>
      </c>
      <c r="E1409" s="7">
        <v>42553</v>
      </c>
      <c r="F1409" s="4" t="s">
        <v>73</v>
      </c>
      <c r="G1409" s="4" t="s">
        <v>238</v>
      </c>
      <c r="H1409" s="4">
        <v>500</v>
      </c>
      <c r="I1409" s="4">
        <v>500</v>
      </c>
      <c r="J1409" s="5">
        <v>0</v>
      </c>
      <c r="K1409" s="3">
        <v>55</v>
      </c>
      <c r="L1409" s="4">
        <f>tblSales[[#This Row],[Quantity]]*tblSales[[#This Row],[Actual Price]]</f>
        <v>27500</v>
      </c>
    </row>
    <row r="1410" spans="1:12" x14ac:dyDescent="0.35">
      <c r="A1410" s="3" t="s">
        <v>1981</v>
      </c>
      <c r="B1410" s="4" t="s">
        <v>175</v>
      </c>
      <c r="C1410" s="4" t="s">
        <v>176</v>
      </c>
      <c r="D1410" s="4" t="s">
        <v>14</v>
      </c>
      <c r="E1410" s="7">
        <v>42375</v>
      </c>
      <c r="F1410" s="4" t="s">
        <v>26</v>
      </c>
      <c r="G1410" s="4" t="s">
        <v>1559</v>
      </c>
      <c r="H1410" s="4">
        <v>700</v>
      </c>
      <c r="I1410" s="4">
        <v>679</v>
      </c>
      <c r="J1410" s="5">
        <v>0.03</v>
      </c>
      <c r="K1410" s="3">
        <v>16</v>
      </c>
      <c r="L1410" s="4">
        <f>tblSales[[#This Row],[Quantity]]*tblSales[[#This Row],[Actual Price]]</f>
        <v>10864</v>
      </c>
    </row>
    <row r="1411" spans="1:12" x14ac:dyDescent="0.35">
      <c r="A1411" s="3" t="s">
        <v>1982</v>
      </c>
      <c r="B1411" s="4" t="s">
        <v>100</v>
      </c>
      <c r="C1411" s="4" t="s">
        <v>101</v>
      </c>
      <c r="D1411" s="4" t="s">
        <v>14</v>
      </c>
      <c r="E1411" s="7">
        <v>42578</v>
      </c>
      <c r="F1411" s="4" t="s">
        <v>26</v>
      </c>
      <c r="G1411" s="4" t="s">
        <v>1172</v>
      </c>
      <c r="H1411" s="4">
        <v>700</v>
      </c>
      <c r="I1411" s="4">
        <v>630</v>
      </c>
      <c r="J1411" s="5">
        <v>0.1</v>
      </c>
      <c r="K1411" s="3">
        <v>12</v>
      </c>
      <c r="L1411" s="4">
        <f>tblSales[[#This Row],[Quantity]]*tblSales[[#This Row],[Actual Price]]</f>
        <v>7560</v>
      </c>
    </row>
    <row r="1412" spans="1:12" x14ac:dyDescent="0.35">
      <c r="A1412" s="3" t="s">
        <v>1983</v>
      </c>
      <c r="B1412" s="4" t="s">
        <v>18</v>
      </c>
      <c r="C1412" s="4" t="s">
        <v>19</v>
      </c>
      <c r="D1412" s="4" t="s">
        <v>20</v>
      </c>
      <c r="E1412" s="7">
        <v>42793</v>
      </c>
      <c r="F1412" s="4" t="s">
        <v>105</v>
      </c>
      <c r="G1412" s="4" t="s">
        <v>494</v>
      </c>
      <c r="H1412" s="4">
        <v>70</v>
      </c>
      <c r="I1412" s="4">
        <v>65</v>
      </c>
      <c r="J1412" s="5">
        <v>7.1400000000000005E-2</v>
      </c>
      <c r="K1412" s="3">
        <v>1</v>
      </c>
      <c r="L1412" s="4">
        <f>tblSales[[#This Row],[Quantity]]*tblSales[[#This Row],[Actual Price]]</f>
        <v>65</v>
      </c>
    </row>
    <row r="1413" spans="1:12" x14ac:dyDescent="0.35">
      <c r="A1413" s="3" t="s">
        <v>1984</v>
      </c>
      <c r="B1413" s="4" t="s">
        <v>71</v>
      </c>
      <c r="C1413" s="4" t="s">
        <v>72</v>
      </c>
      <c r="D1413" s="4" t="s">
        <v>36</v>
      </c>
      <c r="E1413" s="7">
        <v>41985</v>
      </c>
      <c r="F1413" s="4" t="s">
        <v>73</v>
      </c>
      <c r="G1413" s="4" t="s">
        <v>963</v>
      </c>
      <c r="H1413" s="4">
        <v>500</v>
      </c>
      <c r="I1413" s="4">
        <v>500</v>
      </c>
      <c r="J1413" s="5">
        <v>0</v>
      </c>
      <c r="K1413" s="3">
        <v>3</v>
      </c>
      <c r="L1413" s="4">
        <f>tblSales[[#This Row],[Quantity]]*tblSales[[#This Row],[Actual Price]]</f>
        <v>1500</v>
      </c>
    </row>
    <row r="1414" spans="1:12" x14ac:dyDescent="0.35">
      <c r="A1414" s="3" t="s">
        <v>1985</v>
      </c>
      <c r="B1414" s="4" t="s">
        <v>401</v>
      </c>
      <c r="C1414" s="4" t="s">
        <v>402</v>
      </c>
      <c r="D1414" s="4" t="s">
        <v>14</v>
      </c>
      <c r="E1414" s="7">
        <v>41923</v>
      </c>
      <c r="F1414" s="4" t="s">
        <v>116</v>
      </c>
      <c r="G1414" s="4" t="s">
        <v>857</v>
      </c>
      <c r="H1414" s="4">
        <v>250</v>
      </c>
      <c r="I1414" s="4">
        <v>200</v>
      </c>
      <c r="J1414" s="5">
        <v>0.2</v>
      </c>
      <c r="K1414" s="3">
        <v>30</v>
      </c>
      <c r="L1414" s="4">
        <f>tblSales[[#This Row],[Quantity]]*tblSales[[#This Row],[Actual Price]]</f>
        <v>6000</v>
      </c>
    </row>
    <row r="1415" spans="1:12" x14ac:dyDescent="0.35">
      <c r="A1415" s="3" t="s">
        <v>1986</v>
      </c>
      <c r="B1415" s="4" t="s">
        <v>128</v>
      </c>
      <c r="C1415" s="4" t="s">
        <v>129</v>
      </c>
      <c r="D1415" s="4" t="s">
        <v>14</v>
      </c>
      <c r="E1415" s="7">
        <v>42225</v>
      </c>
      <c r="F1415" s="4" t="s">
        <v>73</v>
      </c>
      <c r="G1415" s="4" t="s">
        <v>1262</v>
      </c>
      <c r="H1415" s="4">
        <v>500</v>
      </c>
      <c r="I1415" s="4">
        <v>490</v>
      </c>
      <c r="J1415" s="5">
        <v>0.02</v>
      </c>
      <c r="K1415" s="3">
        <v>100</v>
      </c>
      <c r="L1415" s="4">
        <f>tblSales[[#This Row],[Quantity]]*tblSales[[#This Row],[Actual Price]]</f>
        <v>49000</v>
      </c>
    </row>
    <row r="1416" spans="1:12" x14ac:dyDescent="0.35">
      <c r="A1416" s="3" t="s">
        <v>1987</v>
      </c>
      <c r="B1416" s="4" t="s">
        <v>228</v>
      </c>
      <c r="C1416" s="4" t="s">
        <v>229</v>
      </c>
      <c r="D1416" s="4" t="s">
        <v>25</v>
      </c>
      <c r="E1416" s="7">
        <v>42453</v>
      </c>
      <c r="F1416" s="4" t="s">
        <v>42</v>
      </c>
      <c r="G1416" s="4" t="s">
        <v>279</v>
      </c>
      <c r="H1416" s="4">
        <v>30</v>
      </c>
      <c r="I1416" s="4">
        <v>30</v>
      </c>
      <c r="J1416" s="5">
        <v>0</v>
      </c>
      <c r="K1416" s="3">
        <v>9</v>
      </c>
      <c r="L1416" s="4">
        <f>tblSales[[#This Row],[Quantity]]*tblSales[[#This Row],[Actual Price]]</f>
        <v>270</v>
      </c>
    </row>
    <row r="1417" spans="1:12" x14ac:dyDescent="0.35">
      <c r="A1417" s="3" t="s">
        <v>1988</v>
      </c>
      <c r="B1417" s="4" t="s">
        <v>108</v>
      </c>
      <c r="C1417" s="4" t="s">
        <v>109</v>
      </c>
      <c r="D1417" s="4" t="s">
        <v>20</v>
      </c>
      <c r="E1417" s="7">
        <v>41772</v>
      </c>
      <c r="F1417" s="4" t="s">
        <v>105</v>
      </c>
      <c r="G1417" s="4" t="s">
        <v>1438</v>
      </c>
      <c r="H1417" s="4">
        <v>70</v>
      </c>
      <c r="I1417" s="4">
        <v>55</v>
      </c>
      <c r="J1417" s="5">
        <v>0.21429999999999999</v>
      </c>
      <c r="K1417" s="3">
        <v>10</v>
      </c>
      <c r="L1417" s="4">
        <f>tblSales[[#This Row],[Quantity]]*tblSales[[#This Row],[Actual Price]]</f>
        <v>550</v>
      </c>
    </row>
    <row r="1418" spans="1:12" x14ac:dyDescent="0.35">
      <c r="A1418" s="3" t="s">
        <v>1989</v>
      </c>
      <c r="B1418" s="4" t="s">
        <v>151</v>
      </c>
      <c r="C1418" s="4" t="s">
        <v>152</v>
      </c>
      <c r="D1418" s="4" t="s">
        <v>14</v>
      </c>
      <c r="E1418" s="7">
        <v>42215</v>
      </c>
      <c r="F1418" s="4" t="s">
        <v>123</v>
      </c>
      <c r="G1418" s="4" t="s">
        <v>825</v>
      </c>
      <c r="H1418" s="4">
        <v>50</v>
      </c>
      <c r="I1418" s="4">
        <v>42</v>
      </c>
      <c r="J1418" s="5">
        <v>0.16</v>
      </c>
      <c r="K1418" s="3">
        <v>24</v>
      </c>
      <c r="L1418" s="4">
        <f>tblSales[[#This Row],[Quantity]]*tblSales[[#This Row],[Actual Price]]</f>
        <v>1008</v>
      </c>
    </row>
    <row r="1419" spans="1:12" x14ac:dyDescent="0.35">
      <c r="A1419" s="3" t="s">
        <v>1990</v>
      </c>
      <c r="B1419" s="4" t="s">
        <v>135</v>
      </c>
      <c r="C1419" s="4" t="s">
        <v>93</v>
      </c>
      <c r="D1419" s="4" t="s">
        <v>36</v>
      </c>
      <c r="E1419" s="7">
        <v>41947</v>
      </c>
      <c r="F1419" s="4" t="s">
        <v>42</v>
      </c>
      <c r="G1419" s="4" t="s">
        <v>1020</v>
      </c>
      <c r="H1419" s="4">
        <v>30</v>
      </c>
      <c r="I1419" s="4">
        <v>26</v>
      </c>
      <c r="J1419" s="5">
        <v>0.1333</v>
      </c>
      <c r="K1419" s="3">
        <v>44</v>
      </c>
      <c r="L1419" s="4">
        <f>tblSales[[#This Row],[Quantity]]*tblSales[[#This Row],[Actual Price]]</f>
        <v>1144</v>
      </c>
    </row>
    <row r="1420" spans="1:12" x14ac:dyDescent="0.35">
      <c r="A1420" s="3" t="s">
        <v>1991</v>
      </c>
      <c r="B1420" s="4" t="s">
        <v>242</v>
      </c>
      <c r="C1420" s="4" t="s">
        <v>243</v>
      </c>
      <c r="D1420" s="4" t="s">
        <v>14</v>
      </c>
      <c r="E1420" s="7">
        <v>41768</v>
      </c>
      <c r="F1420" s="4" t="s">
        <v>105</v>
      </c>
      <c r="G1420" s="4" t="s">
        <v>332</v>
      </c>
      <c r="H1420" s="4">
        <v>70</v>
      </c>
      <c r="I1420" s="4">
        <v>53</v>
      </c>
      <c r="J1420" s="5">
        <v>0.2429</v>
      </c>
      <c r="K1420" s="3">
        <v>71</v>
      </c>
      <c r="L1420" s="4">
        <f>tblSales[[#This Row],[Quantity]]*tblSales[[#This Row],[Actual Price]]</f>
        <v>3763</v>
      </c>
    </row>
    <row r="1421" spans="1:12" x14ac:dyDescent="0.35">
      <c r="A1421" s="3" t="s">
        <v>1992</v>
      </c>
      <c r="B1421" s="4" t="s">
        <v>60</v>
      </c>
      <c r="C1421" s="4" t="s">
        <v>61</v>
      </c>
      <c r="D1421" s="4" t="s">
        <v>14</v>
      </c>
      <c r="E1421" s="7">
        <v>41693</v>
      </c>
      <c r="F1421" s="4" t="s">
        <v>73</v>
      </c>
      <c r="G1421" s="4" t="s">
        <v>63</v>
      </c>
      <c r="H1421" s="4">
        <v>500</v>
      </c>
      <c r="I1421" s="4">
        <v>490</v>
      </c>
      <c r="J1421" s="5">
        <v>0.02</v>
      </c>
      <c r="K1421" s="3">
        <v>86</v>
      </c>
      <c r="L1421" s="4">
        <f>tblSales[[#This Row],[Quantity]]*tblSales[[#This Row],[Actual Price]]</f>
        <v>42140</v>
      </c>
    </row>
    <row r="1422" spans="1:12" x14ac:dyDescent="0.35">
      <c r="A1422" s="3" t="s">
        <v>1993</v>
      </c>
      <c r="B1422" s="4" t="s">
        <v>171</v>
      </c>
      <c r="C1422" s="4" t="s">
        <v>172</v>
      </c>
      <c r="D1422" s="4" t="s">
        <v>14</v>
      </c>
      <c r="E1422" s="7">
        <v>42486</v>
      </c>
      <c r="F1422" s="4" t="s">
        <v>42</v>
      </c>
      <c r="G1422" s="4" t="s">
        <v>173</v>
      </c>
      <c r="H1422" s="4">
        <v>30</v>
      </c>
      <c r="I1422" s="4">
        <v>26</v>
      </c>
      <c r="J1422" s="5">
        <v>0.1333</v>
      </c>
      <c r="K1422" s="3">
        <v>19</v>
      </c>
      <c r="L1422" s="4">
        <f>tblSales[[#This Row],[Quantity]]*tblSales[[#This Row],[Actual Price]]</f>
        <v>494</v>
      </c>
    </row>
    <row r="1423" spans="1:12" x14ac:dyDescent="0.35">
      <c r="A1423" s="3" t="s">
        <v>1994</v>
      </c>
      <c r="B1423" s="4" t="s">
        <v>271</v>
      </c>
      <c r="C1423" s="4" t="s">
        <v>272</v>
      </c>
      <c r="D1423" s="4" t="s">
        <v>36</v>
      </c>
      <c r="E1423" s="7">
        <v>42040</v>
      </c>
      <c r="F1423" s="4" t="s">
        <v>15</v>
      </c>
      <c r="G1423" s="4" t="s">
        <v>714</v>
      </c>
      <c r="H1423" s="4">
        <v>80</v>
      </c>
      <c r="I1423" s="4">
        <v>53</v>
      </c>
      <c r="J1423" s="5">
        <v>0.33750000000000002</v>
      </c>
      <c r="K1423" s="3">
        <v>12</v>
      </c>
      <c r="L1423" s="4">
        <f>tblSales[[#This Row],[Quantity]]*tblSales[[#This Row],[Actual Price]]</f>
        <v>636</v>
      </c>
    </row>
    <row r="1424" spans="1:12" x14ac:dyDescent="0.35">
      <c r="A1424" s="3" t="s">
        <v>1995</v>
      </c>
      <c r="B1424" s="4" t="s">
        <v>435</v>
      </c>
      <c r="C1424" s="4" t="s">
        <v>436</v>
      </c>
      <c r="D1424" s="4" t="s">
        <v>25</v>
      </c>
      <c r="E1424" s="7">
        <v>43372</v>
      </c>
      <c r="F1424" s="4" t="s">
        <v>56</v>
      </c>
      <c r="G1424" s="4" t="s">
        <v>551</v>
      </c>
      <c r="H1424" s="4">
        <v>800</v>
      </c>
      <c r="I1424" s="4">
        <v>616</v>
      </c>
      <c r="J1424" s="5">
        <v>0.23</v>
      </c>
      <c r="K1424" s="3">
        <v>43</v>
      </c>
      <c r="L1424" s="4">
        <f>tblSales[[#This Row],[Quantity]]*tblSales[[#This Row],[Actual Price]]</f>
        <v>26488</v>
      </c>
    </row>
    <row r="1425" spans="1:12" x14ac:dyDescent="0.35">
      <c r="A1425" s="3" t="s">
        <v>1996</v>
      </c>
      <c r="B1425" s="4" t="s">
        <v>18</v>
      </c>
      <c r="C1425" s="4" t="s">
        <v>19</v>
      </c>
      <c r="D1425" s="4" t="s">
        <v>20</v>
      </c>
      <c r="E1425" s="7">
        <v>42483</v>
      </c>
      <c r="F1425" s="4" t="s">
        <v>116</v>
      </c>
      <c r="G1425" s="4" t="s">
        <v>479</v>
      </c>
      <c r="H1425" s="4">
        <v>250</v>
      </c>
      <c r="I1425" s="4">
        <v>225</v>
      </c>
      <c r="J1425" s="5">
        <v>0.1</v>
      </c>
      <c r="K1425" s="3">
        <v>56</v>
      </c>
      <c r="L1425" s="4">
        <f>tblSales[[#This Row],[Quantity]]*tblSales[[#This Row],[Actual Price]]</f>
        <v>12600</v>
      </c>
    </row>
    <row r="1426" spans="1:12" x14ac:dyDescent="0.35">
      <c r="A1426" s="3" t="s">
        <v>1997</v>
      </c>
      <c r="B1426" s="4" t="s">
        <v>435</v>
      </c>
      <c r="C1426" s="4" t="s">
        <v>436</v>
      </c>
      <c r="D1426" s="4" t="s">
        <v>25</v>
      </c>
      <c r="E1426" s="7">
        <v>42036</v>
      </c>
      <c r="F1426" s="4" t="s">
        <v>116</v>
      </c>
      <c r="G1426" s="4" t="s">
        <v>859</v>
      </c>
      <c r="H1426" s="4">
        <v>250</v>
      </c>
      <c r="I1426" s="4">
        <v>215</v>
      </c>
      <c r="J1426" s="5">
        <v>0.14000000000000001</v>
      </c>
      <c r="K1426" s="3">
        <v>49</v>
      </c>
      <c r="L1426" s="4">
        <f>tblSales[[#This Row],[Quantity]]*tblSales[[#This Row],[Actual Price]]</f>
        <v>10535</v>
      </c>
    </row>
    <row r="1427" spans="1:12" x14ac:dyDescent="0.35">
      <c r="A1427" s="3" t="s">
        <v>1998</v>
      </c>
      <c r="B1427" s="4" t="s">
        <v>40</v>
      </c>
      <c r="C1427" s="4" t="s">
        <v>41</v>
      </c>
      <c r="D1427" s="4" t="s">
        <v>36</v>
      </c>
      <c r="E1427" s="7">
        <v>41945</v>
      </c>
      <c r="F1427" s="4" t="s">
        <v>56</v>
      </c>
      <c r="G1427" s="4" t="s">
        <v>1291</v>
      </c>
      <c r="H1427" s="4">
        <v>800</v>
      </c>
      <c r="I1427" s="4">
        <v>712</v>
      </c>
      <c r="J1427" s="5">
        <v>0.11</v>
      </c>
      <c r="K1427" s="3">
        <v>21</v>
      </c>
      <c r="L1427" s="4">
        <f>tblSales[[#This Row],[Quantity]]*tblSales[[#This Row],[Actual Price]]</f>
        <v>14952</v>
      </c>
    </row>
    <row r="1428" spans="1:12" x14ac:dyDescent="0.35">
      <c r="A1428" s="3" t="s">
        <v>1999</v>
      </c>
      <c r="B1428" s="4" t="s">
        <v>132</v>
      </c>
      <c r="C1428" s="4" t="s">
        <v>109</v>
      </c>
      <c r="D1428" s="4" t="s">
        <v>20</v>
      </c>
      <c r="E1428" s="7">
        <v>43260</v>
      </c>
      <c r="F1428" s="4" t="s">
        <v>37</v>
      </c>
      <c r="G1428" s="4" t="s">
        <v>269</v>
      </c>
      <c r="H1428" s="4">
        <v>50</v>
      </c>
      <c r="I1428" s="4">
        <v>46</v>
      </c>
      <c r="J1428" s="5">
        <v>0.08</v>
      </c>
      <c r="K1428" s="3">
        <v>43</v>
      </c>
      <c r="L1428" s="4">
        <f>tblSales[[#This Row],[Quantity]]*tblSales[[#This Row],[Actual Price]]</f>
        <v>1978</v>
      </c>
    </row>
    <row r="1429" spans="1:12" x14ac:dyDescent="0.35">
      <c r="A1429" s="3" t="s">
        <v>2000</v>
      </c>
      <c r="B1429" s="4" t="s">
        <v>206</v>
      </c>
      <c r="C1429" s="4" t="s">
        <v>207</v>
      </c>
      <c r="D1429" s="4" t="s">
        <v>25</v>
      </c>
      <c r="E1429" s="7">
        <v>42365</v>
      </c>
      <c r="F1429" s="4" t="s">
        <v>62</v>
      </c>
      <c r="G1429" s="4" t="s">
        <v>723</v>
      </c>
      <c r="H1429" s="4">
        <v>1000</v>
      </c>
      <c r="I1429" s="4">
        <v>960</v>
      </c>
      <c r="J1429" s="5">
        <v>0.04</v>
      </c>
      <c r="K1429" s="3">
        <v>12</v>
      </c>
      <c r="L1429" s="4">
        <f>tblSales[[#This Row],[Quantity]]*tblSales[[#This Row],[Actual Price]]</f>
        <v>11520</v>
      </c>
    </row>
    <row r="1430" spans="1:12" x14ac:dyDescent="0.35">
      <c r="A1430" s="3" t="s">
        <v>2001</v>
      </c>
      <c r="B1430" s="4" t="s">
        <v>228</v>
      </c>
      <c r="C1430" s="4" t="s">
        <v>229</v>
      </c>
      <c r="D1430" s="4" t="s">
        <v>25</v>
      </c>
      <c r="E1430" s="7">
        <v>42801</v>
      </c>
      <c r="F1430" s="4" t="s">
        <v>116</v>
      </c>
      <c r="G1430" s="4" t="s">
        <v>938</v>
      </c>
      <c r="H1430" s="4">
        <v>250</v>
      </c>
      <c r="I1430" s="4">
        <v>243</v>
      </c>
      <c r="J1430" s="5">
        <v>2.8000000000000001E-2</v>
      </c>
      <c r="K1430" s="3">
        <v>79</v>
      </c>
      <c r="L1430" s="4">
        <f>tblSales[[#This Row],[Quantity]]*tblSales[[#This Row],[Actual Price]]</f>
        <v>19197</v>
      </c>
    </row>
    <row r="1431" spans="1:12" x14ac:dyDescent="0.35">
      <c r="A1431" s="3" t="s">
        <v>2002</v>
      </c>
      <c r="B1431" s="4" t="s">
        <v>119</v>
      </c>
      <c r="C1431" s="4" t="s">
        <v>120</v>
      </c>
      <c r="D1431" s="4" t="s">
        <v>36</v>
      </c>
      <c r="E1431" s="7">
        <v>42261</v>
      </c>
      <c r="F1431" s="4" t="s">
        <v>26</v>
      </c>
      <c r="G1431" s="4" t="s">
        <v>1111</v>
      </c>
      <c r="H1431" s="4">
        <v>700</v>
      </c>
      <c r="I1431" s="4">
        <v>665</v>
      </c>
      <c r="J1431" s="5">
        <v>0.05</v>
      </c>
      <c r="K1431" s="3">
        <v>9</v>
      </c>
      <c r="L1431" s="4">
        <f>tblSales[[#This Row],[Quantity]]*tblSales[[#This Row],[Actual Price]]</f>
        <v>5985</v>
      </c>
    </row>
    <row r="1432" spans="1:12" x14ac:dyDescent="0.35">
      <c r="A1432" s="3" t="s">
        <v>2003</v>
      </c>
      <c r="B1432" s="4" t="s">
        <v>65</v>
      </c>
      <c r="C1432" s="4" t="s">
        <v>66</v>
      </c>
      <c r="D1432" s="4" t="s">
        <v>36</v>
      </c>
      <c r="E1432" s="7">
        <v>43228</v>
      </c>
      <c r="F1432" s="4" t="s">
        <v>42</v>
      </c>
      <c r="G1432" s="4" t="s">
        <v>873</v>
      </c>
      <c r="H1432" s="4">
        <v>30</v>
      </c>
      <c r="I1432" s="4">
        <v>30</v>
      </c>
      <c r="J1432" s="5">
        <v>0</v>
      </c>
      <c r="K1432" s="3">
        <v>94</v>
      </c>
      <c r="L1432" s="4">
        <f>tblSales[[#This Row],[Quantity]]*tblSales[[#This Row],[Actual Price]]</f>
        <v>2820</v>
      </c>
    </row>
    <row r="1433" spans="1:12" x14ac:dyDescent="0.35">
      <c r="A1433" s="3" t="s">
        <v>2004</v>
      </c>
      <c r="B1433" s="4" t="s">
        <v>23</v>
      </c>
      <c r="C1433" s="4" t="s">
        <v>24</v>
      </c>
      <c r="D1433" s="4" t="s">
        <v>25</v>
      </c>
      <c r="E1433" s="7">
        <v>42266</v>
      </c>
      <c r="F1433" s="4" t="s">
        <v>47</v>
      </c>
      <c r="G1433" s="4" t="s">
        <v>484</v>
      </c>
      <c r="H1433" s="4">
        <v>500</v>
      </c>
      <c r="I1433" s="4">
        <v>350</v>
      </c>
      <c r="J1433" s="5">
        <v>0.3</v>
      </c>
      <c r="K1433" s="3">
        <v>75</v>
      </c>
      <c r="L1433" s="4">
        <f>tblSales[[#This Row],[Quantity]]*tblSales[[#This Row],[Actual Price]]</f>
        <v>26250</v>
      </c>
    </row>
    <row r="1434" spans="1:12" x14ac:dyDescent="0.35">
      <c r="A1434" s="3" t="s">
        <v>2005</v>
      </c>
      <c r="B1434" s="4" t="s">
        <v>71</v>
      </c>
      <c r="C1434" s="4" t="s">
        <v>72</v>
      </c>
      <c r="D1434" s="4" t="s">
        <v>36</v>
      </c>
      <c r="E1434" s="7">
        <v>42390</v>
      </c>
      <c r="F1434" s="4" t="s">
        <v>42</v>
      </c>
      <c r="G1434" s="4" t="s">
        <v>1415</v>
      </c>
      <c r="H1434" s="4">
        <v>30</v>
      </c>
      <c r="I1434" s="4">
        <v>28</v>
      </c>
      <c r="J1434" s="5">
        <v>6.6699999999999995E-2</v>
      </c>
      <c r="K1434" s="3">
        <v>91</v>
      </c>
      <c r="L1434" s="4">
        <f>tblSales[[#This Row],[Quantity]]*tblSales[[#This Row],[Actual Price]]</f>
        <v>2548</v>
      </c>
    </row>
    <row r="1435" spans="1:12" x14ac:dyDescent="0.35">
      <c r="A1435" s="3" t="s">
        <v>2006</v>
      </c>
      <c r="B1435" s="4" t="s">
        <v>290</v>
      </c>
      <c r="C1435" s="4" t="s">
        <v>109</v>
      </c>
      <c r="D1435" s="4" t="s">
        <v>20</v>
      </c>
      <c r="E1435" s="7">
        <v>42582</v>
      </c>
      <c r="F1435" s="4" t="s">
        <v>116</v>
      </c>
      <c r="G1435" s="4" t="s">
        <v>904</v>
      </c>
      <c r="H1435" s="4">
        <v>250</v>
      </c>
      <c r="I1435" s="4">
        <v>245</v>
      </c>
      <c r="J1435" s="5">
        <v>0.02</v>
      </c>
      <c r="K1435" s="3">
        <v>96</v>
      </c>
      <c r="L1435" s="4">
        <f>tblSales[[#This Row],[Quantity]]*tblSales[[#This Row],[Actual Price]]</f>
        <v>23520</v>
      </c>
    </row>
    <row r="1436" spans="1:12" x14ac:dyDescent="0.35">
      <c r="A1436" s="3" t="s">
        <v>2007</v>
      </c>
      <c r="B1436" s="4" t="s">
        <v>112</v>
      </c>
      <c r="C1436" s="4" t="s">
        <v>83</v>
      </c>
      <c r="D1436" s="4" t="s">
        <v>14</v>
      </c>
      <c r="E1436" s="7">
        <v>43095</v>
      </c>
      <c r="F1436" s="4" t="s">
        <v>31</v>
      </c>
      <c r="G1436" s="4" t="s">
        <v>373</v>
      </c>
      <c r="H1436" s="4">
        <v>150</v>
      </c>
      <c r="I1436" s="4">
        <v>143</v>
      </c>
      <c r="J1436" s="5">
        <v>4.6699999999999998E-2</v>
      </c>
      <c r="K1436" s="3">
        <v>51</v>
      </c>
      <c r="L1436" s="4">
        <f>tblSales[[#This Row],[Quantity]]*tblSales[[#This Row],[Actual Price]]</f>
        <v>7293</v>
      </c>
    </row>
    <row r="1437" spans="1:12" x14ac:dyDescent="0.35">
      <c r="A1437" s="3" t="s">
        <v>2008</v>
      </c>
      <c r="B1437" s="4" t="s">
        <v>271</v>
      </c>
      <c r="C1437" s="4" t="s">
        <v>272</v>
      </c>
      <c r="D1437" s="4" t="s">
        <v>36</v>
      </c>
      <c r="E1437" s="7">
        <v>43329</v>
      </c>
      <c r="F1437" s="4" t="s">
        <v>123</v>
      </c>
      <c r="G1437" s="4" t="s">
        <v>273</v>
      </c>
      <c r="H1437" s="4">
        <v>50</v>
      </c>
      <c r="I1437" s="4">
        <v>49</v>
      </c>
      <c r="J1437" s="5">
        <v>0.02</v>
      </c>
      <c r="K1437" s="3">
        <v>67</v>
      </c>
      <c r="L1437" s="4">
        <f>tblSales[[#This Row],[Quantity]]*tblSales[[#This Row],[Actual Price]]</f>
        <v>3283</v>
      </c>
    </row>
    <row r="1438" spans="1:12" x14ac:dyDescent="0.35">
      <c r="A1438" s="3" t="s">
        <v>2009</v>
      </c>
      <c r="B1438" s="4" t="s">
        <v>40</v>
      </c>
      <c r="C1438" s="4" t="s">
        <v>41</v>
      </c>
      <c r="D1438" s="4" t="s">
        <v>36</v>
      </c>
      <c r="E1438" s="7">
        <v>42838</v>
      </c>
      <c r="F1438" s="4" t="s">
        <v>37</v>
      </c>
      <c r="G1438" s="4" t="s">
        <v>1305</v>
      </c>
      <c r="H1438" s="4">
        <v>50</v>
      </c>
      <c r="I1438" s="4">
        <v>50</v>
      </c>
      <c r="J1438" s="5">
        <v>0</v>
      </c>
      <c r="K1438" s="3">
        <v>85</v>
      </c>
      <c r="L1438" s="4">
        <f>tblSales[[#This Row],[Quantity]]*tblSales[[#This Row],[Actual Price]]</f>
        <v>4250</v>
      </c>
    </row>
    <row r="1439" spans="1:12" x14ac:dyDescent="0.35">
      <c r="A1439" s="3" t="s">
        <v>2010</v>
      </c>
      <c r="B1439" s="4" t="s">
        <v>65</v>
      </c>
      <c r="C1439" s="4" t="s">
        <v>66</v>
      </c>
      <c r="D1439" s="4" t="s">
        <v>36</v>
      </c>
      <c r="E1439" s="7">
        <v>42345</v>
      </c>
      <c r="F1439" s="4" t="s">
        <v>62</v>
      </c>
      <c r="G1439" s="4" t="s">
        <v>281</v>
      </c>
      <c r="H1439" s="4">
        <v>1000</v>
      </c>
      <c r="I1439" s="4">
        <v>940</v>
      </c>
      <c r="J1439" s="5">
        <v>0.06</v>
      </c>
      <c r="K1439" s="3">
        <v>55</v>
      </c>
      <c r="L1439" s="4">
        <f>tblSales[[#This Row],[Quantity]]*tblSales[[#This Row],[Actual Price]]</f>
        <v>51700</v>
      </c>
    </row>
    <row r="1440" spans="1:12" x14ac:dyDescent="0.35">
      <c r="A1440" s="3" t="s">
        <v>2011</v>
      </c>
      <c r="B1440" s="4" t="s">
        <v>128</v>
      </c>
      <c r="C1440" s="4" t="s">
        <v>129</v>
      </c>
      <c r="D1440" s="4" t="s">
        <v>14</v>
      </c>
      <c r="E1440" s="7">
        <v>42373</v>
      </c>
      <c r="F1440" s="4" t="s">
        <v>56</v>
      </c>
      <c r="G1440" s="4" t="s">
        <v>868</v>
      </c>
      <c r="H1440" s="4">
        <v>800</v>
      </c>
      <c r="I1440" s="4">
        <v>480</v>
      </c>
      <c r="J1440" s="5">
        <v>0.4</v>
      </c>
      <c r="K1440" s="3">
        <v>46</v>
      </c>
      <c r="L1440" s="4">
        <f>tblSales[[#This Row],[Quantity]]*tblSales[[#This Row],[Actual Price]]</f>
        <v>22080</v>
      </c>
    </row>
    <row r="1441" spans="1:12" x14ac:dyDescent="0.35">
      <c r="A1441" s="3" t="s">
        <v>2012</v>
      </c>
      <c r="B1441" s="4" t="s">
        <v>242</v>
      </c>
      <c r="C1441" s="4" t="s">
        <v>243</v>
      </c>
      <c r="D1441" s="4" t="s">
        <v>14</v>
      </c>
      <c r="E1441" s="7">
        <v>41794</v>
      </c>
      <c r="F1441" s="4" t="s">
        <v>116</v>
      </c>
      <c r="G1441" s="4" t="s">
        <v>627</v>
      </c>
      <c r="H1441" s="4">
        <v>250</v>
      </c>
      <c r="I1441" s="4">
        <v>198</v>
      </c>
      <c r="J1441" s="5">
        <v>0.20799999999999999</v>
      </c>
      <c r="K1441" s="3">
        <v>69</v>
      </c>
      <c r="L1441" s="4">
        <f>tblSales[[#This Row],[Quantity]]*tblSales[[#This Row],[Actual Price]]</f>
        <v>13662</v>
      </c>
    </row>
    <row r="1442" spans="1:12" x14ac:dyDescent="0.35">
      <c r="A1442" s="3" t="s">
        <v>2013</v>
      </c>
      <c r="B1442" s="4" t="s">
        <v>175</v>
      </c>
      <c r="C1442" s="4" t="s">
        <v>176</v>
      </c>
      <c r="D1442" s="4" t="s">
        <v>14</v>
      </c>
      <c r="E1442" s="7">
        <v>43345</v>
      </c>
      <c r="F1442" s="4" t="s">
        <v>31</v>
      </c>
      <c r="G1442" s="4" t="s">
        <v>1559</v>
      </c>
      <c r="H1442" s="4">
        <v>150</v>
      </c>
      <c r="I1442" s="4">
        <v>131</v>
      </c>
      <c r="J1442" s="5">
        <v>0.12670000000000001</v>
      </c>
      <c r="K1442" s="3">
        <v>66</v>
      </c>
      <c r="L1442" s="4">
        <f>tblSales[[#This Row],[Quantity]]*tblSales[[#This Row],[Actual Price]]</f>
        <v>8646</v>
      </c>
    </row>
    <row r="1443" spans="1:12" x14ac:dyDescent="0.35">
      <c r="A1443" s="3" t="s">
        <v>2014</v>
      </c>
      <c r="B1443" s="4" t="s">
        <v>206</v>
      </c>
      <c r="C1443" s="4" t="s">
        <v>207</v>
      </c>
      <c r="D1443" s="4" t="s">
        <v>25</v>
      </c>
      <c r="E1443" s="7">
        <v>42931</v>
      </c>
      <c r="F1443" s="4" t="s">
        <v>62</v>
      </c>
      <c r="G1443" s="4" t="s">
        <v>760</v>
      </c>
      <c r="H1443" s="4">
        <v>1000</v>
      </c>
      <c r="I1443" s="4">
        <v>730</v>
      </c>
      <c r="J1443" s="5">
        <v>0.27</v>
      </c>
      <c r="K1443" s="3">
        <v>51</v>
      </c>
      <c r="L1443" s="4">
        <f>tblSales[[#This Row],[Quantity]]*tblSales[[#This Row],[Actual Price]]</f>
        <v>37230</v>
      </c>
    </row>
    <row r="1444" spans="1:12" x14ac:dyDescent="0.35">
      <c r="A1444" s="3" t="s">
        <v>2015</v>
      </c>
      <c r="B1444" s="4" t="s">
        <v>128</v>
      </c>
      <c r="C1444" s="4" t="s">
        <v>129</v>
      </c>
      <c r="D1444" s="4" t="s">
        <v>14</v>
      </c>
      <c r="E1444" s="7">
        <v>42685</v>
      </c>
      <c r="F1444" s="4" t="s">
        <v>56</v>
      </c>
      <c r="G1444" s="4" t="s">
        <v>921</v>
      </c>
      <c r="H1444" s="4">
        <v>800</v>
      </c>
      <c r="I1444" s="4">
        <v>584</v>
      </c>
      <c r="J1444" s="5">
        <v>0.27</v>
      </c>
      <c r="K1444" s="3">
        <v>32</v>
      </c>
      <c r="L1444" s="4">
        <f>tblSales[[#This Row],[Quantity]]*tblSales[[#This Row],[Actual Price]]</f>
        <v>18688</v>
      </c>
    </row>
    <row r="1445" spans="1:12" x14ac:dyDescent="0.35">
      <c r="A1445" s="3" t="s">
        <v>2016</v>
      </c>
      <c r="B1445" s="4" t="s">
        <v>183</v>
      </c>
      <c r="C1445" s="4" t="s">
        <v>109</v>
      </c>
      <c r="D1445" s="4" t="s">
        <v>20</v>
      </c>
      <c r="E1445" s="7">
        <v>43329</v>
      </c>
      <c r="F1445" s="4" t="s">
        <v>31</v>
      </c>
      <c r="G1445" s="4" t="s">
        <v>2017</v>
      </c>
      <c r="H1445" s="4">
        <v>150</v>
      </c>
      <c r="I1445" s="4">
        <v>128</v>
      </c>
      <c r="J1445" s="5">
        <v>0.1467</v>
      </c>
      <c r="K1445" s="3">
        <v>61</v>
      </c>
      <c r="L1445" s="4">
        <f>tblSales[[#This Row],[Quantity]]*tblSales[[#This Row],[Actual Price]]</f>
        <v>7808</v>
      </c>
    </row>
    <row r="1446" spans="1:12" x14ac:dyDescent="0.35">
      <c r="A1446" s="3" t="s">
        <v>2018</v>
      </c>
      <c r="B1446" s="4" t="s">
        <v>54</v>
      </c>
      <c r="C1446" s="4" t="s">
        <v>55</v>
      </c>
      <c r="D1446" s="4" t="s">
        <v>14</v>
      </c>
      <c r="E1446" s="7">
        <v>43056</v>
      </c>
      <c r="F1446" s="4" t="s">
        <v>62</v>
      </c>
      <c r="G1446" s="4" t="s">
        <v>405</v>
      </c>
      <c r="H1446" s="4">
        <v>1000</v>
      </c>
      <c r="I1446" s="4">
        <v>1000</v>
      </c>
      <c r="J1446" s="5">
        <v>0</v>
      </c>
      <c r="K1446" s="3">
        <v>77</v>
      </c>
      <c r="L1446" s="4">
        <f>tblSales[[#This Row],[Quantity]]*tblSales[[#This Row],[Actual Price]]</f>
        <v>77000</v>
      </c>
    </row>
    <row r="1447" spans="1:12" x14ac:dyDescent="0.35">
      <c r="A1447" s="3" t="s">
        <v>2019</v>
      </c>
      <c r="B1447" s="4" t="s">
        <v>147</v>
      </c>
      <c r="C1447" s="4" t="s">
        <v>148</v>
      </c>
      <c r="D1447" s="4" t="s">
        <v>14</v>
      </c>
      <c r="E1447" s="7">
        <v>42936</v>
      </c>
      <c r="F1447" s="4" t="s">
        <v>37</v>
      </c>
      <c r="G1447" s="4" t="s">
        <v>1034</v>
      </c>
      <c r="H1447" s="4">
        <v>50</v>
      </c>
      <c r="I1447" s="4">
        <v>47</v>
      </c>
      <c r="J1447" s="5">
        <v>0.06</v>
      </c>
      <c r="K1447" s="3">
        <v>26</v>
      </c>
      <c r="L1447" s="4">
        <f>tblSales[[#This Row],[Quantity]]*tblSales[[#This Row],[Actual Price]]</f>
        <v>1222</v>
      </c>
    </row>
    <row r="1448" spans="1:12" x14ac:dyDescent="0.35">
      <c r="A1448" s="3" t="s">
        <v>2020</v>
      </c>
      <c r="B1448" s="4" t="s">
        <v>82</v>
      </c>
      <c r="C1448" s="4" t="s">
        <v>83</v>
      </c>
      <c r="D1448" s="4" t="s">
        <v>14</v>
      </c>
      <c r="E1448" s="7">
        <v>43456</v>
      </c>
      <c r="F1448" s="4" t="s">
        <v>31</v>
      </c>
      <c r="G1448" s="4" t="s">
        <v>557</v>
      </c>
      <c r="H1448" s="4">
        <v>150</v>
      </c>
      <c r="I1448" s="4">
        <v>144</v>
      </c>
      <c r="J1448" s="5">
        <v>0.04</v>
      </c>
      <c r="K1448" s="3">
        <v>82</v>
      </c>
      <c r="L1448" s="4">
        <f>tblSales[[#This Row],[Quantity]]*tblSales[[#This Row],[Actual Price]]</f>
        <v>11808</v>
      </c>
    </row>
    <row r="1449" spans="1:12" x14ac:dyDescent="0.35">
      <c r="A1449" s="3" t="s">
        <v>2021</v>
      </c>
      <c r="B1449" s="4" t="s">
        <v>60</v>
      </c>
      <c r="C1449" s="4" t="s">
        <v>61</v>
      </c>
      <c r="D1449" s="4" t="s">
        <v>14</v>
      </c>
      <c r="E1449" s="7">
        <v>41651</v>
      </c>
      <c r="F1449" s="4" t="s">
        <v>42</v>
      </c>
      <c r="G1449" s="4" t="s">
        <v>698</v>
      </c>
      <c r="H1449" s="4">
        <v>30</v>
      </c>
      <c r="I1449" s="4">
        <v>29</v>
      </c>
      <c r="J1449" s="5">
        <v>3.3300000000000003E-2</v>
      </c>
      <c r="K1449" s="3">
        <v>16</v>
      </c>
      <c r="L1449" s="4">
        <f>tblSales[[#This Row],[Quantity]]*tblSales[[#This Row],[Actual Price]]</f>
        <v>464</v>
      </c>
    </row>
    <row r="1450" spans="1:12" x14ac:dyDescent="0.35">
      <c r="A1450" s="3" t="s">
        <v>2022</v>
      </c>
      <c r="B1450" s="4" t="s">
        <v>155</v>
      </c>
      <c r="C1450" s="4" t="s">
        <v>109</v>
      </c>
      <c r="D1450" s="4" t="s">
        <v>20</v>
      </c>
      <c r="E1450" s="7">
        <v>42563</v>
      </c>
      <c r="F1450" s="4" t="s">
        <v>37</v>
      </c>
      <c r="G1450" s="4" t="s">
        <v>156</v>
      </c>
      <c r="H1450" s="4">
        <v>50</v>
      </c>
      <c r="I1450" s="4">
        <v>44</v>
      </c>
      <c r="J1450" s="5">
        <v>0.12</v>
      </c>
      <c r="K1450" s="3">
        <v>10</v>
      </c>
      <c r="L1450" s="4">
        <f>tblSales[[#This Row],[Quantity]]*tblSales[[#This Row],[Actual Price]]</f>
        <v>440</v>
      </c>
    </row>
    <row r="1451" spans="1:12" x14ac:dyDescent="0.35">
      <c r="A1451" s="3" t="s">
        <v>2023</v>
      </c>
      <c r="B1451" s="4" t="s">
        <v>135</v>
      </c>
      <c r="C1451" s="4" t="s">
        <v>93</v>
      </c>
      <c r="D1451" s="4" t="s">
        <v>36</v>
      </c>
      <c r="E1451" s="7">
        <v>41663</v>
      </c>
      <c r="F1451" s="4" t="s">
        <v>47</v>
      </c>
      <c r="G1451" s="4" t="s">
        <v>1020</v>
      </c>
      <c r="H1451" s="4">
        <v>500</v>
      </c>
      <c r="I1451" s="4">
        <v>350</v>
      </c>
      <c r="J1451" s="5">
        <v>0.3</v>
      </c>
      <c r="K1451" s="3">
        <v>75</v>
      </c>
      <c r="L1451" s="4">
        <f>tblSales[[#This Row],[Quantity]]*tblSales[[#This Row],[Actual Price]]</f>
        <v>26250</v>
      </c>
    </row>
    <row r="1452" spans="1:12" x14ac:dyDescent="0.35">
      <c r="A1452" s="3" t="s">
        <v>2024</v>
      </c>
      <c r="B1452" s="4" t="s">
        <v>96</v>
      </c>
      <c r="C1452" s="4" t="s">
        <v>97</v>
      </c>
      <c r="D1452" s="4" t="s">
        <v>14</v>
      </c>
      <c r="E1452" s="7">
        <v>42258</v>
      </c>
      <c r="F1452" s="4" t="s">
        <v>123</v>
      </c>
      <c r="G1452" s="4" t="s">
        <v>732</v>
      </c>
      <c r="H1452" s="4">
        <v>50</v>
      </c>
      <c r="I1452" s="4">
        <v>42</v>
      </c>
      <c r="J1452" s="5">
        <v>0.16</v>
      </c>
      <c r="K1452" s="3">
        <v>85</v>
      </c>
      <c r="L1452" s="4">
        <f>tblSales[[#This Row],[Quantity]]*tblSales[[#This Row],[Actual Price]]</f>
        <v>3570</v>
      </c>
    </row>
    <row r="1453" spans="1:12" x14ac:dyDescent="0.35">
      <c r="A1453" s="3" t="s">
        <v>2025</v>
      </c>
      <c r="B1453" s="4" t="s">
        <v>271</v>
      </c>
      <c r="C1453" s="4" t="s">
        <v>272</v>
      </c>
      <c r="D1453" s="4" t="s">
        <v>36</v>
      </c>
      <c r="E1453" s="7">
        <v>42701</v>
      </c>
      <c r="F1453" s="4" t="s">
        <v>116</v>
      </c>
      <c r="G1453" s="4" t="s">
        <v>716</v>
      </c>
      <c r="H1453" s="4">
        <v>250</v>
      </c>
      <c r="I1453" s="4">
        <v>220</v>
      </c>
      <c r="J1453" s="5">
        <v>0.12</v>
      </c>
      <c r="K1453" s="3">
        <v>61</v>
      </c>
      <c r="L1453" s="4">
        <f>tblSales[[#This Row],[Quantity]]*tblSales[[#This Row],[Actual Price]]</f>
        <v>13420</v>
      </c>
    </row>
    <row r="1454" spans="1:12" x14ac:dyDescent="0.35">
      <c r="A1454" s="3" t="s">
        <v>2026</v>
      </c>
      <c r="B1454" s="4" t="s">
        <v>86</v>
      </c>
      <c r="C1454" s="4" t="s">
        <v>87</v>
      </c>
      <c r="D1454" s="4" t="s">
        <v>14</v>
      </c>
      <c r="E1454" s="7">
        <v>42630</v>
      </c>
      <c r="F1454" s="4" t="s">
        <v>47</v>
      </c>
      <c r="G1454" s="4" t="s">
        <v>582</v>
      </c>
      <c r="H1454" s="4">
        <v>500</v>
      </c>
      <c r="I1454" s="4">
        <v>485</v>
      </c>
      <c r="J1454" s="5">
        <v>0.03</v>
      </c>
      <c r="K1454" s="3">
        <v>78</v>
      </c>
      <c r="L1454" s="4">
        <f>tblSales[[#This Row],[Quantity]]*tblSales[[#This Row],[Actual Price]]</f>
        <v>37830</v>
      </c>
    </row>
    <row r="1455" spans="1:12" x14ac:dyDescent="0.35">
      <c r="A1455" s="3" t="s">
        <v>2027</v>
      </c>
      <c r="B1455" s="4" t="s">
        <v>183</v>
      </c>
      <c r="C1455" s="4" t="s">
        <v>109</v>
      </c>
      <c r="D1455" s="4" t="s">
        <v>20</v>
      </c>
      <c r="E1455" s="7">
        <v>43347</v>
      </c>
      <c r="F1455" s="4" t="s">
        <v>26</v>
      </c>
      <c r="G1455" s="4" t="s">
        <v>184</v>
      </c>
      <c r="H1455" s="4">
        <v>700</v>
      </c>
      <c r="I1455" s="4">
        <v>672</v>
      </c>
      <c r="J1455" s="5">
        <v>0.04</v>
      </c>
      <c r="K1455" s="3">
        <v>95</v>
      </c>
      <c r="L1455" s="4">
        <f>tblSales[[#This Row],[Quantity]]*tblSales[[#This Row],[Actual Price]]</f>
        <v>63840</v>
      </c>
    </row>
    <row r="1456" spans="1:12" x14ac:dyDescent="0.35">
      <c r="A1456" s="3" t="s">
        <v>2028</v>
      </c>
      <c r="B1456" s="4" t="s">
        <v>96</v>
      </c>
      <c r="C1456" s="4" t="s">
        <v>97</v>
      </c>
      <c r="D1456" s="4" t="s">
        <v>14</v>
      </c>
      <c r="E1456" s="7">
        <v>42867</v>
      </c>
      <c r="F1456" s="4" t="s">
        <v>26</v>
      </c>
      <c r="G1456" s="4" t="s">
        <v>1276</v>
      </c>
      <c r="H1456" s="4">
        <v>700</v>
      </c>
      <c r="I1456" s="4">
        <v>630</v>
      </c>
      <c r="J1456" s="5">
        <v>0.1</v>
      </c>
      <c r="K1456" s="3">
        <v>65</v>
      </c>
      <c r="L1456" s="4">
        <f>tblSales[[#This Row],[Quantity]]*tblSales[[#This Row],[Actual Price]]</f>
        <v>40950</v>
      </c>
    </row>
    <row r="1457" spans="1:12" x14ac:dyDescent="0.35">
      <c r="A1457" s="3" t="s">
        <v>2029</v>
      </c>
      <c r="B1457" s="4" t="s">
        <v>34</v>
      </c>
      <c r="C1457" s="4" t="s">
        <v>35</v>
      </c>
      <c r="D1457" s="4" t="s">
        <v>36</v>
      </c>
      <c r="E1457" s="7">
        <v>42669</v>
      </c>
      <c r="F1457" s="4" t="s">
        <v>56</v>
      </c>
      <c r="G1457" s="4" t="s">
        <v>76</v>
      </c>
      <c r="H1457" s="4">
        <v>800</v>
      </c>
      <c r="I1457" s="4">
        <v>688</v>
      </c>
      <c r="J1457" s="5">
        <v>0.14000000000000001</v>
      </c>
      <c r="K1457" s="3">
        <v>32</v>
      </c>
      <c r="L1457" s="4">
        <f>tblSales[[#This Row],[Quantity]]*tblSales[[#This Row],[Actual Price]]</f>
        <v>22016</v>
      </c>
    </row>
    <row r="1458" spans="1:12" x14ac:dyDescent="0.35">
      <c r="A1458" s="3" t="s">
        <v>2030</v>
      </c>
      <c r="B1458" s="4" t="s">
        <v>222</v>
      </c>
      <c r="C1458" s="4" t="s">
        <v>41</v>
      </c>
      <c r="D1458" s="4" t="s">
        <v>36</v>
      </c>
      <c r="E1458" s="7">
        <v>41784</v>
      </c>
      <c r="F1458" s="4" t="s">
        <v>37</v>
      </c>
      <c r="G1458" s="4" t="s">
        <v>263</v>
      </c>
      <c r="H1458" s="4">
        <v>50</v>
      </c>
      <c r="I1458" s="4">
        <v>48</v>
      </c>
      <c r="J1458" s="5">
        <v>0.04</v>
      </c>
      <c r="K1458" s="3">
        <v>43</v>
      </c>
      <c r="L1458" s="4">
        <f>tblSales[[#This Row],[Quantity]]*tblSales[[#This Row],[Actual Price]]</f>
        <v>2064</v>
      </c>
    </row>
    <row r="1459" spans="1:12" x14ac:dyDescent="0.35">
      <c r="A1459" s="3" t="s">
        <v>2031</v>
      </c>
      <c r="B1459" s="4" t="s">
        <v>54</v>
      </c>
      <c r="C1459" s="4" t="s">
        <v>55</v>
      </c>
      <c r="D1459" s="4" t="s">
        <v>14</v>
      </c>
      <c r="E1459" s="7">
        <v>42879</v>
      </c>
      <c r="F1459" s="4" t="s">
        <v>105</v>
      </c>
      <c r="G1459" s="4" t="s">
        <v>405</v>
      </c>
      <c r="H1459" s="4">
        <v>70</v>
      </c>
      <c r="I1459" s="4">
        <v>67</v>
      </c>
      <c r="J1459" s="5">
        <v>4.2900000000000001E-2</v>
      </c>
      <c r="K1459" s="3">
        <v>64</v>
      </c>
      <c r="L1459" s="4">
        <f>tblSales[[#This Row],[Quantity]]*tblSales[[#This Row],[Actual Price]]</f>
        <v>4288</v>
      </c>
    </row>
    <row r="1460" spans="1:12" x14ac:dyDescent="0.35">
      <c r="A1460" s="3" t="s">
        <v>2032</v>
      </c>
      <c r="B1460" s="4" t="s">
        <v>188</v>
      </c>
      <c r="C1460" s="4" t="s">
        <v>189</v>
      </c>
      <c r="D1460" s="4" t="s">
        <v>14</v>
      </c>
      <c r="E1460" s="7">
        <v>42918</v>
      </c>
      <c r="F1460" s="4" t="s">
        <v>47</v>
      </c>
      <c r="G1460" s="4" t="s">
        <v>792</v>
      </c>
      <c r="H1460" s="4">
        <v>500</v>
      </c>
      <c r="I1460" s="4">
        <v>470</v>
      </c>
      <c r="J1460" s="5">
        <v>0.06</v>
      </c>
      <c r="K1460" s="3">
        <v>65</v>
      </c>
      <c r="L1460" s="4">
        <f>tblSales[[#This Row],[Quantity]]*tblSales[[#This Row],[Actual Price]]</f>
        <v>30550</v>
      </c>
    </row>
    <row r="1461" spans="1:12" x14ac:dyDescent="0.35">
      <c r="A1461" s="3" t="s">
        <v>2033</v>
      </c>
      <c r="B1461" s="4" t="s">
        <v>175</v>
      </c>
      <c r="C1461" s="4" t="s">
        <v>176</v>
      </c>
      <c r="D1461" s="4" t="s">
        <v>14</v>
      </c>
      <c r="E1461" s="7">
        <v>41901</v>
      </c>
      <c r="F1461" s="4" t="s">
        <v>116</v>
      </c>
      <c r="G1461" s="4" t="s">
        <v>1559</v>
      </c>
      <c r="H1461" s="4">
        <v>250</v>
      </c>
      <c r="I1461" s="4">
        <v>243</v>
      </c>
      <c r="J1461" s="5">
        <v>2.8000000000000001E-2</v>
      </c>
      <c r="K1461" s="3">
        <v>100</v>
      </c>
      <c r="L1461" s="4">
        <f>tblSales[[#This Row],[Quantity]]*tblSales[[#This Row],[Actual Price]]</f>
        <v>24300</v>
      </c>
    </row>
    <row r="1462" spans="1:12" x14ac:dyDescent="0.35">
      <c r="A1462" s="3" t="s">
        <v>2034</v>
      </c>
      <c r="B1462" s="4" t="s">
        <v>158</v>
      </c>
      <c r="C1462" s="4" t="s">
        <v>109</v>
      </c>
      <c r="D1462" s="4" t="s">
        <v>20</v>
      </c>
      <c r="E1462" s="7">
        <v>43279</v>
      </c>
      <c r="F1462" s="4" t="s">
        <v>56</v>
      </c>
      <c r="G1462" s="4" t="s">
        <v>721</v>
      </c>
      <c r="H1462" s="4">
        <v>800</v>
      </c>
      <c r="I1462" s="4">
        <v>552</v>
      </c>
      <c r="J1462" s="5">
        <v>0.31</v>
      </c>
      <c r="K1462" s="3">
        <v>82</v>
      </c>
      <c r="L1462" s="4">
        <f>tblSales[[#This Row],[Quantity]]*tblSales[[#This Row],[Actual Price]]</f>
        <v>45264</v>
      </c>
    </row>
    <row r="1463" spans="1:12" x14ac:dyDescent="0.35">
      <c r="A1463" s="3" t="s">
        <v>2035</v>
      </c>
      <c r="B1463" s="4" t="s">
        <v>175</v>
      </c>
      <c r="C1463" s="4" t="s">
        <v>176</v>
      </c>
      <c r="D1463" s="4" t="s">
        <v>14</v>
      </c>
      <c r="E1463" s="7">
        <v>42654</v>
      </c>
      <c r="F1463" s="4" t="s">
        <v>73</v>
      </c>
      <c r="G1463" s="4" t="s">
        <v>789</v>
      </c>
      <c r="H1463" s="4">
        <v>500</v>
      </c>
      <c r="I1463" s="4">
        <v>490</v>
      </c>
      <c r="J1463" s="5">
        <v>0.02</v>
      </c>
      <c r="K1463" s="3">
        <v>1</v>
      </c>
      <c r="L1463" s="4">
        <f>tblSales[[#This Row],[Quantity]]*tblSales[[#This Row],[Actual Price]]</f>
        <v>490</v>
      </c>
    </row>
    <row r="1464" spans="1:12" x14ac:dyDescent="0.35">
      <c r="A1464" s="3" t="s">
        <v>2036</v>
      </c>
      <c r="B1464" s="4" t="s">
        <v>45</v>
      </c>
      <c r="C1464" s="4" t="s">
        <v>46</v>
      </c>
      <c r="D1464" s="4" t="s">
        <v>25</v>
      </c>
      <c r="E1464" s="7">
        <v>41690</v>
      </c>
      <c r="F1464" s="4" t="s">
        <v>15</v>
      </c>
      <c r="G1464" s="4" t="s">
        <v>1071</v>
      </c>
      <c r="H1464" s="4">
        <v>80</v>
      </c>
      <c r="I1464" s="4">
        <v>65</v>
      </c>
      <c r="J1464" s="5">
        <v>0.1875</v>
      </c>
      <c r="K1464" s="3">
        <v>83</v>
      </c>
      <c r="L1464" s="4">
        <f>tblSales[[#This Row],[Quantity]]*tblSales[[#This Row],[Actual Price]]</f>
        <v>5395</v>
      </c>
    </row>
    <row r="1465" spans="1:12" x14ac:dyDescent="0.35">
      <c r="A1465" s="3" t="s">
        <v>2037</v>
      </c>
      <c r="B1465" s="4" t="s">
        <v>256</v>
      </c>
      <c r="C1465" s="4" t="s">
        <v>257</v>
      </c>
      <c r="D1465" s="4" t="s">
        <v>14</v>
      </c>
      <c r="E1465" s="7">
        <v>42475</v>
      </c>
      <c r="F1465" s="4" t="s">
        <v>123</v>
      </c>
      <c r="G1465" s="4" t="s">
        <v>1830</v>
      </c>
      <c r="H1465" s="4">
        <v>50</v>
      </c>
      <c r="I1465" s="4">
        <v>43</v>
      </c>
      <c r="J1465" s="5">
        <v>0.14000000000000001</v>
      </c>
      <c r="K1465" s="3">
        <v>26</v>
      </c>
      <c r="L1465" s="4">
        <f>tblSales[[#This Row],[Quantity]]*tblSales[[#This Row],[Actual Price]]</f>
        <v>1118</v>
      </c>
    </row>
    <row r="1466" spans="1:12" x14ac:dyDescent="0.35">
      <c r="A1466" s="3" t="s">
        <v>2038</v>
      </c>
      <c r="B1466" s="4" t="s">
        <v>158</v>
      </c>
      <c r="C1466" s="4" t="s">
        <v>109</v>
      </c>
      <c r="D1466" s="4" t="s">
        <v>20</v>
      </c>
      <c r="E1466" s="7">
        <v>43190</v>
      </c>
      <c r="F1466" s="4" t="s">
        <v>56</v>
      </c>
      <c r="G1466" s="4" t="s">
        <v>1871</v>
      </c>
      <c r="H1466" s="4">
        <v>800</v>
      </c>
      <c r="I1466" s="4">
        <v>616</v>
      </c>
      <c r="J1466" s="5">
        <v>0.23</v>
      </c>
      <c r="K1466" s="3">
        <v>64</v>
      </c>
      <c r="L1466" s="4">
        <f>tblSales[[#This Row],[Quantity]]*tblSales[[#This Row],[Actual Price]]</f>
        <v>39424</v>
      </c>
    </row>
    <row r="1467" spans="1:12" x14ac:dyDescent="0.35">
      <c r="A1467" s="3" t="s">
        <v>2039</v>
      </c>
      <c r="B1467" s="4" t="s">
        <v>228</v>
      </c>
      <c r="C1467" s="4" t="s">
        <v>229</v>
      </c>
      <c r="D1467" s="4" t="s">
        <v>25</v>
      </c>
      <c r="E1467" s="7">
        <v>42431</v>
      </c>
      <c r="F1467" s="4" t="s">
        <v>73</v>
      </c>
      <c r="G1467" s="4" t="s">
        <v>1025</v>
      </c>
      <c r="H1467" s="4">
        <v>500</v>
      </c>
      <c r="I1467" s="4">
        <v>490</v>
      </c>
      <c r="J1467" s="5">
        <v>0.02</v>
      </c>
      <c r="K1467" s="3">
        <v>38</v>
      </c>
      <c r="L1467" s="4">
        <f>tblSales[[#This Row],[Quantity]]*tblSales[[#This Row],[Actual Price]]</f>
        <v>18620</v>
      </c>
    </row>
    <row r="1468" spans="1:12" x14ac:dyDescent="0.35">
      <c r="A1468" s="3" t="s">
        <v>2040</v>
      </c>
      <c r="B1468" s="4" t="s">
        <v>71</v>
      </c>
      <c r="C1468" s="4" t="s">
        <v>72</v>
      </c>
      <c r="D1468" s="4" t="s">
        <v>36</v>
      </c>
      <c r="E1468" s="7">
        <v>43242</v>
      </c>
      <c r="F1468" s="4" t="s">
        <v>42</v>
      </c>
      <c r="G1468" s="4" t="s">
        <v>74</v>
      </c>
      <c r="H1468" s="4">
        <v>30</v>
      </c>
      <c r="I1468" s="4">
        <v>26</v>
      </c>
      <c r="J1468" s="5">
        <v>0.1333</v>
      </c>
      <c r="K1468" s="3">
        <v>53</v>
      </c>
      <c r="L1468" s="4">
        <f>tblSales[[#This Row],[Quantity]]*tblSales[[#This Row],[Actual Price]]</f>
        <v>1378</v>
      </c>
    </row>
    <row r="1469" spans="1:12" x14ac:dyDescent="0.35">
      <c r="A1469" s="3" t="s">
        <v>2041</v>
      </c>
      <c r="B1469" s="4" t="s">
        <v>147</v>
      </c>
      <c r="C1469" s="4" t="s">
        <v>148</v>
      </c>
      <c r="D1469" s="4" t="s">
        <v>14</v>
      </c>
      <c r="E1469" s="7">
        <v>43382</v>
      </c>
      <c r="F1469" s="4" t="s">
        <v>123</v>
      </c>
      <c r="G1469" s="4" t="s">
        <v>1648</v>
      </c>
      <c r="H1469" s="4">
        <v>50</v>
      </c>
      <c r="I1469" s="4">
        <v>48</v>
      </c>
      <c r="J1469" s="5">
        <v>0.04</v>
      </c>
      <c r="K1469" s="3">
        <v>54</v>
      </c>
      <c r="L1469" s="4">
        <f>tblSales[[#This Row],[Quantity]]*tblSales[[#This Row],[Actual Price]]</f>
        <v>2592</v>
      </c>
    </row>
    <row r="1470" spans="1:12" x14ac:dyDescent="0.35">
      <c r="A1470" s="3" t="s">
        <v>2042</v>
      </c>
      <c r="B1470" s="4" t="s">
        <v>71</v>
      </c>
      <c r="C1470" s="4" t="s">
        <v>72</v>
      </c>
      <c r="D1470" s="4" t="s">
        <v>36</v>
      </c>
      <c r="E1470" s="7">
        <v>41690</v>
      </c>
      <c r="F1470" s="4" t="s">
        <v>56</v>
      </c>
      <c r="G1470" s="4" t="s">
        <v>963</v>
      </c>
      <c r="H1470" s="4">
        <v>800</v>
      </c>
      <c r="I1470" s="4">
        <v>608</v>
      </c>
      <c r="J1470" s="5">
        <v>0.24</v>
      </c>
      <c r="K1470" s="3">
        <v>82</v>
      </c>
      <c r="L1470" s="4">
        <f>tblSales[[#This Row],[Quantity]]*tblSales[[#This Row],[Actual Price]]</f>
        <v>49856</v>
      </c>
    </row>
    <row r="1471" spans="1:12" x14ac:dyDescent="0.35">
      <c r="A1471" s="3" t="s">
        <v>2043</v>
      </c>
      <c r="B1471" s="4" t="s">
        <v>222</v>
      </c>
      <c r="C1471" s="4" t="s">
        <v>41</v>
      </c>
      <c r="D1471" s="4" t="s">
        <v>36</v>
      </c>
      <c r="E1471" s="7">
        <v>42487</v>
      </c>
      <c r="F1471" s="4" t="s">
        <v>62</v>
      </c>
      <c r="G1471" s="4" t="s">
        <v>223</v>
      </c>
      <c r="H1471" s="4">
        <v>1000</v>
      </c>
      <c r="I1471" s="4">
        <v>680</v>
      </c>
      <c r="J1471" s="5">
        <v>0.32</v>
      </c>
      <c r="K1471" s="3">
        <v>96</v>
      </c>
      <c r="L1471" s="4">
        <f>tblSales[[#This Row],[Quantity]]*tblSales[[#This Row],[Actual Price]]</f>
        <v>65280</v>
      </c>
    </row>
    <row r="1472" spans="1:12" x14ac:dyDescent="0.35">
      <c r="A1472" s="3" t="s">
        <v>2044</v>
      </c>
      <c r="B1472" s="4" t="s">
        <v>108</v>
      </c>
      <c r="C1472" s="4" t="s">
        <v>109</v>
      </c>
      <c r="D1472" s="4" t="s">
        <v>20</v>
      </c>
      <c r="E1472" s="7">
        <v>42185</v>
      </c>
      <c r="F1472" s="4" t="s">
        <v>73</v>
      </c>
      <c r="G1472" s="4" t="s">
        <v>947</v>
      </c>
      <c r="H1472" s="4">
        <v>500</v>
      </c>
      <c r="I1472" s="4">
        <v>500</v>
      </c>
      <c r="J1472" s="5">
        <v>0</v>
      </c>
      <c r="K1472" s="3">
        <v>43</v>
      </c>
      <c r="L1472" s="4">
        <f>tblSales[[#This Row],[Quantity]]*tblSales[[#This Row],[Actual Price]]</f>
        <v>21500</v>
      </c>
    </row>
    <row r="1473" spans="1:12" x14ac:dyDescent="0.35">
      <c r="A1473" s="3" t="s">
        <v>2045</v>
      </c>
      <c r="B1473" s="4" t="s">
        <v>60</v>
      </c>
      <c r="C1473" s="4" t="s">
        <v>61</v>
      </c>
      <c r="D1473" s="4" t="s">
        <v>14</v>
      </c>
      <c r="E1473" s="7">
        <v>42268</v>
      </c>
      <c r="F1473" s="4" t="s">
        <v>26</v>
      </c>
      <c r="G1473" s="4" t="s">
        <v>1843</v>
      </c>
      <c r="H1473" s="4">
        <v>700</v>
      </c>
      <c r="I1473" s="4">
        <v>462</v>
      </c>
      <c r="J1473" s="5">
        <v>0.34</v>
      </c>
      <c r="K1473" s="3">
        <v>82</v>
      </c>
      <c r="L1473" s="4">
        <f>tblSales[[#This Row],[Quantity]]*tblSales[[#This Row],[Actual Price]]</f>
        <v>37884</v>
      </c>
    </row>
    <row r="1474" spans="1:12" x14ac:dyDescent="0.35">
      <c r="A1474" s="3" t="s">
        <v>2046</v>
      </c>
      <c r="B1474" s="4" t="s">
        <v>100</v>
      </c>
      <c r="C1474" s="4" t="s">
        <v>101</v>
      </c>
      <c r="D1474" s="4" t="s">
        <v>14</v>
      </c>
      <c r="E1474" s="7">
        <v>42114</v>
      </c>
      <c r="F1474" s="4" t="s">
        <v>15</v>
      </c>
      <c r="G1474" s="4" t="s">
        <v>949</v>
      </c>
      <c r="H1474" s="4">
        <v>80</v>
      </c>
      <c r="I1474" s="4">
        <v>69</v>
      </c>
      <c r="J1474" s="5">
        <v>0.13750000000000001</v>
      </c>
      <c r="K1474" s="3">
        <v>50</v>
      </c>
      <c r="L1474" s="4">
        <f>tblSales[[#This Row],[Quantity]]*tblSales[[#This Row],[Actual Price]]</f>
        <v>3450</v>
      </c>
    </row>
    <row r="1475" spans="1:12" x14ac:dyDescent="0.35">
      <c r="A1475" s="3" t="s">
        <v>2047</v>
      </c>
      <c r="B1475" s="4" t="s">
        <v>188</v>
      </c>
      <c r="C1475" s="4" t="s">
        <v>189</v>
      </c>
      <c r="D1475" s="4" t="s">
        <v>14</v>
      </c>
      <c r="E1475" s="7">
        <v>42121</v>
      </c>
      <c r="F1475" s="4" t="s">
        <v>105</v>
      </c>
      <c r="G1475" s="4" t="s">
        <v>190</v>
      </c>
      <c r="H1475" s="4">
        <v>70</v>
      </c>
      <c r="I1475" s="4">
        <v>47</v>
      </c>
      <c r="J1475" s="5">
        <v>0.3286</v>
      </c>
      <c r="K1475" s="3">
        <v>11</v>
      </c>
      <c r="L1475" s="4">
        <f>tblSales[[#This Row],[Quantity]]*tblSales[[#This Row],[Actual Price]]</f>
        <v>517</v>
      </c>
    </row>
    <row r="1476" spans="1:12" x14ac:dyDescent="0.35">
      <c r="A1476" s="3" t="s">
        <v>2048</v>
      </c>
      <c r="B1476" s="4" t="s">
        <v>12</v>
      </c>
      <c r="C1476" s="4" t="s">
        <v>13</v>
      </c>
      <c r="D1476" s="4" t="s">
        <v>14</v>
      </c>
      <c r="E1476" s="7">
        <v>42512</v>
      </c>
      <c r="F1476" s="4" t="s">
        <v>47</v>
      </c>
      <c r="G1476" s="4" t="s">
        <v>277</v>
      </c>
      <c r="H1476" s="4">
        <v>500</v>
      </c>
      <c r="I1476" s="4">
        <v>490</v>
      </c>
      <c r="J1476" s="5">
        <v>0.02</v>
      </c>
      <c r="K1476" s="3">
        <v>66</v>
      </c>
      <c r="L1476" s="4">
        <f>tblSales[[#This Row],[Quantity]]*tblSales[[#This Row],[Actual Price]]</f>
        <v>32340</v>
      </c>
    </row>
    <row r="1477" spans="1:12" x14ac:dyDescent="0.35">
      <c r="A1477" s="3" t="s">
        <v>2049</v>
      </c>
      <c r="B1477" s="4" t="s">
        <v>65</v>
      </c>
      <c r="C1477" s="4" t="s">
        <v>66</v>
      </c>
      <c r="D1477" s="4" t="s">
        <v>36</v>
      </c>
      <c r="E1477" s="7">
        <v>42914</v>
      </c>
      <c r="F1477" s="4" t="s">
        <v>73</v>
      </c>
      <c r="G1477" s="4" t="s">
        <v>300</v>
      </c>
      <c r="H1477" s="4">
        <v>500</v>
      </c>
      <c r="I1477" s="4">
        <v>490</v>
      </c>
      <c r="J1477" s="5">
        <v>0.02</v>
      </c>
      <c r="K1477" s="3">
        <v>69</v>
      </c>
      <c r="L1477" s="4">
        <f>tblSales[[#This Row],[Quantity]]*tblSales[[#This Row],[Actual Price]]</f>
        <v>33810</v>
      </c>
    </row>
    <row r="1478" spans="1:12" x14ac:dyDescent="0.35">
      <c r="A1478" s="3" t="s">
        <v>2050</v>
      </c>
      <c r="B1478" s="4" t="s">
        <v>92</v>
      </c>
      <c r="C1478" s="4" t="s">
        <v>93</v>
      </c>
      <c r="D1478" s="4" t="s">
        <v>36</v>
      </c>
      <c r="E1478" s="7">
        <v>43189</v>
      </c>
      <c r="F1478" s="4" t="s">
        <v>15</v>
      </c>
      <c r="G1478" s="4" t="s">
        <v>496</v>
      </c>
      <c r="H1478" s="4">
        <v>80</v>
      </c>
      <c r="I1478" s="4">
        <v>80</v>
      </c>
      <c r="J1478" s="5">
        <v>0</v>
      </c>
      <c r="K1478" s="3">
        <v>80</v>
      </c>
      <c r="L1478" s="4">
        <f>tblSales[[#This Row],[Quantity]]*tblSales[[#This Row],[Actual Price]]</f>
        <v>6400</v>
      </c>
    </row>
    <row r="1479" spans="1:12" x14ac:dyDescent="0.35">
      <c r="A1479" s="3" t="s">
        <v>2051</v>
      </c>
      <c r="B1479" s="4" t="s">
        <v>128</v>
      </c>
      <c r="C1479" s="4" t="s">
        <v>129</v>
      </c>
      <c r="D1479" s="4" t="s">
        <v>14</v>
      </c>
      <c r="E1479" s="7">
        <v>42849</v>
      </c>
      <c r="F1479" s="4" t="s">
        <v>15</v>
      </c>
      <c r="G1479" s="4" t="s">
        <v>234</v>
      </c>
      <c r="H1479" s="4">
        <v>80</v>
      </c>
      <c r="I1479" s="4">
        <v>76</v>
      </c>
      <c r="J1479" s="5">
        <v>0.05</v>
      </c>
      <c r="K1479" s="3">
        <v>18</v>
      </c>
      <c r="L1479" s="4">
        <f>tblSales[[#This Row],[Quantity]]*tblSales[[#This Row],[Actual Price]]</f>
        <v>1368</v>
      </c>
    </row>
    <row r="1480" spans="1:12" x14ac:dyDescent="0.35">
      <c r="A1480" s="3" t="s">
        <v>2052</v>
      </c>
      <c r="B1480" s="4" t="s">
        <v>242</v>
      </c>
      <c r="C1480" s="4" t="s">
        <v>243</v>
      </c>
      <c r="D1480" s="4" t="s">
        <v>14</v>
      </c>
      <c r="E1480" s="7">
        <v>43163</v>
      </c>
      <c r="F1480" s="4" t="s">
        <v>26</v>
      </c>
      <c r="G1480" s="4" t="s">
        <v>521</v>
      </c>
      <c r="H1480" s="4">
        <v>700</v>
      </c>
      <c r="I1480" s="4">
        <v>686</v>
      </c>
      <c r="J1480" s="5">
        <v>0.02</v>
      </c>
      <c r="K1480" s="3">
        <v>53</v>
      </c>
      <c r="L1480" s="4">
        <f>tblSales[[#This Row],[Quantity]]*tblSales[[#This Row],[Actual Price]]</f>
        <v>36358</v>
      </c>
    </row>
    <row r="1481" spans="1:12" x14ac:dyDescent="0.35">
      <c r="A1481" s="3" t="s">
        <v>2053</v>
      </c>
      <c r="B1481" s="4" t="s">
        <v>175</v>
      </c>
      <c r="C1481" s="4" t="s">
        <v>176</v>
      </c>
      <c r="D1481" s="4" t="s">
        <v>14</v>
      </c>
      <c r="E1481" s="7">
        <v>41747</v>
      </c>
      <c r="F1481" s="4" t="s">
        <v>116</v>
      </c>
      <c r="G1481" s="4" t="s">
        <v>1278</v>
      </c>
      <c r="H1481" s="4">
        <v>250</v>
      </c>
      <c r="I1481" s="4">
        <v>223</v>
      </c>
      <c r="J1481" s="5">
        <v>0.108</v>
      </c>
      <c r="K1481" s="3">
        <v>31</v>
      </c>
      <c r="L1481" s="4">
        <f>tblSales[[#This Row],[Quantity]]*tblSales[[#This Row],[Actual Price]]</f>
        <v>6913</v>
      </c>
    </row>
    <row r="1482" spans="1:12" x14ac:dyDescent="0.35">
      <c r="A1482" s="3" t="s">
        <v>2054</v>
      </c>
      <c r="B1482" s="4" t="s">
        <v>92</v>
      </c>
      <c r="C1482" s="4" t="s">
        <v>93</v>
      </c>
      <c r="D1482" s="4" t="s">
        <v>36</v>
      </c>
      <c r="E1482" s="7">
        <v>42219</v>
      </c>
      <c r="F1482" s="4" t="s">
        <v>116</v>
      </c>
      <c r="G1482" s="4" t="s">
        <v>200</v>
      </c>
      <c r="H1482" s="4">
        <v>250</v>
      </c>
      <c r="I1482" s="4">
        <v>180</v>
      </c>
      <c r="J1482" s="5">
        <v>0.28000000000000003</v>
      </c>
      <c r="K1482" s="3">
        <v>83</v>
      </c>
      <c r="L1482" s="4">
        <f>tblSales[[#This Row],[Quantity]]*tblSales[[#This Row],[Actual Price]]</f>
        <v>14940</v>
      </c>
    </row>
    <row r="1483" spans="1:12" x14ac:dyDescent="0.35">
      <c r="A1483" s="3" t="s">
        <v>2055</v>
      </c>
      <c r="B1483" s="4" t="s">
        <v>206</v>
      </c>
      <c r="C1483" s="4" t="s">
        <v>207</v>
      </c>
      <c r="D1483" s="4" t="s">
        <v>25</v>
      </c>
      <c r="E1483" s="7">
        <v>42593</v>
      </c>
      <c r="F1483" s="4" t="s">
        <v>31</v>
      </c>
      <c r="G1483" s="4" t="s">
        <v>580</v>
      </c>
      <c r="H1483" s="4">
        <v>150</v>
      </c>
      <c r="I1483" s="4">
        <v>146</v>
      </c>
      <c r="J1483" s="5">
        <v>2.6700000000000002E-2</v>
      </c>
      <c r="K1483" s="3">
        <v>1</v>
      </c>
      <c r="L1483" s="4">
        <f>tblSales[[#This Row],[Quantity]]*tblSales[[#This Row],[Actual Price]]</f>
        <v>146</v>
      </c>
    </row>
    <row r="1484" spans="1:12" x14ac:dyDescent="0.35">
      <c r="A1484" s="3" t="s">
        <v>2056</v>
      </c>
      <c r="B1484" s="4" t="s">
        <v>206</v>
      </c>
      <c r="C1484" s="4" t="s">
        <v>207</v>
      </c>
      <c r="D1484" s="4" t="s">
        <v>25</v>
      </c>
      <c r="E1484" s="7">
        <v>42508</v>
      </c>
      <c r="F1484" s="4" t="s">
        <v>116</v>
      </c>
      <c r="G1484" s="4" t="s">
        <v>1773</v>
      </c>
      <c r="H1484" s="4">
        <v>250</v>
      </c>
      <c r="I1484" s="4">
        <v>235</v>
      </c>
      <c r="J1484" s="5">
        <v>0.06</v>
      </c>
      <c r="K1484" s="3">
        <v>36</v>
      </c>
      <c r="L1484" s="4">
        <f>tblSales[[#This Row],[Quantity]]*tblSales[[#This Row],[Actual Price]]</f>
        <v>8460</v>
      </c>
    </row>
    <row r="1485" spans="1:12" x14ac:dyDescent="0.35">
      <c r="A1485" s="3" t="s">
        <v>2057</v>
      </c>
      <c r="B1485" s="4" t="s">
        <v>86</v>
      </c>
      <c r="C1485" s="4" t="s">
        <v>87</v>
      </c>
      <c r="D1485" s="4" t="s">
        <v>14</v>
      </c>
      <c r="E1485" s="7">
        <v>43414</v>
      </c>
      <c r="F1485" s="4" t="s">
        <v>56</v>
      </c>
      <c r="G1485" s="4" t="s">
        <v>574</v>
      </c>
      <c r="H1485" s="4">
        <v>800</v>
      </c>
      <c r="I1485" s="4">
        <v>440</v>
      </c>
      <c r="J1485" s="5">
        <v>0.45</v>
      </c>
      <c r="K1485" s="3">
        <v>6</v>
      </c>
      <c r="L1485" s="4">
        <f>tblSales[[#This Row],[Quantity]]*tblSales[[#This Row],[Actual Price]]</f>
        <v>2640</v>
      </c>
    </row>
    <row r="1486" spans="1:12" x14ac:dyDescent="0.35">
      <c r="A1486" s="3" t="s">
        <v>2058</v>
      </c>
      <c r="B1486" s="4" t="s">
        <v>104</v>
      </c>
      <c r="C1486" s="4" t="s">
        <v>72</v>
      </c>
      <c r="D1486" s="4" t="s">
        <v>36</v>
      </c>
      <c r="E1486" s="7">
        <v>42334</v>
      </c>
      <c r="F1486" s="4" t="s">
        <v>42</v>
      </c>
      <c r="G1486" s="4" t="s">
        <v>498</v>
      </c>
      <c r="H1486" s="4">
        <v>30</v>
      </c>
      <c r="I1486" s="4">
        <v>28</v>
      </c>
      <c r="J1486" s="5">
        <v>6.6699999999999995E-2</v>
      </c>
      <c r="K1486" s="3">
        <v>38</v>
      </c>
      <c r="L1486" s="4">
        <f>tblSales[[#This Row],[Quantity]]*tblSales[[#This Row],[Actual Price]]</f>
        <v>1064</v>
      </c>
    </row>
    <row r="1487" spans="1:12" x14ac:dyDescent="0.35">
      <c r="A1487" s="3" t="s">
        <v>2059</v>
      </c>
      <c r="B1487" s="4" t="s">
        <v>23</v>
      </c>
      <c r="C1487" s="4" t="s">
        <v>24</v>
      </c>
      <c r="D1487" s="4" t="s">
        <v>25</v>
      </c>
      <c r="E1487" s="7">
        <v>42465</v>
      </c>
      <c r="F1487" s="4" t="s">
        <v>116</v>
      </c>
      <c r="G1487" s="4" t="s">
        <v>27</v>
      </c>
      <c r="H1487" s="4">
        <v>250</v>
      </c>
      <c r="I1487" s="4">
        <v>213</v>
      </c>
      <c r="J1487" s="5">
        <v>0.14799999999999999</v>
      </c>
      <c r="K1487" s="3">
        <v>10</v>
      </c>
      <c r="L1487" s="4">
        <f>tblSales[[#This Row],[Quantity]]*tblSales[[#This Row],[Actual Price]]</f>
        <v>2130</v>
      </c>
    </row>
    <row r="1488" spans="1:12" x14ac:dyDescent="0.35">
      <c r="A1488" s="3" t="s">
        <v>2060</v>
      </c>
      <c r="B1488" s="4" t="s">
        <v>108</v>
      </c>
      <c r="C1488" s="4" t="s">
        <v>109</v>
      </c>
      <c r="D1488" s="4" t="s">
        <v>20</v>
      </c>
      <c r="E1488" s="7">
        <v>42932</v>
      </c>
      <c r="F1488" s="4" t="s">
        <v>26</v>
      </c>
      <c r="G1488" s="4" t="s">
        <v>1030</v>
      </c>
      <c r="H1488" s="4">
        <v>700</v>
      </c>
      <c r="I1488" s="4">
        <v>665</v>
      </c>
      <c r="J1488" s="5">
        <v>0.05</v>
      </c>
      <c r="K1488" s="3">
        <v>19</v>
      </c>
      <c r="L1488" s="4">
        <f>tblSales[[#This Row],[Quantity]]*tblSales[[#This Row],[Actual Price]]</f>
        <v>12635</v>
      </c>
    </row>
    <row r="1489" spans="1:12" x14ac:dyDescent="0.35">
      <c r="A1489" s="3" t="s">
        <v>2061</v>
      </c>
      <c r="B1489" s="4" t="s">
        <v>104</v>
      </c>
      <c r="C1489" s="4" t="s">
        <v>72</v>
      </c>
      <c r="D1489" s="4" t="s">
        <v>36</v>
      </c>
      <c r="E1489" s="7">
        <v>42846</v>
      </c>
      <c r="F1489" s="4" t="s">
        <v>73</v>
      </c>
      <c r="G1489" s="4" t="s">
        <v>1816</v>
      </c>
      <c r="H1489" s="4">
        <v>500</v>
      </c>
      <c r="I1489" s="4">
        <v>495</v>
      </c>
      <c r="J1489" s="5">
        <v>0.01</v>
      </c>
      <c r="K1489" s="3">
        <v>70</v>
      </c>
      <c r="L1489" s="4">
        <f>tblSales[[#This Row],[Quantity]]*tblSales[[#This Row],[Actual Price]]</f>
        <v>34650</v>
      </c>
    </row>
    <row r="1490" spans="1:12" x14ac:dyDescent="0.35">
      <c r="A1490" s="3" t="s">
        <v>2062</v>
      </c>
      <c r="B1490" s="4" t="s">
        <v>100</v>
      </c>
      <c r="C1490" s="4" t="s">
        <v>101</v>
      </c>
      <c r="D1490" s="4" t="s">
        <v>14</v>
      </c>
      <c r="E1490" s="7">
        <v>41713</v>
      </c>
      <c r="F1490" s="4" t="s">
        <v>105</v>
      </c>
      <c r="G1490" s="4" t="s">
        <v>102</v>
      </c>
      <c r="H1490" s="4">
        <v>70</v>
      </c>
      <c r="I1490" s="4">
        <v>67</v>
      </c>
      <c r="J1490" s="5">
        <v>4.2900000000000001E-2</v>
      </c>
      <c r="K1490" s="3">
        <v>13</v>
      </c>
      <c r="L1490" s="4">
        <f>tblSales[[#This Row],[Quantity]]*tblSales[[#This Row],[Actual Price]]</f>
        <v>871</v>
      </c>
    </row>
    <row r="1491" spans="1:12" x14ac:dyDescent="0.35">
      <c r="A1491" s="3" t="s">
        <v>2063</v>
      </c>
      <c r="B1491" s="4" t="s">
        <v>256</v>
      </c>
      <c r="C1491" s="4" t="s">
        <v>257</v>
      </c>
      <c r="D1491" s="4" t="s">
        <v>14</v>
      </c>
      <c r="E1491" s="7">
        <v>41861</v>
      </c>
      <c r="F1491" s="4" t="s">
        <v>73</v>
      </c>
      <c r="G1491" s="4" t="s">
        <v>1267</v>
      </c>
      <c r="H1491" s="4">
        <v>500</v>
      </c>
      <c r="I1491" s="4">
        <v>490</v>
      </c>
      <c r="J1491" s="5">
        <v>0.02</v>
      </c>
      <c r="K1491" s="3">
        <v>33</v>
      </c>
      <c r="L1491" s="4">
        <f>tblSales[[#This Row],[Quantity]]*tblSales[[#This Row],[Actual Price]]</f>
        <v>16170</v>
      </c>
    </row>
    <row r="1492" spans="1:12" x14ac:dyDescent="0.35">
      <c r="A1492" s="3" t="s">
        <v>2064</v>
      </c>
      <c r="B1492" s="4" t="s">
        <v>158</v>
      </c>
      <c r="C1492" s="4" t="s">
        <v>109</v>
      </c>
      <c r="D1492" s="4" t="s">
        <v>20</v>
      </c>
      <c r="E1492" s="7">
        <v>41847</v>
      </c>
      <c r="F1492" s="4" t="s">
        <v>73</v>
      </c>
      <c r="G1492" s="4" t="s">
        <v>159</v>
      </c>
      <c r="H1492" s="4">
        <v>500</v>
      </c>
      <c r="I1492" s="4">
        <v>495</v>
      </c>
      <c r="J1492" s="5">
        <v>0.01</v>
      </c>
      <c r="K1492" s="3">
        <v>66</v>
      </c>
      <c r="L1492" s="4">
        <f>tblSales[[#This Row],[Quantity]]*tblSales[[#This Row],[Actual Price]]</f>
        <v>32670</v>
      </c>
    </row>
    <row r="1493" spans="1:12" x14ac:dyDescent="0.35">
      <c r="A1493" s="3" t="s">
        <v>2065</v>
      </c>
      <c r="B1493" s="4" t="s">
        <v>158</v>
      </c>
      <c r="C1493" s="4" t="s">
        <v>109</v>
      </c>
      <c r="D1493" s="4" t="s">
        <v>20</v>
      </c>
      <c r="E1493" s="7">
        <v>43439</v>
      </c>
      <c r="F1493" s="4" t="s">
        <v>26</v>
      </c>
      <c r="G1493" s="4" t="s">
        <v>982</v>
      </c>
      <c r="H1493" s="4">
        <v>700</v>
      </c>
      <c r="I1493" s="4">
        <v>700</v>
      </c>
      <c r="J1493" s="5">
        <v>0</v>
      </c>
      <c r="K1493" s="3">
        <v>85</v>
      </c>
      <c r="L1493" s="4">
        <f>tblSales[[#This Row],[Quantity]]*tblSales[[#This Row],[Actual Price]]</f>
        <v>59500</v>
      </c>
    </row>
    <row r="1494" spans="1:12" x14ac:dyDescent="0.35">
      <c r="A1494" s="3" t="s">
        <v>2066</v>
      </c>
      <c r="B1494" s="4" t="s">
        <v>60</v>
      </c>
      <c r="C1494" s="4" t="s">
        <v>61</v>
      </c>
      <c r="D1494" s="4" t="s">
        <v>14</v>
      </c>
      <c r="E1494" s="7">
        <v>43216</v>
      </c>
      <c r="F1494" s="4" t="s">
        <v>123</v>
      </c>
      <c r="G1494" s="4" t="s">
        <v>782</v>
      </c>
      <c r="H1494" s="4">
        <v>50</v>
      </c>
      <c r="I1494" s="4">
        <v>43</v>
      </c>
      <c r="J1494" s="5">
        <v>0.14000000000000001</v>
      </c>
      <c r="K1494" s="3">
        <v>86</v>
      </c>
      <c r="L1494" s="4">
        <f>tblSales[[#This Row],[Quantity]]*tblSales[[#This Row],[Actual Price]]</f>
        <v>3698</v>
      </c>
    </row>
    <row r="1495" spans="1:12" x14ac:dyDescent="0.35">
      <c r="A1495" s="3" t="s">
        <v>2067</v>
      </c>
      <c r="B1495" s="4" t="s">
        <v>18</v>
      </c>
      <c r="C1495" s="4" t="s">
        <v>19</v>
      </c>
      <c r="D1495" s="4" t="s">
        <v>20</v>
      </c>
      <c r="E1495" s="7">
        <v>42211</v>
      </c>
      <c r="F1495" s="4" t="s">
        <v>56</v>
      </c>
      <c r="G1495" s="4" t="s">
        <v>494</v>
      </c>
      <c r="H1495" s="4">
        <v>800</v>
      </c>
      <c r="I1495" s="4">
        <v>616</v>
      </c>
      <c r="J1495" s="5">
        <v>0.23</v>
      </c>
      <c r="K1495" s="3">
        <v>49</v>
      </c>
      <c r="L1495" s="4">
        <f>tblSales[[#This Row],[Quantity]]*tblSales[[#This Row],[Actual Price]]</f>
        <v>30184</v>
      </c>
    </row>
    <row r="1496" spans="1:12" x14ac:dyDescent="0.35">
      <c r="A1496" s="3" t="s">
        <v>2068</v>
      </c>
      <c r="B1496" s="4" t="s">
        <v>132</v>
      </c>
      <c r="C1496" s="4" t="s">
        <v>109</v>
      </c>
      <c r="D1496" s="4" t="s">
        <v>20</v>
      </c>
      <c r="E1496" s="7">
        <v>43271</v>
      </c>
      <c r="F1496" s="4" t="s">
        <v>116</v>
      </c>
      <c r="G1496" s="4" t="s">
        <v>794</v>
      </c>
      <c r="H1496" s="4">
        <v>250</v>
      </c>
      <c r="I1496" s="4">
        <v>245</v>
      </c>
      <c r="J1496" s="5">
        <v>0.02</v>
      </c>
      <c r="K1496" s="3">
        <v>93</v>
      </c>
      <c r="L1496" s="4">
        <f>tblSales[[#This Row],[Quantity]]*tblSales[[#This Row],[Actual Price]]</f>
        <v>22785</v>
      </c>
    </row>
    <row r="1497" spans="1:12" x14ac:dyDescent="0.35">
      <c r="A1497" s="3" t="s">
        <v>2069</v>
      </c>
      <c r="B1497" s="4" t="s">
        <v>82</v>
      </c>
      <c r="C1497" s="4" t="s">
        <v>83</v>
      </c>
      <c r="D1497" s="4" t="s">
        <v>14</v>
      </c>
      <c r="E1497" s="7">
        <v>43264</v>
      </c>
      <c r="F1497" s="4" t="s">
        <v>116</v>
      </c>
      <c r="G1497" s="4" t="s">
        <v>196</v>
      </c>
      <c r="H1497" s="4">
        <v>250</v>
      </c>
      <c r="I1497" s="4">
        <v>223</v>
      </c>
      <c r="J1497" s="5">
        <v>0.108</v>
      </c>
      <c r="K1497" s="3">
        <v>87</v>
      </c>
      <c r="L1497" s="4">
        <f>tblSales[[#This Row],[Quantity]]*tblSales[[#This Row],[Actual Price]]</f>
        <v>19401</v>
      </c>
    </row>
    <row r="1498" spans="1:12" x14ac:dyDescent="0.35">
      <c r="A1498" s="3" t="s">
        <v>2070</v>
      </c>
      <c r="B1498" s="4" t="s">
        <v>175</v>
      </c>
      <c r="C1498" s="4" t="s">
        <v>176</v>
      </c>
      <c r="D1498" s="4" t="s">
        <v>14</v>
      </c>
      <c r="E1498" s="7">
        <v>43295</v>
      </c>
      <c r="F1498" s="4" t="s">
        <v>15</v>
      </c>
      <c r="G1498" s="4" t="s">
        <v>1559</v>
      </c>
      <c r="H1498" s="4">
        <v>80</v>
      </c>
      <c r="I1498" s="4">
        <v>73</v>
      </c>
      <c r="J1498" s="5">
        <v>8.7499999999999994E-2</v>
      </c>
      <c r="K1498" s="3">
        <v>42</v>
      </c>
      <c r="L1498" s="4">
        <f>tblSales[[#This Row],[Quantity]]*tblSales[[#This Row],[Actual Price]]</f>
        <v>3066</v>
      </c>
    </row>
    <row r="1499" spans="1:12" x14ac:dyDescent="0.35">
      <c r="A1499" s="3" t="s">
        <v>2071</v>
      </c>
      <c r="B1499" s="4" t="s">
        <v>100</v>
      </c>
      <c r="C1499" s="4" t="s">
        <v>101</v>
      </c>
      <c r="D1499" s="4" t="s">
        <v>14</v>
      </c>
      <c r="E1499" s="7">
        <v>41774</v>
      </c>
      <c r="F1499" s="4" t="s">
        <v>105</v>
      </c>
      <c r="G1499" s="4" t="s">
        <v>102</v>
      </c>
      <c r="H1499" s="4">
        <v>70</v>
      </c>
      <c r="I1499" s="4">
        <v>67</v>
      </c>
      <c r="J1499" s="5">
        <v>4.2900000000000001E-2</v>
      </c>
      <c r="K1499" s="3">
        <v>77</v>
      </c>
      <c r="L1499" s="4">
        <f>tblSales[[#This Row],[Quantity]]*tblSales[[#This Row],[Actual Price]]</f>
        <v>5159</v>
      </c>
    </row>
    <row r="1500" spans="1:12" x14ac:dyDescent="0.35">
      <c r="A1500" s="3" t="s">
        <v>2072</v>
      </c>
      <c r="B1500" s="4" t="s">
        <v>96</v>
      </c>
      <c r="C1500" s="4" t="s">
        <v>97</v>
      </c>
      <c r="D1500" s="4" t="s">
        <v>14</v>
      </c>
      <c r="E1500" s="7">
        <v>41680</v>
      </c>
      <c r="F1500" s="4" t="s">
        <v>42</v>
      </c>
      <c r="G1500" s="4" t="s">
        <v>98</v>
      </c>
      <c r="H1500" s="4">
        <v>30</v>
      </c>
      <c r="I1500" s="4">
        <v>30</v>
      </c>
      <c r="J1500" s="5">
        <v>0</v>
      </c>
      <c r="K1500" s="3">
        <v>96</v>
      </c>
      <c r="L1500" s="4">
        <f>tblSales[[#This Row],[Quantity]]*tblSales[[#This Row],[Actual Price]]</f>
        <v>2880</v>
      </c>
    </row>
    <row r="1501" spans="1:12" x14ac:dyDescent="0.35">
      <c r="A1501" s="3" t="s">
        <v>2073</v>
      </c>
      <c r="B1501" s="4" t="s">
        <v>132</v>
      </c>
      <c r="C1501" s="4" t="s">
        <v>109</v>
      </c>
      <c r="D1501" s="4" t="s">
        <v>20</v>
      </c>
      <c r="E1501" s="7">
        <v>42372</v>
      </c>
      <c r="F1501" s="4" t="s">
        <v>123</v>
      </c>
      <c r="G1501" s="4" t="s">
        <v>547</v>
      </c>
      <c r="H1501" s="4">
        <v>50</v>
      </c>
      <c r="I1501" s="4">
        <v>49</v>
      </c>
      <c r="J1501" s="5">
        <v>0.02</v>
      </c>
      <c r="K1501" s="3">
        <v>94</v>
      </c>
      <c r="L1501" s="4">
        <f>tblSales[[#This Row],[Quantity]]*tblSales[[#This Row],[Actual Price]]</f>
        <v>4606</v>
      </c>
    </row>
    <row r="1502" spans="1:12" x14ac:dyDescent="0.35">
      <c r="A1502" s="3" t="s">
        <v>2074</v>
      </c>
      <c r="B1502" s="4" t="s">
        <v>265</v>
      </c>
      <c r="C1502" s="4" t="s">
        <v>266</v>
      </c>
      <c r="D1502" s="4" t="s">
        <v>14</v>
      </c>
      <c r="E1502" s="7">
        <v>41939</v>
      </c>
      <c r="F1502" s="4" t="s">
        <v>73</v>
      </c>
      <c r="G1502" s="4" t="s">
        <v>370</v>
      </c>
      <c r="H1502" s="4">
        <v>500</v>
      </c>
      <c r="I1502" s="4">
        <v>495</v>
      </c>
      <c r="J1502" s="5">
        <v>0.01</v>
      </c>
      <c r="K1502" s="3">
        <v>81</v>
      </c>
      <c r="L1502" s="4">
        <f>tblSales[[#This Row],[Quantity]]*tblSales[[#This Row],[Actual Price]]</f>
        <v>40095</v>
      </c>
    </row>
    <row r="1503" spans="1:12" x14ac:dyDescent="0.35">
      <c r="A1503" s="3" t="s">
        <v>2075</v>
      </c>
      <c r="B1503" s="4" t="s">
        <v>54</v>
      </c>
      <c r="C1503" s="4" t="s">
        <v>55</v>
      </c>
      <c r="D1503" s="4" t="s">
        <v>14</v>
      </c>
      <c r="E1503" s="7">
        <v>42992</v>
      </c>
      <c r="F1503" s="4" t="s">
        <v>47</v>
      </c>
      <c r="G1503" s="4" t="s">
        <v>648</v>
      </c>
      <c r="H1503" s="4">
        <v>500</v>
      </c>
      <c r="I1503" s="4">
        <v>485</v>
      </c>
      <c r="J1503" s="5">
        <v>0.03</v>
      </c>
      <c r="K1503" s="3">
        <v>14</v>
      </c>
      <c r="L1503" s="4">
        <f>tblSales[[#This Row],[Quantity]]*tblSales[[#This Row],[Actual Price]]</f>
        <v>6790</v>
      </c>
    </row>
    <row r="1504" spans="1:12" x14ac:dyDescent="0.35">
      <c r="A1504" s="3" t="s">
        <v>2076</v>
      </c>
      <c r="B1504" s="4" t="s">
        <v>183</v>
      </c>
      <c r="C1504" s="4" t="s">
        <v>109</v>
      </c>
      <c r="D1504" s="4" t="s">
        <v>20</v>
      </c>
      <c r="E1504" s="7">
        <v>42033</v>
      </c>
      <c r="F1504" s="4" t="s">
        <v>31</v>
      </c>
      <c r="G1504" s="4" t="s">
        <v>959</v>
      </c>
      <c r="H1504" s="4">
        <v>150</v>
      </c>
      <c r="I1504" s="4">
        <v>116</v>
      </c>
      <c r="J1504" s="5">
        <v>0.22670000000000001</v>
      </c>
      <c r="K1504" s="3">
        <v>65</v>
      </c>
      <c r="L1504" s="4">
        <f>tblSales[[#This Row],[Quantity]]*tblSales[[#This Row],[Actual Price]]</f>
        <v>7540</v>
      </c>
    </row>
    <row r="1505" spans="1:12" x14ac:dyDescent="0.35">
      <c r="A1505" s="3" t="s">
        <v>2077</v>
      </c>
      <c r="B1505" s="4" t="s">
        <v>18</v>
      </c>
      <c r="C1505" s="4" t="s">
        <v>19</v>
      </c>
      <c r="D1505" s="4" t="s">
        <v>20</v>
      </c>
      <c r="E1505" s="7">
        <v>42242</v>
      </c>
      <c r="F1505" s="4" t="s">
        <v>26</v>
      </c>
      <c r="G1505" s="4" t="s">
        <v>854</v>
      </c>
      <c r="H1505" s="4">
        <v>700</v>
      </c>
      <c r="I1505" s="4">
        <v>658</v>
      </c>
      <c r="J1505" s="5">
        <v>0.06</v>
      </c>
      <c r="K1505" s="3">
        <v>95</v>
      </c>
      <c r="L1505" s="4">
        <f>tblSales[[#This Row],[Quantity]]*tblSales[[#This Row],[Actual Price]]</f>
        <v>62510</v>
      </c>
    </row>
    <row r="1506" spans="1:12" x14ac:dyDescent="0.35">
      <c r="A1506" s="3" t="s">
        <v>2078</v>
      </c>
      <c r="B1506" s="4" t="s">
        <v>60</v>
      </c>
      <c r="C1506" s="4" t="s">
        <v>61</v>
      </c>
      <c r="D1506" s="4" t="s">
        <v>14</v>
      </c>
      <c r="E1506" s="7">
        <v>42477</v>
      </c>
      <c r="F1506" s="4" t="s">
        <v>42</v>
      </c>
      <c r="G1506" s="4" t="s">
        <v>1779</v>
      </c>
      <c r="H1506" s="4">
        <v>30</v>
      </c>
      <c r="I1506" s="4">
        <v>27</v>
      </c>
      <c r="J1506" s="5">
        <v>0.1</v>
      </c>
      <c r="K1506" s="3">
        <v>60</v>
      </c>
      <c r="L1506" s="4">
        <f>tblSales[[#This Row],[Quantity]]*tblSales[[#This Row],[Actual Price]]</f>
        <v>1620</v>
      </c>
    </row>
    <row r="1507" spans="1:12" x14ac:dyDescent="0.35">
      <c r="A1507" s="3" t="s">
        <v>2079</v>
      </c>
      <c r="B1507" s="4" t="s">
        <v>12</v>
      </c>
      <c r="C1507" s="4" t="s">
        <v>13</v>
      </c>
      <c r="D1507" s="4" t="s">
        <v>14</v>
      </c>
      <c r="E1507" s="7">
        <v>41757</v>
      </c>
      <c r="F1507" s="4" t="s">
        <v>56</v>
      </c>
      <c r="G1507" s="4" t="s">
        <v>138</v>
      </c>
      <c r="H1507" s="4">
        <v>800</v>
      </c>
      <c r="I1507" s="4">
        <v>608</v>
      </c>
      <c r="J1507" s="5">
        <v>0.24</v>
      </c>
      <c r="K1507" s="3">
        <v>23</v>
      </c>
      <c r="L1507" s="4">
        <f>tblSales[[#This Row],[Quantity]]*tblSales[[#This Row],[Actual Price]]</f>
        <v>13984</v>
      </c>
    </row>
    <row r="1508" spans="1:12" x14ac:dyDescent="0.35">
      <c r="A1508" s="3" t="s">
        <v>2080</v>
      </c>
      <c r="B1508" s="4" t="s">
        <v>125</v>
      </c>
      <c r="C1508" s="4" t="s">
        <v>41</v>
      </c>
      <c r="D1508" s="4" t="s">
        <v>36</v>
      </c>
      <c r="E1508" s="7">
        <v>42465</v>
      </c>
      <c r="F1508" s="4" t="s">
        <v>37</v>
      </c>
      <c r="G1508" s="4" t="s">
        <v>126</v>
      </c>
      <c r="H1508" s="4">
        <v>50</v>
      </c>
      <c r="I1508" s="4">
        <v>49</v>
      </c>
      <c r="J1508" s="5">
        <v>0.02</v>
      </c>
      <c r="K1508" s="3">
        <v>7</v>
      </c>
      <c r="L1508" s="4">
        <f>tblSales[[#This Row],[Quantity]]*tblSales[[#This Row],[Actual Price]]</f>
        <v>343</v>
      </c>
    </row>
    <row r="1509" spans="1:12" x14ac:dyDescent="0.35">
      <c r="A1509" s="3" t="s">
        <v>2081</v>
      </c>
      <c r="B1509" s="4" t="s">
        <v>206</v>
      </c>
      <c r="C1509" s="4" t="s">
        <v>207</v>
      </c>
      <c r="D1509" s="4" t="s">
        <v>25</v>
      </c>
      <c r="E1509" s="7">
        <v>42652</v>
      </c>
      <c r="F1509" s="4" t="s">
        <v>15</v>
      </c>
      <c r="G1509" s="4" t="s">
        <v>1873</v>
      </c>
      <c r="H1509" s="4">
        <v>80</v>
      </c>
      <c r="I1509" s="4">
        <v>69</v>
      </c>
      <c r="J1509" s="5">
        <v>0.13750000000000001</v>
      </c>
      <c r="K1509" s="3">
        <v>68</v>
      </c>
      <c r="L1509" s="4">
        <f>tblSales[[#This Row],[Quantity]]*tblSales[[#This Row],[Actual Price]]</f>
        <v>4692</v>
      </c>
    </row>
    <row r="1510" spans="1:12" x14ac:dyDescent="0.35">
      <c r="A1510" s="3" t="s">
        <v>2082</v>
      </c>
      <c r="B1510" s="4" t="s">
        <v>271</v>
      </c>
      <c r="C1510" s="4" t="s">
        <v>272</v>
      </c>
      <c r="D1510" s="4" t="s">
        <v>36</v>
      </c>
      <c r="E1510" s="7">
        <v>42008</v>
      </c>
      <c r="F1510" s="4" t="s">
        <v>105</v>
      </c>
      <c r="G1510" s="4" t="s">
        <v>714</v>
      </c>
      <c r="H1510" s="4">
        <v>70</v>
      </c>
      <c r="I1510" s="4">
        <v>64</v>
      </c>
      <c r="J1510" s="5">
        <v>8.5699999999999998E-2</v>
      </c>
      <c r="K1510" s="3">
        <v>80</v>
      </c>
      <c r="L1510" s="4">
        <f>tblSales[[#This Row],[Quantity]]*tblSales[[#This Row],[Actual Price]]</f>
        <v>5120</v>
      </c>
    </row>
    <row r="1511" spans="1:12" x14ac:dyDescent="0.35">
      <c r="A1511" s="3" t="s">
        <v>2083</v>
      </c>
      <c r="B1511" s="4" t="s">
        <v>60</v>
      </c>
      <c r="C1511" s="4" t="s">
        <v>61</v>
      </c>
      <c r="D1511" s="4" t="s">
        <v>14</v>
      </c>
      <c r="E1511" s="7">
        <v>43368</v>
      </c>
      <c r="F1511" s="4" t="s">
        <v>42</v>
      </c>
      <c r="G1511" s="4" t="s">
        <v>313</v>
      </c>
      <c r="H1511" s="4">
        <v>30</v>
      </c>
      <c r="I1511" s="4">
        <v>27</v>
      </c>
      <c r="J1511" s="5">
        <v>0.1</v>
      </c>
      <c r="K1511" s="3">
        <v>58</v>
      </c>
      <c r="L1511" s="4">
        <f>tblSales[[#This Row],[Quantity]]*tblSales[[#This Row],[Actual Price]]</f>
        <v>1566</v>
      </c>
    </row>
    <row r="1512" spans="1:12" x14ac:dyDescent="0.35">
      <c r="A1512" s="3" t="s">
        <v>2084</v>
      </c>
      <c r="B1512" s="4" t="s">
        <v>96</v>
      </c>
      <c r="C1512" s="4" t="s">
        <v>97</v>
      </c>
      <c r="D1512" s="4" t="s">
        <v>14</v>
      </c>
      <c r="E1512" s="7">
        <v>41871</v>
      </c>
      <c r="F1512" s="4" t="s">
        <v>47</v>
      </c>
      <c r="G1512" s="4" t="s">
        <v>334</v>
      </c>
      <c r="H1512" s="4">
        <v>500</v>
      </c>
      <c r="I1512" s="4">
        <v>500</v>
      </c>
      <c r="J1512" s="5">
        <v>0</v>
      </c>
      <c r="K1512" s="3">
        <v>51</v>
      </c>
      <c r="L1512" s="4">
        <f>tblSales[[#This Row],[Quantity]]*tblSales[[#This Row],[Actual Price]]</f>
        <v>25500</v>
      </c>
    </row>
    <row r="1513" spans="1:12" x14ac:dyDescent="0.35">
      <c r="A1513" s="3" t="s">
        <v>2085</v>
      </c>
      <c r="B1513" s="4" t="s">
        <v>265</v>
      </c>
      <c r="C1513" s="4" t="s">
        <v>266</v>
      </c>
      <c r="D1513" s="4" t="s">
        <v>14</v>
      </c>
      <c r="E1513" s="7">
        <v>41918</v>
      </c>
      <c r="F1513" s="4" t="s">
        <v>15</v>
      </c>
      <c r="G1513" s="4" t="s">
        <v>600</v>
      </c>
      <c r="H1513" s="4">
        <v>80</v>
      </c>
      <c r="I1513" s="4">
        <v>60</v>
      </c>
      <c r="J1513" s="5">
        <v>0.25</v>
      </c>
      <c r="K1513" s="3">
        <v>3</v>
      </c>
      <c r="L1513" s="4">
        <f>tblSales[[#This Row],[Quantity]]*tblSales[[#This Row],[Actual Price]]</f>
        <v>180</v>
      </c>
    </row>
    <row r="1514" spans="1:12" x14ac:dyDescent="0.35">
      <c r="A1514" s="3" t="s">
        <v>2086</v>
      </c>
      <c r="B1514" s="4" t="s">
        <v>82</v>
      </c>
      <c r="C1514" s="4" t="s">
        <v>83</v>
      </c>
      <c r="D1514" s="4" t="s">
        <v>14</v>
      </c>
      <c r="E1514" s="7">
        <v>43404</v>
      </c>
      <c r="F1514" s="4" t="s">
        <v>26</v>
      </c>
      <c r="G1514" s="4" t="s">
        <v>388</v>
      </c>
      <c r="H1514" s="4">
        <v>700</v>
      </c>
      <c r="I1514" s="4">
        <v>637</v>
      </c>
      <c r="J1514" s="5">
        <v>0.09</v>
      </c>
      <c r="K1514" s="3">
        <v>40</v>
      </c>
      <c r="L1514" s="4">
        <f>tblSales[[#This Row],[Quantity]]*tblSales[[#This Row],[Actual Price]]</f>
        <v>25480</v>
      </c>
    </row>
    <row r="1515" spans="1:12" x14ac:dyDescent="0.35">
      <c r="A1515" s="3" t="s">
        <v>2087</v>
      </c>
      <c r="B1515" s="4" t="s">
        <v>135</v>
      </c>
      <c r="C1515" s="4" t="s">
        <v>93</v>
      </c>
      <c r="D1515" s="4" t="s">
        <v>36</v>
      </c>
      <c r="E1515" s="7">
        <v>41688</v>
      </c>
      <c r="F1515" s="4" t="s">
        <v>116</v>
      </c>
      <c r="G1515" s="4" t="s">
        <v>808</v>
      </c>
      <c r="H1515" s="4">
        <v>250</v>
      </c>
      <c r="I1515" s="4">
        <v>178</v>
      </c>
      <c r="J1515" s="5">
        <v>0.28799999999999998</v>
      </c>
      <c r="K1515" s="3">
        <v>7</v>
      </c>
      <c r="L1515" s="4">
        <f>tblSales[[#This Row],[Quantity]]*tblSales[[#This Row],[Actual Price]]</f>
        <v>1246</v>
      </c>
    </row>
    <row r="1516" spans="1:12" x14ac:dyDescent="0.35">
      <c r="A1516" s="3" t="s">
        <v>2088</v>
      </c>
      <c r="B1516" s="4" t="s">
        <v>171</v>
      </c>
      <c r="C1516" s="4" t="s">
        <v>172</v>
      </c>
      <c r="D1516" s="4" t="s">
        <v>14</v>
      </c>
      <c r="E1516" s="7">
        <v>42332</v>
      </c>
      <c r="F1516" s="4" t="s">
        <v>73</v>
      </c>
      <c r="G1516" s="4" t="s">
        <v>173</v>
      </c>
      <c r="H1516" s="4">
        <v>500</v>
      </c>
      <c r="I1516" s="4">
        <v>500</v>
      </c>
      <c r="J1516" s="5">
        <v>0</v>
      </c>
      <c r="K1516" s="3">
        <v>84</v>
      </c>
      <c r="L1516" s="4">
        <f>tblSales[[#This Row],[Quantity]]*tblSales[[#This Row],[Actual Price]]</f>
        <v>42000</v>
      </c>
    </row>
    <row r="1517" spans="1:12" x14ac:dyDescent="0.35">
      <c r="A1517" s="3" t="s">
        <v>2089</v>
      </c>
      <c r="B1517" s="4" t="s">
        <v>112</v>
      </c>
      <c r="C1517" s="4" t="s">
        <v>83</v>
      </c>
      <c r="D1517" s="4" t="s">
        <v>14</v>
      </c>
      <c r="E1517" s="7">
        <v>42744</v>
      </c>
      <c r="F1517" s="4" t="s">
        <v>37</v>
      </c>
      <c r="G1517" s="4" t="s">
        <v>1689</v>
      </c>
      <c r="H1517" s="4">
        <v>50</v>
      </c>
      <c r="I1517" s="4">
        <v>47</v>
      </c>
      <c r="J1517" s="5">
        <v>0.06</v>
      </c>
      <c r="K1517" s="3">
        <v>91</v>
      </c>
      <c r="L1517" s="4">
        <f>tblSales[[#This Row],[Quantity]]*tblSales[[#This Row],[Actual Price]]</f>
        <v>4277</v>
      </c>
    </row>
    <row r="1518" spans="1:12" x14ac:dyDescent="0.35">
      <c r="A1518" s="3" t="s">
        <v>2090</v>
      </c>
      <c r="B1518" s="4" t="s">
        <v>100</v>
      </c>
      <c r="C1518" s="4" t="s">
        <v>101</v>
      </c>
      <c r="D1518" s="4" t="s">
        <v>14</v>
      </c>
      <c r="E1518" s="7">
        <v>41935</v>
      </c>
      <c r="F1518" s="4" t="s">
        <v>47</v>
      </c>
      <c r="G1518" s="4" t="s">
        <v>753</v>
      </c>
      <c r="H1518" s="4">
        <v>500</v>
      </c>
      <c r="I1518" s="4">
        <v>405</v>
      </c>
      <c r="J1518" s="5">
        <v>0.19</v>
      </c>
      <c r="K1518" s="3">
        <v>47</v>
      </c>
      <c r="L1518" s="4">
        <f>tblSales[[#This Row],[Quantity]]*tblSales[[#This Row],[Actual Price]]</f>
        <v>19035</v>
      </c>
    </row>
    <row r="1519" spans="1:12" x14ac:dyDescent="0.35">
      <c r="A1519" s="3" t="s">
        <v>2091</v>
      </c>
      <c r="B1519" s="4" t="s">
        <v>151</v>
      </c>
      <c r="C1519" s="4" t="s">
        <v>152</v>
      </c>
      <c r="D1519" s="4" t="s">
        <v>14</v>
      </c>
      <c r="E1519" s="7">
        <v>43072</v>
      </c>
      <c r="F1519" s="4" t="s">
        <v>116</v>
      </c>
      <c r="G1519" s="4" t="s">
        <v>772</v>
      </c>
      <c r="H1519" s="4">
        <v>250</v>
      </c>
      <c r="I1519" s="4">
        <v>245</v>
      </c>
      <c r="J1519" s="5">
        <v>0.02</v>
      </c>
      <c r="K1519" s="3">
        <v>14</v>
      </c>
      <c r="L1519" s="4">
        <f>tblSales[[#This Row],[Quantity]]*tblSales[[#This Row],[Actual Price]]</f>
        <v>3430</v>
      </c>
    </row>
    <row r="1520" spans="1:12" x14ac:dyDescent="0.35">
      <c r="A1520" s="3" t="s">
        <v>2092</v>
      </c>
      <c r="B1520" s="4" t="s">
        <v>325</v>
      </c>
      <c r="C1520" s="4" t="s">
        <v>326</v>
      </c>
      <c r="D1520" s="4" t="s">
        <v>14</v>
      </c>
      <c r="E1520" s="7">
        <v>43184</v>
      </c>
      <c r="F1520" s="4" t="s">
        <v>15</v>
      </c>
      <c r="G1520" s="4" t="s">
        <v>1010</v>
      </c>
      <c r="H1520" s="4">
        <v>80</v>
      </c>
      <c r="I1520" s="4">
        <v>78</v>
      </c>
      <c r="J1520" s="5">
        <v>2.5000000000000001E-2</v>
      </c>
      <c r="K1520" s="3">
        <v>89</v>
      </c>
      <c r="L1520" s="4">
        <f>tblSales[[#This Row],[Quantity]]*tblSales[[#This Row],[Actual Price]]</f>
        <v>6942</v>
      </c>
    </row>
    <row r="1521" spans="1:12" x14ac:dyDescent="0.35">
      <c r="A1521" s="3" t="s">
        <v>2093</v>
      </c>
      <c r="B1521" s="4" t="s">
        <v>206</v>
      </c>
      <c r="C1521" s="4" t="s">
        <v>207</v>
      </c>
      <c r="D1521" s="4" t="s">
        <v>25</v>
      </c>
      <c r="E1521" s="7">
        <v>42173</v>
      </c>
      <c r="F1521" s="4" t="s">
        <v>47</v>
      </c>
      <c r="G1521" s="4" t="s">
        <v>661</v>
      </c>
      <c r="H1521" s="4">
        <v>500</v>
      </c>
      <c r="I1521" s="4">
        <v>345</v>
      </c>
      <c r="J1521" s="5">
        <v>0.31</v>
      </c>
      <c r="K1521" s="3">
        <v>100</v>
      </c>
      <c r="L1521" s="4">
        <f>tblSales[[#This Row],[Quantity]]*tblSales[[#This Row],[Actual Price]]</f>
        <v>34500</v>
      </c>
    </row>
    <row r="1522" spans="1:12" x14ac:dyDescent="0.35">
      <c r="A1522" s="3" t="s">
        <v>2094</v>
      </c>
      <c r="B1522" s="4" t="s">
        <v>206</v>
      </c>
      <c r="C1522" s="4" t="s">
        <v>207</v>
      </c>
      <c r="D1522" s="4" t="s">
        <v>25</v>
      </c>
      <c r="E1522" s="7">
        <v>43360</v>
      </c>
      <c r="F1522" s="4" t="s">
        <v>62</v>
      </c>
      <c r="G1522" s="4" t="s">
        <v>636</v>
      </c>
      <c r="H1522" s="4">
        <v>1000</v>
      </c>
      <c r="I1522" s="4">
        <v>590</v>
      </c>
      <c r="J1522" s="5">
        <v>0.41</v>
      </c>
      <c r="K1522" s="3">
        <v>38</v>
      </c>
      <c r="L1522" s="4">
        <f>tblSales[[#This Row],[Quantity]]*tblSales[[#This Row],[Actual Price]]</f>
        <v>22420</v>
      </c>
    </row>
    <row r="1523" spans="1:12" x14ac:dyDescent="0.35">
      <c r="A1523" s="3" t="s">
        <v>2095</v>
      </c>
      <c r="B1523" s="4" t="s">
        <v>147</v>
      </c>
      <c r="C1523" s="4" t="s">
        <v>148</v>
      </c>
      <c r="D1523" s="4" t="s">
        <v>14</v>
      </c>
      <c r="E1523" s="7">
        <v>42245</v>
      </c>
      <c r="F1523" s="4" t="s">
        <v>116</v>
      </c>
      <c r="G1523" s="4" t="s">
        <v>359</v>
      </c>
      <c r="H1523" s="4">
        <v>250</v>
      </c>
      <c r="I1523" s="4">
        <v>238</v>
      </c>
      <c r="J1523" s="5">
        <v>4.8000000000000001E-2</v>
      </c>
      <c r="K1523" s="3">
        <v>88</v>
      </c>
      <c r="L1523" s="4">
        <f>tblSales[[#This Row],[Quantity]]*tblSales[[#This Row],[Actual Price]]</f>
        <v>20944</v>
      </c>
    </row>
    <row r="1524" spans="1:12" x14ac:dyDescent="0.35">
      <c r="A1524" s="3" t="s">
        <v>2096</v>
      </c>
      <c r="B1524" s="4" t="s">
        <v>147</v>
      </c>
      <c r="C1524" s="4" t="s">
        <v>148</v>
      </c>
      <c r="D1524" s="4" t="s">
        <v>14</v>
      </c>
      <c r="E1524" s="7">
        <v>43025</v>
      </c>
      <c r="F1524" s="4" t="s">
        <v>26</v>
      </c>
      <c r="G1524" s="4" t="s">
        <v>1335</v>
      </c>
      <c r="H1524" s="4">
        <v>700</v>
      </c>
      <c r="I1524" s="4">
        <v>672</v>
      </c>
      <c r="J1524" s="5">
        <v>0.04</v>
      </c>
      <c r="K1524" s="3">
        <v>91</v>
      </c>
      <c r="L1524" s="4">
        <f>tblSales[[#This Row],[Quantity]]*tblSales[[#This Row],[Actual Price]]</f>
        <v>61152</v>
      </c>
    </row>
    <row r="1525" spans="1:12" x14ac:dyDescent="0.35">
      <c r="A1525" s="3" t="s">
        <v>2097</v>
      </c>
      <c r="B1525" s="4" t="s">
        <v>147</v>
      </c>
      <c r="C1525" s="4" t="s">
        <v>148</v>
      </c>
      <c r="D1525" s="4" t="s">
        <v>14</v>
      </c>
      <c r="E1525" s="7">
        <v>42962</v>
      </c>
      <c r="F1525" s="4" t="s">
        <v>73</v>
      </c>
      <c r="G1525" s="4" t="s">
        <v>1648</v>
      </c>
      <c r="H1525" s="4">
        <v>500</v>
      </c>
      <c r="I1525" s="4">
        <v>500</v>
      </c>
      <c r="J1525" s="5">
        <v>0</v>
      </c>
      <c r="K1525" s="3">
        <v>38</v>
      </c>
      <c r="L1525" s="4">
        <f>tblSales[[#This Row],[Quantity]]*tblSales[[#This Row],[Actual Price]]</f>
        <v>19000</v>
      </c>
    </row>
    <row r="1526" spans="1:12" x14ac:dyDescent="0.35">
      <c r="A1526" s="3" t="s">
        <v>2098</v>
      </c>
      <c r="B1526" s="4" t="s">
        <v>34</v>
      </c>
      <c r="C1526" s="4" t="s">
        <v>35</v>
      </c>
      <c r="D1526" s="4" t="s">
        <v>36</v>
      </c>
      <c r="E1526" s="7">
        <v>42388</v>
      </c>
      <c r="F1526" s="4" t="s">
        <v>73</v>
      </c>
      <c r="G1526" s="4" t="s">
        <v>1144</v>
      </c>
      <c r="H1526" s="4">
        <v>500</v>
      </c>
      <c r="I1526" s="4">
        <v>495</v>
      </c>
      <c r="J1526" s="5">
        <v>0.01</v>
      </c>
      <c r="K1526" s="3">
        <v>39</v>
      </c>
      <c r="L1526" s="4">
        <f>tblSales[[#This Row],[Quantity]]*tblSales[[#This Row],[Actual Price]]</f>
        <v>19305</v>
      </c>
    </row>
    <row r="1527" spans="1:12" x14ac:dyDescent="0.35">
      <c r="A1527" s="3" t="s">
        <v>2099</v>
      </c>
      <c r="B1527" s="4" t="s">
        <v>119</v>
      </c>
      <c r="C1527" s="4" t="s">
        <v>120</v>
      </c>
      <c r="D1527" s="4" t="s">
        <v>36</v>
      </c>
      <c r="E1527" s="7">
        <v>41667</v>
      </c>
      <c r="F1527" s="4" t="s">
        <v>42</v>
      </c>
      <c r="G1527" s="4" t="s">
        <v>121</v>
      </c>
      <c r="H1527" s="4">
        <v>30</v>
      </c>
      <c r="I1527" s="4">
        <v>29</v>
      </c>
      <c r="J1527" s="5">
        <v>3.3300000000000003E-2</v>
      </c>
      <c r="K1527" s="3">
        <v>80</v>
      </c>
      <c r="L1527" s="4">
        <f>tblSales[[#This Row],[Quantity]]*tblSales[[#This Row],[Actual Price]]</f>
        <v>2320</v>
      </c>
    </row>
    <row r="1528" spans="1:12" x14ac:dyDescent="0.35">
      <c r="A1528" s="3" t="s">
        <v>2100</v>
      </c>
      <c r="B1528" s="4" t="s">
        <v>34</v>
      </c>
      <c r="C1528" s="4" t="s">
        <v>35</v>
      </c>
      <c r="D1528" s="4" t="s">
        <v>36</v>
      </c>
      <c r="E1528" s="7">
        <v>42179</v>
      </c>
      <c r="F1528" s="4" t="s">
        <v>15</v>
      </c>
      <c r="G1528" s="4" t="s">
        <v>198</v>
      </c>
      <c r="H1528" s="4">
        <v>80</v>
      </c>
      <c r="I1528" s="4">
        <v>55</v>
      </c>
      <c r="J1528" s="5">
        <v>0.3125</v>
      </c>
      <c r="K1528" s="3">
        <v>59</v>
      </c>
      <c r="L1528" s="4">
        <f>tblSales[[#This Row],[Quantity]]*tblSales[[#This Row],[Actual Price]]</f>
        <v>3245</v>
      </c>
    </row>
    <row r="1529" spans="1:12" x14ac:dyDescent="0.35">
      <c r="A1529" s="3" t="s">
        <v>2101</v>
      </c>
      <c r="B1529" s="4" t="s">
        <v>71</v>
      </c>
      <c r="C1529" s="4" t="s">
        <v>72</v>
      </c>
      <c r="D1529" s="4" t="s">
        <v>36</v>
      </c>
      <c r="E1529" s="7">
        <v>42052</v>
      </c>
      <c r="F1529" s="4" t="s">
        <v>56</v>
      </c>
      <c r="G1529" s="4" t="s">
        <v>143</v>
      </c>
      <c r="H1529" s="4">
        <v>800</v>
      </c>
      <c r="I1529" s="4">
        <v>608</v>
      </c>
      <c r="J1529" s="5">
        <v>0.24</v>
      </c>
      <c r="K1529" s="3">
        <v>29</v>
      </c>
      <c r="L1529" s="4">
        <f>tblSales[[#This Row],[Quantity]]*tblSales[[#This Row],[Actual Price]]</f>
        <v>17632</v>
      </c>
    </row>
    <row r="1530" spans="1:12" x14ac:dyDescent="0.35">
      <c r="A1530" s="3" t="s">
        <v>2102</v>
      </c>
      <c r="B1530" s="4" t="s">
        <v>132</v>
      </c>
      <c r="C1530" s="4" t="s">
        <v>109</v>
      </c>
      <c r="D1530" s="4" t="s">
        <v>20</v>
      </c>
      <c r="E1530" s="7">
        <v>42134</v>
      </c>
      <c r="F1530" s="4" t="s">
        <v>42</v>
      </c>
      <c r="G1530" s="4" t="s">
        <v>269</v>
      </c>
      <c r="H1530" s="4">
        <v>30</v>
      </c>
      <c r="I1530" s="4">
        <v>22</v>
      </c>
      <c r="J1530" s="5">
        <v>0.26669999999999999</v>
      </c>
      <c r="K1530" s="3">
        <v>26</v>
      </c>
      <c r="L1530" s="4">
        <f>tblSales[[#This Row],[Quantity]]*tblSales[[#This Row],[Actual Price]]</f>
        <v>572</v>
      </c>
    </row>
    <row r="1531" spans="1:12" x14ac:dyDescent="0.35">
      <c r="A1531" s="3" t="s">
        <v>2103</v>
      </c>
      <c r="B1531" s="4" t="s">
        <v>40</v>
      </c>
      <c r="C1531" s="4" t="s">
        <v>41</v>
      </c>
      <c r="D1531" s="4" t="s">
        <v>36</v>
      </c>
      <c r="E1531" s="7">
        <v>41756</v>
      </c>
      <c r="F1531" s="4" t="s">
        <v>15</v>
      </c>
      <c r="G1531" s="4" t="s">
        <v>1527</v>
      </c>
      <c r="H1531" s="4">
        <v>80</v>
      </c>
      <c r="I1531" s="4">
        <v>69</v>
      </c>
      <c r="J1531" s="5">
        <v>0.13750000000000001</v>
      </c>
      <c r="K1531" s="3">
        <v>31</v>
      </c>
      <c r="L1531" s="4">
        <f>tblSales[[#This Row],[Quantity]]*tblSales[[#This Row],[Actual Price]]</f>
        <v>2139</v>
      </c>
    </row>
    <row r="1532" spans="1:12" x14ac:dyDescent="0.35">
      <c r="A1532" s="3" t="s">
        <v>2104</v>
      </c>
      <c r="B1532" s="4" t="s">
        <v>104</v>
      </c>
      <c r="C1532" s="4" t="s">
        <v>72</v>
      </c>
      <c r="D1532" s="4" t="s">
        <v>36</v>
      </c>
      <c r="E1532" s="7">
        <v>42381</v>
      </c>
      <c r="F1532" s="4" t="s">
        <v>26</v>
      </c>
      <c r="G1532" s="4" t="s">
        <v>498</v>
      </c>
      <c r="H1532" s="4">
        <v>700</v>
      </c>
      <c r="I1532" s="4">
        <v>665</v>
      </c>
      <c r="J1532" s="5">
        <v>0.05</v>
      </c>
      <c r="K1532" s="3">
        <v>80</v>
      </c>
      <c r="L1532" s="4">
        <f>tblSales[[#This Row],[Quantity]]*tblSales[[#This Row],[Actual Price]]</f>
        <v>53200</v>
      </c>
    </row>
    <row r="1533" spans="1:12" x14ac:dyDescent="0.35">
      <c r="A1533" s="3" t="s">
        <v>2105</v>
      </c>
      <c r="B1533" s="4" t="s">
        <v>29</v>
      </c>
      <c r="C1533" s="4" t="s">
        <v>30</v>
      </c>
      <c r="D1533" s="4" t="s">
        <v>14</v>
      </c>
      <c r="E1533" s="7">
        <v>42817</v>
      </c>
      <c r="F1533" s="4" t="s">
        <v>42</v>
      </c>
      <c r="G1533" s="4" t="s">
        <v>1109</v>
      </c>
      <c r="H1533" s="4">
        <v>30</v>
      </c>
      <c r="I1533" s="4">
        <v>28</v>
      </c>
      <c r="J1533" s="5">
        <v>6.6699999999999995E-2</v>
      </c>
      <c r="K1533" s="3">
        <v>1</v>
      </c>
      <c r="L1533" s="4">
        <f>tblSales[[#This Row],[Quantity]]*tblSales[[#This Row],[Actual Price]]</f>
        <v>28</v>
      </c>
    </row>
    <row r="1534" spans="1:12" x14ac:dyDescent="0.35">
      <c r="A1534" s="3" t="s">
        <v>2106</v>
      </c>
      <c r="B1534" s="4" t="s">
        <v>108</v>
      </c>
      <c r="C1534" s="4" t="s">
        <v>109</v>
      </c>
      <c r="D1534" s="4" t="s">
        <v>20</v>
      </c>
      <c r="E1534" s="7">
        <v>43173</v>
      </c>
      <c r="F1534" s="4" t="s">
        <v>56</v>
      </c>
      <c r="G1534" s="4" t="s">
        <v>818</v>
      </c>
      <c r="H1534" s="4">
        <v>800</v>
      </c>
      <c r="I1534" s="4">
        <v>464</v>
      </c>
      <c r="J1534" s="5">
        <v>0.42</v>
      </c>
      <c r="K1534" s="3">
        <v>86</v>
      </c>
      <c r="L1534" s="4">
        <f>tblSales[[#This Row],[Quantity]]*tblSales[[#This Row],[Actual Price]]</f>
        <v>39904</v>
      </c>
    </row>
    <row r="1535" spans="1:12" x14ac:dyDescent="0.35">
      <c r="A1535" s="3" t="s">
        <v>2107</v>
      </c>
      <c r="B1535" s="4" t="s">
        <v>108</v>
      </c>
      <c r="C1535" s="4" t="s">
        <v>109</v>
      </c>
      <c r="D1535" s="4" t="s">
        <v>20</v>
      </c>
      <c r="E1535" s="7">
        <v>42981</v>
      </c>
      <c r="F1535" s="4" t="s">
        <v>56</v>
      </c>
      <c r="G1535" s="4" t="s">
        <v>355</v>
      </c>
      <c r="H1535" s="4">
        <v>800</v>
      </c>
      <c r="I1535" s="4">
        <v>584</v>
      </c>
      <c r="J1535" s="5">
        <v>0.27</v>
      </c>
      <c r="K1535" s="3">
        <v>90</v>
      </c>
      <c r="L1535" s="4">
        <f>tblSales[[#This Row],[Quantity]]*tblSales[[#This Row],[Actual Price]]</f>
        <v>52560</v>
      </c>
    </row>
    <row r="1536" spans="1:12" x14ac:dyDescent="0.35">
      <c r="A1536" s="3" t="s">
        <v>2108</v>
      </c>
      <c r="B1536" s="4" t="s">
        <v>151</v>
      </c>
      <c r="C1536" s="4" t="s">
        <v>152</v>
      </c>
      <c r="D1536" s="4" t="s">
        <v>14</v>
      </c>
      <c r="E1536" s="7">
        <v>42916</v>
      </c>
      <c r="F1536" s="4" t="s">
        <v>26</v>
      </c>
      <c r="G1536" s="4" t="s">
        <v>2109</v>
      </c>
      <c r="H1536" s="4">
        <v>700</v>
      </c>
      <c r="I1536" s="4">
        <v>686</v>
      </c>
      <c r="J1536" s="5">
        <v>0.02</v>
      </c>
      <c r="K1536" s="3">
        <v>49</v>
      </c>
      <c r="L1536" s="4">
        <f>tblSales[[#This Row],[Quantity]]*tblSales[[#This Row],[Actual Price]]</f>
        <v>33614</v>
      </c>
    </row>
    <row r="1537" spans="1:12" x14ac:dyDescent="0.35">
      <c r="A1537" s="3" t="s">
        <v>2110</v>
      </c>
      <c r="B1537" s="4" t="s">
        <v>34</v>
      </c>
      <c r="C1537" s="4" t="s">
        <v>35</v>
      </c>
      <c r="D1537" s="4" t="s">
        <v>36</v>
      </c>
      <c r="E1537" s="7">
        <v>43288</v>
      </c>
      <c r="F1537" s="4" t="s">
        <v>116</v>
      </c>
      <c r="G1537" s="4" t="s">
        <v>1144</v>
      </c>
      <c r="H1537" s="4">
        <v>250</v>
      </c>
      <c r="I1537" s="4">
        <v>213</v>
      </c>
      <c r="J1537" s="5">
        <v>0.14799999999999999</v>
      </c>
      <c r="K1537" s="3">
        <v>75</v>
      </c>
      <c r="L1537" s="4">
        <f>tblSales[[#This Row],[Quantity]]*tblSales[[#This Row],[Actual Price]]</f>
        <v>15975</v>
      </c>
    </row>
    <row r="1538" spans="1:12" x14ac:dyDescent="0.35">
      <c r="A1538" s="3" t="s">
        <v>2111</v>
      </c>
      <c r="B1538" s="4" t="s">
        <v>132</v>
      </c>
      <c r="C1538" s="4" t="s">
        <v>109</v>
      </c>
      <c r="D1538" s="4" t="s">
        <v>20</v>
      </c>
      <c r="E1538" s="7">
        <v>43077</v>
      </c>
      <c r="F1538" s="4" t="s">
        <v>47</v>
      </c>
      <c r="G1538" s="4" t="s">
        <v>213</v>
      </c>
      <c r="H1538" s="4">
        <v>500</v>
      </c>
      <c r="I1538" s="4">
        <v>470</v>
      </c>
      <c r="J1538" s="5">
        <v>0.06</v>
      </c>
      <c r="K1538" s="3">
        <v>31</v>
      </c>
      <c r="L1538" s="4">
        <f>tblSales[[#This Row],[Quantity]]*tblSales[[#This Row],[Actual Price]]</f>
        <v>14570</v>
      </c>
    </row>
    <row r="1539" spans="1:12" x14ac:dyDescent="0.35">
      <c r="A1539" s="3" t="s">
        <v>2112</v>
      </c>
      <c r="B1539" s="4" t="s">
        <v>100</v>
      </c>
      <c r="C1539" s="4" t="s">
        <v>101</v>
      </c>
      <c r="D1539" s="4" t="s">
        <v>14</v>
      </c>
      <c r="E1539" s="7">
        <v>41770</v>
      </c>
      <c r="F1539" s="4" t="s">
        <v>56</v>
      </c>
      <c r="G1539" s="4" t="s">
        <v>912</v>
      </c>
      <c r="H1539" s="4">
        <v>800</v>
      </c>
      <c r="I1539" s="4">
        <v>664</v>
      </c>
      <c r="J1539" s="5">
        <v>0.17</v>
      </c>
      <c r="K1539" s="3">
        <v>31</v>
      </c>
      <c r="L1539" s="4">
        <f>tblSales[[#This Row],[Quantity]]*tblSales[[#This Row],[Actual Price]]</f>
        <v>20584</v>
      </c>
    </row>
    <row r="1540" spans="1:12" x14ac:dyDescent="0.35">
      <c r="A1540" s="3" t="s">
        <v>2113</v>
      </c>
      <c r="B1540" s="4" t="s">
        <v>271</v>
      </c>
      <c r="C1540" s="4" t="s">
        <v>272</v>
      </c>
      <c r="D1540" s="4" t="s">
        <v>36</v>
      </c>
      <c r="E1540" s="7">
        <v>41681</v>
      </c>
      <c r="F1540" s="4" t="s">
        <v>73</v>
      </c>
      <c r="G1540" s="4" t="s">
        <v>714</v>
      </c>
      <c r="H1540" s="4">
        <v>500</v>
      </c>
      <c r="I1540" s="4">
        <v>495</v>
      </c>
      <c r="J1540" s="5">
        <v>0.01</v>
      </c>
      <c r="K1540" s="3">
        <v>86</v>
      </c>
      <c r="L1540" s="4">
        <f>tblSales[[#This Row],[Quantity]]*tblSales[[#This Row],[Actual Price]]</f>
        <v>42570</v>
      </c>
    </row>
    <row r="1541" spans="1:12" x14ac:dyDescent="0.35">
      <c r="A1541" s="3" t="s">
        <v>2114</v>
      </c>
      <c r="B1541" s="4" t="s">
        <v>40</v>
      </c>
      <c r="C1541" s="4" t="s">
        <v>41</v>
      </c>
      <c r="D1541" s="4" t="s">
        <v>36</v>
      </c>
      <c r="E1541" s="7">
        <v>42616</v>
      </c>
      <c r="F1541" s="4" t="s">
        <v>15</v>
      </c>
      <c r="G1541" s="4" t="s">
        <v>1882</v>
      </c>
      <c r="H1541" s="4">
        <v>80</v>
      </c>
      <c r="I1541" s="4">
        <v>72</v>
      </c>
      <c r="J1541" s="5">
        <v>0.1</v>
      </c>
      <c r="K1541" s="3">
        <v>8</v>
      </c>
      <c r="L1541" s="4">
        <f>tblSales[[#This Row],[Quantity]]*tblSales[[#This Row],[Actual Price]]</f>
        <v>576</v>
      </c>
    </row>
    <row r="1542" spans="1:12" x14ac:dyDescent="0.35">
      <c r="A1542" s="3" t="s">
        <v>2115</v>
      </c>
      <c r="B1542" s="4" t="s">
        <v>135</v>
      </c>
      <c r="C1542" s="4" t="s">
        <v>93</v>
      </c>
      <c r="D1542" s="4" t="s">
        <v>36</v>
      </c>
      <c r="E1542" s="7">
        <v>43344</v>
      </c>
      <c r="F1542" s="4" t="s">
        <v>105</v>
      </c>
      <c r="G1542" s="4" t="s">
        <v>1063</v>
      </c>
      <c r="H1542" s="4">
        <v>70</v>
      </c>
      <c r="I1542" s="4">
        <v>65</v>
      </c>
      <c r="J1542" s="5">
        <v>7.1400000000000005E-2</v>
      </c>
      <c r="K1542" s="3">
        <v>8</v>
      </c>
      <c r="L1542" s="4">
        <f>tblSales[[#This Row],[Quantity]]*tblSales[[#This Row],[Actual Price]]</f>
        <v>520</v>
      </c>
    </row>
    <row r="1543" spans="1:12" x14ac:dyDescent="0.35">
      <c r="A1543" s="3" t="s">
        <v>2116</v>
      </c>
      <c r="B1543" s="4" t="s">
        <v>78</v>
      </c>
      <c r="C1543" s="4" t="s">
        <v>79</v>
      </c>
      <c r="D1543" s="4" t="s">
        <v>36</v>
      </c>
      <c r="E1543" s="7">
        <v>42137</v>
      </c>
      <c r="F1543" s="4" t="s">
        <v>116</v>
      </c>
      <c r="G1543" s="4" t="s">
        <v>1790</v>
      </c>
      <c r="H1543" s="4">
        <v>250</v>
      </c>
      <c r="I1543" s="4">
        <v>163</v>
      </c>
      <c r="J1543" s="5">
        <v>0.34799999999999998</v>
      </c>
      <c r="K1543" s="3">
        <v>73</v>
      </c>
      <c r="L1543" s="4">
        <f>tblSales[[#This Row],[Quantity]]*tblSales[[#This Row],[Actual Price]]</f>
        <v>11899</v>
      </c>
    </row>
    <row r="1544" spans="1:12" x14ac:dyDescent="0.35">
      <c r="A1544" s="3" t="s">
        <v>2117</v>
      </c>
      <c r="B1544" s="4" t="s">
        <v>100</v>
      </c>
      <c r="C1544" s="4" t="s">
        <v>101</v>
      </c>
      <c r="D1544" s="4" t="s">
        <v>14</v>
      </c>
      <c r="E1544" s="7">
        <v>43446</v>
      </c>
      <c r="F1544" s="4" t="s">
        <v>73</v>
      </c>
      <c r="G1544" s="4" t="s">
        <v>1826</v>
      </c>
      <c r="H1544" s="4">
        <v>500</v>
      </c>
      <c r="I1544" s="4">
        <v>500</v>
      </c>
      <c r="J1544" s="5">
        <v>0</v>
      </c>
      <c r="K1544" s="3">
        <v>24</v>
      </c>
      <c r="L1544" s="4">
        <f>tblSales[[#This Row],[Quantity]]*tblSales[[#This Row],[Actual Price]]</f>
        <v>12000</v>
      </c>
    </row>
    <row r="1545" spans="1:12" x14ac:dyDescent="0.35">
      <c r="A1545" s="3" t="s">
        <v>2118</v>
      </c>
      <c r="B1545" s="4" t="s">
        <v>125</v>
      </c>
      <c r="C1545" s="4" t="s">
        <v>41</v>
      </c>
      <c r="D1545" s="4" t="s">
        <v>36</v>
      </c>
      <c r="E1545" s="7">
        <v>42041</v>
      </c>
      <c r="F1545" s="4" t="s">
        <v>26</v>
      </c>
      <c r="G1545" s="4" t="s">
        <v>864</v>
      </c>
      <c r="H1545" s="4">
        <v>700</v>
      </c>
      <c r="I1545" s="4">
        <v>448</v>
      </c>
      <c r="J1545" s="5">
        <v>0.36</v>
      </c>
      <c r="K1545" s="3">
        <v>46</v>
      </c>
      <c r="L1545" s="4">
        <f>tblSales[[#This Row],[Quantity]]*tblSales[[#This Row],[Actual Price]]</f>
        <v>20608</v>
      </c>
    </row>
    <row r="1546" spans="1:12" x14ac:dyDescent="0.35">
      <c r="A1546" s="3" t="s">
        <v>2119</v>
      </c>
      <c r="B1546" s="4" t="s">
        <v>82</v>
      </c>
      <c r="C1546" s="4" t="s">
        <v>83</v>
      </c>
      <c r="D1546" s="4" t="s">
        <v>14</v>
      </c>
      <c r="E1546" s="7">
        <v>43184</v>
      </c>
      <c r="F1546" s="4" t="s">
        <v>56</v>
      </c>
      <c r="G1546" s="4" t="s">
        <v>1233</v>
      </c>
      <c r="H1546" s="4">
        <v>800</v>
      </c>
      <c r="I1546" s="4">
        <v>496</v>
      </c>
      <c r="J1546" s="5">
        <v>0.38</v>
      </c>
      <c r="K1546" s="3">
        <v>97</v>
      </c>
      <c r="L1546" s="4">
        <f>tblSales[[#This Row],[Quantity]]*tblSales[[#This Row],[Actual Price]]</f>
        <v>48112</v>
      </c>
    </row>
    <row r="1547" spans="1:12" x14ac:dyDescent="0.35">
      <c r="A1547" s="3" t="s">
        <v>2120</v>
      </c>
      <c r="B1547" s="4" t="s">
        <v>112</v>
      </c>
      <c r="C1547" s="4" t="s">
        <v>83</v>
      </c>
      <c r="D1547" s="4" t="s">
        <v>14</v>
      </c>
      <c r="E1547" s="7">
        <v>43464</v>
      </c>
      <c r="F1547" s="4" t="s">
        <v>42</v>
      </c>
      <c r="G1547" s="4" t="s">
        <v>1425</v>
      </c>
      <c r="H1547" s="4">
        <v>30</v>
      </c>
      <c r="I1547" s="4">
        <v>30</v>
      </c>
      <c r="J1547" s="5">
        <v>0</v>
      </c>
      <c r="K1547" s="3">
        <v>88</v>
      </c>
      <c r="L1547" s="4">
        <f>tblSales[[#This Row],[Quantity]]*tblSales[[#This Row],[Actual Price]]</f>
        <v>2640</v>
      </c>
    </row>
    <row r="1548" spans="1:12" x14ac:dyDescent="0.35">
      <c r="A1548" s="3" t="s">
        <v>2121</v>
      </c>
      <c r="B1548" s="4" t="s">
        <v>290</v>
      </c>
      <c r="C1548" s="4" t="s">
        <v>109</v>
      </c>
      <c r="D1548" s="4" t="s">
        <v>20</v>
      </c>
      <c r="E1548" s="7">
        <v>42877</v>
      </c>
      <c r="F1548" s="4" t="s">
        <v>116</v>
      </c>
      <c r="G1548" s="4" t="s">
        <v>904</v>
      </c>
      <c r="H1548" s="4">
        <v>250</v>
      </c>
      <c r="I1548" s="4">
        <v>245</v>
      </c>
      <c r="J1548" s="5">
        <v>0.02</v>
      </c>
      <c r="K1548" s="3">
        <v>14</v>
      </c>
      <c r="L1548" s="4">
        <f>tblSales[[#This Row],[Quantity]]*tblSales[[#This Row],[Actual Price]]</f>
        <v>3430</v>
      </c>
    </row>
    <row r="1549" spans="1:12" x14ac:dyDescent="0.35">
      <c r="A1549" s="3" t="s">
        <v>2122</v>
      </c>
      <c r="B1549" s="4" t="s">
        <v>18</v>
      </c>
      <c r="C1549" s="4" t="s">
        <v>19</v>
      </c>
      <c r="D1549" s="4" t="s">
        <v>20</v>
      </c>
      <c r="E1549" s="7">
        <v>42895</v>
      </c>
      <c r="F1549" s="4" t="s">
        <v>56</v>
      </c>
      <c r="G1549" s="4" t="s">
        <v>777</v>
      </c>
      <c r="H1549" s="4">
        <v>800</v>
      </c>
      <c r="I1549" s="4">
        <v>576</v>
      </c>
      <c r="J1549" s="5">
        <v>0.28000000000000003</v>
      </c>
      <c r="K1549" s="3">
        <v>64</v>
      </c>
      <c r="L1549" s="4">
        <f>tblSales[[#This Row],[Quantity]]*tblSales[[#This Row],[Actual Price]]</f>
        <v>36864</v>
      </c>
    </row>
    <row r="1550" spans="1:12" x14ac:dyDescent="0.35">
      <c r="A1550" s="3" t="s">
        <v>2123</v>
      </c>
      <c r="B1550" s="4" t="s">
        <v>435</v>
      </c>
      <c r="C1550" s="4" t="s">
        <v>436</v>
      </c>
      <c r="D1550" s="4" t="s">
        <v>25</v>
      </c>
      <c r="E1550" s="7">
        <v>42538</v>
      </c>
      <c r="F1550" s="4" t="s">
        <v>123</v>
      </c>
      <c r="G1550" s="4" t="s">
        <v>829</v>
      </c>
      <c r="H1550" s="4">
        <v>50</v>
      </c>
      <c r="I1550" s="4">
        <v>47</v>
      </c>
      <c r="J1550" s="5">
        <v>0.06</v>
      </c>
      <c r="K1550" s="3">
        <v>13</v>
      </c>
      <c r="L1550" s="4">
        <f>tblSales[[#This Row],[Quantity]]*tblSales[[#This Row],[Actual Price]]</f>
        <v>611</v>
      </c>
    </row>
    <row r="1551" spans="1:12" x14ac:dyDescent="0.35">
      <c r="A1551" s="3" t="s">
        <v>2124</v>
      </c>
      <c r="B1551" s="4" t="s">
        <v>435</v>
      </c>
      <c r="C1551" s="4" t="s">
        <v>436</v>
      </c>
      <c r="D1551" s="4" t="s">
        <v>25</v>
      </c>
      <c r="E1551" s="7">
        <v>43372</v>
      </c>
      <c r="F1551" s="4" t="s">
        <v>105</v>
      </c>
      <c r="G1551" s="4" t="s">
        <v>551</v>
      </c>
      <c r="H1551" s="4">
        <v>70</v>
      </c>
      <c r="I1551" s="4">
        <v>66</v>
      </c>
      <c r="J1551" s="5">
        <v>5.7099999999999998E-2</v>
      </c>
      <c r="K1551" s="3">
        <v>20</v>
      </c>
      <c r="L1551" s="4">
        <f>tblSales[[#This Row],[Quantity]]*tblSales[[#This Row],[Actual Price]]</f>
        <v>1320</v>
      </c>
    </row>
    <row r="1552" spans="1:12" x14ac:dyDescent="0.35">
      <c r="A1552" s="3" t="s">
        <v>2125</v>
      </c>
      <c r="B1552" s="4" t="s">
        <v>54</v>
      </c>
      <c r="C1552" s="4" t="s">
        <v>55</v>
      </c>
      <c r="D1552" s="4" t="s">
        <v>14</v>
      </c>
      <c r="E1552" s="7">
        <v>42532</v>
      </c>
      <c r="F1552" s="4" t="s">
        <v>47</v>
      </c>
      <c r="G1552" s="4" t="s">
        <v>823</v>
      </c>
      <c r="H1552" s="4">
        <v>500</v>
      </c>
      <c r="I1552" s="4">
        <v>485</v>
      </c>
      <c r="J1552" s="5">
        <v>0.03</v>
      </c>
      <c r="K1552" s="3">
        <v>94</v>
      </c>
      <c r="L1552" s="4">
        <f>tblSales[[#This Row],[Quantity]]*tblSales[[#This Row],[Actual Price]]</f>
        <v>45590</v>
      </c>
    </row>
    <row r="1553" spans="1:12" x14ac:dyDescent="0.35">
      <c r="A1553" s="3" t="s">
        <v>2126</v>
      </c>
      <c r="B1553" s="4" t="s">
        <v>119</v>
      </c>
      <c r="C1553" s="4" t="s">
        <v>120</v>
      </c>
      <c r="D1553" s="4" t="s">
        <v>36</v>
      </c>
      <c r="E1553" s="7">
        <v>42889</v>
      </c>
      <c r="F1553" s="4" t="s">
        <v>47</v>
      </c>
      <c r="G1553" s="4" t="s">
        <v>541</v>
      </c>
      <c r="H1553" s="4">
        <v>500</v>
      </c>
      <c r="I1553" s="4">
        <v>495</v>
      </c>
      <c r="J1553" s="5">
        <v>0.01</v>
      </c>
      <c r="K1553" s="3">
        <v>56</v>
      </c>
      <c r="L1553" s="4">
        <f>tblSales[[#This Row],[Quantity]]*tblSales[[#This Row],[Actual Price]]</f>
        <v>27720</v>
      </c>
    </row>
    <row r="1554" spans="1:12" x14ac:dyDescent="0.35">
      <c r="A1554" s="3" t="s">
        <v>2127</v>
      </c>
      <c r="B1554" s="4" t="s">
        <v>401</v>
      </c>
      <c r="C1554" s="4" t="s">
        <v>402</v>
      </c>
      <c r="D1554" s="4" t="s">
        <v>14</v>
      </c>
      <c r="E1554" s="7">
        <v>42994</v>
      </c>
      <c r="F1554" s="4" t="s">
        <v>123</v>
      </c>
      <c r="G1554" s="4" t="s">
        <v>619</v>
      </c>
      <c r="H1554" s="4">
        <v>50</v>
      </c>
      <c r="I1554" s="4">
        <v>49</v>
      </c>
      <c r="J1554" s="5">
        <v>0.02</v>
      </c>
      <c r="K1554" s="3">
        <v>74</v>
      </c>
      <c r="L1554" s="4">
        <f>tblSales[[#This Row],[Quantity]]*tblSales[[#This Row],[Actual Price]]</f>
        <v>3626</v>
      </c>
    </row>
    <row r="1555" spans="1:12" x14ac:dyDescent="0.35">
      <c r="A1555" s="3" t="s">
        <v>2128</v>
      </c>
      <c r="B1555" s="4" t="s">
        <v>82</v>
      </c>
      <c r="C1555" s="4" t="s">
        <v>83</v>
      </c>
      <c r="D1555" s="4" t="s">
        <v>14</v>
      </c>
      <c r="E1555" s="7">
        <v>43206</v>
      </c>
      <c r="F1555" s="4" t="s">
        <v>116</v>
      </c>
      <c r="G1555" s="4" t="s">
        <v>196</v>
      </c>
      <c r="H1555" s="4">
        <v>250</v>
      </c>
      <c r="I1555" s="4">
        <v>223</v>
      </c>
      <c r="J1555" s="5">
        <v>0.108</v>
      </c>
      <c r="K1555" s="3">
        <v>99</v>
      </c>
      <c r="L1555" s="4">
        <f>tblSales[[#This Row],[Quantity]]*tblSales[[#This Row],[Actual Price]]</f>
        <v>22077</v>
      </c>
    </row>
    <row r="1556" spans="1:12" x14ac:dyDescent="0.35">
      <c r="A1556" s="3" t="s">
        <v>2129</v>
      </c>
      <c r="B1556" s="4" t="s">
        <v>50</v>
      </c>
      <c r="C1556" s="4" t="s">
        <v>51</v>
      </c>
      <c r="D1556" s="4" t="s">
        <v>25</v>
      </c>
      <c r="E1556" s="7">
        <v>43405</v>
      </c>
      <c r="F1556" s="4" t="s">
        <v>37</v>
      </c>
      <c r="G1556" s="4" t="s">
        <v>52</v>
      </c>
      <c r="H1556" s="4">
        <v>50</v>
      </c>
      <c r="I1556" s="4">
        <v>43</v>
      </c>
      <c r="J1556" s="5">
        <v>0.14000000000000001</v>
      </c>
      <c r="K1556" s="3">
        <v>95</v>
      </c>
      <c r="L1556" s="4">
        <f>tblSales[[#This Row],[Quantity]]*tblSales[[#This Row],[Actual Price]]</f>
        <v>4085</v>
      </c>
    </row>
    <row r="1557" spans="1:12" x14ac:dyDescent="0.35">
      <c r="A1557" s="3" t="s">
        <v>2130</v>
      </c>
      <c r="B1557" s="4" t="s">
        <v>206</v>
      </c>
      <c r="C1557" s="4" t="s">
        <v>207</v>
      </c>
      <c r="D1557" s="4" t="s">
        <v>25</v>
      </c>
      <c r="E1557" s="7">
        <v>42678</v>
      </c>
      <c r="F1557" s="4" t="s">
        <v>42</v>
      </c>
      <c r="G1557" s="4" t="s">
        <v>1873</v>
      </c>
      <c r="H1557" s="4">
        <v>30</v>
      </c>
      <c r="I1557" s="4">
        <v>30</v>
      </c>
      <c r="J1557" s="5">
        <v>0</v>
      </c>
      <c r="K1557" s="3">
        <v>68</v>
      </c>
      <c r="L1557" s="4">
        <f>tblSales[[#This Row],[Quantity]]*tblSales[[#This Row],[Actual Price]]</f>
        <v>2040</v>
      </c>
    </row>
    <row r="1558" spans="1:12" x14ac:dyDescent="0.35">
      <c r="A1558" s="3" t="s">
        <v>2131</v>
      </c>
      <c r="B1558" s="4" t="s">
        <v>45</v>
      </c>
      <c r="C1558" s="4" t="s">
        <v>46</v>
      </c>
      <c r="D1558" s="4" t="s">
        <v>25</v>
      </c>
      <c r="E1558" s="7">
        <v>42740</v>
      </c>
      <c r="F1558" s="4" t="s">
        <v>26</v>
      </c>
      <c r="G1558" s="4" t="s">
        <v>1036</v>
      </c>
      <c r="H1558" s="4">
        <v>700</v>
      </c>
      <c r="I1558" s="4">
        <v>686</v>
      </c>
      <c r="J1558" s="5">
        <v>0.02</v>
      </c>
      <c r="K1558" s="3">
        <v>30</v>
      </c>
      <c r="L1558" s="4">
        <f>tblSales[[#This Row],[Quantity]]*tblSales[[#This Row],[Actual Price]]</f>
        <v>20580</v>
      </c>
    </row>
    <row r="1559" spans="1:12" x14ac:dyDescent="0.35">
      <c r="A1559" s="3" t="s">
        <v>2132</v>
      </c>
      <c r="B1559" s="4" t="s">
        <v>256</v>
      </c>
      <c r="C1559" s="4" t="s">
        <v>257</v>
      </c>
      <c r="D1559" s="4" t="s">
        <v>14</v>
      </c>
      <c r="E1559" s="7">
        <v>41714</v>
      </c>
      <c r="F1559" s="4" t="s">
        <v>42</v>
      </c>
      <c r="G1559" s="4" t="s">
        <v>1098</v>
      </c>
      <c r="H1559" s="4">
        <v>30</v>
      </c>
      <c r="I1559" s="4">
        <v>24</v>
      </c>
      <c r="J1559" s="5">
        <v>0.2</v>
      </c>
      <c r="K1559" s="3">
        <v>11</v>
      </c>
      <c r="L1559" s="4">
        <f>tblSales[[#This Row],[Quantity]]*tblSales[[#This Row],[Actual Price]]</f>
        <v>264</v>
      </c>
    </row>
    <row r="1560" spans="1:12" x14ac:dyDescent="0.35">
      <c r="A1560" s="3" t="s">
        <v>2133</v>
      </c>
      <c r="B1560" s="4" t="s">
        <v>18</v>
      </c>
      <c r="C1560" s="4" t="s">
        <v>19</v>
      </c>
      <c r="D1560" s="4" t="s">
        <v>20</v>
      </c>
      <c r="E1560" s="7">
        <v>42915</v>
      </c>
      <c r="F1560" s="4" t="s">
        <v>116</v>
      </c>
      <c r="G1560" s="4" t="s">
        <v>544</v>
      </c>
      <c r="H1560" s="4">
        <v>250</v>
      </c>
      <c r="I1560" s="4">
        <v>243</v>
      </c>
      <c r="J1560" s="5">
        <v>2.8000000000000001E-2</v>
      </c>
      <c r="K1560" s="3">
        <v>100</v>
      </c>
      <c r="L1560" s="4">
        <f>tblSales[[#This Row],[Quantity]]*tblSales[[#This Row],[Actual Price]]</f>
        <v>24300</v>
      </c>
    </row>
    <row r="1561" spans="1:12" x14ac:dyDescent="0.35">
      <c r="A1561" s="3" t="s">
        <v>2134</v>
      </c>
      <c r="B1561" s="4" t="s">
        <v>256</v>
      </c>
      <c r="C1561" s="4" t="s">
        <v>257</v>
      </c>
      <c r="D1561" s="4" t="s">
        <v>14</v>
      </c>
      <c r="E1561" s="7">
        <v>41774</v>
      </c>
      <c r="F1561" s="4" t="s">
        <v>31</v>
      </c>
      <c r="G1561" s="4" t="s">
        <v>806</v>
      </c>
      <c r="H1561" s="4">
        <v>150</v>
      </c>
      <c r="I1561" s="4">
        <v>140</v>
      </c>
      <c r="J1561" s="5">
        <v>6.6699999999999995E-2</v>
      </c>
      <c r="K1561" s="3">
        <v>28</v>
      </c>
      <c r="L1561" s="4">
        <f>tblSales[[#This Row],[Quantity]]*tblSales[[#This Row],[Actual Price]]</f>
        <v>3920</v>
      </c>
    </row>
    <row r="1562" spans="1:12" x14ac:dyDescent="0.35">
      <c r="A1562" s="3" t="s">
        <v>2135</v>
      </c>
      <c r="B1562" s="4" t="s">
        <v>228</v>
      </c>
      <c r="C1562" s="4" t="s">
        <v>229</v>
      </c>
      <c r="D1562" s="4" t="s">
        <v>25</v>
      </c>
      <c r="E1562" s="7">
        <v>41881</v>
      </c>
      <c r="F1562" s="4" t="s">
        <v>31</v>
      </c>
      <c r="G1562" s="4" t="s">
        <v>230</v>
      </c>
      <c r="H1562" s="4">
        <v>150</v>
      </c>
      <c r="I1562" s="4">
        <v>125</v>
      </c>
      <c r="J1562" s="5">
        <v>0.16669999999999999</v>
      </c>
      <c r="K1562" s="3">
        <v>33</v>
      </c>
      <c r="L1562" s="4">
        <f>tblSales[[#This Row],[Quantity]]*tblSales[[#This Row],[Actual Price]]</f>
        <v>4125</v>
      </c>
    </row>
    <row r="1563" spans="1:12" x14ac:dyDescent="0.35">
      <c r="A1563" s="3" t="s">
        <v>2136</v>
      </c>
      <c r="B1563" s="4" t="s">
        <v>265</v>
      </c>
      <c r="C1563" s="4" t="s">
        <v>266</v>
      </c>
      <c r="D1563" s="4" t="s">
        <v>14</v>
      </c>
      <c r="E1563" s="7">
        <v>42357</v>
      </c>
      <c r="F1563" s="4" t="s">
        <v>62</v>
      </c>
      <c r="G1563" s="4" t="s">
        <v>267</v>
      </c>
      <c r="H1563" s="4">
        <v>1000</v>
      </c>
      <c r="I1563" s="4">
        <v>950</v>
      </c>
      <c r="J1563" s="5">
        <v>0.05</v>
      </c>
      <c r="K1563" s="3">
        <v>99</v>
      </c>
      <c r="L1563" s="4">
        <f>tblSales[[#This Row],[Quantity]]*tblSales[[#This Row],[Actual Price]]</f>
        <v>94050</v>
      </c>
    </row>
    <row r="1564" spans="1:12" x14ac:dyDescent="0.35">
      <c r="A1564" s="3" t="s">
        <v>2137</v>
      </c>
      <c r="B1564" s="4" t="s">
        <v>155</v>
      </c>
      <c r="C1564" s="4" t="s">
        <v>109</v>
      </c>
      <c r="D1564" s="4" t="s">
        <v>20</v>
      </c>
      <c r="E1564" s="7">
        <v>42962</v>
      </c>
      <c r="F1564" s="4" t="s">
        <v>31</v>
      </c>
      <c r="G1564" s="4" t="s">
        <v>156</v>
      </c>
      <c r="H1564" s="4">
        <v>150</v>
      </c>
      <c r="I1564" s="4">
        <v>141</v>
      </c>
      <c r="J1564" s="5">
        <v>0.06</v>
      </c>
      <c r="K1564" s="3">
        <v>5</v>
      </c>
      <c r="L1564" s="4">
        <f>tblSales[[#This Row],[Quantity]]*tblSales[[#This Row],[Actual Price]]</f>
        <v>705</v>
      </c>
    </row>
    <row r="1565" spans="1:12" x14ac:dyDescent="0.35">
      <c r="A1565" s="3" t="s">
        <v>2138</v>
      </c>
      <c r="B1565" s="4" t="s">
        <v>96</v>
      </c>
      <c r="C1565" s="4" t="s">
        <v>97</v>
      </c>
      <c r="D1565" s="4" t="s">
        <v>14</v>
      </c>
      <c r="E1565" s="7">
        <v>42171</v>
      </c>
      <c r="F1565" s="4" t="s">
        <v>31</v>
      </c>
      <c r="G1565" s="4" t="s">
        <v>2139</v>
      </c>
      <c r="H1565" s="4">
        <v>150</v>
      </c>
      <c r="I1565" s="4">
        <v>114</v>
      </c>
      <c r="J1565" s="5">
        <v>0.24</v>
      </c>
      <c r="K1565" s="3">
        <v>56</v>
      </c>
      <c r="L1565" s="4">
        <f>tblSales[[#This Row],[Quantity]]*tblSales[[#This Row],[Actual Price]]</f>
        <v>6384</v>
      </c>
    </row>
    <row r="1566" spans="1:12" x14ac:dyDescent="0.35">
      <c r="A1566" s="3" t="s">
        <v>2140</v>
      </c>
      <c r="B1566" s="4" t="s">
        <v>92</v>
      </c>
      <c r="C1566" s="4" t="s">
        <v>93</v>
      </c>
      <c r="D1566" s="4" t="s">
        <v>36</v>
      </c>
      <c r="E1566" s="7">
        <v>42966</v>
      </c>
      <c r="F1566" s="4" t="s">
        <v>116</v>
      </c>
      <c r="G1566" s="4" t="s">
        <v>1514</v>
      </c>
      <c r="H1566" s="4">
        <v>250</v>
      </c>
      <c r="I1566" s="4">
        <v>230</v>
      </c>
      <c r="J1566" s="5">
        <v>0.08</v>
      </c>
      <c r="K1566" s="3">
        <v>58</v>
      </c>
      <c r="L1566" s="4">
        <f>tblSales[[#This Row],[Quantity]]*tblSales[[#This Row],[Actual Price]]</f>
        <v>13340</v>
      </c>
    </row>
    <row r="1567" spans="1:12" x14ac:dyDescent="0.35">
      <c r="A1567" s="3" t="s">
        <v>2141</v>
      </c>
      <c r="B1567" s="4" t="s">
        <v>108</v>
      </c>
      <c r="C1567" s="4" t="s">
        <v>109</v>
      </c>
      <c r="D1567" s="4" t="s">
        <v>20</v>
      </c>
      <c r="E1567" s="7">
        <v>41825</v>
      </c>
      <c r="F1567" s="4" t="s">
        <v>123</v>
      </c>
      <c r="G1567" s="4" t="s">
        <v>818</v>
      </c>
      <c r="H1567" s="4">
        <v>50</v>
      </c>
      <c r="I1567" s="4">
        <v>41</v>
      </c>
      <c r="J1567" s="5">
        <v>0.18</v>
      </c>
      <c r="K1567" s="3">
        <v>61</v>
      </c>
      <c r="L1567" s="4">
        <f>tblSales[[#This Row],[Quantity]]*tblSales[[#This Row],[Actual Price]]</f>
        <v>2501</v>
      </c>
    </row>
    <row r="1568" spans="1:12" x14ac:dyDescent="0.35">
      <c r="A1568" s="3" t="s">
        <v>2142</v>
      </c>
      <c r="B1568" s="4" t="s">
        <v>155</v>
      </c>
      <c r="C1568" s="4" t="s">
        <v>109</v>
      </c>
      <c r="D1568" s="4" t="s">
        <v>20</v>
      </c>
      <c r="E1568" s="7">
        <v>42093</v>
      </c>
      <c r="F1568" s="4" t="s">
        <v>56</v>
      </c>
      <c r="G1568" s="4" t="s">
        <v>353</v>
      </c>
      <c r="H1568" s="4">
        <v>800</v>
      </c>
      <c r="I1568" s="4">
        <v>792</v>
      </c>
      <c r="J1568" s="5">
        <v>0.01</v>
      </c>
      <c r="K1568" s="3">
        <v>3</v>
      </c>
      <c r="L1568" s="4">
        <f>tblSales[[#This Row],[Quantity]]*tblSales[[#This Row],[Actual Price]]</f>
        <v>2376</v>
      </c>
    </row>
    <row r="1569" spans="1:12" x14ac:dyDescent="0.35">
      <c r="A1569" s="3" t="s">
        <v>2143</v>
      </c>
      <c r="B1569" s="4" t="s">
        <v>228</v>
      </c>
      <c r="C1569" s="4" t="s">
        <v>229</v>
      </c>
      <c r="D1569" s="4" t="s">
        <v>25</v>
      </c>
      <c r="E1569" s="7">
        <v>41976</v>
      </c>
      <c r="F1569" s="4" t="s">
        <v>15</v>
      </c>
      <c r="G1569" s="4" t="s">
        <v>279</v>
      </c>
      <c r="H1569" s="4">
        <v>80</v>
      </c>
      <c r="I1569" s="4">
        <v>64</v>
      </c>
      <c r="J1569" s="5">
        <v>0.2</v>
      </c>
      <c r="K1569" s="3">
        <v>9</v>
      </c>
      <c r="L1569" s="4">
        <f>tblSales[[#This Row],[Quantity]]*tblSales[[#This Row],[Actual Price]]</f>
        <v>576</v>
      </c>
    </row>
    <row r="1570" spans="1:12" x14ac:dyDescent="0.35">
      <c r="A1570" s="3" t="s">
        <v>2144</v>
      </c>
      <c r="B1570" s="4" t="s">
        <v>183</v>
      </c>
      <c r="C1570" s="4" t="s">
        <v>109</v>
      </c>
      <c r="D1570" s="4" t="s">
        <v>20</v>
      </c>
      <c r="E1570" s="7">
        <v>41928</v>
      </c>
      <c r="F1570" s="4" t="s">
        <v>15</v>
      </c>
      <c r="G1570" s="4" t="s">
        <v>1433</v>
      </c>
      <c r="H1570" s="4">
        <v>80</v>
      </c>
      <c r="I1570" s="4">
        <v>62</v>
      </c>
      <c r="J1570" s="5">
        <v>0.22500000000000001</v>
      </c>
      <c r="K1570" s="3">
        <v>42</v>
      </c>
      <c r="L1570" s="4">
        <f>tblSales[[#This Row],[Quantity]]*tblSales[[#This Row],[Actual Price]]</f>
        <v>2604</v>
      </c>
    </row>
    <row r="1571" spans="1:12" x14ac:dyDescent="0.35">
      <c r="A1571" s="3" t="s">
        <v>2145</v>
      </c>
      <c r="B1571" s="4" t="s">
        <v>23</v>
      </c>
      <c r="C1571" s="4" t="s">
        <v>24</v>
      </c>
      <c r="D1571" s="4" t="s">
        <v>25</v>
      </c>
      <c r="E1571" s="7">
        <v>42040</v>
      </c>
      <c r="F1571" s="4" t="s">
        <v>73</v>
      </c>
      <c r="G1571" s="4" t="s">
        <v>625</v>
      </c>
      <c r="H1571" s="4">
        <v>500</v>
      </c>
      <c r="I1571" s="4">
        <v>495</v>
      </c>
      <c r="J1571" s="5">
        <v>0.01</v>
      </c>
      <c r="K1571" s="3">
        <v>47</v>
      </c>
      <c r="L1571" s="4">
        <f>tblSales[[#This Row],[Quantity]]*tblSales[[#This Row],[Actual Price]]</f>
        <v>23265</v>
      </c>
    </row>
    <row r="1572" spans="1:12" x14ac:dyDescent="0.35">
      <c r="A1572" s="3" t="s">
        <v>2146</v>
      </c>
      <c r="B1572" s="4" t="s">
        <v>29</v>
      </c>
      <c r="C1572" s="4" t="s">
        <v>30</v>
      </c>
      <c r="D1572" s="4" t="s">
        <v>14</v>
      </c>
      <c r="E1572" s="7">
        <v>42062</v>
      </c>
      <c r="F1572" s="4" t="s">
        <v>73</v>
      </c>
      <c r="G1572" s="4" t="s">
        <v>470</v>
      </c>
      <c r="H1572" s="4">
        <v>500</v>
      </c>
      <c r="I1572" s="4">
        <v>500</v>
      </c>
      <c r="J1572" s="5">
        <v>0</v>
      </c>
      <c r="K1572" s="3">
        <v>50</v>
      </c>
      <c r="L1572" s="4">
        <f>tblSales[[#This Row],[Quantity]]*tblSales[[#This Row],[Actual Price]]</f>
        <v>25000</v>
      </c>
    </row>
    <row r="1573" spans="1:12" x14ac:dyDescent="0.35">
      <c r="A1573" s="3" t="s">
        <v>2147</v>
      </c>
      <c r="B1573" s="4" t="s">
        <v>119</v>
      </c>
      <c r="C1573" s="4" t="s">
        <v>120</v>
      </c>
      <c r="D1573" s="4" t="s">
        <v>36</v>
      </c>
      <c r="E1573" s="7">
        <v>41855</v>
      </c>
      <c r="F1573" s="4" t="s">
        <v>47</v>
      </c>
      <c r="G1573" s="4" t="s">
        <v>541</v>
      </c>
      <c r="H1573" s="4">
        <v>500</v>
      </c>
      <c r="I1573" s="4">
        <v>495</v>
      </c>
      <c r="J1573" s="5">
        <v>0.01</v>
      </c>
      <c r="K1573" s="3">
        <v>65</v>
      </c>
      <c r="L1573" s="4">
        <f>tblSales[[#This Row],[Quantity]]*tblSales[[#This Row],[Actual Price]]</f>
        <v>32175</v>
      </c>
    </row>
    <row r="1574" spans="1:12" x14ac:dyDescent="0.35">
      <c r="A1574" s="3" t="s">
        <v>2148</v>
      </c>
      <c r="B1574" s="4" t="s">
        <v>171</v>
      </c>
      <c r="C1574" s="4" t="s">
        <v>172</v>
      </c>
      <c r="D1574" s="4" t="s">
        <v>14</v>
      </c>
      <c r="E1574" s="7">
        <v>41984</v>
      </c>
      <c r="F1574" s="4" t="s">
        <v>116</v>
      </c>
      <c r="G1574" s="4" t="s">
        <v>519</v>
      </c>
      <c r="H1574" s="4">
        <v>250</v>
      </c>
      <c r="I1574" s="4">
        <v>248</v>
      </c>
      <c r="J1574" s="5">
        <v>8.0000000000000002E-3</v>
      </c>
      <c r="K1574" s="3">
        <v>19</v>
      </c>
      <c r="L1574" s="4">
        <f>tblSales[[#This Row],[Quantity]]*tblSales[[#This Row],[Actual Price]]</f>
        <v>4712</v>
      </c>
    </row>
    <row r="1575" spans="1:12" x14ac:dyDescent="0.35">
      <c r="A1575" s="3" t="s">
        <v>2149</v>
      </c>
      <c r="B1575" s="4" t="s">
        <v>104</v>
      </c>
      <c r="C1575" s="4" t="s">
        <v>72</v>
      </c>
      <c r="D1575" s="4" t="s">
        <v>36</v>
      </c>
      <c r="E1575" s="7">
        <v>43378</v>
      </c>
      <c r="F1575" s="4" t="s">
        <v>56</v>
      </c>
      <c r="G1575" s="4" t="s">
        <v>1532</v>
      </c>
      <c r="H1575" s="4">
        <v>800</v>
      </c>
      <c r="I1575" s="4">
        <v>712</v>
      </c>
      <c r="J1575" s="5">
        <v>0.11</v>
      </c>
      <c r="K1575" s="3">
        <v>37</v>
      </c>
      <c r="L1575" s="4">
        <f>tblSales[[#This Row],[Quantity]]*tblSales[[#This Row],[Actual Price]]</f>
        <v>26344</v>
      </c>
    </row>
    <row r="1576" spans="1:12" x14ac:dyDescent="0.35">
      <c r="A1576" s="3" t="s">
        <v>2150</v>
      </c>
      <c r="B1576" s="4" t="s">
        <v>65</v>
      </c>
      <c r="C1576" s="4" t="s">
        <v>66</v>
      </c>
      <c r="D1576" s="4" t="s">
        <v>36</v>
      </c>
      <c r="E1576" s="7">
        <v>43004</v>
      </c>
      <c r="F1576" s="4" t="s">
        <v>37</v>
      </c>
      <c r="G1576" s="4" t="s">
        <v>1058</v>
      </c>
      <c r="H1576" s="4">
        <v>50</v>
      </c>
      <c r="I1576" s="4">
        <v>50</v>
      </c>
      <c r="J1576" s="5">
        <v>0</v>
      </c>
      <c r="K1576" s="3">
        <v>26</v>
      </c>
      <c r="L1576" s="4">
        <f>tblSales[[#This Row],[Quantity]]*tblSales[[#This Row],[Actual Price]]</f>
        <v>1300</v>
      </c>
    </row>
    <row r="1577" spans="1:12" x14ac:dyDescent="0.35">
      <c r="A1577" s="3" t="s">
        <v>2151</v>
      </c>
      <c r="B1577" s="4" t="s">
        <v>128</v>
      </c>
      <c r="C1577" s="4" t="s">
        <v>129</v>
      </c>
      <c r="D1577" s="4" t="s">
        <v>14</v>
      </c>
      <c r="E1577" s="7">
        <v>41686</v>
      </c>
      <c r="F1577" s="4" t="s">
        <v>47</v>
      </c>
      <c r="G1577" s="4" t="s">
        <v>527</v>
      </c>
      <c r="H1577" s="4">
        <v>500</v>
      </c>
      <c r="I1577" s="4">
        <v>485</v>
      </c>
      <c r="J1577" s="5">
        <v>0.03</v>
      </c>
      <c r="K1577" s="3">
        <v>24</v>
      </c>
      <c r="L1577" s="4">
        <f>tblSales[[#This Row],[Quantity]]*tblSales[[#This Row],[Actual Price]]</f>
        <v>11640</v>
      </c>
    </row>
    <row r="1578" spans="1:12" x14ac:dyDescent="0.35">
      <c r="A1578" s="3" t="s">
        <v>2152</v>
      </c>
      <c r="B1578" s="4" t="s">
        <v>151</v>
      </c>
      <c r="C1578" s="4" t="s">
        <v>152</v>
      </c>
      <c r="D1578" s="4" t="s">
        <v>14</v>
      </c>
      <c r="E1578" s="7">
        <v>42647</v>
      </c>
      <c r="F1578" s="4" t="s">
        <v>73</v>
      </c>
      <c r="G1578" s="4" t="s">
        <v>2109</v>
      </c>
      <c r="H1578" s="4">
        <v>500</v>
      </c>
      <c r="I1578" s="4">
        <v>500</v>
      </c>
      <c r="J1578" s="5">
        <v>0</v>
      </c>
      <c r="K1578" s="3">
        <v>5</v>
      </c>
      <c r="L1578" s="4">
        <f>tblSales[[#This Row],[Quantity]]*tblSales[[#This Row],[Actual Price]]</f>
        <v>2500</v>
      </c>
    </row>
    <row r="1579" spans="1:12" x14ac:dyDescent="0.35">
      <c r="A1579" s="3" t="s">
        <v>2153</v>
      </c>
      <c r="B1579" s="4" t="s">
        <v>271</v>
      </c>
      <c r="C1579" s="4" t="s">
        <v>272</v>
      </c>
      <c r="D1579" s="4" t="s">
        <v>36</v>
      </c>
      <c r="E1579" s="7">
        <v>43163</v>
      </c>
      <c r="F1579" s="4" t="s">
        <v>105</v>
      </c>
      <c r="G1579" s="4" t="s">
        <v>810</v>
      </c>
      <c r="H1579" s="4">
        <v>70</v>
      </c>
      <c r="I1579" s="4">
        <v>69</v>
      </c>
      <c r="J1579" s="5">
        <v>1.43E-2</v>
      </c>
      <c r="K1579" s="3">
        <v>55</v>
      </c>
      <c r="L1579" s="4">
        <f>tblSales[[#This Row],[Quantity]]*tblSales[[#This Row],[Actual Price]]</f>
        <v>3795</v>
      </c>
    </row>
    <row r="1580" spans="1:12" x14ac:dyDescent="0.35">
      <c r="A1580" s="3" t="s">
        <v>2154</v>
      </c>
      <c r="B1580" s="4" t="s">
        <v>12</v>
      </c>
      <c r="C1580" s="4" t="s">
        <v>13</v>
      </c>
      <c r="D1580" s="4" t="s">
        <v>14</v>
      </c>
      <c r="E1580" s="7">
        <v>42439</v>
      </c>
      <c r="F1580" s="4" t="s">
        <v>15</v>
      </c>
      <c r="G1580" s="4" t="s">
        <v>349</v>
      </c>
      <c r="H1580" s="4">
        <v>80</v>
      </c>
      <c r="I1580" s="4">
        <v>77</v>
      </c>
      <c r="J1580" s="5">
        <v>3.7499999999999999E-2</v>
      </c>
      <c r="K1580" s="3">
        <v>10</v>
      </c>
      <c r="L1580" s="4">
        <f>tblSales[[#This Row],[Quantity]]*tblSales[[#This Row],[Actual Price]]</f>
        <v>770</v>
      </c>
    </row>
    <row r="1581" spans="1:12" x14ac:dyDescent="0.35">
      <c r="A1581" s="3" t="s">
        <v>2155</v>
      </c>
      <c r="B1581" s="4" t="s">
        <v>435</v>
      </c>
      <c r="C1581" s="4" t="s">
        <v>436</v>
      </c>
      <c r="D1581" s="4" t="s">
        <v>25</v>
      </c>
      <c r="E1581" s="7">
        <v>42493</v>
      </c>
      <c r="F1581" s="4" t="s">
        <v>15</v>
      </c>
      <c r="G1581" s="4" t="s">
        <v>765</v>
      </c>
      <c r="H1581" s="4">
        <v>80</v>
      </c>
      <c r="I1581" s="4">
        <v>76</v>
      </c>
      <c r="J1581" s="5">
        <v>0.05</v>
      </c>
      <c r="K1581" s="3">
        <v>42</v>
      </c>
      <c r="L1581" s="4">
        <f>tblSales[[#This Row],[Quantity]]*tblSales[[#This Row],[Actual Price]]</f>
        <v>3192</v>
      </c>
    </row>
    <row r="1582" spans="1:12" x14ac:dyDescent="0.35">
      <c r="A1582" s="3" t="s">
        <v>2156</v>
      </c>
      <c r="B1582" s="4" t="s">
        <v>188</v>
      </c>
      <c r="C1582" s="4" t="s">
        <v>189</v>
      </c>
      <c r="D1582" s="4" t="s">
        <v>14</v>
      </c>
      <c r="E1582" s="7">
        <v>42538</v>
      </c>
      <c r="F1582" s="4" t="s">
        <v>105</v>
      </c>
      <c r="G1582" s="4" t="s">
        <v>742</v>
      </c>
      <c r="H1582" s="4">
        <v>70</v>
      </c>
      <c r="I1582" s="4">
        <v>65</v>
      </c>
      <c r="J1582" s="5">
        <v>7.1400000000000005E-2</v>
      </c>
      <c r="K1582" s="3">
        <v>31</v>
      </c>
      <c r="L1582" s="4">
        <f>tblSales[[#This Row],[Quantity]]*tblSales[[#This Row],[Actual Price]]</f>
        <v>2015</v>
      </c>
    </row>
    <row r="1583" spans="1:12" x14ac:dyDescent="0.35">
      <c r="A1583" s="3" t="s">
        <v>2157</v>
      </c>
      <c r="B1583" s="4" t="s">
        <v>45</v>
      </c>
      <c r="C1583" s="4" t="s">
        <v>46</v>
      </c>
      <c r="D1583" s="4" t="s">
        <v>25</v>
      </c>
      <c r="E1583" s="7">
        <v>41718</v>
      </c>
      <c r="F1583" s="4" t="s">
        <v>37</v>
      </c>
      <c r="G1583" s="4" t="s">
        <v>1103</v>
      </c>
      <c r="H1583" s="4">
        <v>50</v>
      </c>
      <c r="I1583" s="4">
        <v>37</v>
      </c>
      <c r="J1583" s="5">
        <v>0.26</v>
      </c>
      <c r="K1583" s="3">
        <v>52</v>
      </c>
      <c r="L1583" s="4">
        <f>tblSales[[#This Row],[Quantity]]*tblSales[[#This Row],[Actual Price]]</f>
        <v>1924</v>
      </c>
    </row>
    <row r="1584" spans="1:12" x14ac:dyDescent="0.35">
      <c r="A1584" s="3" t="s">
        <v>2158</v>
      </c>
      <c r="B1584" s="4" t="s">
        <v>225</v>
      </c>
      <c r="C1584" s="4" t="s">
        <v>51</v>
      </c>
      <c r="D1584" s="4" t="s">
        <v>25</v>
      </c>
      <c r="E1584" s="7">
        <v>42898</v>
      </c>
      <c r="F1584" s="4" t="s">
        <v>73</v>
      </c>
      <c r="G1584" s="4" t="s">
        <v>414</v>
      </c>
      <c r="H1584" s="4">
        <v>500</v>
      </c>
      <c r="I1584" s="4">
        <v>500</v>
      </c>
      <c r="J1584" s="5">
        <v>0</v>
      </c>
      <c r="K1584" s="3">
        <v>35</v>
      </c>
      <c r="L1584" s="4">
        <f>tblSales[[#This Row],[Quantity]]*tblSales[[#This Row],[Actual Price]]</f>
        <v>17500</v>
      </c>
    </row>
    <row r="1585" spans="1:12" x14ac:dyDescent="0.35">
      <c r="A1585" s="3" t="s">
        <v>2159</v>
      </c>
      <c r="B1585" s="4" t="s">
        <v>78</v>
      </c>
      <c r="C1585" s="4" t="s">
        <v>79</v>
      </c>
      <c r="D1585" s="4" t="s">
        <v>36</v>
      </c>
      <c r="E1585" s="7">
        <v>42740</v>
      </c>
      <c r="F1585" s="4" t="s">
        <v>37</v>
      </c>
      <c r="G1585" s="4" t="s">
        <v>1094</v>
      </c>
      <c r="H1585" s="4">
        <v>50</v>
      </c>
      <c r="I1585" s="4">
        <v>50</v>
      </c>
      <c r="J1585" s="5">
        <v>0</v>
      </c>
      <c r="K1585" s="3">
        <v>94</v>
      </c>
      <c r="L1585" s="4">
        <f>tblSales[[#This Row],[Quantity]]*tblSales[[#This Row],[Actual Price]]</f>
        <v>4700</v>
      </c>
    </row>
    <row r="1586" spans="1:12" x14ac:dyDescent="0.35">
      <c r="A1586" s="3" t="s">
        <v>2160</v>
      </c>
      <c r="B1586" s="4" t="s">
        <v>155</v>
      </c>
      <c r="C1586" s="4" t="s">
        <v>109</v>
      </c>
      <c r="D1586" s="4" t="s">
        <v>20</v>
      </c>
      <c r="E1586" s="7">
        <v>43265</v>
      </c>
      <c r="F1586" s="4" t="s">
        <v>15</v>
      </c>
      <c r="G1586" s="4" t="s">
        <v>353</v>
      </c>
      <c r="H1586" s="4">
        <v>80</v>
      </c>
      <c r="I1586" s="4">
        <v>73</v>
      </c>
      <c r="J1586" s="5">
        <v>8.7499999999999994E-2</v>
      </c>
      <c r="K1586" s="3">
        <v>68</v>
      </c>
      <c r="L1586" s="4">
        <f>tblSales[[#This Row],[Quantity]]*tblSales[[#This Row],[Actual Price]]</f>
        <v>4964</v>
      </c>
    </row>
    <row r="1587" spans="1:12" x14ac:dyDescent="0.35">
      <c r="A1587" s="3" t="s">
        <v>2161</v>
      </c>
      <c r="B1587" s="4" t="s">
        <v>435</v>
      </c>
      <c r="C1587" s="4" t="s">
        <v>436</v>
      </c>
      <c r="D1587" s="4" t="s">
        <v>25</v>
      </c>
      <c r="E1587" s="7">
        <v>42737</v>
      </c>
      <c r="F1587" s="4" t="s">
        <v>26</v>
      </c>
      <c r="G1587" s="4" t="s">
        <v>463</v>
      </c>
      <c r="H1587" s="4">
        <v>700</v>
      </c>
      <c r="I1587" s="4">
        <v>637</v>
      </c>
      <c r="J1587" s="5">
        <v>0.09</v>
      </c>
      <c r="K1587" s="3">
        <v>66</v>
      </c>
      <c r="L1587" s="4">
        <f>tblSales[[#This Row],[Quantity]]*tblSales[[#This Row],[Actual Price]]</f>
        <v>42042</v>
      </c>
    </row>
    <row r="1588" spans="1:12" x14ac:dyDescent="0.35">
      <c r="A1588" s="3" t="s">
        <v>2162</v>
      </c>
      <c r="B1588" s="4" t="s">
        <v>290</v>
      </c>
      <c r="C1588" s="4" t="s">
        <v>109</v>
      </c>
      <c r="D1588" s="4" t="s">
        <v>20</v>
      </c>
      <c r="E1588" s="7">
        <v>43352</v>
      </c>
      <c r="F1588" s="4" t="s">
        <v>116</v>
      </c>
      <c r="G1588" s="4" t="s">
        <v>1130</v>
      </c>
      <c r="H1588" s="4">
        <v>250</v>
      </c>
      <c r="I1588" s="4">
        <v>248</v>
      </c>
      <c r="J1588" s="5">
        <v>8.0000000000000002E-3</v>
      </c>
      <c r="K1588" s="3">
        <v>49</v>
      </c>
      <c r="L1588" s="4">
        <f>tblSales[[#This Row],[Quantity]]*tblSales[[#This Row],[Actual Price]]</f>
        <v>12152</v>
      </c>
    </row>
    <row r="1589" spans="1:12" x14ac:dyDescent="0.35">
      <c r="A1589" s="3" t="s">
        <v>2163</v>
      </c>
      <c r="B1589" s="4" t="s">
        <v>50</v>
      </c>
      <c r="C1589" s="4" t="s">
        <v>51</v>
      </c>
      <c r="D1589" s="4" t="s">
        <v>25</v>
      </c>
      <c r="E1589" s="7">
        <v>42358</v>
      </c>
      <c r="F1589" s="4" t="s">
        <v>47</v>
      </c>
      <c r="G1589" s="4" t="s">
        <v>52</v>
      </c>
      <c r="H1589" s="4">
        <v>500</v>
      </c>
      <c r="I1589" s="4">
        <v>475</v>
      </c>
      <c r="J1589" s="5">
        <v>0.05</v>
      </c>
      <c r="K1589" s="3">
        <v>15</v>
      </c>
      <c r="L1589" s="4">
        <f>tblSales[[#This Row],[Quantity]]*tblSales[[#This Row],[Actual Price]]</f>
        <v>7125</v>
      </c>
    </row>
    <row r="1590" spans="1:12" x14ac:dyDescent="0.35">
      <c r="A1590" s="3" t="s">
        <v>2164</v>
      </c>
      <c r="B1590" s="4" t="s">
        <v>50</v>
      </c>
      <c r="C1590" s="4" t="s">
        <v>51</v>
      </c>
      <c r="D1590" s="4" t="s">
        <v>25</v>
      </c>
      <c r="E1590" s="7">
        <v>41956</v>
      </c>
      <c r="F1590" s="4" t="s">
        <v>123</v>
      </c>
      <c r="G1590" s="4" t="s">
        <v>379</v>
      </c>
      <c r="H1590" s="4">
        <v>50</v>
      </c>
      <c r="I1590" s="4">
        <v>40</v>
      </c>
      <c r="J1590" s="5">
        <v>0.2</v>
      </c>
      <c r="K1590" s="3">
        <v>43</v>
      </c>
      <c r="L1590" s="4">
        <f>tblSales[[#This Row],[Quantity]]*tblSales[[#This Row],[Actual Price]]</f>
        <v>1720</v>
      </c>
    </row>
    <row r="1591" spans="1:12" x14ac:dyDescent="0.35">
      <c r="A1591" s="3" t="s">
        <v>2165</v>
      </c>
      <c r="B1591" s="4" t="s">
        <v>40</v>
      </c>
      <c r="C1591" s="4" t="s">
        <v>41</v>
      </c>
      <c r="D1591" s="4" t="s">
        <v>36</v>
      </c>
      <c r="E1591" s="7">
        <v>41958</v>
      </c>
      <c r="F1591" s="4" t="s">
        <v>56</v>
      </c>
      <c r="G1591" s="4" t="s">
        <v>43</v>
      </c>
      <c r="H1591" s="4">
        <v>800</v>
      </c>
      <c r="I1591" s="4">
        <v>504</v>
      </c>
      <c r="J1591" s="5">
        <v>0.37</v>
      </c>
      <c r="K1591" s="3">
        <v>86</v>
      </c>
      <c r="L1591" s="4">
        <f>tblSales[[#This Row],[Quantity]]*tblSales[[#This Row],[Actual Price]]</f>
        <v>43344</v>
      </c>
    </row>
    <row r="1592" spans="1:12" x14ac:dyDescent="0.35">
      <c r="A1592" s="3" t="s">
        <v>2166</v>
      </c>
      <c r="B1592" s="4" t="s">
        <v>171</v>
      </c>
      <c r="C1592" s="4" t="s">
        <v>172</v>
      </c>
      <c r="D1592" s="4" t="s">
        <v>14</v>
      </c>
      <c r="E1592" s="7">
        <v>43148</v>
      </c>
      <c r="F1592" s="4" t="s">
        <v>56</v>
      </c>
      <c r="G1592" s="4" t="s">
        <v>519</v>
      </c>
      <c r="H1592" s="4">
        <v>800</v>
      </c>
      <c r="I1592" s="4">
        <v>664</v>
      </c>
      <c r="J1592" s="5">
        <v>0.17</v>
      </c>
      <c r="K1592" s="3">
        <v>56</v>
      </c>
      <c r="L1592" s="4">
        <f>tblSales[[#This Row],[Quantity]]*tblSales[[#This Row],[Actual Price]]</f>
        <v>37184</v>
      </c>
    </row>
    <row r="1593" spans="1:12" x14ac:dyDescent="0.35">
      <c r="A1593" s="3" t="s">
        <v>2167</v>
      </c>
      <c r="B1593" s="4" t="s">
        <v>325</v>
      </c>
      <c r="C1593" s="4" t="s">
        <v>326</v>
      </c>
      <c r="D1593" s="4" t="s">
        <v>14</v>
      </c>
      <c r="E1593" s="7">
        <v>42848</v>
      </c>
      <c r="F1593" s="4" t="s">
        <v>47</v>
      </c>
      <c r="G1593" s="4" t="s">
        <v>1248</v>
      </c>
      <c r="H1593" s="4">
        <v>500</v>
      </c>
      <c r="I1593" s="4">
        <v>500</v>
      </c>
      <c r="J1593" s="5">
        <v>0</v>
      </c>
      <c r="K1593" s="3">
        <v>50</v>
      </c>
      <c r="L1593" s="4">
        <f>tblSales[[#This Row],[Quantity]]*tblSales[[#This Row],[Actual Price]]</f>
        <v>25000</v>
      </c>
    </row>
    <row r="1594" spans="1:12" x14ac:dyDescent="0.35">
      <c r="A1594" s="3" t="s">
        <v>2168</v>
      </c>
      <c r="B1594" s="4" t="s">
        <v>92</v>
      </c>
      <c r="C1594" s="4" t="s">
        <v>93</v>
      </c>
      <c r="D1594" s="4" t="s">
        <v>36</v>
      </c>
      <c r="E1594" s="7">
        <v>43154</v>
      </c>
      <c r="F1594" s="4" t="s">
        <v>116</v>
      </c>
      <c r="G1594" s="4" t="s">
        <v>345</v>
      </c>
      <c r="H1594" s="4">
        <v>250</v>
      </c>
      <c r="I1594" s="4">
        <v>250</v>
      </c>
      <c r="J1594" s="5">
        <v>0</v>
      </c>
      <c r="K1594" s="3">
        <v>18</v>
      </c>
      <c r="L1594" s="4">
        <f>tblSales[[#This Row],[Quantity]]*tblSales[[#This Row],[Actual Price]]</f>
        <v>4500</v>
      </c>
    </row>
    <row r="1595" spans="1:12" x14ac:dyDescent="0.35">
      <c r="A1595" s="3" t="s">
        <v>2169</v>
      </c>
      <c r="B1595" s="4" t="s">
        <v>119</v>
      </c>
      <c r="C1595" s="4" t="s">
        <v>120</v>
      </c>
      <c r="D1595" s="4" t="s">
        <v>36</v>
      </c>
      <c r="E1595" s="7">
        <v>42592</v>
      </c>
      <c r="F1595" s="4" t="s">
        <v>42</v>
      </c>
      <c r="G1595" s="4" t="s">
        <v>1682</v>
      </c>
      <c r="H1595" s="4">
        <v>30</v>
      </c>
      <c r="I1595" s="4">
        <v>30</v>
      </c>
      <c r="J1595" s="5">
        <v>0</v>
      </c>
      <c r="K1595" s="3">
        <v>99</v>
      </c>
      <c r="L1595" s="4">
        <f>tblSales[[#This Row],[Quantity]]*tblSales[[#This Row],[Actual Price]]</f>
        <v>2970</v>
      </c>
    </row>
    <row r="1596" spans="1:12" x14ac:dyDescent="0.35">
      <c r="A1596" s="3" t="s">
        <v>2170</v>
      </c>
      <c r="B1596" s="4" t="s">
        <v>2171</v>
      </c>
      <c r="C1596" s="4" t="s">
        <v>19</v>
      </c>
      <c r="D1596" s="4" t="s">
        <v>20</v>
      </c>
      <c r="E1596" s="7">
        <v>42295</v>
      </c>
      <c r="F1596" s="4" t="s">
        <v>56</v>
      </c>
      <c r="G1596" s="4" t="s">
        <v>2172</v>
      </c>
      <c r="H1596" s="4">
        <v>800</v>
      </c>
      <c r="I1596" s="4">
        <v>632</v>
      </c>
      <c r="J1596" s="5">
        <v>0.21</v>
      </c>
      <c r="K1596" s="3">
        <v>85</v>
      </c>
      <c r="L1596" s="4">
        <f>tblSales[[#This Row],[Quantity]]*tblSales[[#This Row],[Actual Price]]</f>
        <v>53720</v>
      </c>
    </row>
    <row r="1597" spans="1:12" x14ac:dyDescent="0.35">
      <c r="A1597" s="3" t="s">
        <v>2173</v>
      </c>
      <c r="B1597" s="4" t="s">
        <v>40</v>
      </c>
      <c r="C1597" s="4" t="s">
        <v>41</v>
      </c>
      <c r="D1597" s="4" t="s">
        <v>36</v>
      </c>
      <c r="E1597" s="7">
        <v>43262</v>
      </c>
      <c r="F1597" s="4" t="s">
        <v>123</v>
      </c>
      <c r="G1597" s="4" t="s">
        <v>165</v>
      </c>
      <c r="H1597" s="4">
        <v>50</v>
      </c>
      <c r="I1597" s="4">
        <v>50</v>
      </c>
      <c r="J1597" s="5">
        <v>0</v>
      </c>
      <c r="K1597" s="3">
        <v>28</v>
      </c>
      <c r="L1597" s="4">
        <f>tblSales[[#This Row],[Quantity]]*tblSales[[#This Row],[Actual Price]]</f>
        <v>1400</v>
      </c>
    </row>
    <row r="1598" spans="1:12" x14ac:dyDescent="0.35">
      <c r="A1598" s="3" t="s">
        <v>2174</v>
      </c>
      <c r="B1598" s="4" t="s">
        <v>155</v>
      </c>
      <c r="C1598" s="4" t="s">
        <v>109</v>
      </c>
      <c r="D1598" s="4" t="s">
        <v>20</v>
      </c>
      <c r="E1598" s="7">
        <v>43106</v>
      </c>
      <c r="F1598" s="4" t="s">
        <v>73</v>
      </c>
      <c r="G1598" s="4" t="s">
        <v>156</v>
      </c>
      <c r="H1598" s="4">
        <v>500</v>
      </c>
      <c r="I1598" s="4">
        <v>500</v>
      </c>
      <c r="J1598" s="5">
        <v>0</v>
      </c>
      <c r="K1598" s="3">
        <v>96</v>
      </c>
      <c r="L1598" s="4">
        <f>tblSales[[#This Row],[Quantity]]*tblSales[[#This Row],[Actual Price]]</f>
        <v>48000</v>
      </c>
    </row>
    <row r="1599" spans="1:12" x14ac:dyDescent="0.35">
      <c r="A1599" s="3" t="s">
        <v>2175</v>
      </c>
      <c r="B1599" s="4" t="s">
        <v>290</v>
      </c>
      <c r="C1599" s="4" t="s">
        <v>109</v>
      </c>
      <c r="D1599" s="4" t="s">
        <v>20</v>
      </c>
      <c r="E1599" s="7">
        <v>42425</v>
      </c>
      <c r="F1599" s="4" t="s">
        <v>73</v>
      </c>
      <c r="G1599" s="4" t="s">
        <v>347</v>
      </c>
      <c r="H1599" s="4">
        <v>500</v>
      </c>
      <c r="I1599" s="4">
        <v>495</v>
      </c>
      <c r="J1599" s="5">
        <v>0.01</v>
      </c>
      <c r="K1599" s="3">
        <v>16</v>
      </c>
      <c r="L1599" s="4">
        <f>tblSales[[#This Row],[Quantity]]*tblSales[[#This Row],[Actual Price]]</f>
        <v>7920</v>
      </c>
    </row>
    <row r="1600" spans="1:12" x14ac:dyDescent="0.35">
      <c r="A1600" s="3" t="s">
        <v>2176</v>
      </c>
      <c r="B1600" s="4" t="s">
        <v>23</v>
      </c>
      <c r="C1600" s="4" t="s">
        <v>24</v>
      </c>
      <c r="D1600" s="4" t="s">
        <v>25</v>
      </c>
      <c r="E1600" s="7">
        <v>41749</v>
      </c>
      <c r="F1600" s="4" t="s">
        <v>47</v>
      </c>
      <c r="G1600" s="4" t="s">
        <v>311</v>
      </c>
      <c r="H1600" s="4">
        <v>500</v>
      </c>
      <c r="I1600" s="4">
        <v>485</v>
      </c>
      <c r="J1600" s="5">
        <v>0.03</v>
      </c>
      <c r="K1600" s="3">
        <v>67</v>
      </c>
      <c r="L1600" s="4">
        <f>tblSales[[#This Row],[Quantity]]*tblSales[[#This Row],[Actual Price]]</f>
        <v>32495</v>
      </c>
    </row>
    <row r="1601" spans="1:12" x14ac:dyDescent="0.35">
      <c r="A1601" s="3" t="s">
        <v>2177</v>
      </c>
      <c r="B1601" s="4" t="s">
        <v>256</v>
      </c>
      <c r="C1601" s="4" t="s">
        <v>257</v>
      </c>
      <c r="D1601" s="4" t="s">
        <v>14</v>
      </c>
      <c r="E1601" s="7">
        <v>41992</v>
      </c>
      <c r="F1601" s="4" t="s">
        <v>42</v>
      </c>
      <c r="G1601" s="4" t="s">
        <v>523</v>
      </c>
      <c r="H1601" s="4">
        <v>30</v>
      </c>
      <c r="I1601" s="4">
        <v>23</v>
      </c>
      <c r="J1601" s="5">
        <v>0.23330000000000001</v>
      </c>
      <c r="K1601" s="3">
        <v>32</v>
      </c>
      <c r="L1601" s="4">
        <f>tblSales[[#This Row],[Quantity]]*tblSales[[#This Row],[Actual Price]]</f>
        <v>736</v>
      </c>
    </row>
    <row r="1602" spans="1:12" x14ac:dyDescent="0.35">
      <c r="A1602" s="3" t="s">
        <v>2178</v>
      </c>
      <c r="B1602" s="4" t="s">
        <v>435</v>
      </c>
      <c r="C1602" s="4" t="s">
        <v>436</v>
      </c>
      <c r="D1602" s="4" t="s">
        <v>25</v>
      </c>
      <c r="E1602" s="7">
        <v>41713</v>
      </c>
      <c r="F1602" s="4" t="s">
        <v>123</v>
      </c>
      <c r="G1602" s="4" t="s">
        <v>551</v>
      </c>
      <c r="H1602" s="4">
        <v>50</v>
      </c>
      <c r="I1602" s="4">
        <v>50</v>
      </c>
      <c r="J1602" s="5">
        <v>0</v>
      </c>
      <c r="K1602" s="3">
        <v>51</v>
      </c>
      <c r="L1602" s="4">
        <f>tblSales[[#This Row],[Quantity]]*tblSales[[#This Row],[Actual Price]]</f>
        <v>2550</v>
      </c>
    </row>
    <row r="1603" spans="1:12" x14ac:dyDescent="0.35">
      <c r="A1603" s="3" t="s">
        <v>2179</v>
      </c>
      <c r="B1603" s="4" t="s">
        <v>54</v>
      </c>
      <c r="C1603" s="4" t="s">
        <v>55</v>
      </c>
      <c r="D1603" s="4" t="s">
        <v>14</v>
      </c>
      <c r="E1603" s="7">
        <v>42528</v>
      </c>
      <c r="F1603" s="4" t="s">
        <v>123</v>
      </c>
      <c r="G1603" s="4" t="s">
        <v>57</v>
      </c>
      <c r="H1603" s="4">
        <v>50</v>
      </c>
      <c r="I1603" s="4">
        <v>48</v>
      </c>
      <c r="J1603" s="5">
        <v>0.04</v>
      </c>
      <c r="K1603" s="3">
        <v>56</v>
      </c>
      <c r="L1603" s="4">
        <f>tblSales[[#This Row],[Quantity]]*tblSales[[#This Row],[Actual Price]]</f>
        <v>2688</v>
      </c>
    </row>
    <row r="1604" spans="1:12" x14ac:dyDescent="0.35">
      <c r="A1604" s="3" t="s">
        <v>2180</v>
      </c>
      <c r="B1604" s="4" t="s">
        <v>171</v>
      </c>
      <c r="C1604" s="4" t="s">
        <v>172</v>
      </c>
      <c r="D1604" s="4" t="s">
        <v>14</v>
      </c>
      <c r="E1604" s="7">
        <v>42242</v>
      </c>
      <c r="F1604" s="4" t="s">
        <v>116</v>
      </c>
      <c r="G1604" s="4" t="s">
        <v>173</v>
      </c>
      <c r="H1604" s="4">
        <v>250</v>
      </c>
      <c r="I1604" s="4">
        <v>160</v>
      </c>
      <c r="J1604" s="5">
        <v>0.36</v>
      </c>
      <c r="K1604" s="3">
        <v>51</v>
      </c>
      <c r="L1604" s="4">
        <f>tblSales[[#This Row],[Quantity]]*tblSales[[#This Row],[Actual Price]]</f>
        <v>8160</v>
      </c>
    </row>
    <row r="1605" spans="1:12" x14ac:dyDescent="0.35">
      <c r="A1605" s="3" t="s">
        <v>2181</v>
      </c>
      <c r="B1605" s="4" t="s">
        <v>151</v>
      </c>
      <c r="C1605" s="4" t="s">
        <v>152</v>
      </c>
      <c r="D1605" s="4" t="s">
        <v>14</v>
      </c>
      <c r="E1605" s="7">
        <v>42818</v>
      </c>
      <c r="F1605" s="4" t="s">
        <v>31</v>
      </c>
      <c r="G1605" s="4" t="s">
        <v>772</v>
      </c>
      <c r="H1605" s="4">
        <v>150</v>
      </c>
      <c r="I1605" s="4">
        <v>140</v>
      </c>
      <c r="J1605" s="5">
        <v>6.6699999999999995E-2</v>
      </c>
      <c r="K1605" s="3">
        <v>95</v>
      </c>
      <c r="L1605" s="4">
        <f>tblSales[[#This Row],[Quantity]]*tblSales[[#This Row],[Actual Price]]</f>
        <v>13300</v>
      </c>
    </row>
    <row r="1606" spans="1:12" x14ac:dyDescent="0.35">
      <c r="A1606" s="3" t="s">
        <v>2182</v>
      </c>
      <c r="B1606" s="4" t="s">
        <v>112</v>
      </c>
      <c r="C1606" s="4" t="s">
        <v>83</v>
      </c>
      <c r="D1606" s="4" t="s">
        <v>14</v>
      </c>
      <c r="E1606" s="7">
        <v>42282</v>
      </c>
      <c r="F1606" s="4" t="s">
        <v>123</v>
      </c>
      <c r="G1606" s="4" t="s">
        <v>827</v>
      </c>
      <c r="H1606" s="4">
        <v>50</v>
      </c>
      <c r="I1606" s="4">
        <v>42</v>
      </c>
      <c r="J1606" s="5">
        <v>0.16</v>
      </c>
      <c r="K1606" s="3">
        <v>2</v>
      </c>
      <c r="L1606" s="4">
        <f>tblSales[[#This Row],[Quantity]]*tblSales[[#This Row],[Actual Price]]</f>
        <v>84</v>
      </c>
    </row>
    <row r="1607" spans="1:12" x14ac:dyDescent="0.35">
      <c r="A1607" s="3" t="s">
        <v>2183</v>
      </c>
      <c r="B1607" s="4" t="s">
        <v>2171</v>
      </c>
      <c r="C1607" s="4" t="s">
        <v>19</v>
      </c>
      <c r="D1607" s="4" t="s">
        <v>20</v>
      </c>
      <c r="E1607" s="7">
        <v>42472</v>
      </c>
      <c r="F1607" s="4" t="s">
        <v>42</v>
      </c>
      <c r="G1607" s="4" t="s">
        <v>2184</v>
      </c>
      <c r="H1607" s="4">
        <v>30</v>
      </c>
      <c r="I1607" s="4">
        <v>29</v>
      </c>
      <c r="J1607" s="5">
        <v>3.3300000000000003E-2</v>
      </c>
      <c r="K1607" s="3">
        <v>39</v>
      </c>
      <c r="L1607" s="4">
        <f>tblSales[[#This Row],[Quantity]]*tblSales[[#This Row],[Actual Price]]</f>
        <v>1131</v>
      </c>
    </row>
    <row r="1608" spans="1:12" x14ac:dyDescent="0.35">
      <c r="A1608" s="3" t="s">
        <v>2185</v>
      </c>
      <c r="B1608" s="4" t="s">
        <v>119</v>
      </c>
      <c r="C1608" s="4" t="s">
        <v>120</v>
      </c>
      <c r="D1608" s="4" t="s">
        <v>36</v>
      </c>
      <c r="E1608" s="7">
        <v>41805</v>
      </c>
      <c r="F1608" s="4" t="s">
        <v>62</v>
      </c>
      <c r="G1608" s="4" t="s">
        <v>584</v>
      </c>
      <c r="H1608" s="4">
        <v>1000</v>
      </c>
      <c r="I1608" s="4">
        <v>580</v>
      </c>
      <c r="J1608" s="5">
        <v>0.42</v>
      </c>
      <c r="K1608" s="3">
        <v>7</v>
      </c>
      <c r="L1608" s="4">
        <f>tblSales[[#This Row],[Quantity]]*tblSales[[#This Row],[Actual Price]]</f>
        <v>4060</v>
      </c>
    </row>
    <row r="1609" spans="1:12" x14ac:dyDescent="0.35">
      <c r="A1609" s="3" t="s">
        <v>2186</v>
      </c>
      <c r="B1609" s="4" t="s">
        <v>135</v>
      </c>
      <c r="C1609" s="4" t="s">
        <v>93</v>
      </c>
      <c r="D1609" s="4" t="s">
        <v>36</v>
      </c>
      <c r="E1609" s="7">
        <v>41963</v>
      </c>
      <c r="F1609" s="4" t="s">
        <v>62</v>
      </c>
      <c r="G1609" s="4" t="s">
        <v>136</v>
      </c>
      <c r="H1609" s="4">
        <v>1000</v>
      </c>
      <c r="I1609" s="4">
        <v>880</v>
      </c>
      <c r="J1609" s="5">
        <v>0.12</v>
      </c>
      <c r="K1609" s="3">
        <v>56</v>
      </c>
      <c r="L1609" s="4">
        <f>tblSales[[#This Row],[Quantity]]*tblSales[[#This Row],[Actual Price]]</f>
        <v>49280</v>
      </c>
    </row>
    <row r="1610" spans="1:12" x14ac:dyDescent="0.35">
      <c r="A1610" s="3" t="s">
        <v>2187</v>
      </c>
      <c r="B1610" s="4" t="s">
        <v>188</v>
      </c>
      <c r="C1610" s="4" t="s">
        <v>189</v>
      </c>
      <c r="D1610" s="4" t="s">
        <v>14</v>
      </c>
      <c r="E1610" s="7">
        <v>41857</v>
      </c>
      <c r="F1610" s="4" t="s">
        <v>105</v>
      </c>
      <c r="G1610" s="4" t="s">
        <v>684</v>
      </c>
      <c r="H1610" s="4">
        <v>70</v>
      </c>
      <c r="I1610" s="4">
        <v>52</v>
      </c>
      <c r="J1610" s="5">
        <v>0.2571</v>
      </c>
      <c r="K1610" s="3">
        <v>2</v>
      </c>
      <c r="L1610" s="4">
        <f>tblSales[[#This Row],[Quantity]]*tblSales[[#This Row],[Actual Price]]</f>
        <v>104</v>
      </c>
    </row>
    <row r="1611" spans="1:12" x14ac:dyDescent="0.35">
      <c r="A1611" s="3" t="s">
        <v>2188</v>
      </c>
      <c r="B1611" s="4" t="s">
        <v>401</v>
      </c>
      <c r="C1611" s="4" t="s">
        <v>402</v>
      </c>
      <c r="D1611" s="4" t="s">
        <v>14</v>
      </c>
      <c r="E1611" s="7">
        <v>42022</v>
      </c>
      <c r="F1611" s="4" t="s">
        <v>123</v>
      </c>
      <c r="G1611" s="4" t="s">
        <v>2189</v>
      </c>
      <c r="H1611" s="4">
        <v>50</v>
      </c>
      <c r="I1611" s="4">
        <v>37</v>
      </c>
      <c r="J1611" s="5">
        <v>0.26</v>
      </c>
      <c r="K1611" s="3">
        <v>37</v>
      </c>
      <c r="L1611" s="4">
        <f>tblSales[[#This Row],[Quantity]]*tblSales[[#This Row],[Actual Price]]</f>
        <v>1369</v>
      </c>
    </row>
    <row r="1612" spans="1:12" x14ac:dyDescent="0.35">
      <c r="A1612" s="3" t="s">
        <v>2190</v>
      </c>
      <c r="B1612" s="4" t="s">
        <v>225</v>
      </c>
      <c r="C1612" s="4" t="s">
        <v>51</v>
      </c>
      <c r="D1612" s="4" t="s">
        <v>25</v>
      </c>
      <c r="E1612" s="7">
        <v>41859</v>
      </c>
      <c r="F1612" s="4" t="s">
        <v>37</v>
      </c>
      <c r="G1612" s="4" t="s">
        <v>1240</v>
      </c>
      <c r="H1612" s="4">
        <v>50</v>
      </c>
      <c r="I1612" s="4">
        <v>50</v>
      </c>
      <c r="J1612" s="5">
        <v>0</v>
      </c>
      <c r="K1612" s="3">
        <v>16</v>
      </c>
      <c r="L1612" s="4">
        <f>tblSales[[#This Row],[Quantity]]*tblSales[[#This Row],[Actual Price]]</f>
        <v>800</v>
      </c>
    </row>
    <row r="1613" spans="1:12" x14ac:dyDescent="0.35">
      <c r="A1613" s="3" t="s">
        <v>2191</v>
      </c>
      <c r="B1613" s="4" t="s">
        <v>2192</v>
      </c>
      <c r="C1613" s="4" t="s">
        <v>109</v>
      </c>
      <c r="D1613" s="4" t="s">
        <v>20</v>
      </c>
      <c r="E1613" s="7">
        <v>43048</v>
      </c>
      <c r="F1613" s="4" t="s">
        <v>105</v>
      </c>
      <c r="G1613" s="4" t="s">
        <v>2193</v>
      </c>
      <c r="H1613" s="4">
        <v>70</v>
      </c>
      <c r="I1613" s="4">
        <v>67</v>
      </c>
      <c r="J1613" s="5">
        <v>4.2900000000000001E-2</v>
      </c>
      <c r="K1613" s="3">
        <v>12</v>
      </c>
      <c r="L1613" s="4">
        <f>tblSales[[#This Row],[Quantity]]*tblSales[[#This Row],[Actual Price]]</f>
        <v>804</v>
      </c>
    </row>
    <row r="1614" spans="1:12" x14ac:dyDescent="0.35">
      <c r="A1614" s="3" t="s">
        <v>2194</v>
      </c>
      <c r="B1614" s="4" t="s">
        <v>290</v>
      </c>
      <c r="C1614" s="4" t="s">
        <v>109</v>
      </c>
      <c r="D1614" s="4" t="s">
        <v>20</v>
      </c>
      <c r="E1614" s="7">
        <v>42269</v>
      </c>
      <c r="F1614" s="4" t="s">
        <v>37</v>
      </c>
      <c r="G1614" s="4" t="s">
        <v>1130</v>
      </c>
      <c r="H1614" s="4">
        <v>50</v>
      </c>
      <c r="I1614" s="4">
        <v>50</v>
      </c>
      <c r="J1614" s="5">
        <v>0</v>
      </c>
      <c r="K1614" s="3">
        <v>51</v>
      </c>
      <c r="L1614" s="4">
        <f>tblSales[[#This Row],[Quantity]]*tblSales[[#This Row],[Actual Price]]</f>
        <v>2550</v>
      </c>
    </row>
    <row r="1615" spans="1:12" x14ac:dyDescent="0.35">
      <c r="A1615" s="3" t="s">
        <v>2195</v>
      </c>
      <c r="B1615" s="4" t="s">
        <v>92</v>
      </c>
      <c r="C1615" s="4" t="s">
        <v>93</v>
      </c>
      <c r="D1615" s="4" t="s">
        <v>36</v>
      </c>
      <c r="E1615" s="7">
        <v>42698</v>
      </c>
      <c r="F1615" s="4" t="s">
        <v>105</v>
      </c>
      <c r="G1615" s="4" t="s">
        <v>1514</v>
      </c>
      <c r="H1615" s="4">
        <v>70</v>
      </c>
      <c r="I1615" s="4">
        <v>66</v>
      </c>
      <c r="J1615" s="5">
        <v>5.7099999999999998E-2</v>
      </c>
      <c r="K1615" s="3">
        <v>91</v>
      </c>
      <c r="L1615" s="4">
        <f>tblSales[[#This Row],[Quantity]]*tblSales[[#This Row],[Actual Price]]</f>
        <v>6006</v>
      </c>
    </row>
    <row r="1616" spans="1:12" x14ac:dyDescent="0.35">
      <c r="A1616" s="3" t="s">
        <v>2196</v>
      </c>
      <c r="B1616" s="4" t="s">
        <v>401</v>
      </c>
      <c r="C1616" s="4" t="s">
        <v>402</v>
      </c>
      <c r="D1616" s="4" t="s">
        <v>14</v>
      </c>
      <c r="E1616" s="7">
        <v>42350</v>
      </c>
      <c r="F1616" s="4" t="s">
        <v>123</v>
      </c>
      <c r="G1616" s="4" t="s">
        <v>1282</v>
      </c>
      <c r="H1616" s="4">
        <v>50</v>
      </c>
      <c r="I1616" s="4">
        <v>42</v>
      </c>
      <c r="J1616" s="5">
        <v>0.16</v>
      </c>
      <c r="K1616" s="3">
        <v>7</v>
      </c>
      <c r="L1616" s="4">
        <f>tblSales[[#This Row],[Quantity]]*tblSales[[#This Row],[Actual Price]]</f>
        <v>294</v>
      </c>
    </row>
    <row r="1617" spans="1:12" x14ac:dyDescent="0.35">
      <c r="A1617" s="3" t="s">
        <v>2197</v>
      </c>
      <c r="B1617" s="4" t="s">
        <v>435</v>
      </c>
      <c r="C1617" s="4" t="s">
        <v>436</v>
      </c>
      <c r="D1617" s="4" t="s">
        <v>25</v>
      </c>
      <c r="E1617" s="7">
        <v>43289</v>
      </c>
      <c r="F1617" s="4" t="s">
        <v>15</v>
      </c>
      <c r="G1617" s="4" t="s">
        <v>765</v>
      </c>
      <c r="H1617" s="4">
        <v>80</v>
      </c>
      <c r="I1617" s="4">
        <v>78</v>
      </c>
      <c r="J1617" s="5">
        <v>2.5000000000000001E-2</v>
      </c>
      <c r="K1617" s="3">
        <v>88</v>
      </c>
      <c r="L1617" s="4">
        <f>tblSales[[#This Row],[Quantity]]*tblSales[[#This Row],[Actual Price]]</f>
        <v>6864</v>
      </c>
    </row>
    <row r="1618" spans="1:12" x14ac:dyDescent="0.35">
      <c r="A1618" s="3" t="s">
        <v>2198</v>
      </c>
      <c r="B1618" s="4" t="s">
        <v>325</v>
      </c>
      <c r="C1618" s="4" t="s">
        <v>326</v>
      </c>
      <c r="D1618" s="4" t="s">
        <v>14</v>
      </c>
      <c r="E1618" s="7">
        <v>42736</v>
      </c>
      <c r="F1618" s="4" t="s">
        <v>62</v>
      </c>
      <c r="G1618" s="4" t="s">
        <v>1193</v>
      </c>
      <c r="H1618" s="4">
        <v>1000</v>
      </c>
      <c r="I1618" s="4">
        <v>690</v>
      </c>
      <c r="J1618" s="5">
        <v>0.31</v>
      </c>
      <c r="K1618" s="3">
        <v>99</v>
      </c>
      <c r="L1618" s="4">
        <f>tblSales[[#This Row],[Quantity]]*tblSales[[#This Row],[Actual Price]]</f>
        <v>68310</v>
      </c>
    </row>
    <row r="1619" spans="1:12" x14ac:dyDescent="0.35">
      <c r="A1619" s="3" t="s">
        <v>2199</v>
      </c>
      <c r="B1619" s="4" t="s">
        <v>92</v>
      </c>
      <c r="C1619" s="4" t="s">
        <v>93</v>
      </c>
      <c r="D1619" s="4" t="s">
        <v>36</v>
      </c>
      <c r="E1619" s="7">
        <v>41911</v>
      </c>
      <c r="F1619" s="4" t="s">
        <v>31</v>
      </c>
      <c r="G1619" s="4" t="s">
        <v>1156</v>
      </c>
      <c r="H1619" s="4">
        <v>150</v>
      </c>
      <c r="I1619" s="4">
        <v>138</v>
      </c>
      <c r="J1619" s="5">
        <v>0.08</v>
      </c>
      <c r="K1619" s="3">
        <v>95</v>
      </c>
      <c r="L1619" s="4">
        <f>tblSales[[#This Row],[Quantity]]*tblSales[[#This Row],[Actual Price]]</f>
        <v>13110</v>
      </c>
    </row>
    <row r="1620" spans="1:12" x14ac:dyDescent="0.35">
      <c r="A1620" s="3" t="s">
        <v>2200</v>
      </c>
      <c r="B1620" s="4" t="s">
        <v>132</v>
      </c>
      <c r="C1620" s="4" t="s">
        <v>109</v>
      </c>
      <c r="D1620" s="4" t="s">
        <v>20</v>
      </c>
      <c r="E1620" s="7">
        <v>42853</v>
      </c>
      <c r="F1620" s="4" t="s">
        <v>105</v>
      </c>
      <c r="G1620" s="4" t="s">
        <v>133</v>
      </c>
      <c r="H1620" s="4">
        <v>70</v>
      </c>
      <c r="I1620" s="4">
        <v>68</v>
      </c>
      <c r="J1620" s="5">
        <v>2.86E-2</v>
      </c>
      <c r="K1620" s="3">
        <v>28</v>
      </c>
      <c r="L1620" s="4">
        <f>tblSales[[#This Row],[Quantity]]*tblSales[[#This Row],[Actual Price]]</f>
        <v>1904</v>
      </c>
    </row>
    <row r="1621" spans="1:12" x14ac:dyDescent="0.35">
      <c r="A1621" s="3" t="s">
        <v>2201</v>
      </c>
      <c r="B1621" s="4" t="s">
        <v>2192</v>
      </c>
      <c r="C1621" s="4" t="s">
        <v>109</v>
      </c>
      <c r="D1621" s="4" t="s">
        <v>20</v>
      </c>
      <c r="E1621" s="7">
        <v>41819</v>
      </c>
      <c r="F1621" s="4" t="s">
        <v>73</v>
      </c>
      <c r="G1621" s="4" t="s">
        <v>2202</v>
      </c>
      <c r="H1621" s="4">
        <v>500</v>
      </c>
      <c r="I1621" s="4">
        <v>490</v>
      </c>
      <c r="J1621" s="5">
        <v>0.02</v>
      </c>
      <c r="K1621" s="3">
        <v>42</v>
      </c>
      <c r="L1621" s="4">
        <f>tblSales[[#This Row],[Quantity]]*tblSales[[#This Row],[Actual Price]]</f>
        <v>20580</v>
      </c>
    </row>
    <row r="1622" spans="1:12" x14ac:dyDescent="0.35">
      <c r="A1622" s="3" t="s">
        <v>2203</v>
      </c>
      <c r="B1622" s="4" t="s">
        <v>171</v>
      </c>
      <c r="C1622" s="4" t="s">
        <v>172</v>
      </c>
      <c r="D1622" s="4" t="s">
        <v>14</v>
      </c>
      <c r="E1622" s="7">
        <v>42045</v>
      </c>
      <c r="F1622" s="4" t="s">
        <v>42</v>
      </c>
      <c r="G1622" s="4" t="s">
        <v>942</v>
      </c>
      <c r="H1622" s="4">
        <v>30</v>
      </c>
      <c r="I1622" s="4">
        <v>25</v>
      </c>
      <c r="J1622" s="5">
        <v>0.16669999999999999</v>
      </c>
      <c r="K1622" s="3">
        <v>4</v>
      </c>
      <c r="L1622" s="4">
        <f>tblSales[[#This Row],[Quantity]]*tblSales[[#This Row],[Actual Price]]</f>
        <v>100</v>
      </c>
    </row>
    <row r="1623" spans="1:12" x14ac:dyDescent="0.35">
      <c r="A1623" s="3" t="s">
        <v>2204</v>
      </c>
      <c r="B1623" s="4" t="s">
        <v>171</v>
      </c>
      <c r="C1623" s="4" t="s">
        <v>172</v>
      </c>
      <c r="D1623" s="4" t="s">
        <v>14</v>
      </c>
      <c r="E1623" s="7">
        <v>43279</v>
      </c>
      <c r="F1623" s="4" t="s">
        <v>56</v>
      </c>
      <c r="G1623" s="4" t="s">
        <v>173</v>
      </c>
      <c r="H1623" s="4">
        <v>800</v>
      </c>
      <c r="I1623" s="4">
        <v>576</v>
      </c>
      <c r="J1623" s="5">
        <v>0.28000000000000003</v>
      </c>
      <c r="K1623" s="3">
        <v>42</v>
      </c>
      <c r="L1623" s="4">
        <f>tblSales[[#This Row],[Quantity]]*tblSales[[#This Row],[Actual Price]]</f>
        <v>24192</v>
      </c>
    </row>
    <row r="1624" spans="1:12" x14ac:dyDescent="0.35">
      <c r="A1624" s="3" t="s">
        <v>2205</v>
      </c>
      <c r="B1624" s="4" t="s">
        <v>271</v>
      </c>
      <c r="C1624" s="4" t="s">
        <v>272</v>
      </c>
      <c r="D1624" s="4" t="s">
        <v>36</v>
      </c>
      <c r="E1624" s="7">
        <v>43245</v>
      </c>
      <c r="F1624" s="4" t="s">
        <v>37</v>
      </c>
      <c r="G1624" s="4" t="s">
        <v>810</v>
      </c>
      <c r="H1624" s="4">
        <v>50</v>
      </c>
      <c r="I1624" s="4">
        <v>48</v>
      </c>
      <c r="J1624" s="5">
        <v>0.04</v>
      </c>
      <c r="K1624" s="3">
        <v>56</v>
      </c>
      <c r="L1624" s="4">
        <f>tblSales[[#This Row],[Quantity]]*tblSales[[#This Row],[Actual Price]]</f>
        <v>2688</v>
      </c>
    </row>
    <row r="1625" spans="1:12" x14ac:dyDescent="0.35">
      <c r="A1625" s="3" t="s">
        <v>2206</v>
      </c>
      <c r="B1625" s="4" t="s">
        <v>256</v>
      </c>
      <c r="C1625" s="4" t="s">
        <v>257</v>
      </c>
      <c r="D1625" s="4" t="s">
        <v>14</v>
      </c>
      <c r="E1625" s="7">
        <v>42494</v>
      </c>
      <c r="F1625" s="4" t="s">
        <v>116</v>
      </c>
      <c r="G1625" s="4" t="s">
        <v>1346</v>
      </c>
      <c r="H1625" s="4">
        <v>250</v>
      </c>
      <c r="I1625" s="4">
        <v>233</v>
      </c>
      <c r="J1625" s="5">
        <v>6.8000000000000005E-2</v>
      </c>
      <c r="K1625" s="3">
        <v>36</v>
      </c>
      <c r="L1625" s="4">
        <f>tblSales[[#This Row],[Quantity]]*tblSales[[#This Row],[Actual Price]]</f>
        <v>8388</v>
      </c>
    </row>
    <row r="1626" spans="1:12" x14ac:dyDescent="0.35">
      <c r="A1626" s="3" t="s">
        <v>2207</v>
      </c>
      <c r="B1626" s="4" t="s">
        <v>104</v>
      </c>
      <c r="C1626" s="4" t="s">
        <v>72</v>
      </c>
      <c r="D1626" s="4" t="s">
        <v>36</v>
      </c>
      <c r="E1626" s="7">
        <v>42633</v>
      </c>
      <c r="F1626" s="4" t="s">
        <v>116</v>
      </c>
      <c r="G1626" s="4" t="s">
        <v>604</v>
      </c>
      <c r="H1626" s="4">
        <v>250</v>
      </c>
      <c r="I1626" s="4">
        <v>230</v>
      </c>
      <c r="J1626" s="5">
        <v>0.08</v>
      </c>
      <c r="K1626" s="3">
        <v>68</v>
      </c>
      <c r="L1626" s="4">
        <f>tblSales[[#This Row],[Quantity]]*tblSales[[#This Row],[Actual Price]]</f>
        <v>15640</v>
      </c>
    </row>
    <row r="1627" spans="1:12" x14ac:dyDescent="0.35">
      <c r="A1627" s="3" t="s">
        <v>2208</v>
      </c>
      <c r="B1627" s="4" t="s">
        <v>12</v>
      </c>
      <c r="C1627" s="4" t="s">
        <v>13</v>
      </c>
      <c r="D1627" s="4" t="s">
        <v>14</v>
      </c>
      <c r="E1627" s="7">
        <v>41771</v>
      </c>
      <c r="F1627" s="4" t="s">
        <v>26</v>
      </c>
      <c r="G1627" s="4" t="s">
        <v>277</v>
      </c>
      <c r="H1627" s="4">
        <v>700</v>
      </c>
      <c r="I1627" s="4">
        <v>679</v>
      </c>
      <c r="J1627" s="5">
        <v>0.03</v>
      </c>
      <c r="K1627" s="3">
        <v>2</v>
      </c>
      <c r="L1627" s="4">
        <f>tblSales[[#This Row],[Quantity]]*tblSales[[#This Row],[Actual Price]]</f>
        <v>1358</v>
      </c>
    </row>
    <row r="1628" spans="1:12" x14ac:dyDescent="0.35">
      <c r="A1628" s="3" t="s">
        <v>2209</v>
      </c>
      <c r="B1628" s="4" t="s">
        <v>175</v>
      </c>
      <c r="C1628" s="4" t="s">
        <v>176</v>
      </c>
      <c r="D1628" s="4" t="s">
        <v>14</v>
      </c>
      <c r="E1628" s="7">
        <v>43422</v>
      </c>
      <c r="F1628" s="4" t="s">
        <v>37</v>
      </c>
      <c r="G1628" s="4" t="s">
        <v>1457</v>
      </c>
      <c r="H1628" s="4">
        <v>50</v>
      </c>
      <c r="I1628" s="4">
        <v>44</v>
      </c>
      <c r="J1628" s="5">
        <v>0.12</v>
      </c>
      <c r="K1628" s="3">
        <v>32</v>
      </c>
      <c r="L1628" s="4">
        <f>tblSales[[#This Row],[Quantity]]*tblSales[[#This Row],[Actual Price]]</f>
        <v>1408</v>
      </c>
    </row>
    <row r="1629" spans="1:12" x14ac:dyDescent="0.35">
      <c r="A1629" s="3" t="s">
        <v>2210</v>
      </c>
      <c r="B1629" s="4" t="s">
        <v>112</v>
      </c>
      <c r="C1629" s="4" t="s">
        <v>83</v>
      </c>
      <c r="D1629" s="4" t="s">
        <v>14</v>
      </c>
      <c r="E1629" s="7">
        <v>42786</v>
      </c>
      <c r="F1629" s="4" t="s">
        <v>42</v>
      </c>
      <c r="G1629" s="4" t="s">
        <v>457</v>
      </c>
      <c r="H1629" s="4">
        <v>30</v>
      </c>
      <c r="I1629" s="4">
        <v>29</v>
      </c>
      <c r="J1629" s="5">
        <v>3.3300000000000003E-2</v>
      </c>
      <c r="K1629" s="3">
        <v>58</v>
      </c>
      <c r="L1629" s="4">
        <f>tblSales[[#This Row],[Quantity]]*tblSales[[#This Row],[Actual Price]]</f>
        <v>1682</v>
      </c>
    </row>
    <row r="1630" spans="1:12" x14ac:dyDescent="0.35">
      <c r="A1630" s="3" t="s">
        <v>2211</v>
      </c>
      <c r="B1630" s="4" t="s">
        <v>82</v>
      </c>
      <c r="C1630" s="4" t="s">
        <v>83</v>
      </c>
      <c r="D1630" s="4" t="s">
        <v>14</v>
      </c>
      <c r="E1630" s="7">
        <v>42075</v>
      </c>
      <c r="F1630" s="4" t="s">
        <v>26</v>
      </c>
      <c r="G1630" s="4" t="s">
        <v>1494</v>
      </c>
      <c r="H1630" s="4">
        <v>700</v>
      </c>
      <c r="I1630" s="4">
        <v>462</v>
      </c>
      <c r="J1630" s="5">
        <v>0.34</v>
      </c>
      <c r="K1630" s="3">
        <v>30</v>
      </c>
      <c r="L1630" s="4">
        <f>tblSales[[#This Row],[Quantity]]*tblSales[[#This Row],[Actual Price]]</f>
        <v>13860</v>
      </c>
    </row>
    <row r="1631" spans="1:12" x14ac:dyDescent="0.35">
      <c r="A1631" s="3" t="s">
        <v>2212</v>
      </c>
      <c r="B1631" s="4" t="s">
        <v>71</v>
      </c>
      <c r="C1631" s="4" t="s">
        <v>72</v>
      </c>
      <c r="D1631" s="4" t="s">
        <v>36</v>
      </c>
      <c r="E1631" s="7">
        <v>42852</v>
      </c>
      <c r="F1631" s="4" t="s">
        <v>62</v>
      </c>
      <c r="G1631" s="4" t="s">
        <v>963</v>
      </c>
      <c r="H1631" s="4">
        <v>1000</v>
      </c>
      <c r="I1631" s="4">
        <v>860</v>
      </c>
      <c r="J1631" s="5">
        <v>0.14000000000000001</v>
      </c>
      <c r="K1631" s="3">
        <v>53</v>
      </c>
      <c r="L1631" s="4">
        <f>tblSales[[#This Row],[Quantity]]*tblSales[[#This Row],[Actual Price]]</f>
        <v>45580</v>
      </c>
    </row>
    <row r="1632" spans="1:12" x14ac:dyDescent="0.35">
      <c r="A1632" s="3" t="s">
        <v>2213</v>
      </c>
      <c r="B1632" s="4" t="s">
        <v>23</v>
      </c>
      <c r="C1632" s="4" t="s">
        <v>24</v>
      </c>
      <c r="D1632" s="4" t="s">
        <v>25</v>
      </c>
      <c r="E1632" s="7">
        <v>41836</v>
      </c>
      <c r="F1632" s="4" t="s">
        <v>123</v>
      </c>
      <c r="G1632" s="4" t="s">
        <v>27</v>
      </c>
      <c r="H1632" s="4">
        <v>50</v>
      </c>
      <c r="I1632" s="4">
        <v>37</v>
      </c>
      <c r="J1632" s="5">
        <v>0.26</v>
      </c>
      <c r="K1632" s="3">
        <v>27</v>
      </c>
      <c r="L1632" s="4">
        <f>tblSales[[#This Row],[Quantity]]*tblSales[[#This Row],[Actual Price]]</f>
        <v>999</v>
      </c>
    </row>
    <row r="1633" spans="1:12" x14ac:dyDescent="0.35">
      <c r="A1633" s="3" t="s">
        <v>2214</v>
      </c>
      <c r="B1633" s="4" t="s">
        <v>171</v>
      </c>
      <c r="C1633" s="4" t="s">
        <v>172</v>
      </c>
      <c r="D1633" s="4" t="s">
        <v>14</v>
      </c>
      <c r="E1633" s="7">
        <v>42325</v>
      </c>
      <c r="F1633" s="4" t="s">
        <v>116</v>
      </c>
      <c r="G1633" s="4" t="s">
        <v>1865</v>
      </c>
      <c r="H1633" s="4">
        <v>250</v>
      </c>
      <c r="I1633" s="4">
        <v>173</v>
      </c>
      <c r="J1633" s="5">
        <v>0.308</v>
      </c>
      <c r="K1633" s="3">
        <v>87</v>
      </c>
      <c r="L1633" s="4">
        <f>tblSales[[#This Row],[Quantity]]*tblSales[[#This Row],[Actual Price]]</f>
        <v>15051</v>
      </c>
    </row>
    <row r="1634" spans="1:12" x14ac:dyDescent="0.35">
      <c r="A1634" s="3" t="s">
        <v>2215</v>
      </c>
      <c r="B1634" s="4" t="s">
        <v>401</v>
      </c>
      <c r="C1634" s="4" t="s">
        <v>402</v>
      </c>
      <c r="D1634" s="4" t="s">
        <v>14</v>
      </c>
      <c r="E1634" s="7">
        <v>42952</v>
      </c>
      <c r="F1634" s="4" t="s">
        <v>26</v>
      </c>
      <c r="G1634" s="4" t="s">
        <v>1282</v>
      </c>
      <c r="H1634" s="4">
        <v>700</v>
      </c>
      <c r="I1634" s="4">
        <v>637</v>
      </c>
      <c r="J1634" s="5">
        <v>0.09</v>
      </c>
      <c r="K1634" s="3">
        <v>42</v>
      </c>
      <c r="L1634" s="4">
        <f>tblSales[[#This Row],[Quantity]]*tblSales[[#This Row],[Actual Price]]</f>
        <v>26754</v>
      </c>
    </row>
    <row r="1635" spans="1:12" x14ac:dyDescent="0.35">
      <c r="A1635" s="3" t="s">
        <v>2216</v>
      </c>
      <c r="B1635" s="4" t="s">
        <v>2192</v>
      </c>
      <c r="C1635" s="4" t="s">
        <v>109</v>
      </c>
      <c r="D1635" s="4" t="s">
        <v>20</v>
      </c>
      <c r="E1635" s="7">
        <v>42085</v>
      </c>
      <c r="F1635" s="4" t="s">
        <v>105</v>
      </c>
      <c r="G1635" s="4" t="s">
        <v>2193</v>
      </c>
      <c r="H1635" s="4">
        <v>70</v>
      </c>
      <c r="I1635" s="4">
        <v>48</v>
      </c>
      <c r="J1635" s="5">
        <v>0.31430000000000002</v>
      </c>
      <c r="K1635" s="3">
        <v>23</v>
      </c>
      <c r="L1635" s="4">
        <f>tblSales[[#This Row],[Quantity]]*tblSales[[#This Row],[Actual Price]]</f>
        <v>1104</v>
      </c>
    </row>
    <row r="1636" spans="1:12" x14ac:dyDescent="0.35">
      <c r="A1636" s="3" t="s">
        <v>2217</v>
      </c>
      <c r="B1636" s="4" t="s">
        <v>18</v>
      </c>
      <c r="C1636" s="4" t="s">
        <v>19</v>
      </c>
      <c r="D1636" s="4" t="s">
        <v>20</v>
      </c>
      <c r="E1636" s="7">
        <v>42123</v>
      </c>
      <c r="F1636" s="4" t="s">
        <v>105</v>
      </c>
      <c r="G1636" s="4" t="s">
        <v>544</v>
      </c>
      <c r="H1636" s="4">
        <v>70</v>
      </c>
      <c r="I1636" s="4">
        <v>43</v>
      </c>
      <c r="J1636" s="5">
        <v>0.38569999999999999</v>
      </c>
      <c r="K1636" s="3">
        <v>43</v>
      </c>
      <c r="L1636" s="4">
        <f>tblSales[[#This Row],[Quantity]]*tblSales[[#This Row],[Actual Price]]</f>
        <v>1849</v>
      </c>
    </row>
    <row r="1637" spans="1:12" x14ac:dyDescent="0.35">
      <c r="A1637" s="3" t="s">
        <v>2218</v>
      </c>
      <c r="B1637" s="4" t="s">
        <v>40</v>
      </c>
      <c r="C1637" s="4" t="s">
        <v>41</v>
      </c>
      <c r="D1637" s="4" t="s">
        <v>36</v>
      </c>
      <c r="E1637" s="7">
        <v>42280</v>
      </c>
      <c r="F1637" s="4" t="s">
        <v>42</v>
      </c>
      <c r="G1637" s="4" t="s">
        <v>1305</v>
      </c>
      <c r="H1637" s="4">
        <v>30</v>
      </c>
      <c r="I1637" s="4">
        <v>21</v>
      </c>
      <c r="J1637" s="5">
        <v>0.3</v>
      </c>
      <c r="K1637" s="3">
        <v>66</v>
      </c>
      <c r="L1637" s="4">
        <f>tblSales[[#This Row],[Quantity]]*tblSales[[#This Row],[Actual Price]]</f>
        <v>1386</v>
      </c>
    </row>
    <row r="1638" spans="1:12" x14ac:dyDescent="0.35">
      <c r="A1638" s="3" t="s">
        <v>2219</v>
      </c>
      <c r="B1638" s="4" t="s">
        <v>175</v>
      </c>
      <c r="C1638" s="4" t="s">
        <v>176</v>
      </c>
      <c r="D1638" s="4" t="s">
        <v>14</v>
      </c>
      <c r="E1638" s="7">
        <v>41864</v>
      </c>
      <c r="F1638" s="4" t="s">
        <v>31</v>
      </c>
      <c r="G1638" s="4" t="s">
        <v>220</v>
      </c>
      <c r="H1638" s="4">
        <v>150</v>
      </c>
      <c r="I1638" s="4">
        <v>107</v>
      </c>
      <c r="J1638" s="5">
        <v>0.28670000000000001</v>
      </c>
      <c r="K1638" s="3">
        <v>60</v>
      </c>
      <c r="L1638" s="4">
        <f>tblSales[[#This Row],[Quantity]]*tblSales[[#This Row],[Actual Price]]</f>
        <v>6420</v>
      </c>
    </row>
    <row r="1639" spans="1:12" x14ac:dyDescent="0.35">
      <c r="A1639" s="3" t="s">
        <v>2220</v>
      </c>
      <c r="B1639" s="4" t="s">
        <v>206</v>
      </c>
      <c r="C1639" s="4" t="s">
        <v>207</v>
      </c>
      <c r="D1639" s="4" t="s">
        <v>25</v>
      </c>
      <c r="E1639" s="7">
        <v>41946</v>
      </c>
      <c r="F1639" s="4" t="s">
        <v>37</v>
      </c>
      <c r="G1639" s="4" t="s">
        <v>636</v>
      </c>
      <c r="H1639" s="4">
        <v>50</v>
      </c>
      <c r="I1639" s="4">
        <v>48</v>
      </c>
      <c r="J1639" s="5">
        <v>0.04</v>
      </c>
      <c r="K1639" s="3">
        <v>11</v>
      </c>
      <c r="L1639" s="4">
        <f>tblSales[[#This Row],[Quantity]]*tblSales[[#This Row],[Actual Price]]</f>
        <v>528</v>
      </c>
    </row>
    <row r="1640" spans="1:12" x14ac:dyDescent="0.35">
      <c r="A1640" s="3" t="s">
        <v>2221</v>
      </c>
      <c r="B1640" s="4" t="s">
        <v>2171</v>
      </c>
      <c r="C1640" s="4" t="s">
        <v>19</v>
      </c>
      <c r="D1640" s="4" t="s">
        <v>20</v>
      </c>
      <c r="E1640" s="7">
        <v>43072</v>
      </c>
      <c r="F1640" s="4" t="s">
        <v>123</v>
      </c>
      <c r="G1640" s="4" t="s">
        <v>2222</v>
      </c>
      <c r="H1640" s="4">
        <v>50</v>
      </c>
      <c r="I1640" s="4">
        <v>45</v>
      </c>
      <c r="J1640" s="5">
        <v>0.1</v>
      </c>
      <c r="K1640" s="3">
        <v>49</v>
      </c>
      <c r="L1640" s="4">
        <f>tblSales[[#This Row],[Quantity]]*tblSales[[#This Row],[Actual Price]]</f>
        <v>2205</v>
      </c>
    </row>
    <row r="1641" spans="1:12" x14ac:dyDescent="0.35">
      <c r="A1641" s="3" t="s">
        <v>2223</v>
      </c>
      <c r="B1641" s="4" t="s">
        <v>34</v>
      </c>
      <c r="C1641" s="4" t="s">
        <v>35</v>
      </c>
      <c r="D1641" s="4" t="s">
        <v>36</v>
      </c>
      <c r="E1641" s="7">
        <v>42499</v>
      </c>
      <c r="F1641" s="4" t="s">
        <v>105</v>
      </c>
      <c r="G1641" s="4" t="s">
        <v>161</v>
      </c>
      <c r="H1641" s="4">
        <v>70</v>
      </c>
      <c r="I1641" s="4">
        <v>68</v>
      </c>
      <c r="J1641" s="5">
        <v>2.86E-2</v>
      </c>
      <c r="K1641" s="3">
        <v>68</v>
      </c>
      <c r="L1641" s="4">
        <f>tblSales[[#This Row],[Quantity]]*tblSales[[#This Row],[Actual Price]]</f>
        <v>4624</v>
      </c>
    </row>
    <row r="1642" spans="1:12" x14ac:dyDescent="0.35">
      <c r="A1642" s="3" t="s">
        <v>2224</v>
      </c>
      <c r="B1642" s="4" t="s">
        <v>132</v>
      </c>
      <c r="C1642" s="4" t="s">
        <v>109</v>
      </c>
      <c r="D1642" s="4" t="s">
        <v>20</v>
      </c>
      <c r="E1642" s="7">
        <v>41927</v>
      </c>
      <c r="F1642" s="4" t="s">
        <v>37</v>
      </c>
      <c r="G1642" s="4" t="s">
        <v>133</v>
      </c>
      <c r="H1642" s="4">
        <v>50</v>
      </c>
      <c r="I1642" s="4">
        <v>45</v>
      </c>
      <c r="J1642" s="5">
        <v>0.1</v>
      </c>
      <c r="K1642" s="3">
        <v>21</v>
      </c>
      <c r="L1642" s="4">
        <f>tblSales[[#This Row],[Quantity]]*tblSales[[#This Row],[Actual Price]]</f>
        <v>945</v>
      </c>
    </row>
    <row r="1643" spans="1:12" x14ac:dyDescent="0.35">
      <c r="A1643" s="3" t="s">
        <v>2225</v>
      </c>
      <c r="B1643" s="4" t="s">
        <v>2192</v>
      </c>
      <c r="C1643" s="4" t="s">
        <v>109</v>
      </c>
      <c r="D1643" s="4" t="s">
        <v>20</v>
      </c>
      <c r="E1643" s="7">
        <v>43304</v>
      </c>
      <c r="F1643" s="4" t="s">
        <v>37</v>
      </c>
      <c r="G1643" s="4" t="s">
        <v>2193</v>
      </c>
      <c r="H1643" s="4">
        <v>50</v>
      </c>
      <c r="I1643" s="4">
        <v>48</v>
      </c>
      <c r="J1643" s="5">
        <v>0.04</v>
      </c>
      <c r="K1643" s="3">
        <v>69</v>
      </c>
      <c r="L1643" s="4">
        <f>tblSales[[#This Row],[Quantity]]*tblSales[[#This Row],[Actual Price]]</f>
        <v>3312</v>
      </c>
    </row>
    <row r="1644" spans="1:12" x14ac:dyDescent="0.35">
      <c r="A1644" s="3" t="s">
        <v>2226</v>
      </c>
      <c r="B1644" s="4" t="s">
        <v>325</v>
      </c>
      <c r="C1644" s="4" t="s">
        <v>326</v>
      </c>
      <c r="D1644" s="4" t="s">
        <v>14</v>
      </c>
      <c r="E1644" s="7">
        <v>41866</v>
      </c>
      <c r="F1644" s="4" t="s">
        <v>56</v>
      </c>
      <c r="G1644" s="4" t="s">
        <v>1193</v>
      </c>
      <c r="H1644" s="4">
        <v>800</v>
      </c>
      <c r="I1644" s="4">
        <v>704</v>
      </c>
      <c r="J1644" s="5">
        <v>0.12</v>
      </c>
      <c r="K1644" s="3">
        <v>94</v>
      </c>
      <c r="L1644" s="4">
        <f>tblSales[[#This Row],[Quantity]]*tblSales[[#This Row],[Actual Price]]</f>
        <v>66176</v>
      </c>
    </row>
    <row r="1645" spans="1:12" x14ac:dyDescent="0.35">
      <c r="A1645" s="3" t="s">
        <v>2227</v>
      </c>
      <c r="B1645" s="4" t="s">
        <v>206</v>
      </c>
      <c r="C1645" s="4" t="s">
        <v>207</v>
      </c>
      <c r="D1645" s="4" t="s">
        <v>25</v>
      </c>
      <c r="E1645" s="7">
        <v>42965</v>
      </c>
      <c r="F1645" s="4" t="s">
        <v>15</v>
      </c>
      <c r="G1645" s="4" t="s">
        <v>1479</v>
      </c>
      <c r="H1645" s="4">
        <v>80</v>
      </c>
      <c r="I1645" s="4">
        <v>80</v>
      </c>
      <c r="J1645" s="5">
        <v>0</v>
      </c>
      <c r="K1645" s="3">
        <v>26</v>
      </c>
      <c r="L1645" s="4">
        <f>tblSales[[#This Row],[Quantity]]*tblSales[[#This Row],[Actual Price]]</f>
        <v>2080</v>
      </c>
    </row>
    <row r="1646" spans="1:12" x14ac:dyDescent="0.35">
      <c r="A1646" s="3" t="s">
        <v>2228</v>
      </c>
      <c r="B1646" s="4" t="s">
        <v>188</v>
      </c>
      <c r="C1646" s="4" t="s">
        <v>189</v>
      </c>
      <c r="D1646" s="4" t="s">
        <v>14</v>
      </c>
      <c r="E1646" s="7">
        <v>41871</v>
      </c>
      <c r="F1646" s="4" t="s">
        <v>42</v>
      </c>
      <c r="G1646" s="4" t="s">
        <v>684</v>
      </c>
      <c r="H1646" s="4">
        <v>30</v>
      </c>
      <c r="I1646" s="4">
        <v>30</v>
      </c>
      <c r="J1646" s="5">
        <v>0</v>
      </c>
      <c r="K1646" s="3">
        <v>19</v>
      </c>
      <c r="L1646" s="4">
        <f>tblSales[[#This Row],[Quantity]]*tblSales[[#This Row],[Actual Price]]</f>
        <v>570</v>
      </c>
    </row>
    <row r="1647" spans="1:12" x14ac:dyDescent="0.35">
      <c r="A1647" s="3" t="s">
        <v>2229</v>
      </c>
      <c r="B1647" s="4" t="s">
        <v>151</v>
      </c>
      <c r="C1647" s="4" t="s">
        <v>152</v>
      </c>
      <c r="D1647" s="4" t="s">
        <v>14</v>
      </c>
      <c r="E1647" s="7">
        <v>42027</v>
      </c>
      <c r="F1647" s="4" t="s">
        <v>116</v>
      </c>
      <c r="G1647" s="4" t="s">
        <v>825</v>
      </c>
      <c r="H1647" s="4">
        <v>250</v>
      </c>
      <c r="I1647" s="4">
        <v>160</v>
      </c>
      <c r="J1647" s="5">
        <v>0.36</v>
      </c>
      <c r="K1647" s="3">
        <v>17</v>
      </c>
      <c r="L1647" s="4">
        <f>tblSales[[#This Row],[Quantity]]*tblSales[[#This Row],[Actual Price]]</f>
        <v>2720</v>
      </c>
    </row>
    <row r="1648" spans="1:12" x14ac:dyDescent="0.35">
      <c r="A1648" s="3" t="s">
        <v>2230</v>
      </c>
      <c r="B1648" s="4" t="s">
        <v>188</v>
      </c>
      <c r="C1648" s="4" t="s">
        <v>189</v>
      </c>
      <c r="D1648" s="4" t="s">
        <v>14</v>
      </c>
      <c r="E1648" s="7">
        <v>42330</v>
      </c>
      <c r="F1648" s="4" t="s">
        <v>123</v>
      </c>
      <c r="G1648" s="4" t="s">
        <v>190</v>
      </c>
      <c r="H1648" s="4">
        <v>50</v>
      </c>
      <c r="I1648" s="4">
        <v>43</v>
      </c>
      <c r="J1648" s="5">
        <v>0.14000000000000001</v>
      </c>
      <c r="K1648" s="3">
        <v>42</v>
      </c>
      <c r="L1648" s="4">
        <f>tblSales[[#This Row],[Quantity]]*tblSales[[#This Row],[Actual Price]]</f>
        <v>1806</v>
      </c>
    </row>
    <row r="1649" spans="1:12" x14ac:dyDescent="0.35">
      <c r="A1649" s="3" t="s">
        <v>2231</v>
      </c>
      <c r="B1649" s="4" t="s">
        <v>188</v>
      </c>
      <c r="C1649" s="4" t="s">
        <v>189</v>
      </c>
      <c r="D1649" s="4" t="s">
        <v>14</v>
      </c>
      <c r="E1649" s="7">
        <v>43181</v>
      </c>
      <c r="F1649" s="4" t="s">
        <v>73</v>
      </c>
      <c r="G1649" s="4" t="s">
        <v>190</v>
      </c>
      <c r="H1649" s="4">
        <v>500</v>
      </c>
      <c r="I1649" s="4">
        <v>495</v>
      </c>
      <c r="J1649" s="5">
        <v>0.01</v>
      </c>
      <c r="K1649" s="3">
        <v>34</v>
      </c>
      <c r="L1649" s="4">
        <f>tblSales[[#This Row],[Quantity]]*tblSales[[#This Row],[Actual Price]]</f>
        <v>16830</v>
      </c>
    </row>
    <row r="1650" spans="1:12" x14ac:dyDescent="0.35">
      <c r="A1650" s="3" t="s">
        <v>2232</v>
      </c>
      <c r="B1650" s="4" t="s">
        <v>242</v>
      </c>
      <c r="C1650" s="4" t="s">
        <v>243</v>
      </c>
      <c r="D1650" s="4" t="s">
        <v>14</v>
      </c>
      <c r="E1650" s="7">
        <v>43310</v>
      </c>
      <c r="F1650" s="4" t="s">
        <v>42</v>
      </c>
      <c r="G1650" s="4" t="s">
        <v>2233</v>
      </c>
      <c r="H1650" s="4">
        <v>30</v>
      </c>
      <c r="I1650" s="4">
        <v>27</v>
      </c>
      <c r="J1650" s="5">
        <v>0.1</v>
      </c>
      <c r="K1650" s="3">
        <v>16</v>
      </c>
      <c r="L1650" s="4">
        <f>tblSales[[#This Row],[Quantity]]*tblSales[[#This Row],[Actual Price]]</f>
        <v>432</v>
      </c>
    </row>
    <row r="1651" spans="1:12" x14ac:dyDescent="0.35">
      <c r="A1651" s="3" t="s">
        <v>2234</v>
      </c>
      <c r="B1651" s="4" t="s">
        <v>401</v>
      </c>
      <c r="C1651" s="4" t="s">
        <v>402</v>
      </c>
      <c r="D1651" s="4" t="s">
        <v>14</v>
      </c>
      <c r="E1651" s="7">
        <v>42294</v>
      </c>
      <c r="F1651" s="4" t="s">
        <v>15</v>
      </c>
      <c r="G1651" s="4" t="s">
        <v>1740</v>
      </c>
      <c r="H1651" s="4">
        <v>80</v>
      </c>
      <c r="I1651" s="4">
        <v>61</v>
      </c>
      <c r="J1651" s="5">
        <v>0.23749999999999999</v>
      </c>
      <c r="K1651" s="3">
        <v>93</v>
      </c>
      <c r="L1651" s="4">
        <f>tblSales[[#This Row],[Quantity]]*tblSales[[#This Row],[Actual Price]]</f>
        <v>5673</v>
      </c>
    </row>
    <row r="1652" spans="1:12" x14ac:dyDescent="0.35">
      <c r="A1652" s="3" t="s">
        <v>2235</v>
      </c>
      <c r="B1652" s="4" t="s">
        <v>183</v>
      </c>
      <c r="C1652" s="4" t="s">
        <v>109</v>
      </c>
      <c r="D1652" s="4" t="s">
        <v>20</v>
      </c>
      <c r="E1652" s="7">
        <v>42488</v>
      </c>
      <c r="F1652" s="4" t="s">
        <v>62</v>
      </c>
      <c r="G1652" s="4" t="s">
        <v>2236</v>
      </c>
      <c r="H1652" s="4">
        <v>1000</v>
      </c>
      <c r="I1652" s="4">
        <v>990</v>
      </c>
      <c r="J1652" s="5">
        <v>0.01</v>
      </c>
      <c r="K1652" s="3">
        <v>7</v>
      </c>
      <c r="L1652" s="4">
        <f>tblSales[[#This Row],[Quantity]]*tblSales[[#This Row],[Actual Price]]</f>
        <v>6930</v>
      </c>
    </row>
    <row r="1653" spans="1:12" x14ac:dyDescent="0.35">
      <c r="A1653" s="3" t="s">
        <v>2237</v>
      </c>
      <c r="B1653" s="4" t="s">
        <v>158</v>
      </c>
      <c r="C1653" s="4" t="s">
        <v>109</v>
      </c>
      <c r="D1653" s="4" t="s">
        <v>20</v>
      </c>
      <c r="E1653" s="7">
        <v>42996</v>
      </c>
      <c r="F1653" s="4" t="s">
        <v>37</v>
      </c>
      <c r="G1653" s="4" t="s">
        <v>1287</v>
      </c>
      <c r="H1653" s="4">
        <v>50</v>
      </c>
      <c r="I1653" s="4">
        <v>45</v>
      </c>
      <c r="J1653" s="5">
        <v>0.1</v>
      </c>
      <c r="K1653" s="3">
        <v>26</v>
      </c>
      <c r="L1653" s="4">
        <f>tblSales[[#This Row],[Quantity]]*tblSales[[#This Row],[Actual Price]]</f>
        <v>1170</v>
      </c>
    </row>
    <row r="1654" spans="1:12" x14ac:dyDescent="0.35">
      <c r="A1654" s="3" t="s">
        <v>2238</v>
      </c>
      <c r="B1654" s="4" t="s">
        <v>2171</v>
      </c>
      <c r="C1654" s="4" t="s">
        <v>19</v>
      </c>
      <c r="D1654" s="4" t="s">
        <v>20</v>
      </c>
      <c r="E1654" s="7">
        <v>42689</v>
      </c>
      <c r="F1654" s="4" t="s">
        <v>116</v>
      </c>
      <c r="G1654" s="4" t="s">
        <v>2239</v>
      </c>
      <c r="H1654" s="4">
        <v>250</v>
      </c>
      <c r="I1654" s="4">
        <v>243</v>
      </c>
      <c r="J1654" s="5">
        <v>2.8000000000000001E-2</v>
      </c>
      <c r="K1654" s="3">
        <v>64</v>
      </c>
      <c r="L1654" s="4">
        <f>tblSales[[#This Row],[Quantity]]*tblSales[[#This Row],[Actual Price]]</f>
        <v>15552</v>
      </c>
    </row>
    <row r="1655" spans="1:12" x14ac:dyDescent="0.35">
      <c r="A1655" s="3" t="s">
        <v>2240</v>
      </c>
      <c r="B1655" s="4" t="s">
        <v>147</v>
      </c>
      <c r="C1655" s="4" t="s">
        <v>148</v>
      </c>
      <c r="D1655" s="4" t="s">
        <v>14</v>
      </c>
      <c r="E1655" s="7">
        <v>42257</v>
      </c>
      <c r="F1655" s="4" t="s">
        <v>15</v>
      </c>
      <c r="G1655" s="4" t="s">
        <v>1335</v>
      </c>
      <c r="H1655" s="4">
        <v>80</v>
      </c>
      <c r="I1655" s="4">
        <v>53</v>
      </c>
      <c r="J1655" s="5">
        <v>0.33750000000000002</v>
      </c>
      <c r="K1655" s="3">
        <v>6</v>
      </c>
      <c r="L1655" s="4">
        <f>tblSales[[#This Row],[Quantity]]*tblSales[[#This Row],[Actual Price]]</f>
        <v>318</v>
      </c>
    </row>
    <row r="1656" spans="1:12" x14ac:dyDescent="0.35">
      <c r="A1656" s="3" t="s">
        <v>2241</v>
      </c>
      <c r="B1656" s="4" t="s">
        <v>23</v>
      </c>
      <c r="C1656" s="4" t="s">
        <v>24</v>
      </c>
      <c r="D1656" s="4" t="s">
        <v>25</v>
      </c>
      <c r="E1656" s="7">
        <v>41641</v>
      </c>
      <c r="F1656" s="4" t="s">
        <v>62</v>
      </c>
      <c r="G1656" s="4" t="s">
        <v>145</v>
      </c>
      <c r="H1656" s="4">
        <v>1000</v>
      </c>
      <c r="I1656" s="4">
        <v>590</v>
      </c>
      <c r="J1656" s="5">
        <v>0.41</v>
      </c>
      <c r="K1656" s="3">
        <v>53</v>
      </c>
      <c r="L1656" s="4">
        <f>tblSales[[#This Row],[Quantity]]*tblSales[[#This Row],[Actual Price]]</f>
        <v>31270</v>
      </c>
    </row>
    <row r="1657" spans="1:12" x14ac:dyDescent="0.35">
      <c r="A1657" s="3" t="s">
        <v>2242</v>
      </c>
      <c r="B1657" s="4" t="s">
        <v>104</v>
      </c>
      <c r="C1657" s="4" t="s">
        <v>72</v>
      </c>
      <c r="D1657" s="4" t="s">
        <v>36</v>
      </c>
      <c r="E1657" s="7">
        <v>43241</v>
      </c>
      <c r="F1657" s="4" t="s">
        <v>31</v>
      </c>
      <c r="G1657" s="4" t="s">
        <v>498</v>
      </c>
      <c r="H1657" s="4">
        <v>150</v>
      </c>
      <c r="I1657" s="4">
        <v>138</v>
      </c>
      <c r="J1657" s="5">
        <v>0.08</v>
      </c>
      <c r="K1657" s="3">
        <v>47</v>
      </c>
      <c r="L1657" s="4">
        <f>tblSales[[#This Row],[Quantity]]*tblSales[[#This Row],[Actual Price]]</f>
        <v>6486</v>
      </c>
    </row>
    <row r="1658" spans="1:12" x14ac:dyDescent="0.35">
      <c r="A1658" s="3" t="s">
        <v>2243</v>
      </c>
      <c r="B1658" s="4" t="s">
        <v>2244</v>
      </c>
      <c r="C1658" s="4" t="s">
        <v>109</v>
      </c>
      <c r="D1658" s="4" t="s">
        <v>20</v>
      </c>
      <c r="E1658" s="7">
        <v>42075</v>
      </c>
      <c r="F1658" s="4" t="s">
        <v>26</v>
      </c>
      <c r="G1658" s="4" t="s">
        <v>2245</v>
      </c>
      <c r="H1658" s="4">
        <v>700</v>
      </c>
      <c r="I1658" s="4">
        <v>560</v>
      </c>
      <c r="J1658" s="5">
        <v>0.2</v>
      </c>
      <c r="K1658" s="3">
        <v>19</v>
      </c>
      <c r="L1658" s="4">
        <f>tblSales[[#This Row],[Quantity]]*tblSales[[#This Row],[Actual Price]]</f>
        <v>10640</v>
      </c>
    </row>
    <row r="1659" spans="1:12" x14ac:dyDescent="0.35">
      <c r="A1659" s="3" t="s">
        <v>2246</v>
      </c>
      <c r="B1659" s="4" t="s">
        <v>2192</v>
      </c>
      <c r="C1659" s="4" t="s">
        <v>109</v>
      </c>
      <c r="D1659" s="4" t="s">
        <v>20</v>
      </c>
      <c r="E1659" s="7">
        <v>41880</v>
      </c>
      <c r="F1659" s="4" t="s">
        <v>56</v>
      </c>
      <c r="G1659" s="4" t="s">
        <v>2202</v>
      </c>
      <c r="H1659" s="4">
        <v>800</v>
      </c>
      <c r="I1659" s="4">
        <v>512</v>
      </c>
      <c r="J1659" s="5">
        <v>0.36</v>
      </c>
      <c r="K1659" s="3">
        <v>36</v>
      </c>
      <c r="L1659" s="4">
        <f>tblSales[[#This Row],[Quantity]]*tblSales[[#This Row],[Actual Price]]</f>
        <v>18432</v>
      </c>
    </row>
    <row r="1660" spans="1:12" x14ac:dyDescent="0.35">
      <c r="A1660" s="3" t="s">
        <v>2247</v>
      </c>
      <c r="B1660" s="4" t="s">
        <v>325</v>
      </c>
      <c r="C1660" s="4" t="s">
        <v>326</v>
      </c>
      <c r="D1660" s="4" t="s">
        <v>14</v>
      </c>
      <c r="E1660" s="7">
        <v>42858</v>
      </c>
      <c r="F1660" s="4" t="s">
        <v>42</v>
      </c>
      <c r="G1660" s="4" t="s">
        <v>1248</v>
      </c>
      <c r="H1660" s="4">
        <v>30</v>
      </c>
      <c r="I1660" s="4">
        <v>29</v>
      </c>
      <c r="J1660" s="5">
        <v>3.3300000000000003E-2</v>
      </c>
      <c r="K1660" s="3">
        <v>7</v>
      </c>
      <c r="L1660" s="4">
        <f>tblSales[[#This Row],[Quantity]]*tblSales[[#This Row],[Actual Price]]</f>
        <v>203</v>
      </c>
    </row>
    <row r="1661" spans="1:12" x14ac:dyDescent="0.35">
      <c r="A1661" s="3" t="s">
        <v>2248</v>
      </c>
      <c r="B1661" s="4" t="s">
        <v>65</v>
      </c>
      <c r="C1661" s="4" t="s">
        <v>66</v>
      </c>
      <c r="D1661" s="4" t="s">
        <v>36</v>
      </c>
      <c r="E1661" s="7">
        <v>42426</v>
      </c>
      <c r="F1661" s="4" t="s">
        <v>31</v>
      </c>
      <c r="G1661" s="4" t="s">
        <v>1537</v>
      </c>
      <c r="H1661" s="4">
        <v>150</v>
      </c>
      <c r="I1661" s="4">
        <v>144</v>
      </c>
      <c r="J1661" s="5">
        <v>0.04</v>
      </c>
      <c r="K1661" s="3">
        <v>28</v>
      </c>
      <c r="L1661" s="4">
        <f>tblSales[[#This Row],[Quantity]]*tblSales[[#This Row],[Actual Price]]</f>
        <v>4032</v>
      </c>
    </row>
    <row r="1662" spans="1:12" x14ac:dyDescent="0.35">
      <c r="A1662" s="3" t="s">
        <v>2249</v>
      </c>
      <c r="B1662" s="4" t="s">
        <v>50</v>
      </c>
      <c r="C1662" s="4" t="s">
        <v>51</v>
      </c>
      <c r="D1662" s="4" t="s">
        <v>25</v>
      </c>
      <c r="E1662" s="7">
        <v>43327</v>
      </c>
      <c r="F1662" s="4" t="s">
        <v>105</v>
      </c>
      <c r="G1662" s="4" t="s">
        <v>919</v>
      </c>
      <c r="H1662" s="4">
        <v>70</v>
      </c>
      <c r="I1662" s="4">
        <v>70</v>
      </c>
      <c r="J1662" s="5">
        <v>0</v>
      </c>
      <c r="K1662" s="3">
        <v>2</v>
      </c>
      <c r="L1662" s="4">
        <f>tblSales[[#This Row],[Quantity]]*tblSales[[#This Row],[Actual Price]]</f>
        <v>140</v>
      </c>
    </row>
    <row r="1663" spans="1:12" x14ac:dyDescent="0.35">
      <c r="A1663" s="3" t="s">
        <v>2250</v>
      </c>
      <c r="B1663" s="4" t="s">
        <v>256</v>
      </c>
      <c r="C1663" s="4" t="s">
        <v>257</v>
      </c>
      <c r="D1663" s="4" t="s">
        <v>14</v>
      </c>
      <c r="E1663" s="7">
        <v>43078</v>
      </c>
      <c r="F1663" s="4" t="s">
        <v>47</v>
      </c>
      <c r="G1663" s="4" t="s">
        <v>523</v>
      </c>
      <c r="H1663" s="4">
        <v>500</v>
      </c>
      <c r="I1663" s="4">
        <v>470</v>
      </c>
      <c r="J1663" s="5">
        <v>0.06</v>
      </c>
      <c r="K1663" s="3">
        <v>8</v>
      </c>
      <c r="L1663" s="4">
        <f>tblSales[[#This Row],[Quantity]]*tblSales[[#This Row],[Actual Price]]</f>
        <v>3760</v>
      </c>
    </row>
    <row r="1664" spans="1:12" x14ac:dyDescent="0.35">
      <c r="A1664" s="3" t="s">
        <v>2251</v>
      </c>
      <c r="B1664" s="4" t="s">
        <v>135</v>
      </c>
      <c r="C1664" s="4" t="s">
        <v>93</v>
      </c>
      <c r="D1664" s="4" t="s">
        <v>36</v>
      </c>
      <c r="E1664" s="7">
        <v>42928</v>
      </c>
      <c r="F1664" s="4" t="s">
        <v>47</v>
      </c>
      <c r="G1664" s="4" t="s">
        <v>1063</v>
      </c>
      <c r="H1664" s="4">
        <v>500</v>
      </c>
      <c r="I1664" s="4">
        <v>480</v>
      </c>
      <c r="J1664" s="5">
        <v>0.04</v>
      </c>
      <c r="K1664" s="3">
        <v>9</v>
      </c>
      <c r="L1664" s="4">
        <f>tblSales[[#This Row],[Quantity]]*tblSales[[#This Row],[Actual Price]]</f>
        <v>4320</v>
      </c>
    </row>
    <row r="1665" spans="1:12" x14ac:dyDescent="0.35">
      <c r="A1665" s="3" t="s">
        <v>2252</v>
      </c>
      <c r="B1665" s="4" t="s">
        <v>222</v>
      </c>
      <c r="C1665" s="4" t="s">
        <v>41</v>
      </c>
      <c r="D1665" s="4" t="s">
        <v>36</v>
      </c>
      <c r="E1665" s="7">
        <v>42726</v>
      </c>
      <c r="F1665" s="4" t="s">
        <v>47</v>
      </c>
      <c r="G1665" s="4" t="s">
        <v>1060</v>
      </c>
      <c r="H1665" s="4">
        <v>500</v>
      </c>
      <c r="I1665" s="4">
        <v>435</v>
      </c>
      <c r="J1665" s="5">
        <v>0.13</v>
      </c>
      <c r="K1665" s="3">
        <v>99</v>
      </c>
      <c r="L1665" s="4">
        <f>tblSales[[#This Row],[Quantity]]*tblSales[[#This Row],[Actual Price]]</f>
        <v>43065</v>
      </c>
    </row>
    <row r="1666" spans="1:12" x14ac:dyDescent="0.35">
      <c r="A1666" s="3" t="s">
        <v>2253</v>
      </c>
      <c r="B1666" s="4" t="s">
        <v>86</v>
      </c>
      <c r="C1666" s="4" t="s">
        <v>87</v>
      </c>
      <c r="D1666" s="4" t="s">
        <v>14</v>
      </c>
      <c r="E1666" s="7">
        <v>42291</v>
      </c>
      <c r="F1666" s="4" t="s">
        <v>42</v>
      </c>
      <c r="G1666" s="4" t="s">
        <v>88</v>
      </c>
      <c r="H1666" s="4">
        <v>30</v>
      </c>
      <c r="I1666" s="4">
        <v>27</v>
      </c>
      <c r="J1666" s="5">
        <v>0.1</v>
      </c>
      <c r="K1666" s="3">
        <v>25</v>
      </c>
      <c r="L1666" s="4">
        <f>tblSales[[#This Row],[Quantity]]*tblSales[[#This Row],[Actual Price]]</f>
        <v>675</v>
      </c>
    </row>
    <row r="1667" spans="1:12" x14ac:dyDescent="0.35">
      <c r="A1667" s="3" t="s">
        <v>2254</v>
      </c>
      <c r="B1667" s="4" t="s">
        <v>271</v>
      </c>
      <c r="C1667" s="4" t="s">
        <v>272</v>
      </c>
      <c r="D1667" s="4" t="s">
        <v>36</v>
      </c>
      <c r="E1667" s="7">
        <v>42609</v>
      </c>
      <c r="F1667" s="4" t="s">
        <v>62</v>
      </c>
      <c r="G1667" s="4" t="s">
        <v>1828</v>
      </c>
      <c r="H1667" s="4">
        <v>1000</v>
      </c>
      <c r="I1667" s="4">
        <v>930</v>
      </c>
      <c r="J1667" s="5">
        <v>7.0000000000000007E-2</v>
      </c>
      <c r="K1667" s="3">
        <v>23</v>
      </c>
      <c r="L1667" s="4">
        <f>tblSales[[#This Row],[Quantity]]*tblSales[[#This Row],[Actual Price]]</f>
        <v>21390</v>
      </c>
    </row>
    <row r="1668" spans="1:12" x14ac:dyDescent="0.35">
      <c r="A1668" s="3" t="s">
        <v>2255</v>
      </c>
      <c r="B1668" s="4" t="s">
        <v>325</v>
      </c>
      <c r="C1668" s="4" t="s">
        <v>326</v>
      </c>
      <c r="D1668" s="4" t="s">
        <v>14</v>
      </c>
      <c r="E1668" s="7">
        <v>42060</v>
      </c>
      <c r="F1668" s="4" t="s">
        <v>105</v>
      </c>
      <c r="G1668" s="4" t="s">
        <v>589</v>
      </c>
      <c r="H1668" s="4">
        <v>70</v>
      </c>
      <c r="I1668" s="4">
        <v>68</v>
      </c>
      <c r="J1668" s="5">
        <v>2.86E-2</v>
      </c>
      <c r="K1668" s="3">
        <v>23</v>
      </c>
      <c r="L1668" s="4">
        <f>tblSales[[#This Row],[Quantity]]*tblSales[[#This Row],[Actual Price]]</f>
        <v>1564</v>
      </c>
    </row>
    <row r="1669" spans="1:12" x14ac:dyDescent="0.35">
      <c r="A1669" s="3" t="s">
        <v>2256</v>
      </c>
      <c r="B1669" s="4" t="s">
        <v>265</v>
      </c>
      <c r="C1669" s="4" t="s">
        <v>266</v>
      </c>
      <c r="D1669" s="4" t="s">
        <v>14</v>
      </c>
      <c r="E1669" s="7">
        <v>42820</v>
      </c>
      <c r="F1669" s="4" t="s">
        <v>47</v>
      </c>
      <c r="G1669" s="4" t="s">
        <v>315</v>
      </c>
      <c r="H1669" s="4">
        <v>500</v>
      </c>
      <c r="I1669" s="4">
        <v>460</v>
      </c>
      <c r="J1669" s="5">
        <v>0.08</v>
      </c>
      <c r="K1669" s="3">
        <v>21</v>
      </c>
      <c r="L1669" s="4">
        <f>tblSales[[#This Row],[Quantity]]*tblSales[[#This Row],[Actual Price]]</f>
        <v>9660</v>
      </c>
    </row>
    <row r="1670" spans="1:12" x14ac:dyDescent="0.35">
      <c r="A1670" s="3" t="s">
        <v>2257</v>
      </c>
      <c r="B1670" s="4" t="s">
        <v>96</v>
      </c>
      <c r="C1670" s="4" t="s">
        <v>97</v>
      </c>
      <c r="D1670" s="4" t="s">
        <v>14</v>
      </c>
      <c r="E1670" s="7">
        <v>42277</v>
      </c>
      <c r="F1670" s="4" t="s">
        <v>116</v>
      </c>
      <c r="G1670" s="4" t="s">
        <v>1276</v>
      </c>
      <c r="H1670" s="4">
        <v>250</v>
      </c>
      <c r="I1670" s="4">
        <v>158</v>
      </c>
      <c r="J1670" s="5">
        <v>0.36799999999999999</v>
      </c>
      <c r="K1670" s="3">
        <v>56</v>
      </c>
      <c r="L1670" s="4">
        <f>tblSales[[#This Row],[Quantity]]*tblSales[[#This Row],[Actual Price]]</f>
        <v>8848</v>
      </c>
    </row>
    <row r="1671" spans="1:12" x14ac:dyDescent="0.35">
      <c r="A1671" s="3" t="s">
        <v>2258</v>
      </c>
      <c r="B1671" s="4" t="s">
        <v>132</v>
      </c>
      <c r="C1671" s="4" t="s">
        <v>109</v>
      </c>
      <c r="D1671" s="4" t="s">
        <v>20</v>
      </c>
      <c r="E1671" s="7">
        <v>41867</v>
      </c>
      <c r="F1671" s="4" t="s">
        <v>26</v>
      </c>
      <c r="G1671" s="4" t="s">
        <v>1551</v>
      </c>
      <c r="H1671" s="4">
        <v>700</v>
      </c>
      <c r="I1671" s="4">
        <v>658</v>
      </c>
      <c r="J1671" s="5">
        <v>0.06</v>
      </c>
      <c r="K1671" s="3">
        <v>90</v>
      </c>
      <c r="L1671" s="4">
        <f>tblSales[[#This Row],[Quantity]]*tblSales[[#This Row],[Actual Price]]</f>
        <v>59220</v>
      </c>
    </row>
    <row r="1672" spans="1:12" x14ac:dyDescent="0.35">
      <c r="A1672" s="3" t="s">
        <v>2259</v>
      </c>
      <c r="B1672" s="4" t="s">
        <v>256</v>
      </c>
      <c r="C1672" s="4" t="s">
        <v>257</v>
      </c>
      <c r="D1672" s="4" t="s">
        <v>14</v>
      </c>
      <c r="E1672" s="7">
        <v>41734</v>
      </c>
      <c r="F1672" s="4" t="s">
        <v>116</v>
      </c>
      <c r="G1672" s="4" t="s">
        <v>258</v>
      </c>
      <c r="H1672" s="4">
        <v>250</v>
      </c>
      <c r="I1672" s="4">
        <v>178</v>
      </c>
      <c r="J1672" s="5">
        <v>0.28799999999999998</v>
      </c>
      <c r="K1672" s="3">
        <v>13</v>
      </c>
      <c r="L1672" s="4">
        <f>tblSales[[#This Row],[Quantity]]*tblSales[[#This Row],[Actual Price]]</f>
        <v>2314</v>
      </c>
    </row>
    <row r="1673" spans="1:12" x14ac:dyDescent="0.35">
      <c r="A1673" s="3" t="s">
        <v>2260</v>
      </c>
      <c r="B1673" s="4" t="s">
        <v>119</v>
      </c>
      <c r="C1673" s="4" t="s">
        <v>120</v>
      </c>
      <c r="D1673" s="4" t="s">
        <v>36</v>
      </c>
      <c r="E1673" s="7">
        <v>42146</v>
      </c>
      <c r="F1673" s="4" t="s">
        <v>116</v>
      </c>
      <c r="G1673" s="4" t="s">
        <v>584</v>
      </c>
      <c r="H1673" s="4">
        <v>250</v>
      </c>
      <c r="I1673" s="4">
        <v>240</v>
      </c>
      <c r="J1673" s="5">
        <v>0.04</v>
      </c>
      <c r="K1673" s="3">
        <v>39</v>
      </c>
      <c r="L1673" s="4">
        <f>tblSales[[#This Row],[Quantity]]*tblSales[[#This Row],[Actual Price]]</f>
        <v>9360</v>
      </c>
    </row>
    <row r="1674" spans="1:12" x14ac:dyDescent="0.35">
      <c r="A1674" s="3" t="s">
        <v>2261</v>
      </c>
      <c r="B1674" s="4" t="s">
        <v>228</v>
      </c>
      <c r="C1674" s="4" t="s">
        <v>229</v>
      </c>
      <c r="D1674" s="4" t="s">
        <v>25</v>
      </c>
      <c r="E1674" s="7">
        <v>42743</v>
      </c>
      <c r="F1674" s="4" t="s">
        <v>116</v>
      </c>
      <c r="G1674" s="4" t="s">
        <v>230</v>
      </c>
      <c r="H1674" s="4">
        <v>250</v>
      </c>
      <c r="I1674" s="4">
        <v>243</v>
      </c>
      <c r="J1674" s="5">
        <v>2.8000000000000001E-2</v>
      </c>
      <c r="K1674" s="3">
        <v>90</v>
      </c>
      <c r="L1674" s="4">
        <f>tblSales[[#This Row],[Quantity]]*tblSales[[#This Row],[Actual Price]]</f>
        <v>21870</v>
      </c>
    </row>
    <row r="1675" spans="1:12" x14ac:dyDescent="0.35">
      <c r="A1675" s="3" t="s">
        <v>2262</v>
      </c>
      <c r="B1675" s="4" t="s">
        <v>71</v>
      </c>
      <c r="C1675" s="4" t="s">
        <v>72</v>
      </c>
      <c r="D1675" s="4" t="s">
        <v>36</v>
      </c>
      <c r="E1675" s="7">
        <v>42435</v>
      </c>
      <c r="F1675" s="4" t="s">
        <v>62</v>
      </c>
      <c r="G1675" s="4" t="s">
        <v>74</v>
      </c>
      <c r="H1675" s="4">
        <v>1000</v>
      </c>
      <c r="I1675" s="4">
        <v>810</v>
      </c>
      <c r="J1675" s="5">
        <v>0.19</v>
      </c>
      <c r="K1675" s="3">
        <v>13</v>
      </c>
      <c r="L1675" s="4">
        <f>tblSales[[#This Row],[Quantity]]*tblSales[[#This Row],[Actual Price]]</f>
        <v>10530</v>
      </c>
    </row>
    <row r="1676" spans="1:12" x14ac:dyDescent="0.35">
      <c r="A1676" s="3" t="s">
        <v>2263</v>
      </c>
      <c r="B1676" s="4" t="s">
        <v>104</v>
      </c>
      <c r="C1676" s="4" t="s">
        <v>72</v>
      </c>
      <c r="D1676" s="4" t="s">
        <v>36</v>
      </c>
      <c r="E1676" s="7">
        <v>42829</v>
      </c>
      <c r="F1676" s="4" t="s">
        <v>62</v>
      </c>
      <c r="G1676" s="4" t="s">
        <v>1816</v>
      </c>
      <c r="H1676" s="4">
        <v>1000</v>
      </c>
      <c r="I1676" s="4">
        <v>700</v>
      </c>
      <c r="J1676" s="5">
        <v>0.3</v>
      </c>
      <c r="K1676" s="3">
        <v>14</v>
      </c>
      <c r="L1676" s="4">
        <f>tblSales[[#This Row],[Quantity]]*tblSales[[#This Row],[Actual Price]]</f>
        <v>9800</v>
      </c>
    </row>
    <row r="1677" spans="1:12" x14ac:dyDescent="0.35">
      <c r="A1677" s="3" t="s">
        <v>2264</v>
      </c>
      <c r="B1677" s="4" t="s">
        <v>175</v>
      </c>
      <c r="C1677" s="4" t="s">
        <v>176</v>
      </c>
      <c r="D1677" s="4" t="s">
        <v>14</v>
      </c>
      <c r="E1677" s="7">
        <v>42431</v>
      </c>
      <c r="F1677" s="4" t="s">
        <v>42</v>
      </c>
      <c r="G1677" s="4" t="s">
        <v>1457</v>
      </c>
      <c r="H1677" s="4">
        <v>30</v>
      </c>
      <c r="I1677" s="4">
        <v>29</v>
      </c>
      <c r="J1677" s="5">
        <v>3.3300000000000003E-2</v>
      </c>
      <c r="K1677" s="3">
        <v>23</v>
      </c>
      <c r="L1677" s="4">
        <f>tblSales[[#This Row],[Quantity]]*tblSales[[#This Row],[Actual Price]]</f>
        <v>667</v>
      </c>
    </row>
    <row r="1678" spans="1:12" x14ac:dyDescent="0.35">
      <c r="A1678" s="3" t="s">
        <v>2265</v>
      </c>
      <c r="B1678" s="4" t="s">
        <v>96</v>
      </c>
      <c r="C1678" s="4" t="s">
        <v>97</v>
      </c>
      <c r="D1678" s="4" t="s">
        <v>14</v>
      </c>
      <c r="E1678" s="7">
        <v>41681</v>
      </c>
      <c r="F1678" s="4" t="s">
        <v>62</v>
      </c>
      <c r="G1678" s="4" t="s">
        <v>98</v>
      </c>
      <c r="H1678" s="4">
        <v>1000</v>
      </c>
      <c r="I1678" s="4">
        <v>910</v>
      </c>
      <c r="J1678" s="5">
        <v>0.09</v>
      </c>
      <c r="K1678" s="3">
        <v>99</v>
      </c>
      <c r="L1678" s="4">
        <f>tblSales[[#This Row],[Quantity]]*tblSales[[#This Row],[Actual Price]]</f>
        <v>90090</v>
      </c>
    </row>
    <row r="1679" spans="1:12" x14ac:dyDescent="0.35">
      <c r="A1679" s="3" t="s">
        <v>2266</v>
      </c>
      <c r="B1679" s="4" t="s">
        <v>50</v>
      </c>
      <c r="C1679" s="4" t="s">
        <v>51</v>
      </c>
      <c r="D1679" s="4" t="s">
        <v>25</v>
      </c>
      <c r="E1679" s="7">
        <v>42640</v>
      </c>
      <c r="F1679" s="4" t="s">
        <v>56</v>
      </c>
      <c r="G1679" s="4" t="s">
        <v>700</v>
      </c>
      <c r="H1679" s="4">
        <v>800</v>
      </c>
      <c r="I1679" s="4">
        <v>448</v>
      </c>
      <c r="J1679" s="5">
        <v>0.44</v>
      </c>
      <c r="K1679" s="3">
        <v>23</v>
      </c>
      <c r="L1679" s="4">
        <f>tblSales[[#This Row],[Quantity]]*tblSales[[#This Row],[Actual Price]]</f>
        <v>10304</v>
      </c>
    </row>
    <row r="1680" spans="1:12" x14ac:dyDescent="0.35">
      <c r="A1680" s="3" t="s">
        <v>2267</v>
      </c>
      <c r="B1680" s="4" t="s">
        <v>151</v>
      </c>
      <c r="C1680" s="4" t="s">
        <v>152</v>
      </c>
      <c r="D1680" s="4" t="s">
        <v>14</v>
      </c>
      <c r="E1680" s="7">
        <v>42545</v>
      </c>
      <c r="F1680" s="4" t="s">
        <v>15</v>
      </c>
      <c r="G1680" s="4" t="s">
        <v>410</v>
      </c>
      <c r="H1680" s="4">
        <v>80</v>
      </c>
      <c r="I1680" s="4">
        <v>72</v>
      </c>
      <c r="J1680" s="5">
        <v>0.1</v>
      </c>
      <c r="K1680" s="3">
        <v>99</v>
      </c>
      <c r="L1680" s="4">
        <f>tblSales[[#This Row],[Quantity]]*tblSales[[#This Row],[Actual Price]]</f>
        <v>7128</v>
      </c>
    </row>
    <row r="1681" spans="1:12" x14ac:dyDescent="0.35">
      <c r="A1681" s="3" t="s">
        <v>2268</v>
      </c>
      <c r="B1681" s="4" t="s">
        <v>125</v>
      </c>
      <c r="C1681" s="4" t="s">
        <v>41</v>
      </c>
      <c r="D1681" s="4" t="s">
        <v>36</v>
      </c>
      <c r="E1681" s="7">
        <v>42310</v>
      </c>
      <c r="F1681" s="4" t="s">
        <v>42</v>
      </c>
      <c r="G1681" s="4" t="s">
        <v>1018</v>
      </c>
      <c r="H1681" s="4">
        <v>30</v>
      </c>
      <c r="I1681" s="4">
        <v>23</v>
      </c>
      <c r="J1681" s="5">
        <v>0.23330000000000001</v>
      </c>
      <c r="K1681" s="3">
        <v>26</v>
      </c>
      <c r="L1681" s="4">
        <f>tblSales[[#This Row],[Quantity]]*tblSales[[#This Row],[Actual Price]]</f>
        <v>598</v>
      </c>
    </row>
    <row r="1682" spans="1:12" x14ac:dyDescent="0.35">
      <c r="A1682" s="3" t="s">
        <v>2269</v>
      </c>
      <c r="B1682" s="4" t="s">
        <v>225</v>
      </c>
      <c r="C1682" s="4" t="s">
        <v>51</v>
      </c>
      <c r="D1682" s="4" t="s">
        <v>25</v>
      </c>
      <c r="E1682" s="7">
        <v>42750</v>
      </c>
      <c r="F1682" s="4" t="s">
        <v>42</v>
      </c>
      <c r="G1682" s="4" t="s">
        <v>1943</v>
      </c>
      <c r="H1682" s="4">
        <v>30</v>
      </c>
      <c r="I1682" s="4">
        <v>30</v>
      </c>
      <c r="J1682" s="5">
        <v>0</v>
      </c>
      <c r="K1682" s="3">
        <v>83</v>
      </c>
      <c r="L1682" s="4">
        <f>tblSales[[#This Row],[Quantity]]*tblSales[[#This Row],[Actual Price]]</f>
        <v>2490</v>
      </c>
    </row>
    <row r="1683" spans="1:12" x14ac:dyDescent="0.35">
      <c r="A1683" s="3" t="s">
        <v>2270</v>
      </c>
      <c r="B1683" s="4" t="s">
        <v>147</v>
      </c>
      <c r="C1683" s="4" t="s">
        <v>148</v>
      </c>
      <c r="D1683" s="4" t="s">
        <v>14</v>
      </c>
      <c r="E1683" s="7">
        <v>43205</v>
      </c>
      <c r="F1683" s="4" t="s">
        <v>42</v>
      </c>
      <c r="G1683" s="4" t="s">
        <v>1034</v>
      </c>
      <c r="H1683" s="4">
        <v>30</v>
      </c>
      <c r="I1683" s="4">
        <v>28</v>
      </c>
      <c r="J1683" s="5">
        <v>6.6699999999999995E-2</v>
      </c>
      <c r="K1683" s="3">
        <v>92</v>
      </c>
      <c r="L1683" s="4">
        <f>tblSales[[#This Row],[Quantity]]*tblSales[[#This Row],[Actual Price]]</f>
        <v>2576</v>
      </c>
    </row>
    <row r="1684" spans="1:12" x14ac:dyDescent="0.35">
      <c r="A1684" s="3" t="s">
        <v>2271</v>
      </c>
      <c r="B1684" s="4" t="s">
        <v>71</v>
      </c>
      <c r="C1684" s="4" t="s">
        <v>72</v>
      </c>
      <c r="D1684" s="4" t="s">
        <v>36</v>
      </c>
      <c r="E1684" s="7">
        <v>41854</v>
      </c>
      <c r="F1684" s="4" t="s">
        <v>116</v>
      </c>
      <c r="G1684" s="4" t="s">
        <v>143</v>
      </c>
      <c r="H1684" s="4">
        <v>250</v>
      </c>
      <c r="I1684" s="4">
        <v>220</v>
      </c>
      <c r="J1684" s="5">
        <v>0.12</v>
      </c>
      <c r="K1684" s="3">
        <v>8</v>
      </c>
      <c r="L1684" s="4">
        <f>tblSales[[#This Row],[Quantity]]*tblSales[[#This Row],[Actual Price]]</f>
        <v>1760</v>
      </c>
    </row>
    <row r="1685" spans="1:12" x14ac:dyDescent="0.35">
      <c r="A1685" s="3" t="s">
        <v>2272</v>
      </c>
      <c r="B1685" s="4" t="s">
        <v>222</v>
      </c>
      <c r="C1685" s="4" t="s">
        <v>41</v>
      </c>
      <c r="D1685" s="4" t="s">
        <v>36</v>
      </c>
      <c r="E1685" s="7">
        <v>41772</v>
      </c>
      <c r="F1685" s="4" t="s">
        <v>116</v>
      </c>
      <c r="G1685" s="4" t="s">
        <v>1060</v>
      </c>
      <c r="H1685" s="4">
        <v>250</v>
      </c>
      <c r="I1685" s="4">
        <v>250</v>
      </c>
      <c r="J1685" s="5">
        <v>0</v>
      </c>
      <c r="K1685" s="3">
        <v>51</v>
      </c>
      <c r="L1685" s="4">
        <f>tblSales[[#This Row],[Quantity]]*tblSales[[#This Row],[Actual Price]]</f>
        <v>12750</v>
      </c>
    </row>
    <row r="1686" spans="1:12" x14ac:dyDescent="0.35">
      <c r="A1686" s="3" t="s">
        <v>2273</v>
      </c>
      <c r="B1686" s="4" t="s">
        <v>50</v>
      </c>
      <c r="C1686" s="4" t="s">
        <v>51</v>
      </c>
      <c r="D1686" s="4" t="s">
        <v>25</v>
      </c>
      <c r="E1686" s="7">
        <v>42632</v>
      </c>
      <c r="F1686" s="4" t="s">
        <v>73</v>
      </c>
      <c r="G1686" s="4" t="s">
        <v>700</v>
      </c>
      <c r="H1686" s="4">
        <v>500</v>
      </c>
      <c r="I1686" s="4">
        <v>490</v>
      </c>
      <c r="J1686" s="5">
        <v>0.02</v>
      </c>
      <c r="K1686" s="3">
        <v>37</v>
      </c>
      <c r="L1686" s="4">
        <f>tblSales[[#This Row],[Quantity]]*tblSales[[#This Row],[Actual Price]]</f>
        <v>18130</v>
      </c>
    </row>
    <row r="1687" spans="1:12" x14ac:dyDescent="0.35">
      <c r="A1687" s="3" t="s">
        <v>2274</v>
      </c>
      <c r="B1687" s="4" t="s">
        <v>155</v>
      </c>
      <c r="C1687" s="4" t="s">
        <v>109</v>
      </c>
      <c r="D1687" s="4" t="s">
        <v>20</v>
      </c>
      <c r="E1687" s="7">
        <v>43267</v>
      </c>
      <c r="F1687" s="4" t="s">
        <v>26</v>
      </c>
      <c r="G1687" s="4" t="s">
        <v>156</v>
      </c>
      <c r="H1687" s="4">
        <v>700</v>
      </c>
      <c r="I1687" s="4">
        <v>637</v>
      </c>
      <c r="J1687" s="5">
        <v>0.09</v>
      </c>
      <c r="K1687" s="3">
        <v>70</v>
      </c>
      <c r="L1687" s="4">
        <f>tblSales[[#This Row],[Quantity]]*tblSales[[#This Row],[Actual Price]]</f>
        <v>44590</v>
      </c>
    </row>
    <row r="1688" spans="1:12" x14ac:dyDescent="0.35">
      <c r="A1688" s="3" t="s">
        <v>2275</v>
      </c>
      <c r="B1688" s="4" t="s">
        <v>222</v>
      </c>
      <c r="C1688" s="4" t="s">
        <v>41</v>
      </c>
      <c r="D1688" s="4" t="s">
        <v>36</v>
      </c>
      <c r="E1688" s="7">
        <v>42946</v>
      </c>
      <c r="F1688" s="4" t="s">
        <v>26</v>
      </c>
      <c r="G1688" s="4" t="s">
        <v>246</v>
      </c>
      <c r="H1688" s="4">
        <v>700</v>
      </c>
      <c r="I1688" s="4">
        <v>679</v>
      </c>
      <c r="J1688" s="5">
        <v>0.03</v>
      </c>
      <c r="K1688" s="3">
        <v>59</v>
      </c>
      <c r="L1688" s="4">
        <f>tblSales[[#This Row],[Quantity]]*tblSales[[#This Row],[Actual Price]]</f>
        <v>40061</v>
      </c>
    </row>
    <row r="1689" spans="1:12" x14ac:dyDescent="0.35">
      <c r="A1689" s="3" t="s">
        <v>2276</v>
      </c>
      <c r="B1689" s="4" t="s">
        <v>2192</v>
      </c>
      <c r="C1689" s="4" t="s">
        <v>109</v>
      </c>
      <c r="D1689" s="4" t="s">
        <v>20</v>
      </c>
      <c r="E1689" s="7">
        <v>42689</v>
      </c>
      <c r="F1689" s="4" t="s">
        <v>42</v>
      </c>
      <c r="G1689" s="4" t="s">
        <v>2202</v>
      </c>
      <c r="H1689" s="4">
        <v>30</v>
      </c>
      <c r="I1689" s="4">
        <v>28</v>
      </c>
      <c r="J1689" s="5">
        <v>6.6699999999999995E-2</v>
      </c>
      <c r="K1689" s="3">
        <v>81</v>
      </c>
      <c r="L1689" s="4">
        <f>tblSales[[#This Row],[Quantity]]*tblSales[[#This Row],[Actual Price]]</f>
        <v>2268</v>
      </c>
    </row>
    <row r="1690" spans="1:12" x14ac:dyDescent="0.35">
      <c r="A1690" s="3" t="s">
        <v>2277</v>
      </c>
      <c r="B1690" s="4" t="s">
        <v>82</v>
      </c>
      <c r="C1690" s="4" t="s">
        <v>83</v>
      </c>
      <c r="D1690" s="4" t="s">
        <v>14</v>
      </c>
      <c r="E1690" s="7">
        <v>42695</v>
      </c>
      <c r="F1690" s="4" t="s">
        <v>15</v>
      </c>
      <c r="G1690" s="4" t="s">
        <v>84</v>
      </c>
      <c r="H1690" s="4">
        <v>80</v>
      </c>
      <c r="I1690" s="4">
        <v>70</v>
      </c>
      <c r="J1690" s="5">
        <v>0.125</v>
      </c>
      <c r="K1690" s="3">
        <v>57</v>
      </c>
      <c r="L1690" s="4">
        <f>tblSales[[#This Row],[Quantity]]*tblSales[[#This Row],[Actual Price]]</f>
        <v>3990</v>
      </c>
    </row>
    <row r="1691" spans="1:12" x14ac:dyDescent="0.35">
      <c r="A1691" s="3" t="s">
        <v>2278</v>
      </c>
      <c r="B1691" s="4" t="s">
        <v>183</v>
      </c>
      <c r="C1691" s="4" t="s">
        <v>109</v>
      </c>
      <c r="D1691" s="4" t="s">
        <v>20</v>
      </c>
      <c r="E1691" s="7">
        <v>41676</v>
      </c>
      <c r="F1691" s="4" t="s">
        <v>42</v>
      </c>
      <c r="G1691" s="4" t="s">
        <v>2236</v>
      </c>
      <c r="H1691" s="4">
        <v>30</v>
      </c>
      <c r="I1691" s="4">
        <v>26</v>
      </c>
      <c r="J1691" s="5">
        <v>0.1333</v>
      </c>
      <c r="K1691" s="3">
        <v>12</v>
      </c>
      <c r="L1691" s="4">
        <f>tblSales[[#This Row],[Quantity]]*tblSales[[#This Row],[Actual Price]]</f>
        <v>312</v>
      </c>
    </row>
    <row r="1692" spans="1:12" x14ac:dyDescent="0.35">
      <c r="A1692" s="3" t="s">
        <v>2279</v>
      </c>
      <c r="B1692" s="4" t="s">
        <v>222</v>
      </c>
      <c r="C1692" s="4" t="s">
        <v>41</v>
      </c>
      <c r="D1692" s="4" t="s">
        <v>36</v>
      </c>
      <c r="E1692" s="7">
        <v>43230</v>
      </c>
      <c r="F1692" s="4" t="s">
        <v>123</v>
      </c>
      <c r="G1692" s="4" t="s">
        <v>1180</v>
      </c>
      <c r="H1692" s="4">
        <v>50</v>
      </c>
      <c r="I1692" s="4">
        <v>47</v>
      </c>
      <c r="J1692" s="5">
        <v>0.06</v>
      </c>
      <c r="K1692" s="3">
        <v>77</v>
      </c>
      <c r="L1692" s="4">
        <f>tblSales[[#This Row],[Quantity]]*tblSales[[#This Row],[Actual Price]]</f>
        <v>3619</v>
      </c>
    </row>
    <row r="1693" spans="1:12" x14ac:dyDescent="0.35">
      <c r="A1693" s="3" t="s">
        <v>2280</v>
      </c>
      <c r="B1693" s="4" t="s">
        <v>78</v>
      </c>
      <c r="C1693" s="4" t="s">
        <v>79</v>
      </c>
      <c r="D1693" s="4" t="s">
        <v>36</v>
      </c>
      <c r="E1693" s="7">
        <v>42814</v>
      </c>
      <c r="F1693" s="4" t="s">
        <v>123</v>
      </c>
      <c r="G1693" s="4" t="s">
        <v>1790</v>
      </c>
      <c r="H1693" s="4">
        <v>50</v>
      </c>
      <c r="I1693" s="4">
        <v>45</v>
      </c>
      <c r="J1693" s="5">
        <v>0.1</v>
      </c>
      <c r="K1693" s="3">
        <v>1</v>
      </c>
      <c r="L1693" s="4">
        <f>tblSales[[#This Row],[Quantity]]*tblSales[[#This Row],[Actual Price]]</f>
        <v>45</v>
      </c>
    </row>
    <row r="1694" spans="1:12" x14ac:dyDescent="0.35">
      <c r="A1694" s="3" t="s">
        <v>2281</v>
      </c>
      <c r="B1694" s="4" t="s">
        <v>2192</v>
      </c>
      <c r="C1694" s="4" t="s">
        <v>109</v>
      </c>
      <c r="D1694" s="4" t="s">
        <v>20</v>
      </c>
      <c r="E1694" s="7">
        <v>43282</v>
      </c>
      <c r="F1694" s="4" t="s">
        <v>105</v>
      </c>
      <c r="G1694" s="4" t="s">
        <v>2282</v>
      </c>
      <c r="H1694" s="4">
        <v>70</v>
      </c>
      <c r="I1694" s="4">
        <v>69</v>
      </c>
      <c r="J1694" s="5">
        <v>1.43E-2</v>
      </c>
      <c r="K1694" s="3">
        <v>87</v>
      </c>
      <c r="L1694" s="4">
        <f>tblSales[[#This Row],[Quantity]]*tblSales[[#This Row],[Actual Price]]</f>
        <v>6003</v>
      </c>
    </row>
    <row r="1695" spans="1:12" x14ac:dyDescent="0.35">
      <c r="A1695" s="3" t="s">
        <v>2283</v>
      </c>
      <c r="B1695" s="4" t="s">
        <v>12</v>
      </c>
      <c r="C1695" s="4" t="s">
        <v>13</v>
      </c>
      <c r="D1695" s="4" t="s">
        <v>14</v>
      </c>
      <c r="E1695" s="7">
        <v>43355</v>
      </c>
      <c r="F1695" s="4" t="s">
        <v>56</v>
      </c>
      <c r="G1695" s="4" t="s">
        <v>294</v>
      </c>
      <c r="H1695" s="4">
        <v>800</v>
      </c>
      <c r="I1695" s="4">
        <v>640</v>
      </c>
      <c r="J1695" s="5">
        <v>0.2</v>
      </c>
      <c r="K1695" s="3">
        <v>56</v>
      </c>
      <c r="L1695" s="4">
        <f>tblSales[[#This Row],[Quantity]]*tblSales[[#This Row],[Actual Price]]</f>
        <v>35840</v>
      </c>
    </row>
    <row r="1696" spans="1:12" x14ac:dyDescent="0.35">
      <c r="A1696" s="3" t="s">
        <v>2284</v>
      </c>
      <c r="B1696" s="4" t="s">
        <v>112</v>
      </c>
      <c r="C1696" s="4" t="s">
        <v>83</v>
      </c>
      <c r="D1696" s="4" t="s">
        <v>14</v>
      </c>
      <c r="E1696" s="7">
        <v>42536</v>
      </c>
      <c r="F1696" s="4" t="s">
        <v>56</v>
      </c>
      <c r="G1696" s="4" t="s">
        <v>1689</v>
      </c>
      <c r="H1696" s="4">
        <v>800</v>
      </c>
      <c r="I1696" s="4">
        <v>744</v>
      </c>
      <c r="J1696" s="5">
        <v>7.0000000000000007E-2</v>
      </c>
      <c r="K1696" s="3">
        <v>78</v>
      </c>
      <c r="L1696" s="4">
        <f>tblSales[[#This Row],[Quantity]]*tblSales[[#This Row],[Actual Price]]</f>
        <v>58032</v>
      </c>
    </row>
    <row r="1697" spans="1:12" x14ac:dyDescent="0.35">
      <c r="A1697" s="3" t="s">
        <v>2285</v>
      </c>
      <c r="B1697" s="4" t="s">
        <v>29</v>
      </c>
      <c r="C1697" s="4" t="s">
        <v>30</v>
      </c>
      <c r="D1697" s="4" t="s">
        <v>14</v>
      </c>
      <c r="E1697" s="7">
        <v>41931</v>
      </c>
      <c r="F1697" s="4" t="s">
        <v>15</v>
      </c>
      <c r="G1697" s="4" t="s">
        <v>1744</v>
      </c>
      <c r="H1697" s="4">
        <v>80</v>
      </c>
      <c r="I1697" s="4">
        <v>74</v>
      </c>
      <c r="J1697" s="5">
        <v>7.4999999999999997E-2</v>
      </c>
      <c r="K1697" s="3">
        <v>3</v>
      </c>
      <c r="L1697" s="4">
        <f>tblSales[[#This Row],[Quantity]]*tblSales[[#This Row],[Actual Price]]</f>
        <v>222</v>
      </c>
    </row>
    <row r="1698" spans="1:12" x14ac:dyDescent="0.35">
      <c r="A1698" s="3" t="s">
        <v>2286</v>
      </c>
      <c r="B1698" s="4" t="s">
        <v>175</v>
      </c>
      <c r="C1698" s="4" t="s">
        <v>176</v>
      </c>
      <c r="D1698" s="4" t="s">
        <v>14</v>
      </c>
      <c r="E1698" s="7">
        <v>43230</v>
      </c>
      <c r="F1698" s="4" t="s">
        <v>31</v>
      </c>
      <c r="G1698" s="4" t="s">
        <v>177</v>
      </c>
      <c r="H1698" s="4">
        <v>150</v>
      </c>
      <c r="I1698" s="4">
        <v>128</v>
      </c>
      <c r="J1698" s="5">
        <v>0.1467</v>
      </c>
      <c r="K1698" s="3">
        <v>89</v>
      </c>
      <c r="L1698" s="4">
        <f>tblSales[[#This Row],[Quantity]]*tblSales[[#This Row],[Actual Price]]</f>
        <v>11392</v>
      </c>
    </row>
    <row r="1699" spans="1:12" x14ac:dyDescent="0.35">
      <c r="A1699" s="3" t="s">
        <v>2287</v>
      </c>
      <c r="B1699" s="4" t="s">
        <v>50</v>
      </c>
      <c r="C1699" s="4" t="s">
        <v>51</v>
      </c>
      <c r="D1699" s="4" t="s">
        <v>25</v>
      </c>
      <c r="E1699" s="7">
        <v>43443</v>
      </c>
      <c r="F1699" s="4" t="s">
        <v>123</v>
      </c>
      <c r="G1699" s="4" t="s">
        <v>2288</v>
      </c>
      <c r="H1699" s="4">
        <v>50</v>
      </c>
      <c r="I1699" s="4">
        <v>45</v>
      </c>
      <c r="J1699" s="5">
        <v>0.1</v>
      </c>
      <c r="K1699" s="3">
        <v>37</v>
      </c>
      <c r="L1699" s="4">
        <f>tblSales[[#This Row],[Quantity]]*tblSales[[#This Row],[Actual Price]]</f>
        <v>1665</v>
      </c>
    </row>
    <row r="1700" spans="1:12" x14ac:dyDescent="0.35">
      <c r="A1700" s="3" t="s">
        <v>2289</v>
      </c>
      <c r="B1700" s="4" t="s">
        <v>115</v>
      </c>
      <c r="C1700" s="4" t="s">
        <v>55</v>
      </c>
      <c r="D1700" s="4" t="s">
        <v>14</v>
      </c>
      <c r="E1700" s="7">
        <v>43192</v>
      </c>
      <c r="F1700" s="4" t="s">
        <v>56</v>
      </c>
      <c r="G1700" s="4" t="s">
        <v>236</v>
      </c>
      <c r="H1700" s="4">
        <v>800</v>
      </c>
      <c r="I1700" s="4">
        <v>664</v>
      </c>
      <c r="J1700" s="5">
        <v>0.17</v>
      </c>
      <c r="K1700" s="3">
        <v>59</v>
      </c>
      <c r="L1700" s="4">
        <f>tblSales[[#This Row],[Quantity]]*tblSales[[#This Row],[Actual Price]]</f>
        <v>39176</v>
      </c>
    </row>
    <row r="1701" spans="1:12" x14ac:dyDescent="0.35">
      <c r="A1701" s="3" t="s">
        <v>2290</v>
      </c>
      <c r="B1701" s="4" t="s">
        <v>290</v>
      </c>
      <c r="C1701" s="4" t="s">
        <v>109</v>
      </c>
      <c r="D1701" s="4" t="s">
        <v>20</v>
      </c>
      <c r="E1701" s="7">
        <v>42168</v>
      </c>
      <c r="F1701" s="4" t="s">
        <v>116</v>
      </c>
      <c r="G1701" s="4" t="s">
        <v>422</v>
      </c>
      <c r="H1701" s="4">
        <v>250</v>
      </c>
      <c r="I1701" s="4">
        <v>243</v>
      </c>
      <c r="J1701" s="5">
        <v>2.8000000000000001E-2</v>
      </c>
      <c r="K1701" s="3">
        <v>52</v>
      </c>
      <c r="L1701" s="4">
        <f>tblSales[[#This Row],[Quantity]]*tblSales[[#This Row],[Actual Price]]</f>
        <v>12636</v>
      </c>
    </row>
    <row r="1702" spans="1:12" x14ac:dyDescent="0.35">
      <c r="A1702" s="3" t="s">
        <v>2291</v>
      </c>
      <c r="B1702" s="4" t="s">
        <v>23</v>
      </c>
      <c r="C1702" s="4" t="s">
        <v>24</v>
      </c>
      <c r="D1702" s="4" t="s">
        <v>25</v>
      </c>
      <c r="E1702" s="7">
        <v>42704</v>
      </c>
      <c r="F1702" s="4" t="s">
        <v>105</v>
      </c>
      <c r="G1702" s="4" t="s">
        <v>311</v>
      </c>
      <c r="H1702" s="4">
        <v>70</v>
      </c>
      <c r="I1702" s="4">
        <v>69</v>
      </c>
      <c r="J1702" s="5">
        <v>1.43E-2</v>
      </c>
      <c r="K1702" s="3">
        <v>13</v>
      </c>
      <c r="L1702" s="4">
        <f>tblSales[[#This Row],[Quantity]]*tblSales[[#This Row],[Actual Price]]</f>
        <v>897</v>
      </c>
    </row>
    <row r="1703" spans="1:12" x14ac:dyDescent="0.35">
      <c r="A1703" s="3" t="s">
        <v>2292</v>
      </c>
      <c r="B1703" s="4" t="s">
        <v>119</v>
      </c>
      <c r="C1703" s="4" t="s">
        <v>120</v>
      </c>
      <c r="D1703" s="4" t="s">
        <v>36</v>
      </c>
      <c r="E1703" s="7">
        <v>41985</v>
      </c>
      <c r="F1703" s="4" t="s">
        <v>47</v>
      </c>
      <c r="G1703" s="4" t="s">
        <v>1080</v>
      </c>
      <c r="H1703" s="4">
        <v>500</v>
      </c>
      <c r="I1703" s="4">
        <v>495</v>
      </c>
      <c r="J1703" s="5">
        <v>0.01</v>
      </c>
      <c r="K1703" s="3">
        <v>63</v>
      </c>
      <c r="L1703" s="4">
        <f>tblSales[[#This Row],[Quantity]]*tblSales[[#This Row],[Actual Price]]</f>
        <v>31185</v>
      </c>
    </row>
    <row r="1704" spans="1:12" x14ac:dyDescent="0.35">
      <c r="A1704" s="3" t="s">
        <v>2293</v>
      </c>
      <c r="B1704" s="4" t="s">
        <v>128</v>
      </c>
      <c r="C1704" s="4" t="s">
        <v>129</v>
      </c>
      <c r="D1704" s="4" t="s">
        <v>14</v>
      </c>
      <c r="E1704" s="7">
        <v>43148</v>
      </c>
      <c r="F1704" s="4" t="s">
        <v>56</v>
      </c>
      <c r="G1704" s="4" t="s">
        <v>130</v>
      </c>
      <c r="H1704" s="4">
        <v>800</v>
      </c>
      <c r="I1704" s="4">
        <v>440</v>
      </c>
      <c r="J1704" s="5">
        <v>0.45</v>
      </c>
      <c r="K1704" s="3">
        <v>59</v>
      </c>
      <c r="L1704" s="4">
        <f>tblSales[[#This Row],[Quantity]]*tblSales[[#This Row],[Actual Price]]</f>
        <v>25960</v>
      </c>
    </row>
    <row r="1705" spans="1:12" x14ac:dyDescent="0.35">
      <c r="A1705" s="3" t="s">
        <v>2294</v>
      </c>
      <c r="B1705" s="4" t="s">
        <v>115</v>
      </c>
      <c r="C1705" s="4" t="s">
        <v>55</v>
      </c>
      <c r="D1705" s="4" t="s">
        <v>14</v>
      </c>
      <c r="E1705" s="7">
        <v>43376</v>
      </c>
      <c r="F1705" s="4" t="s">
        <v>123</v>
      </c>
      <c r="G1705" s="4" t="s">
        <v>886</v>
      </c>
      <c r="H1705" s="4">
        <v>50</v>
      </c>
      <c r="I1705" s="4">
        <v>44</v>
      </c>
      <c r="J1705" s="5">
        <v>0.12</v>
      </c>
      <c r="K1705" s="3">
        <v>36</v>
      </c>
      <c r="L1705" s="4">
        <f>tblSales[[#This Row],[Quantity]]*tblSales[[#This Row],[Actual Price]]</f>
        <v>1584</v>
      </c>
    </row>
    <row r="1706" spans="1:12" x14ac:dyDescent="0.35">
      <c r="A1706" s="3" t="s">
        <v>2295</v>
      </c>
      <c r="B1706" s="4" t="s">
        <v>71</v>
      </c>
      <c r="C1706" s="4" t="s">
        <v>72</v>
      </c>
      <c r="D1706" s="4" t="s">
        <v>36</v>
      </c>
      <c r="E1706" s="7">
        <v>43129</v>
      </c>
      <c r="F1706" s="4" t="s">
        <v>62</v>
      </c>
      <c r="G1706" s="4" t="s">
        <v>2296</v>
      </c>
      <c r="H1706" s="4">
        <v>1000</v>
      </c>
      <c r="I1706" s="4">
        <v>790</v>
      </c>
      <c r="J1706" s="5">
        <v>0.21</v>
      </c>
      <c r="K1706" s="3">
        <v>62</v>
      </c>
      <c r="L1706" s="4">
        <f>tblSales[[#This Row],[Quantity]]*tblSales[[#This Row],[Actual Price]]</f>
        <v>48980</v>
      </c>
    </row>
    <row r="1707" spans="1:12" x14ac:dyDescent="0.35">
      <c r="A1707" s="3" t="s">
        <v>2297</v>
      </c>
      <c r="B1707" s="4" t="s">
        <v>23</v>
      </c>
      <c r="C1707" s="4" t="s">
        <v>24</v>
      </c>
      <c r="D1707" s="4" t="s">
        <v>25</v>
      </c>
      <c r="E1707" s="7">
        <v>42616</v>
      </c>
      <c r="F1707" s="4" t="s">
        <v>26</v>
      </c>
      <c r="G1707" s="4" t="s">
        <v>484</v>
      </c>
      <c r="H1707" s="4">
        <v>700</v>
      </c>
      <c r="I1707" s="4">
        <v>609</v>
      </c>
      <c r="J1707" s="5">
        <v>0.13</v>
      </c>
      <c r="K1707" s="3">
        <v>14</v>
      </c>
      <c r="L1707" s="4">
        <f>tblSales[[#This Row],[Quantity]]*tblSales[[#This Row],[Actual Price]]</f>
        <v>8526</v>
      </c>
    </row>
    <row r="1708" spans="1:12" x14ac:dyDescent="0.35">
      <c r="A1708" s="3" t="s">
        <v>2298</v>
      </c>
      <c r="B1708" s="4" t="s">
        <v>115</v>
      </c>
      <c r="C1708" s="4" t="s">
        <v>55</v>
      </c>
      <c r="D1708" s="4" t="s">
        <v>14</v>
      </c>
      <c r="E1708" s="7">
        <v>42630</v>
      </c>
      <c r="F1708" s="4" t="s">
        <v>47</v>
      </c>
      <c r="G1708" s="4" t="s">
        <v>1069</v>
      </c>
      <c r="H1708" s="4">
        <v>500</v>
      </c>
      <c r="I1708" s="4">
        <v>425</v>
      </c>
      <c r="J1708" s="5">
        <v>0.15</v>
      </c>
      <c r="K1708" s="3">
        <v>67</v>
      </c>
      <c r="L1708" s="4">
        <f>tblSales[[#This Row],[Quantity]]*tblSales[[#This Row],[Actual Price]]</f>
        <v>28475</v>
      </c>
    </row>
    <row r="1709" spans="1:12" x14ac:dyDescent="0.35">
      <c r="A1709" s="3" t="s">
        <v>2299</v>
      </c>
      <c r="B1709" s="4" t="s">
        <v>128</v>
      </c>
      <c r="C1709" s="4" t="s">
        <v>129</v>
      </c>
      <c r="D1709" s="4" t="s">
        <v>14</v>
      </c>
      <c r="E1709" s="7">
        <v>42172</v>
      </c>
      <c r="F1709" s="4" t="s">
        <v>105</v>
      </c>
      <c r="G1709" s="4" t="s">
        <v>921</v>
      </c>
      <c r="H1709" s="4">
        <v>70</v>
      </c>
      <c r="I1709" s="4">
        <v>45</v>
      </c>
      <c r="J1709" s="5">
        <v>0.35709999999999997</v>
      </c>
      <c r="K1709" s="3">
        <v>84</v>
      </c>
      <c r="L1709" s="4">
        <f>tblSales[[#This Row],[Quantity]]*tblSales[[#This Row],[Actual Price]]</f>
        <v>3780</v>
      </c>
    </row>
    <row r="1710" spans="1:12" x14ac:dyDescent="0.35">
      <c r="A1710" s="3" t="s">
        <v>2300</v>
      </c>
      <c r="B1710" s="4" t="s">
        <v>171</v>
      </c>
      <c r="C1710" s="4" t="s">
        <v>172</v>
      </c>
      <c r="D1710" s="4" t="s">
        <v>14</v>
      </c>
      <c r="E1710" s="7">
        <v>42947</v>
      </c>
      <c r="F1710" s="4" t="s">
        <v>42</v>
      </c>
      <c r="G1710" s="4" t="s">
        <v>412</v>
      </c>
      <c r="H1710" s="4">
        <v>30</v>
      </c>
      <c r="I1710" s="4">
        <v>25</v>
      </c>
      <c r="J1710" s="5">
        <v>0.16669999999999999</v>
      </c>
      <c r="K1710" s="3">
        <v>41</v>
      </c>
      <c r="L1710" s="4">
        <f>tblSales[[#This Row],[Quantity]]*tblSales[[#This Row],[Actual Price]]</f>
        <v>1025</v>
      </c>
    </row>
    <row r="1711" spans="1:12" x14ac:dyDescent="0.35">
      <c r="A1711" s="3" t="s">
        <v>2301</v>
      </c>
      <c r="B1711" s="4" t="s">
        <v>171</v>
      </c>
      <c r="C1711" s="4" t="s">
        <v>172</v>
      </c>
      <c r="D1711" s="4" t="s">
        <v>14</v>
      </c>
      <c r="E1711" s="7">
        <v>42039</v>
      </c>
      <c r="F1711" s="4" t="s">
        <v>26</v>
      </c>
      <c r="G1711" s="4" t="s">
        <v>173</v>
      </c>
      <c r="H1711" s="4">
        <v>700</v>
      </c>
      <c r="I1711" s="4">
        <v>476</v>
      </c>
      <c r="J1711" s="5">
        <v>0.32</v>
      </c>
      <c r="K1711" s="3">
        <v>40</v>
      </c>
      <c r="L1711" s="4">
        <f>tblSales[[#This Row],[Quantity]]*tblSales[[#This Row],[Actual Price]]</f>
        <v>19040</v>
      </c>
    </row>
    <row r="1712" spans="1:12" x14ac:dyDescent="0.35">
      <c r="A1712" s="3" t="s">
        <v>2302</v>
      </c>
      <c r="B1712" s="4" t="s">
        <v>50</v>
      </c>
      <c r="C1712" s="4" t="s">
        <v>51</v>
      </c>
      <c r="D1712" s="4" t="s">
        <v>25</v>
      </c>
      <c r="E1712" s="7">
        <v>42598</v>
      </c>
      <c r="F1712" s="4" t="s">
        <v>123</v>
      </c>
      <c r="G1712" s="4" t="s">
        <v>52</v>
      </c>
      <c r="H1712" s="4">
        <v>50</v>
      </c>
      <c r="I1712" s="4">
        <v>43</v>
      </c>
      <c r="J1712" s="5">
        <v>0.14000000000000001</v>
      </c>
      <c r="K1712" s="3">
        <v>59</v>
      </c>
      <c r="L1712" s="4">
        <f>tblSales[[#This Row],[Quantity]]*tblSales[[#This Row],[Actual Price]]</f>
        <v>2537</v>
      </c>
    </row>
    <row r="1713" spans="1:12" x14ac:dyDescent="0.35">
      <c r="A1713" s="3" t="s">
        <v>2303</v>
      </c>
      <c r="B1713" s="4" t="s">
        <v>115</v>
      </c>
      <c r="C1713" s="4" t="s">
        <v>55</v>
      </c>
      <c r="D1713" s="4" t="s">
        <v>14</v>
      </c>
      <c r="E1713" s="7">
        <v>43361</v>
      </c>
      <c r="F1713" s="4" t="s">
        <v>62</v>
      </c>
      <c r="G1713" s="4" t="s">
        <v>1222</v>
      </c>
      <c r="H1713" s="4">
        <v>1000</v>
      </c>
      <c r="I1713" s="4">
        <v>930</v>
      </c>
      <c r="J1713" s="5">
        <v>7.0000000000000007E-2</v>
      </c>
      <c r="K1713" s="3">
        <v>10</v>
      </c>
      <c r="L1713" s="4">
        <f>tblSales[[#This Row],[Quantity]]*tblSales[[#This Row],[Actual Price]]</f>
        <v>9300</v>
      </c>
    </row>
    <row r="1714" spans="1:12" x14ac:dyDescent="0.35">
      <c r="A1714" s="3" t="s">
        <v>2304</v>
      </c>
      <c r="B1714" s="4" t="s">
        <v>50</v>
      </c>
      <c r="C1714" s="4" t="s">
        <v>51</v>
      </c>
      <c r="D1714" s="4" t="s">
        <v>25</v>
      </c>
      <c r="E1714" s="7">
        <v>41930</v>
      </c>
      <c r="F1714" s="4" t="s">
        <v>37</v>
      </c>
      <c r="G1714" s="4" t="s">
        <v>69</v>
      </c>
      <c r="H1714" s="4">
        <v>50</v>
      </c>
      <c r="I1714" s="4">
        <v>43</v>
      </c>
      <c r="J1714" s="5">
        <v>0.14000000000000001</v>
      </c>
      <c r="K1714" s="3">
        <v>65</v>
      </c>
      <c r="L1714" s="4">
        <f>tblSales[[#This Row],[Quantity]]*tblSales[[#This Row],[Actual Price]]</f>
        <v>2795</v>
      </c>
    </row>
    <row r="1715" spans="1:12" x14ac:dyDescent="0.35">
      <c r="A1715" s="3" t="s">
        <v>2305</v>
      </c>
      <c r="B1715" s="4" t="s">
        <v>188</v>
      </c>
      <c r="C1715" s="4" t="s">
        <v>189</v>
      </c>
      <c r="D1715" s="4" t="s">
        <v>14</v>
      </c>
      <c r="E1715" s="7">
        <v>42193</v>
      </c>
      <c r="F1715" s="4" t="s">
        <v>37</v>
      </c>
      <c r="G1715" s="4" t="s">
        <v>742</v>
      </c>
      <c r="H1715" s="4">
        <v>50</v>
      </c>
      <c r="I1715" s="4">
        <v>34</v>
      </c>
      <c r="J1715" s="5">
        <v>0.32</v>
      </c>
      <c r="K1715" s="3">
        <v>15</v>
      </c>
      <c r="L1715" s="4">
        <f>tblSales[[#This Row],[Quantity]]*tblSales[[#This Row],[Actual Price]]</f>
        <v>510</v>
      </c>
    </row>
    <row r="1716" spans="1:12" x14ac:dyDescent="0.35">
      <c r="A1716" s="3" t="s">
        <v>2306</v>
      </c>
      <c r="B1716" s="4" t="s">
        <v>155</v>
      </c>
      <c r="C1716" s="4" t="s">
        <v>109</v>
      </c>
      <c r="D1716" s="4" t="s">
        <v>20</v>
      </c>
      <c r="E1716" s="7">
        <v>41797</v>
      </c>
      <c r="F1716" s="4" t="s">
        <v>37</v>
      </c>
      <c r="G1716" s="4" t="s">
        <v>491</v>
      </c>
      <c r="H1716" s="4">
        <v>50</v>
      </c>
      <c r="I1716" s="4">
        <v>46</v>
      </c>
      <c r="J1716" s="5">
        <v>0.08</v>
      </c>
      <c r="K1716" s="3">
        <v>57</v>
      </c>
      <c r="L1716" s="4">
        <f>tblSales[[#This Row],[Quantity]]*tblSales[[#This Row],[Actual Price]]</f>
        <v>2622</v>
      </c>
    </row>
    <row r="1717" spans="1:12" x14ac:dyDescent="0.35">
      <c r="A1717" s="3" t="s">
        <v>2307</v>
      </c>
      <c r="B1717" s="4" t="s">
        <v>23</v>
      </c>
      <c r="C1717" s="4" t="s">
        <v>24</v>
      </c>
      <c r="D1717" s="4" t="s">
        <v>25</v>
      </c>
      <c r="E1717" s="7">
        <v>42137</v>
      </c>
      <c r="F1717" s="4" t="s">
        <v>47</v>
      </c>
      <c r="G1717" s="4" t="s">
        <v>27</v>
      </c>
      <c r="H1717" s="4">
        <v>500</v>
      </c>
      <c r="I1717" s="4">
        <v>355</v>
      </c>
      <c r="J1717" s="5">
        <v>0.28999999999999998</v>
      </c>
      <c r="K1717" s="3">
        <v>98</v>
      </c>
      <c r="L1717" s="4">
        <f>tblSales[[#This Row],[Quantity]]*tblSales[[#This Row],[Actual Price]]</f>
        <v>34790</v>
      </c>
    </row>
    <row r="1718" spans="1:12" x14ac:dyDescent="0.35">
      <c r="A1718" s="3" t="s">
        <v>2308</v>
      </c>
      <c r="B1718" s="4" t="s">
        <v>29</v>
      </c>
      <c r="C1718" s="4" t="s">
        <v>30</v>
      </c>
      <c r="D1718" s="4" t="s">
        <v>14</v>
      </c>
      <c r="E1718" s="7">
        <v>42318</v>
      </c>
      <c r="F1718" s="4" t="s">
        <v>37</v>
      </c>
      <c r="G1718" s="4" t="s">
        <v>446</v>
      </c>
      <c r="H1718" s="4">
        <v>50</v>
      </c>
      <c r="I1718" s="4">
        <v>40</v>
      </c>
      <c r="J1718" s="5">
        <v>0.2</v>
      </c>
      <c r="K1718" s="3">
        <v>3</v>
      </c>
      <c r="L1718" s="4">
        <f>tblSales[[#This Row],[Quantity]]*tblSales[[#This Row],[Actual Price]]</f>
        <v>120</v>
      </c>
    </row>
    <row r="1719" spans="1:12" x14ac:dyDescent="0.35">
      <c r="A1719" s="3" t="s">
        <v>2309</v>
      </c>
      <c r="B1719" s="4" t="s">
        <v>60</v>
      </c>
      <c r="C1719" s="4" t="s">
        <v>61</v>
      </c>
      <c r="D1719" s="4" t="s">
        <v>14</v>
      </c>
      <c r="E1719" s="7">
        <v>42485</v>
      </c>
      <c r="F1719" s="4" t="s">
        <v>47</v>
      </c>
      <c r="G1719" s="4" t="s">
        <v>63</v>
      </c>
      <c r="H1719" s="4">
        <v>500</v>
      </c>
      <c r="I1719" s="4">
        <v>450</v>
      </c>
      <c r="J1719" s="5">
        <v>0.1</v>
      </c>
      <c r="K1719" s="3">
        <v>2</v>
      </c>
      <c r="L1719" s="4">
        <f>tblSales[[#This Row],[Quantity]]*tblSales[[#This Row],[Actual Price]]</f>
        <v>900</v>
      </c>
    </row>
    <row r="1720" spans="1:12" x14ac:dyDescent="0.35">
      <c r="A1720" s="3" t="s">
        <v>2310</v>
      </c>
      <c r="B1720" s="4" t="s">
        <v>2244</v>
      </c>
      <c r="C1720" s="4" t="s">
        <v>109</v>
      </c>
      <c r="D1720" s="4" t="s">
        <v>20</v>
      </c>
      <c r="E1720" s="7">
        <v>42879</v>
      </c>
      <c r="F1720" s="4" t="s">
        <v>123</v>
      </c>
      <c r="G1720" s="4" t="s">
        <v>2311</v>
      </c>
      <c r="H1720" s="4">
        <v>50</v>
      </c>
      <c r="I1720" s="4">
        <v>47</v>
      </c>
      <c r="J1720" s="5">
        <v>0.06</v>
      </c>
      <c r="K1720" s="3">
        <v>37</v>
      </c>
      <c r="L1720" s="4">
        <f>tblSales[[#This Row],[Quantity]]*tblSales[[#This Row],[Actual Price]]</f>
        <v>1739</v>
      </c>
    </row>
    <row r="1721" spans="1:12" x14ac:dyDescent="0.35">
      <c r="A1721" s="3" t="s">
        <v>2312</v>
      </c>
      <c r="B1721" s="4" t="s">
        <v>86</v>
      </c>
      <c r="C1721" s="4" t="s">
        <v>87</v>
      </c>
      <c r="D1721" s="4" t="s">
        <v>14</v>
      </c>
      <c r="E1721" s="7">
        <v>43272</v>
      </c>
      <c r="F1721" s="4" t="s">
        <v>56</v>
      </c>
      <c r="G1721" s="4" t="s">
        <v>341</v>
      </c>
      <c r="H1721" s="4">
        <v>800</v>
      </c>
      <c r="I1721" s="4">
        <v>456</v>
      </c>
      <c r="J1721" s="5">
        <v>0.43</v>
      </c>
      <c r="K1721" s="3">
        <v>28</v>
      </c>
      <c r="L1721" s="4">
        <f>tblSales[[#This Row],[Quantity]]*tblSales[[#This Row],[Actual Price]]</f>
        <v>12768</v>
      </c>
    </row>
    <row r="1722" spans="1:12" x14ac:dyDescent="0.35">
      <c r="A1722" s="3" t="s">
        <v>2313</v>
      </c>
      <c r="B1722" s="4" t="s">
        <v>100</v>
      </c>
      <c r="C1722" s="4" t="s">
        <v>101</v>
      </c>
      <c r="D1722" s="4" t="s">
        <v>14</v>
      </c>
      <c r="E1722" s="7">
        <v>42873</v>
      </c>
      <c r="F1722" s="4" t="s">
        <v>42</v>
      </c>
      <c r="G1722" s="4" t="s">
        <v>912</v>
      </c>
      <c r="H1722" s="4">
        <v>30</v>
      </c>
      <c r="I1722" s="4">
        <v>28</v>
      </c>
      <c r="J1722" s="5">
        <v>6.6699999999999995E-2</v>
      </c>
      <c r="K1722" s="3">
        <v>14</v>
      </c>
      <c r="L1722" s="4">
        <f>tblSales[[#This Row],[Quantity]]*tblSales[[#This Row],[Actual Price]]</f>
        <v>392</v>
      </c>
    </row>
    <row r="1723" spans="1:12" x14ac:dyDescent="0.35">
      <c r="A1723" s="3" t="s">
        <v>2314</v>
      </c>
      <c r="B1723" s="4" t="s">
        <v>158</v>
      </c>
      <c r="C1723" s="4" t="s">
        <v>109</v>
      </c>
      <c r="D1723" s="4" t="s">
        <v>20</v>
      </c>
      <c r="E1723" s="7">
        <v>41722</v>
      </c>
      <c r="F1723" s="4" t="s">
        <v>42</v>
      </c>
      <c r="G1723" s="4" t="s">
        <v>572</v>
      </c>
      <c r="H1723" s="4">
        <v>30</v>
      </c>
      <c r="I1723" s="4">
        <v>26</v>
      </c>
      <c r="J1723" s="5">
        <v>0.1333</v>
      </c>
      <c r="K1723" s="3">
        <v>5</v>
      </c>
      <c r="L1723" s="4">
        <f>tblSales[[#This Row],[Quantity]]*tblSales[[#This Row],[Actual Price]]</f>
        <v>130</v>
      </c>
    </row>
    <row r="1724" spans="1:12" x14ac:dyDescent="0.35">
      <c r="A1724" s="3" t="s">
        <v>2315</v>
      </c>
      <c r="B1724" s="4" t="s">
        <v>242</v>
      </c>
      <c r="C1724" s="4" t="s">
        <v>243</v>
      </c>
      <c r="D1724" s="4" t="s">
        <v>14</v>
      </c>
      <c r="E1724" s="7">
        <v>41764</v>
      </c>
      <c r="F1724" s="4" t="s">
        <v>15</v>
      </c>
      <c r="G1724" s="4" t="s">
        <v>627</v>
      </c>
      <c r="H1724" s="4">
        <v>80</v>
      </c>
      <c r="I1724" s="4">
        <v>56</v>
      </c>
      <c r="J1724" s="5">
        <v>0.3</v>
      </c>
      <c r="K1724" s="3">
        <v>11</v>
      </c>
      <c r="L1724" s="4">
        <f>tblSales[[#This Row],[Quantity]]*tblSales[[#This Row],[Actual Price]]</f>
        <v>616</v>
      </c>
    </row>
    <row r="1725" spans="1:12" x14ac:dyDescent="0.35">
      <c r="A1725" s="3" t="s">
        <v>2316</v>
      </c>
      <c r="B1725" s="4" t="s">
        <v>54</v>
      </c>
      <c r="C1725" s="4" t="s">
        <v>55</v>
      </c>
      <c r="D1725" s="4" t="s">
        <v>14</v>
      </c>
      <c r="E1725" s="7">
        <v>43018</v>
      </c>
      <c r="F1725" s="4" t="s">
        <v>73</v>
      </c>
      <c r="G1725" s="4" t="s">
        <v>57</v>
      </c>
      <c r="H1725" s="4">
        <v>500</v>
      </c>
      <c r="I1725" s="4">
        <v>490</v>
      </c>
      <c r="J1725" s="5">
        <v>0.02</v>
      </c>
      <c r="K1725" s="3">
        <v>45</v>
      </c>
      <c r="L1725" s="4">
        <f>tblSales[[#This Row],[Quantity]]*tblSales[[#This Row],[Actual Price]]</f>
        <v>22050</v>
      </c>
    </row>
    <row r="1726" spans="1:12" x14ac:dyDescent="0.35">
      <c r="A1726" s="3" t="s">
        <v>2317</v>
      </c>
      <c r="B1726" s="4" t="s">
        <v>155</v>
      </c>
      <c r="C1726" s="4" t="s">
        <v>109</v>
      </c>
      <c r="D1726" s="4" t="s">
        <v>20</v>
      </c>
      <c r="E1726" s="7">
        <v>43359</v>
      </c>
      <c r="F1726" s="4" t="s">
        <v>73</v>
      </c>
      <c r="G1726" s="4" t="s">
        <v>1412</v>
      </c>
      <c r="H1726" s="4">
        <v>500</v>
      </c>
      <c r="I1726" s="4">
        <v>490</v>
      </c>
      <c r="J1726" s="5">
        <v>0.02</v>
      </c>
      <c r="K1726" s="3">
        <v>95</v>
      </c>
      <c r="L1726" s="4">
        <f>tblSales[[#This Row],[Quantity]]*tblSales[[#This Row],[Actual Price]]</f>
        <v>46550</v>
      </c>
    </row>
    <row r="1727" spans="1:12" x14ac:dyDescent="0.35">
      <c r="A1727" s="3" t="s">
        <v>2318</v>
      </c>
      <c r="B1727" s="4" t="s">
        <v>135</v>
      </c>
      <c r="C1727" s="4" t="s">
        <v>93</v>
      </c>
      <c r="D1727" s="4" t="s">
        <v>36</v>
      </c>
      <c r="E1727" s="7">
        <v>42393</v>
      </c>
      <c r="F1727" s="4" t="s">
        <v>105</v>
      </c>
      <c r="G1727" s="4" t="s">
        <v>808</v>
      </c>
      <c r="H1727" s="4">
        <v>70</v>
      </c>
      <c r="I1727" s="4">
        <v>61</v>
      </c>
      <c r="J1727" s="5">
        <v>0.12859999999999999</v>
      </c>
      <c r="K1727" s="3">
        <v>7</v>
      </c>
      <c r="L1727" s="4">
        <f>tblSales[[#This Row],[Quantity]]*tblSales[[#This Row],[Actual Price]]</f>
        <v>427</v>
      </c>
    </row>
    <row r="1728" spans="1:12" x14ac:dyDescent="0.35">
      <c r="A1728" s="3" t="s">
        <v>2319</v>
      </c>
      <c r="B1728" s="4" t="s">
        <v>2171</v>
      </c>
      <c r="C1728" s="4" t="s">
        <v>19</v>
      </c>
      <c r="D1728" s="4" t="s">
        <v>20</v>
      </c>
      <c r="E1728" s="7">
        <v>42248</v>
      </c>
      <c r="F1728" s="4" t="s">
        <v>116</v>
      </c>
      <c r="G1728" s="4" t="s">
        <v>2239</v>
      </c>
      <c r="H1728" s="4">
        <v>250</v>
      </c>
      <c r="I1728" s="4">
        <v>220</v>
      </c>
      <c r="J1728" s="5">
        <v>0.12</v>
      </c>
      <c r="K1728" s="3">
        <v>8</v>
      </c>
      <c r="L1728" s="4">
        <f>tblSales[[#This Row],[Quantity]]*tblSales[[#This Row],[Actual Price]]</f>
        <v>1760</v>
      </c>
    </row>
    <row r="1729" spans="1:12" x14ac:dyDescent="0.35">
      <c r="A1729" s="3" t="s">
        <v>2320</v>
      </c>
      <c r="B1729" s="4" t="s">
        <v>435</v>
      </c>
      <c r="C1729" s="4" t="s">
        <v>436</v>
      </c>
      <c r="D1729" s="4" t="s">
        <v>25</v>
      </c>
      <c r="E1729" s="7">
        <v>42428</v>
      </c>
      <c r="F1729" s="4" t="s">
        <v>105</v>
      </c>
      <c r="G1729" s="4" t="s">
        <v>859</v>
      </c>
      <c r="H1729" s="4">
        <v>70</v>
      </c>
      <c r="I1729" s="4">
        <v>67</v>
      </c>
      <c r="J1729" s="5">
        <v>4.2900000000000001E-2</v>
      </c>
      <c r="K1729" s="3">
        <v>41</v>
      </c>
      <c r="L1729" s="4">
        <f>tblSales[[#This Row],[Quantity]]*tblSales[[#This Row],[Actual Price]]</f>
        <v>2747</v>
      </c>
    </row>
    <row r="1730" spans="1:12" x14ac:dyDescent="0.35">
      <c r="A1730" s="3" t="s">
        <v>2321</v>
      </c>
      <c r="B1730" s="4" t="s">
        <v>158</v>
      </c>
      <c r="C1730" s="4" t="s">
        <v>109</v>
      </c>
      <c r="D1730" s="4" t="s">
        <v>20</v>
      </c>
      <c r="E1730" s="7">
        <v>42891</v>
      </c>
      <c r="F1730" s="4" t="s">
        <v>73</v>
      </c>
      <c r="G1730" s="4" t="s">
        <v>1871</v>
      </c>
      <c r="H1730" s="4">
        <v>500</v>
      </c>
      <c r="I1730" s="4">
        <v>495</v>
      </c>
      <c r="J1730" s="5">
        <v>0.01</v>
      </c>
      <c r="K1730" s="3">
        <v>86</v>
      </c>
      <c r="L1730" s="4">
        <f>tblSales[[#This Row],[Quantity]]*tblSales[[#This Row],[Actual Price]]</f>
        <v>42570</v>
      </c>
    </row>
    <row r="1731" spans="1:12" x14ac:dyDescent="0.35">
      <c r="A1731" s="3" t="s">
        <v>2322</v>
      </c>
      <c r="B1731" s="4" t="s">
        <v>40</v>
      </c>
      <c r="C1731" s="4" t="s">
        <v>41</v>
      </c>
      <c r="D1731" s="4" t="s">
        <v>36</v>
      </c>
      <c r="E1731" s="7">
        <v>41739</v>
      </c>
      <c r="F1731" s="4" t="s">
        <v>47</v>
      </c>
      <c r="G1731" s="4" t="s">
        <v>1708</v>
      </c>
      <c r="H1731" s="4">
        <v>500</v>
      </c>
      <c r="I1731" s="4">
        <v>190</v>
      </c>
      <c r="J1731" s="5">
        <v>0.62</v>
      </c>
      <c r="K1731" s="3">
        <v>75</v>
      </c>
      <c r="L1731" s="4">
        <f>tblSales[[#This Row],[Quantity]]*tblSales[[#This Row],[Actual Price]]</f>
        <v>14250</v>
      </c>
    </row>
    <row r="1732" spans="1:12" x14ac:dyDescent="0.35">
      <c r="A1732" s="3" t="s">
        <v>2323</v>
      </c>
      <c r="B1732" s="4" t="s">
        <v>71</v>
      </c>
      <c r="C1732" s="4" t="s">
        <v>72</v>
      </c>
      <c r="D1732" s="4" t="s">
        <v>36</v>
      </c>
      <c r="E1732" s="7">
        <v>42494</v>
      </c>
      <c r="F1732" s="4" t="s">
        <v>26</v>
      </c>
      <c r="G1732" s="4" t="s">
        <v>1415</v>
      </c>
      <c r="H1732" s="4">
        <v>700</v>
      </c>
      <c r="I1732" s="4">
        <v>686</v>
      </c>
      <c r="J1732" s="5">
        <v>0.02</v>
      </c>
      <c r="K1732" s="3">
        <v>67</v>
      </c>
      <c r="L1732" s="4">
        <f>tblSales[[#This Row],[Quantity]]*tblSales[[#This Row],[Actual Price]]</f>
        <v>45962</v>
      </c>
    </row>
    <row r="1733" spans="1:12" x14ac:dyDescent="0.35">
      <c r="A1733" s="3" t="s">
        <v>2324</v>
      </c>
      <c r="B1733" s="4" t="s">
        <v>54</v>
      </c>
      <c r="C1733" s="4" t="s">
        <v>55</v>
      </c>
      <c r="D1733" s="4" t="s">
        <v>14</v>
      </c>
      <c r="E1733" s="7">
        <v>42795</v>
      </c>
      <c r="F1733" s="4" t="s">
        <v>116</v>
      </c>
      <c r="G1733" s="4" t="s">
        <v>405</v>
      </c>
      <c r="H1733" s="4">
        <v>250</v>
      </c>
      <c r="I1733" s="4">
        <v>240</v>
      </c>
      <c r="J1733" s="5">
        <v>0.04</v>
      </c>
      <c r="K1733" s="3">
        <v>70</v>
      </c>
      <c r="L1733" s="4">
        <f>tblSales[[#This Row],[Quantity]]*tblSales[[#This Row],[Actual Price]]</f>
        <v>16800</v>
      </c>
    </row>
    <row r="1734" spans="1:12" x14ac:dyDescent="0.35">
      <c r="A1734" s="3" t="s">
        <v>2325</v>
      </c>
      <c r="B1734" s="4" t="s">
        <v>225</v>
      </c>
      <c r="C1734" s="4" t="s">
        <v>51</v>
      </c>
      <c r="D1734" s="4" t="s">
        <v>25</v>
      </c>
      <c r="E1734" s="7">
        <v>41964</v>
      </c>
      <c r="F1734" s="4" t="s">
        <v>62</v>
      </c>
      <c r="G1734" s="4" t="s">
        <v>1039</v>
      </c>
      <c r="H1734" s="4">
        <v>1000</v>
      </c>
      <c r="I1734" s="4">
        <v>600</v>
      </c>
      <c r="J1734" s="5">
        <v>0.4</v>
      </c>
      <c r="K1734" s="3">
        <v>46</v>
      </c>
      <c r="L1734" s="4">
        <f>tblSales[[#This Row],[Quantity]]*tblSales[[#This Row],[Actual Price]]</f>
        <v>27600</v>
      </c>
    </row>
    <row r="1735" spans="1:12" x14ac:dyDescent="0.35">
      <c r="A1735" s="3" t="s">
        <v>2326</v>
      </c>
      <c r="B1735" s="4" t="s">
        <v>23</v>
      </c>
      <c r="C1735" s="4" t="s">
        <v>24</v>
      </c>
      <c r="D1735" s="4" t="s">
        <v>25</v>
      </c>
      <c r="E1735" s="7">
        <v>41730</v>
      </c>
      <c r="F1735" s="4" t="s">
        <v>37</v>
      </c>
      <c r="G1735" s="4" t="s">
        <v>145</v>
      </c>
      <c r="H1735" s="4">
        <v>50</v>
      </c>
      <c r="I1735" s="4">
        <v>41</v>
      </c>
      <c r="J1735" s="5">
        <v>0.18</v>
      </c>
      <c r="K1735" s="3">
        <v>54</v>
      </c>
      <c r="L1735" s="4">
        <f>tblSales[[#This Row],[Quantity]]*tblSales[[#This Row],[Actual Price]]</f>
        <v>2214</v>
      </c>
    </row>
    <row r="1736" spans="1:12" x14ac:dyDescent="0.35">
      <c r="A1736" s="3" t="s">
        <v>2327</v>
      </c>
      <c r="B1736" s="4" t="s">
        <v>228</v>
      </c>
      <c r="C1736" s="4" t="s">
        <v>229</v>
      </c>
      <c r="D1736" s="4" t="s">
        <v>25</v>
      </c>
      <c r="E1736" s="7">
        <v>42123</v>
      </c>
      <c r="F1736" s="4" t="s">
        <v>116</v>
      </c>
      <c r="G1736" s="4" t="s">
        <v>439</v>
      </c>
      <c r="H1736" s="4">
        <v>250</v>
      </c>
      <c r="I1736" s="4">
        <v>230</v>
      </c>
      <c r="J1736" s="5">
        <v>0.08</v>
      </c>
      <c r="K1736" s="3">
        <v>72</v>
      </c>
      <c r="L1736" s="4">
        <f>tblSales[[#This Row],[Quantity]]*tblSales[[#This Row],[Actual Price]]</f>
        <v>16560</v>
      </c>
    </row>
    <row r="1737" spans="1:12" x14ac:dyDescent="0.35">
      <c r="A1737" s="3" t="s">
        <v>2328</v>
      </c>
      <c r="B1737" s="4" t="s">
        <v>112</v>
      </c>
      <c r="C1737" s="4" t="s">
        <v>83</v>
      </c>
      <c r="D1737" s="4" t="s">
        <v>14</v>
      </c>
      <c r="E1737" s="7">
        <v>41696</v>
      </c>
      <c r="F1737" s="4" t="s">
        <v>47</v>
      </c>
      <c r="G1737" s="4" t="s">
        <v>611</v>
      </c>
      <c r="H1737" s="4">
        <v>500</v>
      </c>
      <c r="I1737" s="4">
        <v>380</v>
      </c>
      <c r="J1737" s="5">
        <v>0.24</v>
      </c>
      <c r="K1737" s="3">
        <v>27</v>
      </c>
      <c r="L1737" s="4">
        <f>tblSales[[#This Row],[Quantity]]*tblSales[[#This Row],[Actual Price]]</f>
        <v>10260</v>
      </c>
    </row>
    <row r="1738" spans="1:12" x14ac:dyDescent="0.35">
      <c r="A1738" s="3" t="s">
        <v>2329</v>
      </c>
      <c r="B1738" s="4" t="s">
        <v>2244</v>
      </c>
      <c r="C1738" s="4" t="s">
        <v>109</v>
      </c>
      <c r="D1738" s="4" t="s">
        <v>20</v>
      </c>
      <c r="E1738" s="7">
        <v>42667</v>
      </c>
      <c r="F1738" s="4" t="s">
        <v>123</v>
      </c>
      <c r="G1738" s="4" t="s">
        <v>2330</v>
      </c>
      <c r="H1738" s="4">
        <v>50</v>
      </c>
      <c r="I1738" s="4">
        <v>49</v>
      </c>
      <c r="J1738" s="5">
        <v>0.02</v>
      </c>
      <c r="K1738" s="3">
        <v>91</v>
      </c>
      <c r="L1738" s="4">
        <f>tblSales[[#This Row],[Quantity]]*tblSales[[#This Row],[Actual Price]]</f>
        <v>4459</v>
      </c>
    </row>
    <row r="1739" spans="1:12" x14ac:dyDescent="0.35">
      <c r="A1739" s="3" t="s">
        <v>2331</v>
      </c>
      <c r="B1739" s="4" t="s">
        <v>104</v>
      </c>
      <c r="C1739" s="4" t="s">
        <v>72</v>
      </c>
      <c r="D1739" s="4" t="s">
        <v>36</v>
      </c>
      <c r="E1739" s="7">
        <v>43370</v>
      </c>
      <c r="F1739" s="4" t="s">
        <v>42</v>
      </c>
      <c r="G1739" s="4" t="s">
        <v>604</v>
      </c>
      <c r="H1739" s="4">
        <v>30</v>
      </c>
      <c r="I1739" s="4">
        <v>26</v>
      </c>
      <c r="J1739" s="5">
        <v>0.1333</v>
      </c>
      <c r="K1739" s="3">
        <v>4</v>
      </c>
      <c r="L1739" s="4">
        <f>tblSales[[#This Row],[Quantity]]*tblSales[[#This Row],[Actual Price]]</f>
        <v>104</v>
      </c>
    </row>
    <row r="1740" spans="1:12" x14ac:dyDescent="0.35">
      <c r="A1740" s="3" t="s">
        <v>2332</v>
      </c>
      <c r="B1740" s="4" t="s">
        <v>155</v>
      </c>
      <c r="C1740" s="4" t="s">
        <v>109</v>
      </c>
      <c r="D1740" s="4" t="s">
        <v>20</v>
      </c>
      <c r="E1740" s="7">
        <v>43015</v>
      </c>
      <c r="F1740" s="4" t="s">
        <v>31</v>
      </c>
      <c r="G1740" s="4" t="s">
        <v>1186</v>
      </c>
      <c r="H1740" s="4">
        <v>150</v>
      </c>
      <c r="I1740" s="4">
        <v>141</v>
      </c>
      <c r="J1740" s="5">
        <v>0.06</v>
      </c>
      <c r="K1740" s="3">
        <v>25</v>
      </c>
      <c r="L1740" s="4">
        <f>tblSales[[#This Row],[Quantity]]*tblSales[[#This Row],[Actual Price]]</f>
        <v>3525</v>
      </c>
    </row>
    <row r="1741" spans="1:12" x14ac:dyDescent="0.35">
      <c r="A1741" s="3" t="s">
        <v>2333</v>
      </c>
      <c r="B1741" s="4" t="s">
        <v>256</v>
      </c>
      <c r="C1741" s="4" t="s">
        <v>257</v>
      </c>
      <c r="D1741" s="4" t="s">
        <v>14</v>
      </c>
      <c r="E1741" s="7">
        <v>43042</v>
      </c>
      <c r="F1741" s="4" t="s">
        <v>62</v>
      </c>
      <c r="G1741" s="4" t="s">
        <v>806</v>
      </c>
      <c r="H1741" s="4">
        <v>1000</v>
      </c>
      <c r="I1741" s="4">
        <v>960</v>
      </c>
      <c r="J1741" s="5">
        <v>0.04</v>
      </c>
      <c r="K1741" s="3">
        <v>34</v>
      </c>
      <c r="L1741" s="4">
        <f>tblSales[[#This Row],[Quantity]]*tblSales[[#This Row],[Actual Price]]</f>
        <v>32640</v>
      </c>
    </row>
    <row r="1742" spans="1:12" x14ac:dyDescent="0.35">
      <c r="A1742" s="3" t="s">
        <v>2334</v>
      </c>
      <c r="B1742" s="4" t="s">
        <v>78</v>
      </c>
      <c r="C1742" s="4" t="s">
        <v>79</v>
      </c>
      <c r="D1742" s="4" t="s">
        <v>36</v>
      </c>
      <c r="E1742" s="7">
        <v>42433</v>
      </c>
      <c r="F1742" s="4" t="s">
        <v>123</v>
      </c>
      <c r="G1742" s="4" t="s">
        <v>2335</v>
      </c>
      <c r="H1742" s="4">
        <v>50</v>
      </c>
      <c r="I1742" s="4">
        <v>48</v>
      </c>
      <c r="J1742" s="5">
        <v>0.04</v>
      </c>
      <c r="K1742" s="3">
        <v>37</v>
      </c>
      <c r="L1742" s="4">
        <f>tblSales[[#This Row],[Quantity]]*tblSales[[#This Row],[Actual Price]]</f>
        <v>1776</v>
      </c>
    </row>
    <row r="1743" spans="1:12" x14ac:dyDescent="0.35">
      <c r="A1743" s="3" t="s">
        <v>2336</v>
      </c>
      <c r="B1743" s="4" t="s">
        <v>222</v>
      </c>
      <c r="C1743" s="4" t="s">
        <v>41</v>
      </c>
      <c r="D1743" s="4" t="s">
        <v>36</v>
      </c>
      <c r="E1743" s="7">
        <v>41675</v>
      </c>
      <c r="F1743" s="4" t="s">
        <v>42</v>
      </c>
      <c r="G1743" s="4" t="s">
        <v>2337</v>
      </c>
      <c r="H1743" s="4">
        <v>30</v>
      </c>
      <c r="I1743" s="4">
        <v>26</v>
      </c>
      <c r="J1743" s="5">
        <v>0.1333</v>
      </c>
      <c r="K1743" s="3">
        <v>41</v>
      </c>
      <c r="L1743" s="4">
        <f>tblSales[[#This Row],[Quantity]]*tblSales[[#This Row],[Actual Price]]</f>
        <v>1066</v>
      </c>
    </row>
    <row r="1744" spans="1:12" x14ac:dyDescent="0.35">
      <c r="A1744" s="3" t="s">
        <v>2338</v>
      </c>
      <c r="B1744" s="4" t="s">
        <v>108</v>
      </c>
      <c r="C1744" s="4" t="s">
        <v>109</v>
      </c>
      <c r="D1744" s="4" t="s">
        <v>20</v>
      </c>
      <c r="E1744" s="7">
        <v>42438</v>
      </c>
      <c r="F1744" s="4" t="s">
        <v>31</v>
      </c>
      <c r="G1744" s="4" t="s">
        <v>355</v>
      </c>
      <c r="H1744" s="4">
        <v>150</v>
      </c>
      <c r="I1744" s="4">
        <v>128</v>
      </c>
      <c r="J1744" s="5">
        <v>0.1467</v>
      </c>
      <c r="K1744" s="3">
        <v>10</v>
      </c>
      <c r="L1744" s="4">
        <f>tblSales[[#This Row],[Quantity]]*tblSales[[#This Row],[Actual Price]]</f>
        <v>1280</v>
      </c>
    </row>
    <row r="1745" spans="1:12" x14ac:dyDescent="0.35">
      <c r="A1745" s="3" t="s">
        <v>2339</v>
      </c>
      <c r="B1745" s="4" t="s">
        <v>132</v>
      </c>
      <c r="C1745" s="4" t="s">
        <v>109</v>
      </c>
      <c r="D1745" s="4" t="s">
        <v>20</v>
      </c>
      <c r="E1745" s="7">
        <v>42613</v>
      </c>
      <c r="F1745" s="4" t="s">
        <v>42</v>
      </c>
      <c r="G1745" s="4" t="s">
        <v>794</v>
      </c>
      <c r="H1745" s="4">
        <v>30</v>
      </c>
      <c r="I1745" s="4">
        <v>30</v>
      </c>
      <c r="J1745" s="5">
        <v>0</v>
      </c>
      <c r="K1745" s="3">
        <v>2</v>
      </c>
      <c r="L1745" s="4">
        <f>tblSales[[#This Row],[Quantity]]*tblSales[[#This Row],[Actual Price]]</f>
        <v>60</v>
      </c>
    </row>
    <row r="1746" spans="1:12" x14ac:dyDescent="0.35">
      <c r="A1746" s="3" t="s">
        <v>2340</v>
      </c>
      <c r="B1746" s="4" t="s">
        <v>29</v>
      </c>
      <c r="C1746" s="4" t="s">
        <v>30</v>
      </c>
      <c r="D1746" s="4" t="s">
        <v>14</v>
      </c>
      <c r="E1746" s="7">
        <v>43115</v>
      </c>
      <c r="F1746" s="4" t="s">
        <v>123</v>
      </c>
      <c r="G1746" s="4" t="s">
        <v>250</v>
      </c>
      <c r="H1746" s="4">
        <v>50</v>
      </c>
      <c r="I1746" s="4">
        <v>45</v>
      </c>
      <c r="J1746" s="5">
        <v>0.1</v>
      </c>
      <c r="K1746" s="3">
        <v>28</v>
      </c>
      <c r="L1746" s="4">
        <f>tblSales[[#This Row],[Quantity]]*tblSales[[#This Row],[Actual Price]]</f>
        <v>1260</v>
      </c>
    </row>
    <row r="1747" spans="1:12" x14ac:dyDescent="0.35">
      <c r="A1747" s="3" t="s">
        <v>2341</v>
      </c>
      <c r="B1747" s="4" t="s">
        <v>71</v>
      </c>
      <c r="C1747" s="4" t="s">
        <v>72</v>
      </c>
      <c r="D1747" s="4" t="s">
        <v>36</v>
      </c>
      <c r="E1747" s="7">
        <v>43239</v>
      </c>
      <c r="F1747" s="4" t="s">
        <v>47</v>
      </c>
      <c r="G1747" s="4" t="s">
        <v>671</v>
      </c>
      <c r="H1747" s="4">
        <v>500</v>
      </c>
      <c r="I1747" s="4">
        <v>445</v>
      </c>
      <c r="J1747" s="5">
        <v>0.11</v>
      </c>
      <c r="K1747" s="3">
        <v>72</v>
      </c>
      <c r="L1747" s="4">
        <f>tblSales[[#This Row],[Quantity]]*tblSales[[#This Row],[Actual Price]]</f>
        <v>32040</v>
      </c>
    </row>
    <row r="1748" spans="1:12" x14ac:dyDescent="0.35">
      <c r="A1748" s="3" t="s">
        <v>2342</v>
      </c>
      <c r="B1748" s="4" t="s">
        <v>100</v>
      </c>
      <c r="C1748" s="4" t="s">
        <v>101</v>
      </c>
      <c r="D1748" s="4" t="s">
        <v>14</v>
      </c>
      <c r="E1748" s="7">
        <v>42736</v>
      </c>
      <c r="F1748" s="4" t="s">
        <v>116</v>
      </c>
      <c r="G1748" s="4" t="s">
        <v>1826</v>
      </c>
      <c r="H1748" s="4">
        <v>250</v>
      </c>
      <c r="I1748" s="4">
        <v>228</v>
      </c>
      <c r="J1748" s="5">
        <v>8.7999999999999995E-2</v>
      </c>
      <c r="K1748" s="3">
        <v>3</v>
      </c>
      <c r="L1748" s="4">
        <f>tblSales[[#This Row],[Quantity]]*tblSales[[#This Row],[Actual Price]]</f>
        <v>684</v>
      </c>
    </row>
    <row r="1749" spans="1:12" x14ac:dyDescent="0.35">
      <c r="A1749" s="3" t="s">
        <v>2343</v>
      </c>
      <c r="B1749" s="4" t="s">
        <v>271</v>
      </c>
      <c r="C1749" s="4" t="s">
        <v>272</v>
      </c>
      <c r="D1749" s="4" t="s">
        <v>36</v>
      </c>
      <c r="E1749" s="7">
        <v>42268</v>
      </c>
      <c r="F1749" s="4" t="s">
        <v>105</v>
      </c>
      <c r="G1749" s="4" t="s">
        <v>1828</v>
      </c>
      <c r="H1749" s="4">
        <v>70</v>
      </c>
      <c r="I1749" s="4">
        <v>47</v>
      </c>
      <c r="J1749" s="5">
        <v>0.3286</v>
      </c>
      <c r="K1749" s="3">
        <v>83</v>
      </c>
      <c r="L1749" s="4">
        <f>tblSales[[#This Row],[Quantity]]*tblSales[[#This Row],[Actual Price]]</f>
        <v>3901</v>
      </c>
    </row>
    <row r="1750" spans="1:12" x14ac:dyDescent="0.35">
      <c r="A1750" s="3" t="s">
        <v>2344</v>
      </c>
      <c r="B1750" s="4" t="s">
        <v>271</v>
      </c>
      <c r="C1750" s="4" t="s">
        <v>272</v>
      </c>
      <c r="D1750" s="4" t="s">
        <v>36</v>
      </c>
      <c r="E1750" s="7">
        <v>42022</v>
      </c>
      <c r="F1750" s="4" t="s">
        <v>123</v>
      </c>
      <c r="G1750" s="4" t="s">
        <v>1828</v>
      </c>
      <c r="H1750" s="4">
        <v>50</v>
      </c>
      <c r="I1750" s="4">
        <v>36</v>
      </c>
      <c r="J1750" s="5">
        <v>0.28000000000000003</v>
      </c>
      <c r="K1750" s="3">
        <v>38</v>
      </c>
      <c r="L1750" s="4">
        <f>tblSales[[#This Row],[Quantity]]*tblSales[[#This Row],[Actual Price]]</f>
        <v>1368</v>
      </c>
    </row>
    <row r="1751" spans="1:12" x14ac:dyDescent="0.35">
      <c r="A1751" s="3" t="s">
        <v>2345</v>
      </c>
      <c r="B1751" s="4" t="s">
        <v>242</v>
      </c>
      <c r="C1751" s="4" t="s">
        <v>243</v>
      </c>
      <c r="D1751" s="4" t="s">
        <v>14</v>
      </c>
      <c r="E1751" s="7">
        <v>42552</v>
      </c>
      <c r="F1751" s="4" t="s">
        <v>73</v>
      </c>
      <c r="G1751" s="4" t="s">
        <v>332</v>
      </c>
      <c r="H1751" s="4">
        <v>500</v>
      </c>
      <c r="I1751" s="4">
        <v>500</v>
      </c>
      <c r="J1751" s="5">
        <v>0</v>
      </c>
      <c r="K1751" s="3">
        <v>35</v>
      </c>
      <c r="L1751" s="4">
        <f>tblSales[[#This Row],[Quantity]]*tblSales[[#This Row],[Actual Price]]</f>
        <v>17500</v>
      </c>
    </row>
    <row r="1752" spans="1:12" x14ac:dyDescent="0.35">
      <c r="A1752" s="3" t="s">
        <v>2346</v>
      </c>
      <c r="B1752" s="4" t="s">
        <v>71</v>
      </c>
      <c r="C1752" s="4" t="s">
        <v>72</v>
      </c>
      <c r="D1752" s="4" t="s">
        <v>36</v>
      </c>
      <c r="E1752" s="7">
        <v>42507</v>
      </c>
      <c r="F1752" s="4" t="s">
        <v>105</v>
      </c>
      <c r="G1752" s="4" t="s">
        <v>1811</v>
      </c>
      <c r="H1752" s="4">
        <v>70</v>
      </c>
      <c r="I1752" s="4">
        <v>68</v>
      </c>
      <c r="J1752" s="5">
        <v>2.86E-2</v>
      </c>
      <c r="K1752" s="3">
        <v>24</v>
      </c>
      <c r="L1752" s="4">
        <f>tblSales[[#This Row],[Quantity]]*tblSales[[#This Row],[Actual Price]]</f>
        <v>1632</v>
      </c>
    </row>
    <row r="1753" spans="1:12" x14ac:dyDescent="0.35">
      <c r="A1753" s="3" t="s">
        <v>2347</v>
      </c>
      <c r="B1753" s="4" t="s">
        <v>265</v>
      </c>
      <c r="C1753" s="4" t="s">
        <v>266</v>
      </c>
      <c r="D1753" s="4" t="s">
        <v>14</v>
      </c>
      <c r="E1753" s="7">
        <v>42050</v>
      </c>
      <c r="F1753" s="4" t="s">
        <v>26</v>
      </c>
      <c r="G1753" s="4" t="s">
        <v>309</v>
      </c>
      <c r="H1753" s="4">
        <v>700</v>
      </c>
      <c r="I1753" s="4">
        <v>567</v>
      </c>
      <c r="J1753" s="5">
        <v>0.19</v>
      </c>
      <c r="K1753" s="3">
        <v>29</v>
      </c>
      <c r="L1753" s="4">
        <f>tblSales[[#This Row],[Quantity]]*tblSales[[#This Row],[Actual Price]]</f>
        <v>16443</v>
      </c>
    </row>
    <row r="1754" spans="1:12" x14ac:dyDescent="0.35">
      <c r="A1754" s="3" t="s">
        <v>2348</v>
      </c>
      <c r="B1754" s="4" t="s">
        <v>155</v>
      </c>
      <c r="C1754" s="4" t="s">
        <v>109</v>
      </c>
      <c r="D1754" s="4" t="s">
        <v>20</v>
      </c>
      <c r="E1754" s="7">
        <v>42757</v>
      </c>
      <c r="F1754" s="4" t="s">
        <v>42</v>
      </c>
      <c r="G1754" s="4" t="s">
        <v>1412</v>
      </c>
      <c r="H1754" s="4">
        <v>30</v>
      </c>
      <c r="I1754" s="4">
        <v>29</v>
      </c>
      <c r="J1754" s="5">
        <v>3.3300000000000003E-2</v>
      </c>
      <c r="K1754" s="3">
        <v>26</v>
      </c>
      <c r="L1754" s="4">
        <f>tblSales[[#This Row],[Quantity]]*tblSales[[#This Row],[Actual Price]]</f>
        <v>754</v>
      </c>
    </row>
    <row r="1755" spans="1:12" x14ac:dyDescent="0.35">
      <c r="A1755" s="3" t="s">
        <v>2349</v>
      </c>
      <c r="B1755" s="4" t="s">
        <v>23</v>
      </c>
      <c r="C1755" s="4" t="s">
        <v>24</v>
      </c>
      <c r="D1755" s="4" t="s">
        <v>25</v>
      </c>
      <c r="E1755" s="7">
        <v>42320</v>
      </c>
      <c r="F1755" s="4" t="s">
        <v>15</v>
      </c>
      <c r="G1755" s="4" t="s">
        <v>145</v>
      </c>
      <c r="H1755" s="4">
        <v>80</v>
      </c>
      <c r="I1755" s="4">
        <v>52</v>
      </c>
      <c r="J1755" s="5">
        <v>0.35</v>
      </c>
      <c r="K1755" s="3">
        <v>41</v>
      </c>
      <c r="L1755" s="4">
        <f>tblSales[[#This Row],[Quantity]]*tblSales[[#This Row],[Actual Price]]</f>
        <v>2132</v>
      </c>
    </row>
    <row r="1756" spans="1:12" x14ac:dyDescent="0.35">
      <c r="A1756" s="3" t="s">
        <v>2350</v>
      </c>
      <c r="B1756" s="4" t="s">
        <v>435</v>
      </c>
      <c r="C1756" s="4" t="s">
        <v>436</v>
      </c>
      <c r="D1756" s="4" t="s">
        <v>25</v>
      </c>
      <c r="E1756" s="7">
        <v>42513</v>
      </c>
      <c r="F1756" s="4" t="s">
        <v>47</v>
      </c>
      <c r="G1756" s="4" t="s">
        <v>437</v>
      </c>
      <c r="H1756" s="4">
        <v>500</v>
      </c>
      <c r="I1756" s="4">
        <v>440</v>
      </c>
      <c r="J1756" s="5">
        <v>0.12</v>
      </c>
      <c r="K1756" s="3">
        <v>15</v>
      </c>
      <c r="L1756" s="4">
        <f>tblSales[[#This Row],[Quantity]]*tblSales[[#This Row],[Actual Price]]</f>
        <v>6600</v>
      </c>
    </row>
    <row r="1757" spans="1:12" x14ac:dyDescent="0.35">
      <c r="A1757" s="3" t="s">
        <v>2351</v>
      </c>
      <c r="B1757" s="4" t="s">
        <v>92</v>
      </c>
      <c r="C1757" s="4" t="s">
        <v>93</v>
      </c>
      <c r="D1757" s="4" t="s">
        <v>36</v>
      </c>
      <c r="E1757" s="7">
        <v>41827</v>
      </c>
      <c r="F1757" s="4" t="s">
        <v>26</v>
      </c>
      <c r="G1757" s="4" t="s">
        <v>2352</v>
      </c>
      <c r="H1757" s="4">
        <v>700</v>
      </c>
      <c r="I1757" s="4">
        <v>147</v>
      </c>
      <c r="J1757" s="5">
        <v>0.79</v>
      </c>
      <c r="K1757" s="3">
        <v>10</v>
      </c>
      <c r="L1757" s="4">
        <f>tblSales[[#This Row],[Quantity]]*tblSales[[#This Row],[Actual Price]]</f>
        <v>1470</v>
      </c>
    </row>
    <row r="1758" spans="1:12" x14ac:dyDescent="0.35">
      <c r="A1758" s="3" t="s">
        <v>2353</v>
      </c>
      <c r="B1758" s="4" t="s">
        <v>18</v>
      </c>
      <c r="C1758" s="4" t="s">
        <v>19</v>
      </c>
      <c r="D1758" s="4" t="s">
        <v>20</v>
      </c>
      <c r="E1758" s="7">
        <v>42094</v>
      </c>
      <c r="F1758" s="4" t="s">
        <v>47</v>
      </c>
      <c r="G1758" s="4" t="s">
        <v>914</v>
      </c>
      <c r="H1758" s="4">
        <v>500</v>
      </c>
      <c r="I1758" s="4">
        <v>400</v>
      </c>
      <c r="J1758" s="5">
        <v>0.2</v>
      </c>
      <c r="K1758" s="3">
        <v>78</v>
      </c>
      <c r="L1758" s="4">
        <f>tblSales[[#This Row],[Quantity]]*tblSales[[#This Row],[Actual Price]]</f>
        <v>31200</v>
      </c>
    </row>
    <row r="1759" spans="1:12" x14ac:dyDescent="0.35">
      <c r="A1759" s="3" t="s">
        <v>2354</v>
      </c>
      <c r="B1759" s="4" t="s">
        <v>435</v>
      </c>
      <c r="C1759" s="4" t="s">
        <v>436</v>
      </c>
      <c r="D1759" s="4" t="s">
        <v>25</v>
      </c>
      <c r="E1759" s="7">
        <v>42424</v>
      </c>
      <c r="F1759" s="4" t="s">
        <v>31</v>
      </c>
      <c r="G1759" s="4" t="s">
        <v>551</v>
      </c>
      <c r="H1759" s="4">
        <v>150</v>
      </c>
      <c r="I1759" s="4">
        <v>140</v>
      </c>
      <c r="J1759" s="5">
        <v>6.6699999999999995E-2</v>
      </c>
      <c r="K1759" s="3">
        <v>34</v>
      </c>
      <c r="L1759" s="4">
        <f>tblSales[[#This Row],[Quantity]]*tblSales[[#This Row],[Actual Price]]</f>
        <v>4760</v>
      </c>
    </row>
    <row r="1760" spans="1:12" x14ac:dyDescent="0.35">
      <c r="A1760" s="3" t="s">
        <v>2355</v>
      </c>
      <c r="B1760" s="4" t="s">
        <v>435</v>
      </c>
      <c r="C1760" s="4" t="s">
        <v>436</v>
      </c>
      <c r="D1760" s="4" t="s">
        <v>25</v>
      </c>
      <c r="E1760" s="7">
        <v>42681</v>
      </c>
      <c r="F1760" s="4" t="s">
        <v>47</v>
      </c>
      <c r="G1760" s="4" t="s">
        <v>829</v>
      </c>
      <c r="H1760" s="4">
        <v>500</v>
      </c>
      <c r="I1760" s="4">
        <v>450</v>
      </c>
      <c r="J1760" s="5">
        <v>0.1</v>
      </c>
      <c r="K1760" s="3">
        <v>31</v>
      </c>
      <c r="L1760" s="4">
        <f>tblSales[[#This Row],[Quantity]]*tblSales[[#This Row],[Actual Price]]</f>
        <v>13950</v>
      </c>
    </row>
    <row r="1761" spans="1:12" x14ac:dyDescent="0.35">
      <c r="A1761" s="3" t="s">
        <v>2356</v>
      </c>
      <c r="B1761" s="4" t="s">
        <v>225</v>
      </c>
      <c r="C1761" s="4" t="s">
        <v>51</v>
      </c>
      <c r="D1761" s="4" t="s">
        <v>25</v>
      </c>
      <c r="E1761" s="7">
        <v>42802</v>
      </c>
      <c r="F1761" s="4" t="s">
        <v>26</v>
      </c>
      <c r="G1761" s="4" t="s">
        <v>1039</v>
      </c>
      <c r="H1761" s="4">
        <v>700</v>
      </c>
      <c r="I1761" s="4">
        <v>679</v>
      </c>
      <c r="J1761" s="5">
        <v>0.03</v>
      </c>
      <c r="K1761" s="3">
        <v>1</v>
      </c>
      <c r="L1761" s="4">
        <f>tblSales[[#This Row],[Quantity]]*tblSales[[#This Row],[Actual Price]]</f>
        <v>679</v>
      </c>
    </row>
    <row r="1762" spans="1:12" x14ac:dyDescent="0.35">
      <c r="A1762" s="3" t="s">
        <v>2357</v>
      </c>
      <c r="B1762" s="4" t="s">
        <v>132</v>
      </c>
      <c r="C1762" s="4" t="s">
        <v>109</v>
      </c>
      <c r="D1762" s="4" t="s">
        <v>20</v>
      </c>
      <c r="E1762" s="7">
        <v>43014</v>
      </c>
      <c r="F1762" s="4" t="s">
        <v>105</v>
      </c>
      <c r="G1762" s="4" t="s">
        <v>794</v>
      </c>
      <c r="H1762" s="4">
        <v>70</v>
      </c>
      <c r="I1762" s="4">
        <v>69</v>
      </c>
      <c r="J1762" s="5">
        <v>1.43E-2</v>
      </c>
      <c r="K1762" s="3">
        <v>77</v>
      </c>
      <c r="L1762" s="4">
        <f>tblSales[[#This Row],[Quantity]]*tblSales[[#This Row],[Actual Price]]</f>
        <v>5313</v>
      </c>
    </row>
    <row r="1763" spans="1:12" x14ac:dyDescent="0.35">
      <c r="A1763" s="3" t="s">
        <v>2358</v>
      </c>
      <c r="B1763" s="4" t="s">
        <v>34</v>
      </c>
      <c r="C1763" s="4" t="s">
        <v>35</v>
      </c>
      <c r="D1763" s="4" t="s">
        <v>36</v>
      </c>
      <c r="E1763" s="7">
        <v>42013</v>
      </c>
      <c r="F1763" s="4" t="s">
        <v>73</v>
      </c>
      <c r="G1763" s="4" t="s">
        <v>161</v>
      </c>
      <c r="H1763" s="4">
        <v>500</v>
      </c>
      <c r="I1763" s="4">
        <v>495</v>
      </c>
      <c r="J1763" s="5">
        <v>0.01</v>
      </c>
      <c r="K1763" s="3">
        <v>61</v>
      </c>
      <c r="L1763" s="4">
        <f>tblSales[[#This Row],[Quantity]]*tblSales[[#This Row],[Actual Price]]</f>
        <v>30195</v>
      </c>
    </row>
    <row r="1764" spans="1:12" x14ac:dyDescent="0.35">
      <c r="A1764" s="3" t="s">
        <v>2359</v>
      </c>
      <c r="B1764" s="4" t="s">
        <v>100</v>
      </c>
      <c r="C1764" s="4" t="s">
        <v>101</v>
      </c>
      <c r="D1764" s="4" t="s">
        <v>14</v>
      </c>
      <c r="E1764" s="7">
        <v>43155</v>
      </c>
      <c r="F1764" s="4" t="s">
        <v>47</v>
      </c>
      <c r="G1764" s="4" t="s">
        <v>1091</v>
      </c>
      <c r="H1764" s="4">
        <v>500</v>
      </c>
      <c r="I1764" s="4">
        <v>455</v>
      </c>
      <c r="J1764" s="5">
        <v>0.09</v>
      </c>
      <c r="K1764" s="3">
        <v>25</v>
      </c>
      <c r="L1764" s="4">
        <f>tblSales[[#This Row],[Quantity]]*tblSales[[#This Row],[Actual Price]]</f>
        <v>11375</v>
      </c>
    </row>
    <row r="1765" spans="1:12" x14ac:dyDescent="0.35">
      <c r="A1765" s="3" t="s">
        <v>2360</v>
      </c>
      <c r="B1765" s="4" t="s">
        <v>18</v>
      </c>
      <c r="C1765" s="4" t="s">
        <v>19</v>
      </c>
      <c r="D1765" s="4" t="s">
        <v>20</v>
      </c>
      <c r="E1765" s="7">
        <v>41987</v>
      </c>
      <c r="F1765" s="4" t="s">
        <v>105</v>
      </c>
      <c r="G1765" s="4" t="s">
        <v>179</v>
      </c>
      <c r="H1765" s="4">
        <v>70</v>
      </c>
      <c r="I1765" s="4">
        <v>56</v>
      </c>
      <c r="J1765" s="5">
        <v>0.2</v>
      </c>
      <c r="K1765" s="3">
        <v>24</v>
      </c>
      <c r="L1765" s="4">
        <f>tblSales[[#This Row],[Quantity]]*tblSales[[#This Row],[Actual Price]]</f>
        <v>1344</v>
      </c>
    </row>
    <row r="1766" spans="1:12" x14ac:dyDescent="0.35">
      <c r="A1766" s="3" t="s">
        <v>2361</v>
      </c>
      <c r="B1766" s="4" t="s">
        <v>60</v>
      </c>
      <c r="C1766" s="4" t="s">
        <v>61</v>
      </c>
      <c r="D1766" s="4" t="s">
        <v>14</v>
      </c>
      <c r="E1766" s="7">
        <v>42668</v>
      </c>
      <c r="F1766" s="4" t="s">
        <v>105</v>
      </c>
      <c r="G1766" s="4" t="s">
        <v>1015</v>
      </c>
      <c r="H1766" s="4">
        <v>70</v>
      </c>
      <c r="I1766" s="4">
        <v>62</v>
      </c>
      <c r="J1766" s="5">
        <v>0.1143</v>
      </c>
      <c r="K1766" s="3">
        <v>10</v>
      </c>
      <c r="L1766" s="4">
        <f>tblSales[[#This Row],[Quantity]]*tblSales[[#This Row],[Actual Price]]</f>
        <v>620</v>
      </c>
    </row>
    <row r="1767" spans="1:12" x14ac:dyDescent="0.35">
      <c r="A1767" s="3" t="s">
        <v>2362</v>
      </c>
      <c r="B1767" s="4" t="s">
        <v>158</v>
      </c>
      <c r="C1767" s="4" t="s">
        <v>109</v>
      </c>
      <c r="D1767" s="4" t="s">
        <v>20</v>
      </c>
      <c r="E1767" s="7">
        <v>43116</v>
      </c>
      <c r="F1767" s="4" t="s">
        <v>31</v>
      </c>
      <c r="G1767" s="4" t="s">
        <v>1287</v>
      </c>
      <c r="H1767" s="4">
        <v>150</v>
      </c>
      <c r="I1767" s="4">
        <v>128</v>
      </c>
      <c r="J1767" s="5">
        <v>0.1467</v>
      </c>
      <c r="K1767" s="3">
        <v>79</v>
      </c>
      <c r="L1767" s="4">
        <f>tblSales[[#This Row],[Quantity]]*tblSales[[#This Row],[Actual Price]]</f>
        <v>10112</v>
      </c>
    </row>
    <row r="1768" spans="1:12" x14ac:dyDescent="0.35">
      <c r="A1768" s="3" t="s">
        <v>2363</v>
      </c>
      <c r="B1768" s="4" t="s">
        <v>2171</v>
      </c>
      <c r="C1768" s="4" t="s">
        <v>19</v>
      </c>
      <c r="D1768" s="4" t="s">
        <v>20</v>
      </c>
      <c r="E1768" s="7">
        <v>43108</v>
      </c>
      <c r="F1768" s="4" t="s">
        <v>31</v>
      </c>
      <c r="G1768" s="4" t="s">
        <v>2364</v>
      </c>
      <c r="H1768" s="4">
        <v>150</v>
      </c>
      <c r="I1768" s="4">
        <v>131</v>
      </c>
      <c r="J1768" s="5">
        <v>0.12670000000000001</v>
      </c>
      <c r="K1768" s="3">
        <v>83</v>
      </c>
      <c r="L1768" s="4">
        <f>tblSales[[#This Row],[Quantity]]*tblSales[[#This Row],[Actual Price]]</f>
        <v>10873</v>
      </c>
    </row>
    <row r="1769" spans="1:12" x14ac:dyDescent="0.35">
      <c r="A1769" s="3" t="s">
        <v>2365</v>
      </c>
      <c r="B1769" s="4" t="s">
        <v>183</v>
      </c>
      <c r="C1769" s="4" t="s">
        <v>109</v>
      </c>
      <c r="D1769" s="4" t="s">
        <v>20</v>
      </c>
      <c r="E1769" s="7">
        <v>43134</v>
      </c>
      <c r="F1769" s="4" t="s">
        <v>42</v>
      </c>
      <c r="G1769" s="4" t="s">
        <v>2236</v>
      </c>
      <c r="H1769" s="4">
        <v>30</v>
      </c>
      <c r="I1769" s="4">
        <v>30</v>
      </c>
      <c r="J1769" s="5">
        <v>0</v>
      </c>
      <c r="K1769" s="3">
        <v>49</v>
      </c>
      <c r="L1769" s="4">
        <f>tblSales[[#This Row],[Quantity]]*tblSales[[#This Row],[Actual Price]]</f>
        <v>1470</v>
      </c>
    </row>
    <row r="1770" spans="1:12" x14ac:dyDescent="0.35">
      <c r="A1770" s="3" t="s">
        <v>2366</v>
      </c>
      <c r="B1770" s="4" t="s">
        <v>23</v>
      </c>
      <c r="C1770" s="4" t="s">
        <v>24</v>
      </c>
      <c r="D1770" s="4" t="s">
        <v>25</v>
      </c>
      <c r="E1770" s="7">
        <v>42207</v>
      </c>
      <c r="F1770" s="4" t="s">
        <v>47</v>
      </c>
      <c r="G1770" s="4" t="s">
        <v>484</v>
      </c>
      <c r="H1770" s="4">
        <v>500</v>
      </c>
      <c r="I1770" s="4">
        <v>460</v>
      </c>
      <c r="J1770" s="5">
        <v>0.08</v>
      </c>
      <c r="K1770" s="3">
        <v>25</v>
      </c>
      <c r="L1770" s="4">
        <f>tblSales[[#This Row],[Quantity]]*tblSales[[#This Row],[Actual Price]]</f>
        <v>11500</v>
      </c>
    </row>
    <row r="1771" spans="1:12" x14ac:dyDescent="0.35">
      <c r="A1771" s="3" t="s">
        <v>2367</v>
      </c>
      <c r="B1771" s="4" t="s">
        <v>271</v>
      </c>
      <c r="C1771" s="4" t="s">
        <v>272</v>
      </c>
      <c r="D1771" s="4" t="s">
        <v>36</v>
      </c>
      <c r="E1771" s="7">
        <v>42115</v>
      </c>
      <c r="F1771" s="4" t="s">
        <v>31</v>
      </c>
      <c r="G1771" s="4" t="s">
        <v>714</v>
      </c>
      <c r="H1771" s="4">
        <v>150</v>
      </c>
      <c r="I1771" s="4">
        <v>120</v>
      </c>
      <c r="J1771" s="5">
        <v>0.2</v>
      </c>
      <c r="K1771" s="3">
        <v>21</v>
      </c>
      <c r="L1771" s="4">
        <f>tblSales[[#This Row],[Quantity]]*tblSales[[#This Row],[Actual Price]]</f>
        <v>2520</v>
      </c>
    </row>
    <row r="1772" spans="1:12" x14ac:dyDescent="0.35">
      <c r="A1772" s="3" t="s">
        <v>2368</v>
      </c>
      <c r="B1772" s="4" t="s">
        <v>183</v>
      </c>
      <c r="C1772" s="4" t="s">
        <v>109</v>
      </c>
      <c r="D1772" s="4" t="s">
        <v>20</v>
      </c>
      <c r="E1772" s="7">
        <v>43353</v>
      </c>
      <c r="F1772" s="4" t="s">
        <v>56</v>
      </c>
      <c r="G1772" s="4" t="s">
        <v>1433</v>
      </c>
      <c r="H1772" s="4">
        <v>800</v>
      </c>
      <c r="I1772" s="4">
        <v>544</v>
      </c>
      <c r="J1772" s="5">
        <v>0.32</v>
      </c>
      <c r="K1772" s="3">
        <v>15</v>
      </c>
      <c r="L1772" s="4">
        <f>tblSales[[#This Row],[Quantity]]*tblSales[[#This Row],[Actual Price]]</f>
        <v>8160</v>
      </c>
    </row>
    <row r="1773" spans="1:12" x14ac:dyDescent="0.35">
      <c r="A1773" s="3" t="s">
        <v>2369</v>
      </c>
      <c r="B1773" s="4" t="s">
        <v>242</v>
      </c>
      <c r="C1773" s="4" t="s">
        <v>243</v>
      </c>
      <c r="D1773" s="4" t="s">
        <v>14</v>
      </c>
      <c r="E1773" s="7">
        <v>42221</v>
      </c>
      <c r="F1773" s="4" t="s">
        <v>31</v>
      </c>
      <c r="G1773" s="4" t="s">
        <v>1153</v>
      </c>
      <c r="H1773" s="4">
        <v>150</v>
      </c>
      <c r="I1773" s="4">
        <v>132</v>
      </c>
      <c r="J1773" s="5">
        <v>0.12</v>
      </c>
      <c r="K1773" s="3">
        <v>29</v>
      </c>
      <c r="L1773" s="4">
        <f>tblSales[[#This Row],[Quantity]]*tblSales[[#This Row],[Actual Price]]</f>
        <v>3828</v>
      </c>
    </row>
    <row r="1774" spans="1:12" x14ac:dyDescent="0.35">
      <c r="A1774" s="3" t="s">
        <v>2370</v>
      </c>
      <c r="B1774" s="4" t="s">
        <v>112</v>
      </c>
      <c r="C1774" s="4" t="s">
        <v>83</v>
      </c>
      <c r="D1774" s="4" t="s">
        <v>14</v>
      </c>
      <c r="E1774" s="7">
        <v>42726</v>
      </c>
      <c r="F1774" s="4" t="s">
        <v>47</v>
      </c>
      <c r="G1774" s="4" t="s">
        <v>611</v>
      </c>
      <c r="H1774" s="4">
        <v>500</v>
      </c>
      <c r="I1774" s="4">
        <v>435</v>
      </c>
      <c r="J1774" s="5">
        <v>0.13</v>
      </c>
      <c r="K1774" s="3">
        <v>25</v>
      </c>
      <c r="L1774" s="4">
        <f>tblSales[[#This Row],[Quantity]]*tblSales[[#This Row],[Actual Price]]</f>
        <v>10875</v>
      </c>
    </row>
    <row r="1775" spans="1:12" x14ac:dyDescent="0.35">
      <c r="A1775" s="3" t="s">
        <v>2371</v>
      </c>
      <c r="B1775" s="4" t="s">
        <v>2171</v>
      </c>
      <c r="C1775" s="4" t="s">
        <v>19</v>
      </c>
      <c r="D1775" s="4" t="s">
        <v>20</v>
      </c>
      <c r="E1775" s="7">
        <v>42343</v>
      </c>
      <c r="F1775" s="4" t="s">
        <v>56</v>
      </c>
      <c r="G1775" s="4" t="s">
        <v>2372</v>
      </c>
      <c r="H1775" s="4">
        <v>800</v>
      </c>
      <c r="I1775" s="4">
        <v>448</v>
      </c>
      <c r="J1775" s="5">
        <v>0.44</v>
      </c>
      <c r="K1775" s="3">
        <v>37</v>
      </c>
      <c r="L1775" s="4">
        <f>tblSales[[#This Row],[Quantity]]*tblSales[[#This Row],[Actual Price]]</f>
        <v>16576</v>
      </c>
    </row>
    <row r="1776" spans="1:12" x14ac:dyDescent="0.35">
      <c r="A1776" s="3" t="s">
        <v>2373</v>
      </c>
      <c r="B1776" s="4" t="s">
        <v>132</v>
      </c>
      <c r="C1776" s="4" t="s">
        <v>109</v>
      </c>
      <c r="D1776" s="4" t="s">
        <v>20</v>
      </c>
      <c r="E1776" s="7">
        <v>43300</v>
      </c>
      <c r="F1776" s="4" t="s">
        <v>73</v>
      </c>
      <c r="G1776" s="4" t="s">
        <v>383</v>
      </c>
      <c r="H1776" s="4">
        <v>500</v>
      </c>
      <c r="I1776" s="4">
        <v>500</v>
      </c>
      <c r="J1776" s="5">
        <v>0</v>
      </c>
      <c r="K1776" s="3">
        <v>53</v>
      </c>
      <c r="L1776" s="4">
        <f>tblSales[[#This Row],[Quantity]]*tblSales[[#This Row],[Actual Price]]</f>
        <v>26500</v>
      </c>
    </row>
    <row r="1777" spans="1:12" x14ac:dyDescent="0.35">
      <c r="A1777" s="3" t="s">
        <v>2374</v>
      </c>
      <c r="B1777" s="4" t="s">
        <v>225</v>
      </c>
      <c r="C1777" s="4" t="s">
        <v>51</v>
      </c>
      <c r="D1777" s="4" t="s">
        <v>25</v>
      </c>
      <c r="E1777" s="7">
        <v>42875</v>
      </c>
      <c r="F1777" s="4" t="s">
        <v>123</v>
      </c>
      <c r="G1777" s="4" t="s">
        <v>1240</v>
      </c>
      <c r="H1777" s="4">
        <v>50</v>
      </c>
      <c r="I1777" s="4">
        <v>47</v>
      </c>
      <c r="J1777" s="5">
        <v>0.06</v>
      </c>
      <c r="K1777" s="3">
        <v>16</v>
      </c>
      <c r="L1777" s="4">
        <f>tblSales[[#This Row],[Quantity]]*tblSales[[#This Row],[Actual Price]]</f>
        <v>752</v>
      </c>
    </row>
    <row r="1778" spans="1:12" x14ac:dyDescent="0.35">
      <c r="A1778" s="3" t="s">
        <v>2375</v>
      </c>
      <c r="B1778" s="4" t="s">
        <v>183</v>
      </c>
      <c r="C1778" s="4" t="s">
        <v>109</v>
      </c>
      <c r="D1778" s="4" t="s">
        <v>20</v>
      </c>
      <c r="E1778" s="7">
        <v>42847</v>
      </c>
      <c r="F1778" s="4" t="s">
        <v>37</v>
      </c>
      <c r="G1778" s="4" t="s">
        <v>184</v>
      </c>
      <c r="H1778" s="4">
        <v>50</v>
      </c>
      <c r="I1778" s="4">
        <v>46</v>
      </c>
      <c r="J1778" s="5">
        <v>0.08</v>
      </c>
      <c r="K1778" s="3">
        <v>21</v>
      </c>
      <c r="L1778" s="4">
        <f>tblSales[[#This Row],[Quantity]]*tblSales[[#This Row],[Actual Price]]</f>
        <v>966</v>
      </c>
    </row>
    <row r="1779" spans="1:12" x14ac:dyDescent="0.35">
      <c r="A1779" s="3" t="s">
        <v>2376</v>
      </c>
      <c r="B1779" s="4" t="s">
        <v>50</v>
      </c>
      <c r="C1779" s="4" t="s">
        <v>51</v>
      </c>
      <c r="D1779" s="4" t="s">
        <v>25</v>
      </c>
      <c r="E1779" s="7">
        <v>41869</v>
      </c>
      <c r="F1779" s="4" t="s">
        <v>31</v>
      </c>
      <c r="G1779" s="4" t="s">
        <v>1001</v>
      </c>
      <c r="H1779" s="4">
        <v>150</v>
      </c>
      <c r="I1779" s="4">
        <v>126</v>
      </c>
      <c r="J1779" s="5">
        <v>0.16</v>
      </c>
      <c r="K1779" s="3">
        <v>58</v>
      </c>
      <c r="L1779" s="4">
        <f>tblSales[[#This Row],[Quantity]]*tblSales[[#This Row],[Actual Price]]</f>
        <v>7308</v>
      </c>
    </row>
    <row r="1780" spans="1:12" x14ac:dyDescent="0.35">
      <c r="A1780" s="3" t="s">
        <v>2377</v>
      </c>
      <c r="B1780" s="4" t="s">
        <v>175</v>
      </c>
      <c r="C1780" s="4" t="s">
        <v>176</v>
      </c>
      <c r="D1780" s="4" t="s">
        <v>14</v>
      </c>
      <c r="E1780" s="7">
        <v>41768</v>
      </c>
      <c r="F1780" s="4" t="s">
        <v>42</v>
      </c>
      <c r="G1780" s="4" t="s">
        <v>789</v>
      </c>
      <c r="H1780" s="4">
        <v>30</v>
      </c>
      <c r="I1780" s="4">
        <v>23</v>
      </c>
      <c r="J1780" s="5">
        <v>0.23330000000000001</v>
      </c>
      <c r="K1780" s="3">
        <v>46</v>
      </c>
      <c r="L1780" s="4">
        <f>tblSales[[#This Row],[Quantity]]*tblSales[[#This Row],[Actual Price]]</f>
        <v>1058</v>
      </c>
    </row>
    <row r="1781" spans="1:12" x14ac:dyDescent="0.35">
      <c r="A1781" s="3" t="s">
        <v>2378</v>
      </c>
      <c r="B1781" s="4" t="s">
        <v>228</v>
      </c>
      <c r="C1781" s="4" t="s">
        <v>229</v>
      </c>
      <c r="D1781" s="4" t="s">
        <v>25</v>
      </c>
      <c r="E1781" s="7">
        <v>42193</v>
      </c>
      <c r="F1781" s="4" t="s">
        <v>116</v>
      </c>
      <c r="G1781" s="4" t="s">
        <v>2379</v>
      </c>
      <c r="H1781" s="4">
        <v>250</v>
      </c>
      <c r="I1781" s="4">
        <v>230</v>
      </c>
      <c r="J1781" s="5">
        <v>0.08</v>
      </c>
      <c r="K1781" s="3">
        <v>16</v>
      </c>
      <c r="L1781" s="4">
        <f>tblSales[[#This Row],[Quantity]]*tblSales[[#This Row],[Actual Price]]</f>
        <v>3680</v>
      </c>
    </row>
    <row r="1782" spans="1:12" x14ac:dyDescent="0.35">
      <c r="A1782" s="3" t="s">
        <v>2380</v>
      </c>
      <c r="B1782" s="4" t="s">
        <v>242</v>
      </c>
      <c r="C1782" s="4" t="s">
        <v>243</v>
      </c>
      <c r="D1782" s="4" t="s">
        <v>14</v>
      </c>
      <c r="E1782" s="7">
        <v>41747</v>
      </c>
      <c r="F1782" s="4" t="s">
        <v>42</v>
      </c>
      <c r="G1782" s="4" t="s">
        <v>332</v>
      </c>
      <c r="H1782" s="4">
        <v>30</v>
      </c>
      <c r="I1782" s="4">
        <v>29</v>
      </c>
      <c r="J1782" s="5">
        <v>3.3300000000000003E-2</v>
      </c>
      <c r="K1782" s="3">
        <v>37</v>
      </c>
      <c r="L1782" s="4">
        <f>tblSales[[#This Row],[Quantity]]*tblSales[[#This Row],[Actual Price]]</f>
        <v>1073</v>
      </c>
    </row>
    <row r="1783" spans="1:12" x14ac:dyDescent="0.35">
      <c r="A1783" s="3" t="s">
        <v>2381</v>
      </c>
      <c r="B1783" s="4" t="s">
        <v>115</v>
      </c>
      <c r="C1783" s="4" t="s">
        <v>55</v>
      </c>
      <c r="D1783" s="4" t="s">
        <v>14</v>
      </c>
      <c r="E1783" s="7">
        <v>41977</v>
      </c>
      <c r="F1783" s="4" t="s">
        <v>42</v>
      </c>
      <c r="G1783" s="4" t="s">
        <v>886</v>
      </c>
      <c r="H1783" s="4">
        <v>30</v>
      </c>
      <c r="I1783" s="4">
        <v>24</v>
      </c>
      <c r="J1783" s="5">
        <v>0.2</v>
      </c>
      <c r="K1783" s="3">
        <v>16</v>
      </c>
      <c r="L1783" s="4">
        <f>tblSales[[#This Row],[Quantity]]*tblSales[[#This Row],[Actual Price]]</f>
        <v>384</v>
      </c>
    </row>
    <row r="1784" spans="1:12" x14ac:dyDescent="0.35">
      <c r="A1784" s="3" t="s">
        <v>2382</v>
      </c>
      <c r="B1784" s="4" t="s">
        <v>135</v>
      </c>
      <c r="C1784" s="4" t="s">
        <v>93</v>
      </c>
      <c r="D1784" s="4" t="s">
        <v>36</v>
      </c>
      <c r="E1784" s="7">
        <v>43456</v>
      </c>
      <c r="F1784" s="4" t="s">
        <v>47</v>
      </c>
      <c r="G1784" s="4" t="s">
        <v>539</v>
      </c>
      <c r="H1784" s="4">
        <v>500</v>
      </c>
      <c r="I1784" s="4">
        <v>490</v>
      </c>
      <c r="J1784" s="5">
        <v>0.02</v>
      </c>
      <c r="K1784" s="3">
        <v>49</v>
      </c>
      <c r="L1784" s="4">
        <f>tblSales[[#This Row],[Quantity]]*tblSales[[#This Row],[Actual Price]]</f>
        <v>24010</v>
      </c>
    </row>
    <row r="1785" spans="1:12" x14ac:dyDescent="0.35">
      <c r="A1785" s="3" t="s">
        <v>2383</v>
      </c>
      <c r="B1785" s="4" t="s">
        <v>401</v>
      </c>
      <c r="C1785" s="4" t="s">
        <v>402</v>
      </c>
      <c r="D1785" s="4" t="s">
        <v>14</v>
      </c>
      <c r="E1785" s="7">
        <v>43439</v>
      </c>
      <c r="F1785" s="4" t="s">
        <v>37</v>
      </c>
      <c r="G1785" s="4" t="s">
        <v>712</v>
      </c>
      <c r="H1785" s="4">
        <v>50</v>
      </c>
      <c r="I1785" s="4">
        <v>47</v>
      </c>
      <c r="J1785" s="5">
        <v>0.06</v>
      </c>
      <c r="K1785" s="3">
        <v>57</v>
      </c>
      <c r="L1785" s="4">
        <f>tblSales[[#This Row],[Quantity]]*tblSales[[#This Row],[Actual Price]]</f>
        <v>2679</v>
      </c>
    </row>
    <row r="1786" spans="1:12" x14ac:dyDescent="0.35">
      <c r="A1786" s="3" t="s">
        <v>2384</v>
      </c>
      <c r="B1786" s="4" t="s">
        <v>71</v>
      </c>
      <c r="C1786" s="4" t="s">
        <v>72</v>
      </c>
      <c r="D1786" s="4" t="s">
        <v>36</v>
      </c>
      <c r="E1786" s="7">
        <v>43257</v>
      </c>
      <c r="F1786" s="4" t="s">
        <v>62</v>
      </c>
      <c r="G1786" s="4" t="s">
        <v>1415</v>
      </c>
      <c r="H1786" s="4">
        <v>1000</v>
      </c>
      <c r="I1786" s="4">
        <v>740</v>
      </c>
      <c r="J1786" s="5">
        <v>0.26</v>
      </c>
      <c r="K1786" s="3">
        <v>20</v>
      </c>
      <c r="L1786" s="4">
        <f>tblSales[[#This Row],[Quantity]]*tblSales[[#This Row],[Actual Price]]</f>
        <v>14800</v>
      </c>
    </row>
    <row r="1787" spans="1:12" x14ac:dyDescent="0.35">
      <c r="A1787" s="3" t="s">
        <v>2385</v>
      </c>
      <c r="B1787" s="4" t="s">
        <v>108</v>
      </c>
      <c r="C1787" s="4" t="s">
        <v>109</v>
      </c>
      <c r="D1787" s="4" t="s">
        <v>20</v>
      </c>
      <c r="E1787" s="7">
        <v>43387</v>
      </c>
      <c r="F1787" s="4" t="s">
        <v>123</v>
      </c>
      <c r="G1787" s="4" t="s">
        <v>110</v>
      </c>
      <c r="H1787" s="4">
        <v>50</v>
      </c>
      <c r="I1787" s="4">
        <v>45</v>
      </c>
      <c r="J1787" s="5">
        <v>0.1</v>
      </c>
      <c r="K1787" s="3">
        <v>71</v>
      </c>
      <c r="L1787" s="4">
        <f>tblSales[[#This Row],[Quantity]]*tblSales[[#This Row],[Actual Price]]</f>
        <v>3195</v>
      </c>
    </row>
    <row r="1788" spans="1:12" x14ac:dyDescent="0.35">
      <c r="A1788" s="3" t="s">
        <v>2386</v>
      </c>
      <c r="B1788" s="4" t="s">
        <v>2244</v>
      </c>
      <c r="C1788" s="4" t="s">
        <v>109</v>
      </c>
      <c r="D1788" s="4" t="s">
        <v>20</v>
      </c>
      <c r="E1788" s="7">
        <v>43233</v>
      </c>
      <c r="F1788" s="4" t="s">
        <v>26</v>
      </c>
      <c r="G1788" s="4" t="s">
        <v>2387</v>
      </c>
      <c r="H1788" s="4">
        <v>700</v>
      </c>
      <c r="I1788" s="4">
        <v>658</v>
      </c>
      <c r="J1788" s="5">
        <v>0.06</v>
      </c>
      <c r="K1788" s="3">
        <v>8</v>
      </c>
      <c r="L1788" s="4">
        <f>tblSales[[#This Row],[Quantity]]*tblSales[[#This Row],[Actual Price]]</f>
        <v>5264</v>
      </c>
    </row>
    <row r="1789" spans="1:12" x14ac:dyDescent="0.35">
      <c r="A1789" s="3" t="s">
        <v>2388</v>
      </c>
      <c r="B1789" s="4" t="s">
        <v>158</v>
      </c>
      <c r="C1789" s="4" t="s">
        <v>109</v>
      </c>
      <c r="D1789" s="4" t="s">
        <v>20</v>
      </c>
      <c r="E1789" s="7">
        <v>41676</v>
      </c>
      <c r="F1789" s="4" t="s">
        <v>42</v>
      </c>
      <c r="G1789" s="4" t="s">
        <v>159</v>
      </c>
      <c r="H1789" s="4">
        <v>30</v>
      </c>
      <c r="I1789" s="4">
        <v>26</v>
      </c>
      <c r="J1789" s="5">
        <v>0.1333</v>
      </c>
      <c r="K1789" s="3">
        <v>1</v>
      </c>
      <c r="L1789" s="4">
        <f>tblSales[[#This Row],[Quantity]]*tblSales[[#This Row],[Actual Price]]</f>
        <v>26</v>
      </c>
    </row>
    <row r="1790" spans="1:12" x14ac:dyDescent="0.35">
      <c r="A1790" s="3" t="s">
        <v>2389</v>
      </c>
      <c r="B1790" s="4" t="s">
        <v>34</v>
      </c>
      <c r="C1790" s="4" t="s">
        <v>35</v>
      </c>
      <c r="D1790" s="4" t="s">
        <v>36</v>
      </c>
      <c r="E1790" s="7">
        <v>42492</v>
      </c>
      <c r="F1790" s="4" t="s">
        <v>73</v>
      </c>
      <c r="G1790" s="4" t="s">
        <v>161</v>
      </c>
      <c r="H1790" s="4">
        <v>500</v>
      </c>
      <c r="I1790" s="4">
        <v>500</v>
      </c>
      <c r="J1790" s="5">
        <v>0</v>
      </c>
      <c r="K1790" s="3">
        <v>60</v>
      </c>
      <c r="L1790" s="4">
        <f>tblSales[[#This Row],[Quantity]]*tblSales[[#This Row],[Actual Price]]</f>
        <v>30000</v>
      </c>
    </row>
    <row r="1791" spans="1:12" x14ac:dyDescent="0.35">
      <c r="A1791" s="3" t="s">
        <v>2390</v>
      </c>
      <c r="B1791" s="4" t="s">
        <v>12</v>
      </c>
      <c r="C1791" s="4" t="s">
        <v>13</v>
      </c>
      <c r="D1791" s="4" t="s">
        <v>14</v>
      </c>
      <c r="E1791" s="7">
        <v>43419</v>
      </c>
      <c r="F1791" s="4" t="s">
        <v>56</v>
      </c>
      <c r="G1791" s="4" t="s">
        <v>138</v>
      </c>
      <c r="H1791" s="4">
        <v>800</v>
      </c>
      <c r="I1791" s="4">
        <v>480</v>
      </c>
      <c r="J1791" s="5">
        <v>0.4</v>
      </c>
      <c r="K1791" s="3">
        <v>87</v>
      </c>
      <c r="L1791" s="4">
        <f>tblSales[[#This Row],[Quantity]]*tblSales[[#This Row],[Actual Price]]</f>
        <v>41760</v>
      </c>
    </row>
    <row r="1792" spans="1:12" x14ac:dyDescent="0.35">
      <c r="A1792" s="3" t="s">
        <v>2391</v>
      </c>
      <c r="B1792" s="4" t="s">
        <v>206</v>
      </c>
      <c r="C1792" s="4" t="s">
        <v>207</v>
      </c>
      <c r="D1792" s="4" t="s">
        <v>25</v>
      </c>
      <c r="E1792" s="7">
        <v>42216</v>
      </c>
      <c r="F1792" s="4" t="s">
        <v>42</v>
      </c>
      <c r="G1792" s="4" t="s">
        <v>636</v>
      </c>
      <c r="H1792" s="4">
        <v>30</v>
      </c>
      <c r="I1792" s="4">
        <v>21</v>
      </c>
      <c r="J1792" s="5">
        <v>0.3</v>
      </c>
      <c r="K1792" s="3">
        <v>26</v>
      </c>
      <c r="L1792" s="4">
        <f>tblSales[[#This Row],[Quantity]]*tblSales[[#This Row],[Actual Price]]</f>
        <v>546</v>
      </c>
    </row>
    <row r="1793" spans="1:12" x14ac:dyDescent="0.35">
      <c r="A1793" s="3" t="s">
        <v>2392</v>
      </c>
      <c r="B1793" s="4" t="s">
        <v>104</v>
      </c>
      <c r="C1793" s="4" t="s">
        <v>72</v>
      </c>
      <c r="D1793" s="4" t="s">
        <v>36</v>
      </c>
      <c r="E1793" s="7">
        <v>42562</v>
      </c>
      <c r="F1793" s="4" t="s">
        <v>15</v>
      </c>
      <c r="G1793" s="4" t="s">
        <v>728</v>
      </c>
      <c r="H1793" s="4">
        <v>80</v>
      </c>
      <c r="I1793" s="4">
        <v>79</v>
      </c>
      <c r="J1793" s="5">
        <v>1.2500000000000001E-2</v>
      </c>
      <c r="K1793" s="3">
        <v>75</v>
      </c>
      <c r="L1793" s="4">
        <f>tblSales[[#This Row],[Quantity]]*tblSales[[#This Row],[Actual Price]]</f>
        <v>5925</v>
      </c>
    </row>
    <row r="1794" spans="1:12" x14ac:dyDescent="0.35">
      <c r="A1794" s="3" t="s">
        <v>2393</v>
      </c>
      <c r="B1794" s="4" t="s">
        <v>100</v>
      </c>
      <c r="C1794" s="4" t="s">
        <v>101</v>
      </c>
      <c r="D1794" s="4" t="s">
        <v>14</v>
      </c>
      <c r="E1794" s="7">
        <v>42101</v>
      </c>
      <c r="F1794" s="4" t="s">
        <v>31</v>
      </c>
      <c r="G1794" s="4" t="s">
        <v>1091</v>
      </c>
      <c r="H1794" s="4">
        <v>150</v>
      </c>
      <c r="I1794" s="4">
        <v>149</v>
      </c>
      <c r="J1794" s="5">
        <v>6.7000000000000002E-3</v>
      </c>
      <c r="K1794" s="3">
        <v>37</v>
      </c>
      <c r="L1794" s="4">
        <f>tblSales[[#This Row],[Quantity]]*tblSales[[#This Row],[Actual Price]]</f>
        <v>5513</v>
      </c>
    </row>
    <row r="1795" spans="1:12" x14ac:dyDescent="0.35">
      <c r="A1795" s="3" t="s">
        <v>2394</v>
      </c>
      <c r="B1795" s="4" t="s">
        <v>12</v>
      </c>
      <c r="C1795" s="4" t="s">
        <v>13</v>
      </c>
      <c r="D1795" s="4" t="s">
        <v>14</v>
      </c>
      <c r="E1795" s="7">
        <v>42252</v>
      </c>
      <c r="F1795" s="4" t="s">
        <v>26</v>
      </c>
      <c r="G1795" s="4" t="s">
        <v>349</v>
      </c>
      <c r="H1795" s="4">
        <v>700</v>
      </c>
      <c r="I1795" s="4">
        <v>700</v>
      </c>
      <c r="J1795" s="5">
        <v>0</v>
      </c>
      <c r="K1795" s="3">
        <v>4</v>
      </c>
      <c r="L1795" s="4">
        <f>tblSales[[#This Row],[Quantity]]*tblSales[[#This Row],[Actual Price]]</f>
        <v>2800</v>
      </c>
    </row>
    <row r="1796" spans="1:12" x14ac:dyDescent="0.35">
      <c r="A1796" s="3" t="s">
        <v>2395</v>
      </c>
      <c r="B1796" s="4" t="s">
        <v>50</v>
      </c>
      <c r="C1796" s="4" t="s">
        <v>51</v>
      </c>
      <c r="D1796" s="4" t="s">
        <v>25</v>
      </c>
      <c r="E1796" s="7">
        <v>43248</v>
      </c>
      <c r="F1796" s="4" t="s">
        <v>62</v>
      </c>
      <c r="G1796" s="4" t="s">
        <v>399</v>
      </c>
      <c r="H1796" s="4">
        <v>1000</v>
      </c>
      <c r="I1796" s="4">
        <v>920</v>
      </c>
      <c r="J1796" s="5">
        <v>0.08</v>
      </c>
      <c r="K1796" s="3">
        <v>69</v>
      </c>
      <c r="L1796" s="4">
        <f>tblSales[[#This Row],[Quantity]]*tblSales[[#This Row],[Actual Price]]</f>
        <v>63480</v>
      </c>
    </row>
    <row r="1797" spans="1:12" x14ac:dyDescent="0.35">
      <c r="A1797" s="3" t="s">
        <v>2396</v>
      </c>
      <c r="B1797" s="4" t="s">
        <v>271</v>
      </c>
      <c r="C1797" s="4" t="s">
        <v>272</v>
      </c>
      <c r="D1797" s="4" t="s">
        <v>36</v>
      </c>
      <c r="E1797" s="7">
        <v>42281</v>
      </c>
      <c r="F1797" s="4" t="s">
        <v>123</v>
      </c>
      <c r="G1797" s="4" t="s">
        <v>714</v>
      </c>
      <c r="H1797" s="4">
        <v>50</v>
      </c>
      <c r="I1797" s="4">
        <v>40</v>
      </c>
      <c r="J1797" s="5">
        <v>0.2</v>
      </c>
      <c r="K1797" s="3">
        <v>57</v>
      </c>
      <c r="L1797" s="4">
        <f>tblSales[[#This Row],[Quantity]]*tblSales[[#This Row],[Actual Price]]</f>
        <v>2280</v>
      </c>
    </row>
    <row r="1798" spans="1:12" x14ac:dyDescent="0.35">
      <c r="A1798" s="3" t="s">
        <v>2397</v>
      </c>
      <c r="B1798" s="4" t="s">
        <v>242</v>
      </c>
      <c r="C1798" s="4" t="s">
        <v>243</v>
      </c>
      <c r="D1798" s="4" t="s">
        <v>14</v>
      </c>
      <c r="E1798" s="7">
        <v>42064</v>
      </c>
      <c r="F1798" s="4" t="s">
        <v>56</v>
      </c>
      <c r="G1798" s="4" t="s">
        <v>780</v>
      </c>
      <c r="H1798" s="4">
        <v>800</v>
      </c>
      <c r="I1798" s="4">
        <v>784</v>
      </c>
      <c r="J1798" s="5">
        <v>0.02</v>
      </c>
      <c r="K1798" s="3">
        <v>17</v>
      </c>
      <c r="L1798" s="4">
        <f>tblSales[[#This Row],[Quantity]]*tblSales[[#This Row],[Actual Price]]</f>
        <v>13328</v>
      </c>
    </row>
    <row r="1799" spans="1:12" x14ac:dyDescent="0.35">
      <c r="A1799" s="3" t="s">
        <v>2398</v>
      </c>
      <c r="B1799" s="4" t="s">
        <v>71</v>
      </c>
      <c r="C1799" s="4" t="s">
        <v>72</v>
      </c>
      <c r="D1799" s="4" t="s">
        <v>36</v>
      </c>
      <c r="E1799" s="7">
        <v>41937</v>
      </c>
      <c r="F1799" s="4" t="s">
        <v>56</v>
      </c>
      <c r="G1799" s="4" t="s">
        <v>143</v>
      </c>
      <c r="H1799" s="4">
        <v>800</v>
      </c>
      <c r="I1799" s="4">
        <v>488</v>
      </c>
      <c r="J1799" s="5">
        <v>0.39</v>
      </c>
      <c r="K1799" s="3">
        <v>30</v>
      </c>
      <c r="L1799" s="4">
        <f>tblSales[[#This Row],[Quantity]]*tblSales[[#This Row],[Actual Price]]</f>
        <v>14640</v>
      </c>
    </row>
    <row r="1800" spans="1:12" x14ac:dyDescent="0.35">
      <c r="A1800" s="3" t="s">
        <v>2399</v>
      </c>
      <c r="B1800" s="4" t="s">
        <v>155</v>
      </c>
      <c r="C1800" s="4" t="s">
        <v>109</v>
      </c>
      <c r="D1800" s="4" t="s">
        <v>20</v>
      </c>
      <c r="E1800" s="7">
        <v>42505</v>
      </c>
      <c r="F1800" s="4" t="s">
        <v>47</v>
      </c>
      <c r="G1800" s="4" t="s">
        <v>491</v>
      </c>
      <c r="H1800" s="4">
        <v>500</v>
      </c>
      <c r="I1800" s="4">
        <v>450</v>
      </c>
      <c r="J1800" s="5">
        <v>0.1</v>
      </c>
      <c r="K1800" s="3">
        <v>1</v>
      </c>
      <c r="L1800" s="4">
        <f>tblSales[[#This Row],[Quantity]]*tblSales[[#This Row],[Actual Price]]</f>
        <v>450</v>
      </c>
    </row>
    <row r="1801" spans="1:12" x14ac:dyDescent="0.35">
      <c r="A1801" s="3" t="s">
        <v>2400</v>
      </c>
      <c r="B1801" s="4" t="s">
        <v>265</v>
      </c>
      <c r="C1801" s="4" t="s">
        <v>266</v>
      </c>
      <c r="D1801" s="4" t="s">
        <v>14</v>
      </c>
      <c r="E1801" s="7">
        <v>43135</v>
      </c>
      <c r="F1801" s="4" t="s">
        <v>42</v>
      </c>
      <c r="G1801" s="4" t="s">
        <v>309</v>
      </c>
      <c r="H1801" s="4">
        <v>30</v>
      </c>
      <c r="I1801" s="4">
        <v>29</v>
      </c>
      <c r="J1801" s="5">
        <v>3.3300000000000003E-2</v>
      </c>
      <c r="K1801" s="3">
        <v>65</v>
      </c>
      <c r="L1801" s="4">
        <f>tblSales[[#This Row],[Quantity]]*tblSales[[#This Row],[Actual Price]]</f>
        <v>1885</v>
      </c>
    </row>
    <row r="1802" spans="1:12" x14ac:dyDescent="0.35">
      <c r="A1802" s="3" t="s">
        <v>2401</v>
      </c>
      <c r="B1802" s="4" t="s">
        <v>34</v>
      </c>
      <c r="C1802" s="4" t="s">
        <v>35</v>
      </c>
      <c r="D1802" s="4" t="s">
        <v>36</v>
      </c>
      <c r="E1802" s="7">
        <v>43063</v>
      </c>
      <c r="F1802" s="4" t="s">
        <v>73</v>
      </c>
      <c r="G1802" s="4" t="s">
        <v>1244</v>
      </c>
      <c r="H1802" s="4">
        <v>500</v>
      </c>
      <c r="I1802" s="4">
        <v>490</v>
      </c>
      <c r="J1802" s="5">
        <v>0.02</v>
      </c>
      <c r="K1802" s="3">
        <v>93</v>
      </c>
      <c r="L1802" s="4">
        <f>tblSales[[#This Row],[Quantity]]*tblSales[[#This Row],[Actual Price]]</f>
        <v>45570</v>
      </c>
    </row>
    <row r="1803" spans="1:12" x14ac:dyDescent="0.35">
      <c r="A1803" s="3" t="s">
        <v>2402</v>
      </c>
      <c r="B1803" s="4" t="s">
        <v>71</v>
      </c>
      <c r="C1803" s="4" t="s">
        <v>72</v>
      </c>
      <c r="D1803" s="4" t="s">
        <v>36</v>
      </c>
      <c r="E1803" s="7">
        <v>43291</v>
      </c>
      <c r="F1803" s="4" t="s">
        <v>116</v>
      </c>
      <c r="G1803" s="4" t="s">
        <v>74</v>
      </c>
      <c r="H1803" s="4">
        <v>250</v>
      </c>
      <c r="I1803" s="4">
        <v>240</v>
      </c>
      <c r="J1803" s="5">
        <v>0.04</v>
      </c>
      <c r="K1803" s="3">
        <v>12</v>
      </c>
      <c r="L1803" s="4">
        <f>tblSales[[#This Row],[Quantity]]*tblSales[[#This Row],[Actual Price]]</f>
        <v>2880</v>
      </c>
    </row>
    <row r="1804" spans="1:12" x14ac:dyDescent="0.35">
      <c r="A1804" s="3" t="s">
        <v>2403</v>
      </c>
      <c r="B1804" s="4" t="s">
        <v>435</v>
      </c>
      <c r="C1804" s="4" t="s">
        <v>436</v>
      </c>
      <c r="D1804" s="4" t="s">
        <v>25</v>
      </c>
      <c r="E1804" s="7">
        <v>43451</v>
      </c>
      <c r="F1804" s="4" t="s">
        <v>42</v>
      </c>
      <c r="G1804" s="4" t="s">
        <v>586</v>
      </c>
      <c r="H1804" s="4">
        <v>30</v>
      </c>
      <c r="I1804" s="4">
        <v>29</v>
      </c>
      <c r="J1804" s="5">
        <v>3.3300000000000003E-2</v>
      </c>
      <c r="K1804" s="3">
        <v>54</v>
      </c>
      <c r="L1804" s="4">
        <f>tblSales[[#This Row],[Quantity]]*tblSales[[#This Row],[Actual Price]]</f>
        <v>1566</v>
      </c>
    </row>
    <row r="1805" spans="1:12" x14ac:dyDescent="0.35">
      <c r="A1805" s="3" t="s">
        <v>2404</v>
      </c>
      <c r="B1805" s="4" t="s">
        <v>82</v>
      </c>
      <c r="C1805" s="4" t="s">
        <v>83</v>
      </c>
      <c r="D1805" s="4" t="s">
        <v>14</v>
      </c>
      <c r="E1805" s="7">
        <v>42494</v>
      </c>
      <c r="F1805" s="4" t="s">
        <v>116</v>
      </c>
      <c r="G1805" s="4" t="s">
        <v>283</v>
      </c>
      <c r="H1805" s="4">
        <v>250</v>
      </c>
      <c r="I1805" s="4">
        <v>240</v>
      </c>
      <c r="J1805" s="5">
        <v>0.04</v>
      </c>
      <c r="K1805" s="3">
        <v>80</v>
      </c>
      <c r="L1805" s="4">
        <f>tblSales[[#This Row],[Quantity]]*tblSales[[#This Row],[Actual Price]]</f>
        <v>19200</v>
      </c>
    </row>
    <row r="1806" spans="1:12" x14ac:dyDescent="0.35">
      <c r="A1806" s="3" t="s">
        <v>2405</v>
      </c>
      <c r="B1806" s="4" t="s">
        <v>325</v>
      </c>
      <c r="C1806" s="4" t="s">
        <v>326</v>
      </c>
      <c r="D1806" s="4" t="s">
        <v>14</v>
      </c>
      <c r="E1806" s="7">
        <v>41729</v>
      </c>
      <c r="F1806" s="4" t="s">
        <v>62</v>
      </c>
      <c r="G1806" s="4" t="s">
        <v>1193</v>
      </c>
      <c r="H1806" s="4">
        <v>1000</v>
      </c>
      <c r="I1806" s="4">
        <v>670</v>
      </c>
      <c r="J1806" s="5">
        <v>0.33</v>
      </c>
      <c r="K1806" s="3">
        <v>19</v>
      </c>
      <c r="L1806" s="4">
        <f>tblSales[[#This Row],[Quantity]]*tblSales[[#This Row],[Actual Price]]</f>
        <v>12730</v>
      </c>
    </row>
    <row r="1807" spans="1:12" x14ac:dyDescent="0.35">
      <c r="A1807" s="3" t="s">
        <v>2406</v>
      </c>
      <c r="B1807" s="4" t="s">
        <v>104</v>
      </c>
      <c r="C1807" s="4" t="s">
        <v>72</v>
      </c>
      <c r="D1807" s="4" t="s">
        <v>36</v>
      </c>
      <c r="E1807" s="7">
        <v>42928</v>
      </c>
      <c r="F1807" s="4" t="s">
        <v>56</v>
      </c>
      <c r="G1807" s="4" t="s">
        <v>248</v>
      </c>
      <c r="H1807" s="4">
        <v>800</v>
      </c>
      <c r="I1807" s="4">
        <v>448</v>
      </c>
      <c r="J1807" s="5">
        <v>0.44</v>
      </c>
      <c r="K1807" s="3">
        <v>56</v>
      </c>
      <c r="L1807" s="4">
        <f>tblSales[[#This Row],[Quantity]]*tblSales[[#This Row],[Actual Price]]</f>
        <v>25088</v>
      </c>
    </row>
    <row r="1808" spans="1:12" x14ac:dyDescent="0.35">
      <c r="A1808" s="3" t="s">
        <v>2407</v>
      </c>
      <c r="B1808" s="4" t="s">
        <v>29</v>
      </c>
      <c r="C1808" s="4" t="s">
        <v>30</v>
      </c>
      <c r="D1808" s="4" t="s">
        <v>14</v>
      </c>
      <c r="E1808" s="7">
        <v>42264</v>
      </c>
      <c r="F1808" s="4" t="s">
        <v>37</v>
      </c>
      <c r="G1808" s="4" t="s">
        <v>446</v>
      </c>
      <c r="H1808" s="4">
        <v>50</v>
      </c>
      <c r="I1808" s="4">
        <v>31</v>
      </c>
      <c r="J1808" s="5">
        <v>0.38</v>
      </c>
      <c r="K1808" s="3">
        <v>5</v>
      </c>
      <c r="L1808" s="4">
        <f>tblSales[[#This Row],[Quantity]]*tblSales[[#This Row],[Actual Price]]</f>
        <v>155</v>
      </c>
    </row>
    <row r="1809" spans="1:12" x14ac:dyDescent="0.35">
      <c r="A1809" s="3" t="s">
        <v>2408</v>
      </c>
      <c r="B1809" s="4" t="s">
        <v>271</v>
      </c>
      <c r="C1809" s="4" t="s">
        <v>272</v>
      </c>
      <c r="D1809" s="4" t="s">
        <v>36</v>
      </c>
      <c r="E1809" s="7">
        <v>42887</v>
      </c>
      <c r="F1809" s="4" t="s">
        <v>37</v>
      </c>
      <c r="G1809" s="4" t="s">
        <v>714</v>
      </c>
      <c r="H1809" s="4">
        <v>50</v>
      </c>
      <c r="I1809" s="4">
        <v>46</v>
      </c>
      <c r="J1809" s="5">
        <v>0.08</v>
      </c>
      <c r="K1809" s="3">
        <v>59</v>
      </c>
      <c r="L1809" s="4">
        <f>tblSales[[#This Row],[Quantity]]*tblSales[[#This Row],[Actual Price]]</f>
        <v>2714</v>
      </c>
    </row>
    <row r="1810" spans="1:12" x14ac:dyDescent="0.35">
      <c r="A1810" s="3" t="s">
        <v>2409</v>
      </c>
      <c r="B1810" s="4" t="s">
        <v>119</v>
      </c>
      <c r="C1810" s="4" t="s">
        <v>120</v>
      </c>
      <c r="D1810" s="4" t="s">
        <v>36</v>
      </c>
      <c r="E1810" s="7">
        <v>42236</v>
      </c>
      <c r="F1810" s="4" t="s">
        <v>123</v>
      </c>
      <c r="G1810" s="4" t="s">
        <v>1111</v>
      </c>
      <c r="H1810" s="4">
        <v>50</v>
      </c>
      <c r="I1810" s="4">
        <v>49</v>
      </c>
      <c r="J1810" s="5">
        <v>0.02</v>
      </c>
      <c r="K1810" s="3">
        <v>7</v>
      </c>
      <c r="L1810" s="4">
        <f>tblSales[[#This Row],[Quantity]]*tblSales[[#This Row],[Actual Price]]</f>
        <v>343</v>
      </c>
    </row>
    <row r="1811" spans="1:12" x14ac:dyDescent="0.35">
      <c r="A1811" s="3" t="s">
        <v>2410</v>
      </c>
      <c r="B1811" s="4" t="s">
        <v>60</v>
      </c>
      <c r="C1811" s="4" t="s">
        <v>61</v>
      </c>
      <c r="D1811" s="4" t="s">
        <v>14</v>
      </c>
      <c r="E1811" s="7">
        <v>42966</v>
      </c>
      <c r="F1811" s="4" t="s">
        <v>105</v>
      </c>
      <c r="G1811" s="4" t="s">
        <v>1751</v>
      </c>
      <c r="H1811" s="4">
        <v>70</v>
      </c>
      <c r="I1811" s="4">
        <v>63</v>
      </c>
      <c r="J1811" s="5">
        <v>0.1</v>
      </c>
      <c r="K1811" s="3">
        <v>19</v>
      </c>
      <c r="L1811" s="4">
        <f>tblSales[[#This Row],[Quantity]]*tblSales[[#This Row],[Actual Price]]</f>
        <v>1197</v>
      </c>
    </row>
    <row r="1812" spans="1:12" x14ac:dyDescent="0.35">
      <c r="A1812" s="3" t="s">
        <v>2411</v>
      </c>
      <c r="B1812" s="4" t="s">
        <v>100</v>
      </c>
      <c r="C1812" s="4" t="s">
        <v>101</v>
      </c>
      <c r="D1812" s="4" t="s">
        <v>14</v>
      </c>
      <c r="E1812" s="7">
        <v>42854</v>
      </c>
      <c r="F1812" s="4" t="s">
        <v>26</v>
      </c>
      <c r="G1812" s="4" t="s">
        <v>912</v>
      </c>
      <c r="H1812" s="4">
        <v>700</v>
      </c>
      <c r="I1812" s="4">
        <v>686</v>
      </c>
      <c r="J1812" s="5">
        <v>0.02</v>
      </c>
      <c r="K1812" s="3">
        <v>97</v>
      </c>
      <c r="L1812" s="4">
        <f>tblSales[[#This Row],[Quantity]]*tblSales[[#This Row],[Actual Price]]</f>
        <v>66542</v>
      </c>
    </row>
    <row r="1813" spans="1:12" x14ac:dyDescent="0.35">
      <c r="A1813" s="3" t="s">
        <v>2412</v>
      </c>
      <c r="B1813" s="4" t="s">
        <v>18</v>
      </c>
      <c r="C1813" s="4" t="s">
        <v>19</v>
      </c>
      <c r="D1813" s="4" t="s">
        <v>20</v>
      </c>
      <c r="E1813" s="7">
        <v>43229</v>
      </c>
      <c r="F1813" s="4" t="s">
        <v>47</v>
      </c>
      <c r="G1813" s="4" t="s">
        <v>21</v>
      </c>
      <c r="H1813" s="4">
        <v>500</v>
      </c>
      <c r="I1813" s="4">
        <v>425</v>
      </c>
      <c r="J1813" s="5">
        <v>0.15</v>
      </c>
      <c r="K1813" s="3">
        <v>40</v>
      </c>
      <c r="L1813" s="4">
        <f>tblSales[[#This Row],[Quantity]]*tblSales[[#This Row],[Actual Price]]</f>
        <v>17000</v>
      </c>
    </row>
    <row r="1814" spans="1:12" x14ac:dyDescent="0.35">
      <c r="A1814" s="3" t="s">
        <v>2413</v>
      </c>
      <c r="B1814" s="4" t="s">
        <v>34</v>
      </c>
      <c r="C1814" s="4" t="s">
        <v>35</v>
      </c>
      <c r="D1814" s="4" t="s">
        <v>36</v>
      </c>
      <c r="E1814" s="7">
        <v>42535</v>
      </c>
      <c r="F1814" s="4" t="s">
        <v>56</v>
      </c>
      <c r="G1814" s="4" t="s">
        <v>76</v>
      </c>
      <c r="H1814" s="4">
        <v>800</v>
      </c>
      <c r="I1814" s="4">
        <v>784</v>
      </c>
      <c r="J1814" s="5">
        <v>0.02</v>
      </c>
      <c r="K1814" s="3">
        <v>96</v>
      </c>
      <c r="L1814" s="4">
        <f>tblSales[[#This Row],[Quantity]]*tblSales[[#This Row],[Actual Price]]</f>
        <v>75264</v>
      </c>
    </row>
    <row r="1815" spans="1:12" x14ac:dyDescent="0.35">
      <c r="A1815" s="3" t="s">
        <v>2414</v>
      </c>
      <c r="B1815" s="4" t="s">
        <v>206</v>
      </c>
      <c r="C1815" s="4" t="s">
        <v>207</v>
      </c>
      <c r="D1815" s="4" t="s">
        <v>25</v>
      </c>
      <c r="E1815" s="7">
        <v>42079</v>
      </c>
      <c r="F1815" s="4" t="s">
        <v>123</v>
      </c>
      <c r="G1815" s="4" t="s">
        <v>1479</v>
      </c>
      <c r="H1815" s="4">
        <v>50</v>
      </c>
      <c r="I1815" s="4">
        <v>43</v>
      </c>
      <c r="J1815" s="5">
        <v>0.14000000000000001</v>
      </c>
      <c r="K1815" s="3">
        <v>37</v>
      </c>
      <c r="L1815" s="4">
        <f>tblSales[[#This Row],[Quantity]]*tblSales[[#This Row],[Actual Price]]</f>
        <v>1591</v>
      </c>
    </row>
    <row r="1816" spans="1:12" x14ac:dyDescent="0.35">
      <c r="A1816" s="3" t="s">
        <v>2415</v>
      </c>
      <c r="B1816" s="4" t="s">
        <v>206</v>
      </c>
      <c r="C1816" s="4" t="s">
        <v>207</v>
      </c>
      <c r="D1816" s="4" t="s">
        <v>25</v>
      </c>
      <c r="E1816" s="7">
        <v>43063</v>
      </c>
      <c r="F1816" s="4" t="s">
        <v>15</v>
      </c>
      <c r="G1816" s="4" t="s">
        <v>362</v>
      </c>
      <c r="H1816" s="4">
        <v>80</v>
      </c>
      <c r="I1816" s="4">
        <v>74</v>
      </c>
      <c r="J1816" s="5">
        <v>7.4999999999999997E-2</v>
      </c>
      <c r="K1816" s="3">
        <v>86</v>
      </c>
      <c r="L1816" s="4">
        <f>tblSales[[#This Row],[Quantity]]*tblSales[[#This Row],[Actual Price]]</f>
        <v>6364</v>
      </c>
    </row>
    <row r="1817" spans="1:12" x14ac:dyDescent="0.35">
      <c r="A1817" s="3" t="s">
        <v>2416</v>
      </c>
      <c r="B1817" s="4" t="s">
        <v>60</v>
      </c>
      <c r="C1817" s="4" t="s">
        <v>61</v>
      </c>
      <c r="D1817" s="4" t="s">
        <v>14</v>
      </c>
      <c r="E1817" s="7">
        <v>42189</v>
      </c>
      <c r="F1817" s="4" t="s">
        <v>37</v>
      </c>
      <c r="G1817" s="4" t="s">
        <v>1779</v>
      </c>
      <c r="H1817" s="4">
        <v>50</v>
      </c>
      <c r="I1817" s="4">
        <v>46</v>
      </c>
      <c r="J1817" s="5">
        <v>0.08</v>
      </c>
      <c r="K1817" s="3">
        <v>100</v>
      </c>
      <c r="L1817" s="4">
        <f>tblSales[[#This Row],[Quantity]]*tblSales[[#This Row],[Actual Price]]</f>
        <v>4600</v>
      </c>
    </row>
    <row r="1818" spans="1:12" x14ac:dyDescent="0.35">
      <c r="A1818" s="3" t="s">
        <v>2417</v>
      </c>
      <c r="B1818" s="4" t="s">
        <v>115</v>
      </c>
      <c r="C1818" s="4" t="s">
        <v>55</v>
      </c>
      <c r="D1818" s="4" t="s">
        <v>14</v>
      </c>
      <c r="E1818" s="7">
        <v>41682</v>
      </c>
      <c r="F1818" s="4" t="s">
        <v>116</v>
      </c>
      <c r="G1818" s="4" t="s">
        <v>888</v>
      </c>
      <c r="H1818" s="4">
        <v>250</v>
      </c>
      <c r="I1818" s="4">
        <v>223</v>
      </c>
      <c r="J1818" s="5">
        <v>0.108</v>
      </c>
      <c r="K1818" s="3">
        <v>61</v>
      </c>
      <c r="L1818" s="4">
        <f>tblSales[[#This Row],[Quantity]]*tblSales[[#This Row],[Actual Price]]</f>
        <v>13603</v>
      </c>
    </row>
    <row r="1819" spans="1:12" x14ac:dyDescent="0.35">
      <c r="A1819" s="3" t="s">
        <v>2418</v>
      </c>
      <c r="B1819" s="4" t="s">
        <v>188</v>
      </c>
      <c r="C1819" s="4" t="s">
        <v>189</v>
      </c>
      <c r="D1819" s="4" t="s">
        <v>14</v>
      </c>
      <c r="E1819" s="7">
        <v>42367</v>
      </c>
      <c r="F1819" s="4" t="s">
        <v>116</v>
      </c>
      <c r="G1819" s="4" t="s">
        <v>792</v>
      </c>
      <c r="H1819" s="4">
        <v>250</v>
      </c>
      <c r="I1819" s="4">
        <v>225</v>
      </c>
      <c r="J1819" s="5">
        <v>0.1</v>
      </c>
      <c r="K1819" s="3">
        <v>15</v>
      </c>
      <c r="L1819" s="4">
        <f>tblSales[[#This Row],[Quantity]]*tblSales[[#This Row],[Actual Price]]</f>
        <v>3375</v>
      </c>
    </row>
    <row r="1820" spans="1:12" x14ac:dyDescent="0.35">
      <c r="A1820" s="3" t="s">
        <v>2419</v>
      </c>
      <c r="B1820" s="4" t="s">
        <v>147</v>
      </c>
      <c r="C1820" s="4" t="s">
        <v>148</v>
      </c>
      <c r="D1820" s="4" t="s">
        <v>14</v>
      </c>
      <c r="E1820" s="7">
        <v>42894</v>
      </c>
      <c r="F1820" s="4" t="s">
        <v>105</v>
      </c>
      <c r="G1820" s="4" t="s">
        <v>831</v>
      </c>
      <c r="H1820" s="4">
        <v>70</v>
      </c>
      <c r="I1820" s="4">
        <v>69</v>
      </c>
      <c r="J1820" s="5">
        <v>1.43E-2</v>
      </c>
      <c r="K1820" s="3">
        <v>8</v>
      </c>
      <c r="L1820" s="4">
        <f>tblSales[[#This Row],[Quantity]]*tblSales[[#This Row],[Actual Price]]</f>
        <v>552</v>
      </c>
    </row>
    <row r="1821" spans="1:12" x14ac:dyDescent="0.35">
      <c r="A1821" s="3" t="s">
        <v>2420</v>
      </c>
      <c r="B1821" s="4" t="s">
        <v>23</v>
      </c>
      <c r="C1821" s="4" t="s">
        <v>24</v>
      </c>
      <c r="D1821" s="4" t="s">
        <v>25</v>
      </c>
      <c r="E1821" s="7">
        <v>42885</v>
      </c>
      <c r="F1821" s="4" t="s">
        <v>73</v>
      </c>
      <c r="G1821" s="4" t="s">
        <v>484</v>
      </c>
      <c r="H1821" s="4">
        <v>500</v>
      </c>
      <c r="I1821" s="4">
        <v>490</v>
      </c>
      <c r="J1821" s="5">
        <v>0.02</v>
      </c>
      <c r="K1821" s="3">
        <v>24</v>
      </c>
      <c r="L1821" s="4">
        <f>tblSales[[#This Row],[Quantity]]*tblSales[[#This Row],[Actual Price]]</f>
        <v>11760</v>
      </c>
    </row>
    <row r="1822" spans="1:12" x14ac:dyDescent="0.35">
      <c r="A1822" s="3" t="s">
        <v>2421</v>
      </c>
      <c r="B1822" s="4" t="s">
        <v>271</v>
      </c>
      <c r="C1822" s="4" t="s">
        <v>272</v>
      </c>
      <c r="D1822" s="4" t="s">
        <v>36</v>
      </c>
      <c r="E1822" s="7">
        <v>43203</v>
      </c>
      <c r="F1822" s="4" t="s">
        <v>116</v>
      </c>
      <c r="G1822" s="4" t="s">
        <v>1828</v>
      </c>
      <c r="H1822" s="4">
        <v>250</v>
      </c>
      <c r="I1822" s="4">
        <v>220</v>
      </c>
      <c r="J1822" s="5">
        <v>0.12</v>
      </c>
      <c r="K1822" s="3">
        <v>54</v>
      </c>
      <c r="L1822" s="4">
        <f>tblSales[[#This Row],[Quantity]]*tblSales[[#This Row],[Actual Price]]</f>
        <v>11880</v>
      </c>
    </row>
    <row r="1823" spans="1:12" x14ac:dyDescent="0.35">
      <c r="A1823" s="3" t="s">
        <v>2422</v>
      </c>
      <c r="B1823" s="4" t="s">
        <v>34</v>
      </c>
      <c r="C1823" s="4" t="s">
        <v>35</v>
      </c>
      <c r="D1823" s="4" t="s">
        <v>36</v>
      </c>
      <c r="E1823" s="7">
        <v>42044</v>
      </c>
      <c r="F1823" s="4" t="s">
        <v>123</v>
      </c>
      <c r="G1823" s="4" t="s">
        <v>2423</v>
      </c>
      <c r="H1823" s="4">
        <v>50</v>
      </c>
      <c r="I1823" s="4">
        <v>33</v>
      </c>
      <c r="J1823" s="5">
        <v>0.34</v>
      </c>
      <c r="K1823" s="3">
        <v>44</v>
      </c>
      <c r="L1823" s="4">
        <f>tblSales[[#This Row],[Quantity]]*tblSales[[#This Row],[Actual Price]]</f>
        <v>1452</v>
      </c>
    </row>
    <row r="1824" spans="1:12" x14ac:dyDescent="0.35">
      <c r="A1824" s="3" t="s">
        <v>2424</v>
      </c>
      <c r="B1824" s="4" t="s">
        <v>271</v>
      </c>
      <c r="C1824" s="4" t="s">
        <v>272</v>
      </c>
      <c r="D1824" s="4" t="s">
        <v>36</v>
      </c>
      <c r="E1824" s="7">
        <v>42152</v>
      </c>
      <c r="F1824" s="4" t="s">
        <v>105</v>
      </c>
      <c r="G1824" s="4" t="s">
        <v>273</v>
      </c>
      <c r="H1824" s="4">
        <v>70</v>
      </c>
      <c r="I1824" s="4">
        <v>46</v>
      </c>
      <c r="J1824" s="5">
        <v>0.34289999999999998</v>
      </c>
      <c r="K1824" s="3">
        <v>46</v>
      </c>
      <c r="L1824" s="4">
        <f>tblSales[[#This Row],[Quantity]]*tblSales[[#This Row],[Actual Price]]</f>
        <v>2116</v>
      </c>
    </row>
    <row r="1825" spans="1:12" x14ac:dyDescent="0.35">
      <c r="A1825" s="3" t="s">
        <v>2425</v>
      </c>
      <c r="B1825" s="4" t="s">
        <v>222</v>
      </c>
      <c r="C1825" s="4" t="s">
        <v>41</v>
      </c>
      <c r="D1825" s="4" t="s">
        <v>36</v>
      </c>
      <c r="E1825" s="7">
        <v>42027</v>
      </c>
      <c r="F1825" s="4" t="s">
        <v>42</v>
      </c>
      <c r="G1825" s="4" t="s">
        <v>2426</v>
      </c>
      <c r="H1825" s="4">
        <v>30</v>
      </c>
      <c r="I1825" s="4">
        <v>20</v>
      </c>
      <c r="J1825" s="5">
        <v>0.33329999999999999</v>
      </c>
      <c r="K1825" s="3">
        <v>49</v>
      </c>
      <c r="L1825" s="4">
        <f>tblSales[[#This Row],[Quantity]]*tblSales[[#This Row],[Actual Price]]</f>
        <v>980</v>
      </c>
    </row>
    <row r="1826" spans="1:12" x14ac:dyDescent="0.35">
      <c r="A1826" s="3" t="s">
        <v>2427</v>
      </c>
      <c r="B1826" s="4" t="s">
        <v>108</v>
      </c>
      <c r="C1826" s="4" t="s">
        <v>109</v>
      </c>
      <c r="D1826" s="4" t="s">
        <v>20</v>
      </c>
      <c r="E1826" s="7">
        <v>43227</v>
      </c>
      <c r="F1826" s="4" t="s">
        <v>73</v>
      </c>
      <c r="G1826" s="4" t="s">
        <v>240</v>
      </c>
      <c r="H1826" s="4">
        <v>500</v>
      </c>
      <c r="I1826" s="4">
        <v>500</v>
      </c>
      <c r="J1826" s="5">
        <v>0</v>
      </c>
      <c r="K1826" s="3">
        <v>10</v>
      </c>
      <c r="L1826" s="4">
        <f>tblSales[[#This Row],[Quantity]]*tblSales[[#This Row],[Actual Price]]</f>
        <v>5000</v>
      </c>
    </row>
    <row r="1827" spans="1:12" x14ac:dyDescent="0.35">
      <c r="A1827" s="3" t="s">
        <v>2428</v>
      </c>
      <c r="B1827" s="4" t="s">
        <v>155</v>
      </c>
      <c r="C1827" s="4" t="s">
        <v>109</v>
      </c>
      <c r="D1827" s="4" t="s">
        <v>20</v>
      </c>
      <c r="E1827" s="7">
        <v>43355</v>
      </c>
      <c r="F1827" s="4" t="s">
        <v>73</v>
      </c>
      <c r="G1827" s="4" t="s">
        <v>1412</v>
      </c>
      <c r="H1827" s="4">
        <v>500</v>
      </c>
      <c r="I1827" s="4">
        <v>500</v>
      </c>
      <c r="J1827" s="5">
        <v>0</v>
      </c>
      <c r="K1827" s="3">
        <v>82</v>
      </c>
      <c r="L1827" s="4">
        <f>tblSales[[#This Row],[Quantity]]*tblSales[[#This Row],[Actual Price]]</f>
        <v>41000</v>
      </c>
    </row>
    <row r="1828" spans="1:12" x14ac:dyDescent="0.35">
      <c r="A1828" s="3" t="s">
        <v>2429</v>
      </c>
      <c r="B1828" s="4" t="s">
        <v>183</v>
      </c>
      <c r="C1828" s="4" t="s">
        <v>109</v>
      </c>
      <c r="D1828" s="4" t="s">
        <v>20</v>
      </c>
      <c r="E1828" s="7">
        <v>41687</v>
      </c>
      <c r="F1828" s="4" t="s">
        <v>47</v>
      </c>
      <c r="G1828" s="4" t="s">
        <v>1044</v>
      </c>
      <c r="H1828" s="4">
        <v>500</v>
      </c>
      <c r="I1828" s="4">
        <v>350</v>
      </c>
      <c r="J1828" s="5">
        <v>0.3</v>
      </c>
      <c r="K1828" s="3">
        <v>69</v>
      </c>
      <c r="L1828" s="4">
        <f>tblSales[[#This Row],[Quantity]]*tblSales[[#This Row],[Actual Price]]</f>
        <v>24150</v>
      </c>
    </row>
    <row r="1829" spans="1:12" x14ac:dyDescent="0.35">
      <c r="A1829" s="3" t="s">
        <v>2430</v>
      </c>
      <c r="B1829" s="4" t="s">
        <v>18</v>
      </c>
      <c r="C1829" s="4" t="s">
        <v>19</v>
      </c>
      <c r="D1829" s="4" t="s">
        <v>20</v>
      </c>
      <c r="E1829" s="7">
        <v>41731</v>
      </c>
      <c r="F1829" s="4" t="s">
        <v>73</v>
      </c>
      <c r="G1829" s="4" t="s">
        <v>914</v>
      </c>
      <c r="H1829" s="4">
        <v>500</v>
      </c>
      <c r="I1829" s="4">
        <v>500</v>
      </c>
      <c r="J1829" s="5">
        <v>0</v>
      </c>
      <c r="K1829" s="3">
        <v>30</v>
      </c>
      <c r="L1829" s="4">
        <f>tblSales[[#This Row],[Quantity]]*tblSales[[#This Row],[Actual Price]]</f>
        <v>15000</v>
      </c>
    </row>
    <row r="1830" spans="1:12" x14ac:dyDescent="0.35">
      <c r="A1830" s="3" t="s">
        <v>2431</v>
      </c>
      <c r="B1830" s="4" t="s">
        <v>82</v>
      </c>
      <c r="C1830" s="4" t="s">
        <v>83</v>
      </c>
      <c r="D1830" s="4" t="s">
        <v>14</v>
      </c>
      <c r="E1830" s="7">
        <v>43326</v>
      </c>
      <c r="F1830" s="4" t="s">
        <v>42</v>
      </c>
      <c r="G1830" s="4" t="s">
        <v>196</v>
      </c>
      <c r="H1830" s="4">
        <v>30</v>
      </c>
      <c r="I1830" s="4">
        <v>29</v>
      </c>
      <c r="J1830" s="5">
        <v>3.3300000000000003E-2</v>
      </c>
      <c r="K1830" s="3">
        <v>13</v>
      </c>
      <c r="L1830" s="4">
        <f>tblSales[[#This Row],[Quantity]]*tblSales[[#This Row],[Actual Price]]</f>
        <v>377</v>
      </c>
    </row>
    <row r="1831" spans="1:12" x14ac:dyDescent="0.35">
      <c r="A1831" s="3" t="s">
        <v>2432</v>
      </c>
      <c r="B1831" s="4" t="s">
        <v>401</v>
      </c>
      <c r="C1831" s="4" t="s">
        <v>402</v>
      </c>
      <c r="D1831" s="4" t="s">
        <v>14</v>
      </c>
      <c r="E1831" s="7">
        <v>41710</v>
      </c>
      <c r="F1831" s="4" t="s">
        <v>47</v>
      </c>
      <c r="G1831" s="4" t="s">
        <v>444</v>
      </c>
      <c r="H1831" s="4">
        <v>500</v>
      </c>
      <c r="I1831" s="4">
        <v>300</v>
      </c>
      <c r="J1831" s="5">
        <v>0.4</v>
      </c>
      <c r="K1831" s="3">
        <v>91</v>
      </c>
      <c r="L1831" s="4">
        <f>tblSales[[#This Row],[Quantity]]*tblSales[[#This Row],[Actual Price]]</f>
        <v>27300</v>
      </c>
    </row>
    <row r="1832" spans="1:12" x14ac:dyDescent="0.35">
      <c r="A1832" s="3" t="s">
        <v>2433</v>
      </c>
      <c r="B1832" s="4" t="s">
        <v>40</v>
      </c>
      <c r="C1832" s="4" t="s">
        <v>41</v>
      </c>
      <c r="D1832" s="4" t="s">
        <v>36</v>
      </c>
      <c r="E1832" s="7">
        <v>42945</v>
      </c>
      <c r="F1832" s="4" t="s">
        <v>105</v>
      </c>
      <c r="G1832" s="4" t="s">
        <v>1632</v>
      </c>
      <c r="H1832" s="4">
        <v>70</v>
      </c>
      <c r="I1832" s="4">
        <v>67</v>
      </c>
      <c r="J1832" s="5">
        <v>4.2900000000000001E-2</v>
      </c>
      <c r="K1832" s="3">
        <v>67</v>
      </c>
      <c r="L1832" s="4">
        <f>tblSales[[#This Row],[Quantity]]*tblSales[[#This Row],[Actual Price]]</f>
        <v>4489</v>
      </c>
    </row>
    <row r="1833" spans="1:12" x14ac:dyDescent="0.35">
      <c r="A1833" s="3" t="s">
        <v>2434</v>
      </c>
      <c r="B1833" s="4" t="s">
        <v>135</v>
      </c>
      <c r="C1833" s="4" t="s">
        <v>93</v>
      </c>
      <c r="D1833" s="4" t="s">
        <v>36</v>
      </c>
      <c r="E1833" s="7">
        <v>42462</v>
      </c>
      <c r="F1833" s="4" t="s">
        <v>105</v>
      </c>
      <c r="G1833" s="4" t="s">
        <v>850</v>
      </c>
      <c r="H1833" s="4">
        <v>70</v>
      </c>
      <c r="I1833" s="4">
        <v>61</v>
      </c>
      <c r="J1833" s="5">
        <v>0.12859999999999999</v>
      </c>
      <c r="K1833" s="3">
        <v>29</v>
      </c>
      <c r="L1833" s="4">
        <f>tblSales[[#This Row],[Quantity]]*tblSales[[#This Row],[Actual Price]]</f>
        <v>1769</v>
      </c>
    </row>
    <row r="1834" spans="1:12" x14ac:dyDescent="0.35">
      <c r="A1834" s="3" t="s">
        <v>2435</v>
      </c>
      <c r="B1834" s="4" t="s">
        <v>115</v>
      </c>
      <c r="C1834" s="4" t="s">
        <v>55</v>
      </c>
      <c r="D1834" s="4" t="s">
        <v>14</v>
      </c>
      <c r="E1834" s="7">
        <v>43074</v>
      </c>
      <c r="F1834" s="4" t="s">
        <v>31</v>
      </c>
      <c r="G1834" s="4" t="s">
        <v>368</v>
      </c>
      <c r="H1834" s="4">
        <v>150</v>
      </c>
      <c r="I1834" s="4">
        <v>140</v>
      </c>
      <c r="J1834" s="5">
        <v>6.6699999999999995E-2</v>
      </c>
      <c r="K1834" s="3">
        <v>1</v>
      </c>
      <c r="L1834" s="4">
        <f>tblSales[[#This Row],[Quantity]]*tblSales[[#This Row],[Actual Price]]</f>
        <v>140</v>
      </c>
    </row>
    <row r="1835" spans="1:12" x14ac:dyDescent="0.35">
      <c r="A1835" s="3" t="s">
        <v>2436</v>
      </c>
      <c r="B1835" s="4" t="s">
        <v>71</v>
      </c>
      <c r="C1835" s="4" t="s">
        <v>72</v>
      </c>
      <c r="D1835" s="4" t="s">
        <v>36</v>
      </c>
      <c r="E1835" s="7">
        <v>42518</v>
      </c>
      <c r="F1835" s="4" t="s">
        <v>26</v>
      </c>
      <c r="G1835" s="4" t="s">
        <v>671</v>
      </c>
      <c r="H1835" s="4">
        <v>700</v>
      </c>
      <c r="I1835" s="4">
        <v>602</v>
      </c>
      <c r="J1835" s="5">
        <v>0.14000000000000001</v>
      </c>
      <c r="K1835" s="3">
        <v>8</v>
      </c>
      <c r="L1835" s="4">
        <f>tblSales[[#This Row],[Quantity]]*tblSales[[#This Row],[Actual Price]]</f>
        <v>4816</v>
      </c>
    </row>
    <row r="1836" spans="1:12" x14ac:dyDescent="0.35">
      <c r="A1836" s="3" t="s">
        <v>2437</v>
      </c>
      <c r="B1836" s="4" t="s">
        <v>2171</v>
      </c>
      <c r="C1836" s="4" t="s">
        <v>19</v>
      </c>
      <c r="D1836" s="4" t="s">
        <v>20</v>
      </c>
      <c r="E1836" s="7">
        <v>43343</v>
      </c>
      <c r="F1836" s="4" t="s">
        <v>15</v>
      </c>
      <c r="G1836" s="4" t="s">
        <v>2222</v>
      </c>
      <c r="H1836" s="4">
        <v>80</v>
      </c>
      <c r="I1836" s="4">
        <v>74</v>
      </c>
      <c r="J1836" s="5">
        <v>7.4999999999999997E-2</v>
      </c>
      <c r="K1836" s="3">
        <v>93</v>
      </c>
      <c r="L1836" s="4">
        <f>tblSales[[#This Row],[Quantity]]*tblSales[[#This Row],[Actual Price]]</f>
        <v>6882</v>
      </c>
    </row>
    <row r="1837" spans="1:12" x14ac:dyDescent="0.35">
      <c r="A1837" s="3" t="s">
        <v>2438</v>
      </c>
      <c r="B1837" s="4" t="s">
        <v>50</v>
      </c>
      <c r="C1837" s="4" t="s">
        <v>51</v>
      </c>
      <c r="D1837" s="4" t="s">
        <v>25</v>
      </c>
      <c r="E1837" s="7">
        <v>43399</v>
      </c>
      <c r="F1837" s="4" t="s">
        <v>26</v>
      </c>
      <c r="G1837" s="4" t="s">
        <v>1001</v>
      </c>
      <c r="H1837" s="4">
        <v>700</v>
      </c>
      <c r="I1837" s="4">
        <v>623</v>
      </c>
      <c r="J1837" s="5">
        <v>0.11</v>
      </c>
      <c r="K1837" s="3">
        <v>26</v>
      </c>
      <c r="L1837" s="4">
        <f>tblSales[[#This Row],[Quantity]]*tblSales[[#This Row],[Actual Price]]</f>
        <v>16198</v>
      </c>
    </row>
    <row r="1838" spans="1:12" x14ac:dyDescent="0.35">
      <c r="A1838" s="3" t="s">
        <v>2439</v>
      </c>
      <c r="B1838" s="4" t="s">
        <v>78</v>
      </c>
      <c r="C1838" s="4" t="s">
        <v>79</v>
      </c>
      <c r="D1838" s="4" t="s">
        <v>36</v>
      </c>
      <c r="E1838" s="7">
        <v>41981</v>
      </c>
      <c r="F1838" s="4" t="s">
        <v>47</v>
      </c>
      <c r="G1838" s="4" t="s">
        <v>2440</v>
      </c>
      <c r="H1838" s="4">
        <v>500</v>
      </c>
      <c r="I1838" s="4">
        <v>365</v>
      </c>
      <c r="J1838" s="5">
        <v>0.27</v>
      </c>
      <c r="K1838" s="3">
        <v>77</v>
      </c>
      <c r="L1838" s="4">
        <f>tblSales[[#This Row],[Quantity]]*tblSales[[#This Row],[Actual Price]]</f>
        <v>28105</v>
      </c>
    </row>
    <row r="1839" spans="1:12" x14ac:dyDescent="0.35">
      <c r="A1839" s="3" t="s">
        <v>2441</v>
      </c>
      <c r="B1839" s="4" t="s">
        <v>222</v>
      </c>
      <c r="C1839" s="4" t="s">
        <v>41</v>
      </c>
      <c r="D1839" s="4" t="s">
        <v>36</v>
      </c>
      <c r="E1839" s="7">
        <v>41867</v>
      </c>
      <c r="F1839" s="4" t="s">
        <v>116</v>
      </c>
      <c r="G1839" s="4" t="s">
        <v>263</v>
      </c>
      <c r="H1839" s="4">
        <v>250</v>
      </c>
      <c r="I1839" s="4">
        <v>193</v>
      </c>
      <c r="J1839" s="5">
        <v>0.22800000000000001</v>
      </c>
      <c r="K1839" s="3">
        <v>16</v>
      </c>
      <c r="L1839" s="4">
        <f>tblSales[[#This Row],[Quantity]]*tblSales[[#This Row],[Actual Price]]</f>
        <v>3088</v>
      </c>
    </row>
    <row r="1840" spans="1:12" x14ac:dyDescent="0.35">
      <c r="A1840" s="3" t="s">
        <v>2442</v>
      </c>
      <c r="B1840" s="4" t="s">
        <v>2244</v>
      </c>
      <c r="C1840" s="4" t="s">
        <v>109</v>
      </c>
      <c r="D1840" s="4" t="s">
        <v>20</v>
      </c>
      <c r="E1840" s="7">
        <v>41800</v>
      </c>
      <c r="F1840" s="4" t="s">
        <v>37</v>
      </c>
      <c r="G1840" s="4" t="s">
        <v>2443</v>
      </c>
      <c r="H1840" s="4">
        <v>50</v>
      </c>
      <c r="I1840" s="4">
        <v>50</v>
      </c>
      <c r="J1840" s="5">
        <v>0</v>
      </c>
      <c r="K1840" s="3">
        <v>6</v>
      </c>
      <c r="L1840" s="4">
        <f>tblSales[[#This Row],[Quantity]]*tblSales[[#This Row],[Actual Price]]</f>
        <v>300</v>
      </c>
    </row>
    <row r="1841" spans="1:12" x14ac:dyDescent="0.35">
      <c r="A1841" s="3" t="s">
        <v>2444</v>
      </c>
      <c r="B1841" s="4" t="s">
        <v>2244</v>
      </c>
      <c r="C1841" s="4" t="s">
        <v>109</v>
      </c>
      <c r="D1841" s="4" t="s">
        <v>20</v>
      </c>
      <c r="E1841" s="7">
        <v>42426</v>
      </c>
      <c r="F1841" s="4" t="s">
        <v>26</v>
      </c>
      <c r="G1841" s="4" t="s">
        <v>2245</v>
      </c>
      <c r="H1841" s="4">
        <v>700</v>
      </c>
      <c r="I1841" s="4">
        <v>644</v>
      </c>
      <c r="J1841" s="5">
        <v>0.08</v>
      </c>
      <c r="K1841" s="3">
        <v>56</v>
      </c>
      <c r="L1841" s="4">
        <f>tblSales[[#This Row],[Quantity]]*tblSales[[#This Row],[Actual Price]]</f>
        <v>36064</v>
      </c>
    </row>
    <row r="1842" spans="1:12" x14ac:dyDescent="0.35">
      <c r="A1842" s="3" t="s">
        <v>2445</v>
      </c>
      <c r="B1842" s="4" t="s">
        <v>128</v>
      </c>
      <c r="C1842" s="4" t="s">
        <v>129</v>
      </c>
      <c r="D1842" s="4" t="s">
        <v>14</v>
      </c>
      <c r="E1842" s="7">
        <v>43076</v>
      </c>
      <c r="F1842" s="4" t="s">
        <v>26</v>
      </c>
      <c r="G1842" s="4" t="s">
        <v>386</v>
      </c>
      <c r="H1842" s="4">
        <v>700</v>
      </c>
      <c r="I1842" s="4">
        <v>686</v>
      </c>
      <c r="J1842" s="5">
        <v>0.02</v>
      </c>
      <c r="K1842" s="3">
        <v>63</v>
      </c>
      <c r="L1842" s="4">
        <f>tblSales[[#This Row],[Quantity]]*tblSales[[#This Row],[Actual Price]]</f>
        <v>43218</v>
      </c>
    </row>
    <row r="1843" spans="1:12" x14ac:dyDescent="0.35">
      <c r="A1843" s="3" t="s">
        <v>2446</v>
      </c>
      <c r="B1843" s="4" t="s">
        <v>50</v>
      </c>
      <c r="C1843" s="4" t="s">
        <v>51</v>
      </c>
      <c r="D1843" s="4" t="s">
        <v>25</v>
      </c>
      <c r="E1843" s="7">
        <v>43366</v>
      </c>
      <c r="F1843" s="4" t="s">
        <v>116</v>
      </c>
      <c r="G1843" s="4" t="s">
        <v>659</v>
      </c>
      <c r="H1843" s="4">
        <v>250</v>
      </c>
      <c r="I1843" s="4">
        <v>220</v>
      </c>
      <c r="J1843" s="5">
        <v>0.12</v>
      </c>
      <c r="K1843" s="3">
        <v>33</v>
      </c>
      <c r="L1843" s="4">
        <f>tblSales[[#This Row],[Quantity]]*tblSales[[#This Row],[Actual Price]]</f>
        <v>7260</v>
      </c>
    </row>
    <row r="1844" spans="1:12" x14ac:dyDescent="0.35">
      <c r="A1844" s="3" t="s">
        <v>2447</v>
      </c>
      <c r="B1844" s="4" t="s">
        <v>65</v>
      </c>
      <c r="C1844" s="4" t="s">
        <v>66</v>
      </c>
      <c r="D1844" s="4" t="s">
        <v>36</v>
      </c>
      <c r="E1844" s="7">
        <v>41707</v>
      </c>
      <c r="F1844" s="4" t="s">
        <v>56</v>
      </c>
      <c r="G1844" s="4" t="s">
        <v>873</v>
      </c>
      <c r="H1844" s="4">
        <v>800</v>
      </c>
      <c r="I1844" s="4">
        <v>688</v>
      </c>
      <c r="J1844" s="5">
        <v>0.14000000000000001</v>
      </c>
      <c r="K1844" s="3">
        <v>28</v>
      </c>
      <c r="L1844" s="4">
        <f>tblSales[[#This Row],[Quantity]]*tblSales[[#This Row],[Actual Price]]</f>
        <v>19264</v>
      </c>
    </row>
    <row r="1845" spans="1:12" x14ac:dyDescent="0.35">
      <c r="A1845" s="3" t="s">
        <v>2448</v>
      </c>
      <c r="B1845" s="4" t="s">
        <v>128</v>
      </c>
      <c r="C1845" s="4" t="s">
        <v>129</v>
      </c>
      <c r="D1845" s="4" t="s">
        <v>14</v>
      </c>
      <c r="E1845" s="7">
        <v>42202</v>
      </c>
      <c r="F1845" s="4" t="s">
        <v>73</v>
      </c>
      <c r="G1845" s="4" t="s">
        <v>234</v>
      </c>
      <c r="H1845" s="4">
        <v>500</v>
      </c>
      <c r="I1845" s="4">
        <v>490</v>
      </c>
      <c r="J1845" s="5">
        <v>0.02</v>
      </c>
      <c r="K1845" s="3">
        <v>71</v>
      </c>
      <c r="L1845" s="4">
        <f>tblSales[[#This Row],[Quantity]]*tblSales[[#This Row],[Actual Price]]</f>
        <v>34790</v>
      </c>
    </row>
    <row r="1846" spans="1:12" x14ac:dyDescent="0.35">
      <c r="A1846" s="3" t="s">
        <v>2449</v>
      </c>
      <c r="B1846" s="4" t="s">
        <v>23</v>
      </c>
      <c r="C1846" s="4" t="s">
        <v>24</v>
      </c>
      <c r="D1846" s="4" t="s">
        <v>25</v>
      </c>
      <c r="E1846" s="7">
        <v>43346</v>
      </c>
      <c r="F1846" s="4" t="s">
        <v>31</v>
      </c>
      <c r="G1846" s="4" t="s">
        <v>625</v>
      </c>
      <c r="H1846" s="4">
        <v>150</v>
      </c>
      <c r="I1846" s="4">
        <v>144</v>
      </c>
      <c r="J1846" s="5">
        <v>0.04</v>
      </c>
      <c r="K1846" s="3">
        <v>63</v>
      </c>
      <c r="L1846" s="4">
        <f>tblSales[[#This Row],[Quantity]]*tblSales[[#This Row],[Actual Price]]</f>
        <v>9072</v>
      </c>
    </row>
    <row r="1847" spans="1:12" x14ac:dyDescent="0.35">
      <c r="A1847" s="3" t="s">
        <v>2450</v>
      </c>
      <c r="B1847" s="4" t="s">
        <v>155</v>
      </c>
      <c r="C1847" s="4" t="s">
        <v>109</v>
      </c>
      <c r="D1847" s="4" t="s">
        <v>20</v>
      </c>
      <c r="E1847" s="7">
        <v>41817</v>
      </c>
      <c r="F1847" s="4" t="s">
        <v>26</v>
      </c>
      <c r="G1847" s="4" t="s">
        <v>1005</v>
      </c>
      <c r="H1847" s="4">
        <v>700</v>
      </c>
      <c r="I1847" s="4">
        <v>525</v>
      </c>
      <c r="J1847" s="5">
        <v>0.25</v>
      </c>
      <c r="K1847" s="3">
        <v>12</v>
      </c>
      <c r="L1847" s="4">
        <f>tblSales[[#This Row],[Quantity]]*tblSales[[#This Row],[Actual Price]]</f>
        <v>6300</v>
      </c>
    </row>
    <row r="1848" spans="1:12" x14ac:dyDescent="0.35">
      <c r="A1848" s="3" t="s">
        <v>2451</v>
      </c>
      <c r="B1848" s="4" t="s">
        <v>82</v>
      </c>
      <c r="C1848" s="4" t="s">
        <v>83</v>
      </c>
      <c r="D1848" s="4" t="s">
        <v>14</v>
      </c>
      <c r="E1848" s="7">
        <v>41690</v>
      </c>
      <c r="F1848" s="4" t="s">
        <v>73</v>
      </c>
      <c r="G1848" s="4" t="s">
        <v>1048</v>
      </c>
      <c r="H1848" s="4">
        <v>500</v>
      </c>
      <c r="I1848" s="4">
        <v>490</v>
      </c>
      <c r="J1848" s="5">
        <v>0.02</v>
      </c>
      <c r="K1848" s="3">
        <v>88</v>
      </c>
      <c r="L1848" s="4">
        <f>tblSales[[#This Row],[Quantity]]*tblSales[[#This Row],[Actual Price]]</f>
        <v>43120</v>
      </c>
    </row>
    <row r="1849" spans="1:12" x14ac:dyDescent="0.35">
      <c r="A1849" s="3" t="s">
        <v>2452</v>
      </c>
      <c r="B1849" s="4" t="s">
        <v>256</v>
      </c>
      <c r="C1849" s="4" t="s">
        <v>257</v>
      </c>
      <c r="D1849" s="4" t="s">
        <v>14</v>
      </c>
      <c r="E1849" s="7">
        <v>42891</v>
      </c>
      <c r="F1849" s="4" t="s">
        <v>31</v>
      </c>
      <c r="G1849" s="4" t="s">
        <v>258</v>
      </c>
      <c r="H1849" s="4">
        <v>150</v>
      </c>
      <c r="I1849" s="4">
        <v>144</v>
      </c>
      <c r="J1849" s="5">
        <v>0.04</v>
      </c>
      <c r="K1849" s="3">
        <v>14</v>
      </c>
      <c r="L1849" s="4">
        <f>tblSales[[#This Row],[Quantity]]*tblSales[[#This Row],[Actual Price]]</f>
        <v>2016</v>
      </c>
    </row>
    <row r="1850" spans="1:12" x14ac:dyDescent="0.35">
      <c r="A1850" s="3" t="s">
        <v>2453</v>
      </c>
      <c r="B1850" s="4" t="s">
        <v>60</v>
      </c>
      <c r="C1850" s="4" t="s">
        <v>61</v>
      </c>
      <c r="D1850" s="4" t="s">
        <v>14</v>
      </c>
      <c r="E1850" s="7">
        <v>42847</v>
      </c>
      <c r="F1850" s="4" t="s">
        <v>56</v>
      </c>
      <c r="G1850" s="4" t="s">
        <v>313</v>
      </c>
      <c r="H1850" s="4">
        <v>800</v>
      </c>
      <c r="I1850" s="4">
        <v>456</v>
      </c>
      <c r="J1850" s="5">
        <v>0.43</v>
      </c>
      <c r="K1850" s="3">
        <v>12</v>
      </c>
      <c r="L1850" s="4">
        <f>tblSales[[#This Row],[Quantity]]*tblSales[[#This Row],[Actual Price]]</f>
        <v>5472</v>
      </c>
    </row>
    <row r="1851" spans="1:12" x14ac:dyDescent="0.35">
      <c r="A1851" s="3" t="s">
        <v>2454</v>
      </c>
      <c r="B1851" s="4" t="s">
        <v>86</v>
      </c>
      <c r="C1851" s="4" t="s">
        <v>87</v>
      </c>
      <c r="D1851" s="4" t="s">
        <v>14</v>
      </c>
      <c r="E1851" s="7">
        <v>42389</v>
      </c>
      <c r="F1851" s="4" t="s">
        <v>47</v>
      </c>
      <c r="G1851" s="4" t="s">
        <v>1250</v>
      </c>
      <c r="H1851" s="4">
        <v>500</v>
      </c>
      <c r="I1851" s="4">
        <v>465</v>
      </c>
      <c r="J1851" s="5">
        <v>7.0000000000000007E-2</v>
      </c>
      <c r="K1851" s="3">
        <v>95</v>
      </c>
      <c r="L1851" s="4">
        <f>tblSales[[#This Row],[Quantity]]*tblSales[[#This Row],[Actual Price]]</f>
        <v>44175</v>
      </c>
    </row>
    <row r="1852" spans="1:12" x14ac:dyDescent="0.35">
      <c r="A1852" s="3" t="s">
        <v>2455</v>
      </c>
      <c r="B1852" s="4" t="s">
        <v>151</v>
      </c>
      <c r="C1852" s="4" t="s">
        <v>152</v>
      </c>
      <c r="D1852" s="4" t="s">
        <v>14</v>
      </c>
      <c r="E1852" s="7">
        <v>42078</v>
      </c>
      <c r="F1852" s="4" t="s">
        <v>73</v>
      </c>
      <c r="G1852" s="4" t="s">
        <v>825</v>
      </c>
      <c r="H1852" s="4">
        <v>500</v>
      </c>
      <c r="I1852" s="4">
        <v>495</v>
      </c>
      <c r="J1852" s="5">
        <v>0.01</v>
      </c>
      <c r="K1852" s="3">
        <v>74</v>
      </c>
      <c r="L1852" s="4">
        <f>tblSales[[#This Row],[Quantity]]*tblSales[[#This Row],[Actual Price]]</f>
        <v>36630</v>
      </c>
    </row>
    <row r="1853" spans="1:12" x14ac:dyDescent="0.35">
      <c r="A1853" s="3" t="s">
        <v>2456</v>
      </c>
      <c r="B1853" s="4" t="s">
        <v>12</v>
      </c>
      <c r="C1853" s="4" t="s">
        <v>13</v>
      </c>
      <c r="D1853" s="4" t="s">
        <v>14</v>
      </c>
      <c r="E1853" s="7">
        <v>42120</v>
      </c>
      <c r="F1853" s="4" t="s">
        <v>37</v>
      </c>
      <c r="G1853" s="4" t="s">
        <v>277</v>
      </c>
      <c r="H1853" s="4">
        <v>50</v>
      </c>
      <c r="I1853" s="4">
        <v>49</v>
      </c>
      <c r="J1853" s="5">
        <v>0.02</v>
      </c>
      <c r="K1853" s="3">
        <v>81</v>
      </c>
      <c r="L1853" s="4">
        <f>tblSales[[#This Row],[Quantity]]*tblSales[[#This Row],[Actual Price]]</f>
        <v>3969</v>
      </c>
    </row>
    <row r="1854" spans="1:12" x14ac:dyDescent="0.35">
      <c r="A1854" s="3" t="s">
        <v>2457</v>
      </c>
      <c r="B1854" s="4" t="s">
        <v>2171</v>
      </c>
      <c r="C1854" s="4" t="s">
        <v>19</v>
      </c>
      <c r="D1854" s="4" t="s">
        <v>20</v>
      </c>
      <c r="E1854" s="7">
        <v>42725</v>
      </c>
      <c r="F1854" s="4" t="s">
        <v>15</v>
      </c>
      <c r="G1854" s="4" t="s">
        <v>2458</v>
      </c>
      <c r="H1854" s="4">
        <v>80</v>
      </c>
      <c r="I1854" s="4">
        <v>78</v>
      </c>
      <c r="J1854" s="5">
        <v>2.5000000000000001E-2</v>
      </c>
      <c r="K1854" s="3">
        <v>54</v>
      </c>
      <c r="L1854" s="4">
        <f>tblSales[[#This Row],[Quantity]]*tblSales[[#This Row],[Actual Price]]</f>
        <v>4212</v>
      </c>
    </row>
    <row r="1855" spans="1:12" x14ac:dyDescent="0.35">
      <c r="A1855" s="3" t="s">
        <v>2459</v>
      </c>
      <c r="B1855" s="4" t="s">
        <v>206</v>
      </c>
      <c r="C1855" s="4" t="s">
        <v>207</v>
      </c>
      <c r="D1855" s="4" t="s">
        <v>25</v>
      </c>
      <c r="E1855" s="7">
        <v>41888</v>
      </c>
      <c r="F1855" s="4" t="s">
        <v>105</v>
      </c>
      <c r="G1855" s="4" t="s">
        <v>597</v>
      </c>
      <c r="H1855" s="4">
        <v>70</v>
      </c>
      <c r="I1855" s="4">
        <v>52</v>
      </c>
      <c r="J1855" s="5">
        <v>0.2571</v>
      </c>
      <c r="K1855" s="3">
        <v>29</v>
      </c>
      <c r="L1855" s="4">
        <f>tblSales[[#This Row],[Quantity]]*tblSales[[#This Row],[Actual Price]]</f>
        <v>1508</v>
      </c>
    </row>
    <row r="1856" spans="1:12" x14ac:dyDescent="0.35">
      <c r="A1856" s="3" t="s">
        <v>2460</v>
      </c>
      <c r="B1856" s="4" t="s">
        <v>271</v>
      </c>
      <c r="C1856" s="4" t="s">
        <v>272</v>
      </c>
      <c r="D1856" s="4" t="s">
        <v>36</v>
      </c>
      <c r="E1856" s="7">
        <v>42911</v>
      </c>
      <c r="F1856" s="4" t="s">
        <v>31</v>
      </c>
      <c r="G1856" s="4" t="s">
        <v>716</v>
      </c>
      <c r="H1856" s="4">
        <v>150</v>
      </c>
      <c r="I1856" s="4">
        <v>144</v>
      </c>
      <c r="J1856" s="5">
        <v>0.04</v>
      </c>
      <c r="K1856" s="3">
        <v>14</v>
      </c>
      <c r="L1856" s="4">
        <f>tblSales[[#This Row],[Quantity]]*tblSales[[#This Row],[Actual Price]]</f>
        <v>2016</v>
      </c>
    </row>
    <row r="1857" spans="1:12" x14ac:dyDescent="0.35">
      <c r="A1857" s="3" t="s">
        <v>2461</v>
      </c>
      <c r="B1857" s="4" t="s">
        <v>86</v>
      </c>
      <c r="C1857" s="4" t="s">
        <v>87</v>
      </c>
      <c r="D1857" s="4" t="s">
        <v>14</v>
      </c>
      <c r="E1857" s="7">
        <v>42682</v>
      </c>
      <c r="F1857" s="4" t="s">
        <v>62</v>
      </c>
      <c r="G1857" s="4" t="s">
        <v>88</v>
      </c>
      <c r="H1857" s="4">
        <v>1000</v>
      </c>
      <c r="I1857" s="4">
        <v>560</v>
      </c>
      <c r="J1857" s="5">
        <v>0.44</v>
      </c>
      <c r="K1857" s="3">
        <v>38</v>
      </c>
      <c r="L1857" s="4">
        <f>tblSales[[#This Row],[Quantity]]*tblSales[[#This Row],[Actual Price]]</f>
        <v>21280</v>
      </c>
    </row>
    <row r="1858" spans="1:12" x14ac:dyDescent="0.35">
      <c r="A1858" s="3" t="s">
        <v>2462</v>
      </c>
      <c r="B1858" s="4" t="s">
        <v>325</v>
      </c>
      <c r="C1858" s="4" t="s">
        <v>326</v>
      </c>
      <c r="D1858" s="4" t="s">
        <v>14</v>
      </c>
      <c r="E1858" s="7">
        <v>43129</v>
      </c>
      <c r="F1858" s="4" t="s">
        <v>47</v>
      </c>
      <c r="G1858" s="4" t="s">
        <v>454</v>
      </c>
      <c r="H1858" s="4">
        <v>500</v>
      </c>
      <c r="I1858" s="4">
        <v>490</v>
      </c>
      <c r="J1858" s="5">
        <v>0.02</v>
      </c>
      <c r="K1858" s="3">
        <v>43</v>
      </c>
      <c r="L1858" s="4">
        <f>tblSales[[#This Row],[Quantity]]*tblSales[[#This Row],[Actual Price]]</f>
        <v>21070</v>
      </c>
    </row>
    <row r="1859" spans="1:12" x14ac:dyDescent="0.35">
      <c r="A1859" s="3" t="s">
        <v>2463</v>
      </c>
      <c r="B1859" s="4" t="s">
        <v>104</v>
      </c>
      <c r="C1859" s="4" t="s">
        <v>72</v>
      </c>
      <c r="D1859" s="4" t="s">
        <v>36</v>
      </c>
      <c r="E1859" s="7">
        <v>43465</v>
      </c>
      <c r="F1859" s="4" t="s">
        <v>15</v>
      </c>
      <c r="G1859" s="4" t="s">
        <v>728</v>
      </c>
      <c r="H1859" s="4">
        <v>80</v>
      </c>
      <c r="I1859" s="4">
        <v>76</v>
      </c>
      <c r="J1859" s="5">
        <v>0.05</v>
      </c>
      <c r="K1859" s="3">
        <v>50</v>
      </c>
      <c r="L1859" s="4">
        <f>tblSales[[#This Row],[Quantity]]*tblSales[[#This Row],[Actual Price]]</f>
        <v>3800</v>
      </c>
    </row>
    <row r="1860" spans="1:12" x14ac:dyDescent="0.35">
      <c r="A1860" s="3" t="s">
        <v>2464</v>
      </c>
      <c r="B1860" s="4" t="s">
        <v>242</v>
      </c>
      <c r="C1860" s="4" t="s">
        <v>243</v>
      </c>
      <c r="D1860" s="4" t="s">
        <v>14</v>
      </c>
      <c r="E1860" s="7">
        <v>43025</v>
      </c>
      <c r="F1860" s="4" t="s">
        <v>123</v>
      </c>
      <c r="G1860" s="4" t="s">
        <v>627</v>
      </c>
      <c r="H1860" s="4">
        <v>50</v>
      </c>
      <c r="I1860" s="4">
        <v>45</v>
      </c>
      <c r="J1860" s="5">
        <v>0.1</v>
      </c>
      <c r="K1860" s="3">
        <v>21</v>
      </c>
      <c r="L1860" s="4">
        <f>tblSales[[#This Row],[Quantity]]*tblSales[[#This Row],[Actual Price]]</f>
        <v>945</v>
      </c>
    </row>
    <row r="1861" spans="1:12" x14ac:dyDescent="0.35">
      <c r="A1861" s="3" t="s">
        <v>2465</v>
      </c>
      <c r="B1861" s="4" t="s">
        <v>100</v>
      </c>
      <c r="C1861" s="4" t="s">
        <v>101</v>
      </c>
      <c r="D1861" s="4" t="s">
        <v>14</v>
      </c>
      <c r="E1861" s="7">
        <v>42510</v>
      </c>
      <c r="F1861" s="4" t="s">
        <v>26</v>
      </c>
      <c r="G1861" s="4" t="s">
        <v>949</v>
      </c>
      <c r="H1861" s="4">
        <v>700</v>
      </c>
      <c r="I1861" s="4">
        <v>630</v>
      </c>
      <c r="J1861" s="5">
        <v>0.1</v>
      </c>
      <c r="K1861" s="3">
        <v>60</v>
      </c>
      <c r="L1861" s="4">
        <f>tblSales[[#This Row],[Quantity]]*tblSales[[#This Row],[Actual Price]]</f>
        <v>37800</v>
      </c>
    </row>
    <row r="1862" spans="1:12" x14ac:dyDescent="0.35">
      <c r="A1862" s="3" t="s">
        <v>2466</v>
      </c>
      <c r="B1862" s="4" t="s">
        <v>132</v>
      </c>
      <c r="C1862" s="4" t="s">
        <v>109</v>
      </c>
      <c r="D1862" s="4" t="s">
        <v>20</v>
      </c>
      <c r="E1862" s="7">
        <v>43135</v>
      </c>
      <c r="F1862" s="4" t="s">
        <v>37</v>
      </c>
      <c r="G1862" s="4" t="s">
        <v>547</v>
      </c>
      <c r="H1862" s="4">
        <v>50</v>
      </c>
      <c r="I1862" s="4">
        <v>45</v>
      </c>
      <c r="J1862" s="5">
        <v>0.1</v>
      </c>
      <c r="K1862" s="3">
        <v>39</v>
      </c>
      <c r="L1862" s="4">
        <f>tblSales[[#This Row],[Quantity]]*tblSales[[#This Row],[Actual Price]]</f>
        <v>1755</v>
      </c>
    </row>
    <row r="1863" spans="1:12" x14ac:dyDescent="0.35">
      <c r="A1863" s="3" t="s">
        <v>2467</v>
      </c>
      <c r="B1863" s="4" t="s">
        <v>171</v>
      </c>
      <c r="C1863" s="4" t="s">
        <v>172</v>
      </c>
      <c r="D1863" s="4" t="s">
        <v>14</v>
      </c>
      <c r="E1863" s="7">
        <v>43329</v>
      </c>
      <c r="F1863" s="4" t="s">
        <v>73</v>
      </c>
      <c r="G1863" s="4" t="s">
        <v>275</v>
      </c>
      <c r="H1863" s="4">
        <v>500</v>
      </c>
      <c r="I1863" s="4">
        <v>500</v>
      </c>
      <c r="J1863" s="5">
        <v>0</v>
      </c>
      <c r="K1863" s="3">
        <v>9</v>
      </c>
      <c r="L1863" s="4">
        <f>tblSales[[#This Row],[Quantity]]*tblSales[[#This Row],[Actual Price]]</f>
        <v>4500</v>
      </c>
    </row>
    <row r="1864" spans="1:12" x14ac:dyDescent="0.35">
      <c r="A1864" s="3" t="s">
        <v>2468</v>
      </c>
      <c r="B1864" s="4" t="s">
        <v>108</v>
      </c>
      <c r="C1864" s="4" t="s">
        <v>109</v>
      </c>
      <c r="D1864" s="4" t="s">
        <v>20</v>
      </c>
      <c r="E1864" s="7">
        <v>43342</v>
      </c>
      <c r="F1864" s="4" t="s">
        <v>37</v>
      </c>
      <c r="G1864" s="4" t="s">
        <v>947</v>
      </c>
      <c r="H1864" s="4">
        <v>50</v>
      </c>
      <c r="I1864" s="4">
        <v>46</v>
      </c>
      <c r="J1864" s="5">
        <v>0.08</v>
      </c>
      <c r="K1864" s="3">
        <v>47</v>
      </c>
      <c r="L1864" s="4">
        <f>tblSales[[#This Row],[Quantity]]*tblSales[[#This Row],[Actual Price]]</f>
        <v>2162</v>
      </c>
    </row>
    <row r="1865" spans="1:12" x14ac:dyDescent="0.35">
      <c r="A1865" s="3" t="s">
        <v>2469</v>
      </c>
      <c r="B1865" s="4" t="s">
        <v>65</v>
      </c>
      <c r="C1865" s="4" t="s">
        <v>66</v>
      </c>
      <c r="D1865" s="4" t="s">
        <v>36</v>
      </c>
      <c r="E1865" s="7">
        <v>41869</v>
      </c>
      <c r="F1865" s="4" t="s">
        <v>73</v>
      </c>
      <c r="G1865" s="4" t="s">
        <v>2470</v>
      </c>
      <c r="H1865" s="4">
        <v>500</v>
      </c>
      <c r="I1865" s="4">
        <v>490</v>
      </c>
      <c r="J1865" s="5">
        <v>0.02</v>
      </c>
      <c r="K1865" s="3">
        <v>12</v>
      </c>
      <c r="L1865" s="4">
        <f>tblSales[[#This Row],[Quantity]]*tblSales[[#This Row],[Actual Price]]</f>
        <v>5880</v>
      </c>
    </row>
    <row r="1866" spans="1:12" x14ac:dyDescent="0.35">
      <c r="A1866" s="3" t="s">
        <v>2471</v>
      </c>
      <c r="B1866" s="4" t="s">
        <v>290</v>
      </c>
      <c r="C1866" s="4" t="s">
        <v>109</v>
      </c>
      <c r="D1866" s="4" t="s">
        <v>20</v>
      </c>
      <c r="E1866" s="7">
        <v>41647</v>
      </c>
      <c r="F1866" s="4" t="s">
        <v>26</v>
      </c>
      <c r="G1866" s="4" t="s">
        <v>1130</v>
      </c>
      <c r="H1866" s="4">
        <v>700</v>
      </c>
      <c r="I1866" s="4">
        <v>686</v>
      </c>
      <c r="J1866" s="5">
        <v>0.02</v>
      </c>
      <c r="K1866" s="3">
        <v>35</v>
      </c>
      <c r="L1866" s="4">
        <f>tblSales[[#This Row],[Quantity]]*tblSales[[#This Row],[Actual Price]]</f>
        <v>24010</v>
      </c>
    </row>
    <row r="1867" spans="1:12" x14ac:dyDescent="0.35">
      <c r="A1867" s="3" t="s">
        <v>2472</v>
      </c>
      <c r="B1867" s="4" t="s">
        <v>155</v>
      </c>
      <c r="C1867" s="4" t="s">
        <v>109</v>
      </c>
      <c r="D1867" s="4" t="s">
        <v>20</v>
      </c>
      <c r="E1867" s="7">
        <v>42204</v>
      </c>
      <c r="F1867" s="4" t="s">
        <v>42</v>
      </c>
      <c r="G1867" s="4" t="s">
        <v>1293</v>
      </c>
      <c r="H1867" s="4">
        <v>30</v>
      </c>
      <c r="I1867" s="4">
        <v>25</v>
      </c>
      <c r="J1867" s="5">
        <v>0.16669999999999999</v>
      </c>
      <c r="K1867" s="3">
        <v>44</v>
      </c>
      <c r="L1867" s="4">
        <f>tblSales[[#This Row],[Quantity]]*tblSales[[#This Row],[Actual Price]]</f>
        <v>1100</v>
      </c>
    </row>
    <row r="1868" spans="1:12" x14ac:dyDescent="0.35">
      <c r="A1868" s="3" t="s">
        <v>2473</v>
      </c>
      <c r="B1868" s="4" t="s">
        <v>158</v>
      </c>
      <c r="C1868" s="4" t="s">
        <v>109</v>
      </c>
      <c r="D1868" s="4" t="s">
        <v>20</v>
      </c>
      <c r="E1868" s="7">
        <v>42366</v>
      </c>
      <c r="F1868" s="4" t="s">
        <v>62</v>
      </c>
      <c r="G1868" s="4" t="s">
        <v>159</v>
      </c>
      <c r="H1868" s="4">
        <v>1000</v>
      </c>
      <c r="I1868" s="4">
        <v>600</v>
      </c>
      <c r="J1868" s="5">
        <v>0.4</v>
      </c>
      <c r="K1868" s="3">
        <v>60</v>
      </c>
      <c r="L1868" s="4">
        <f>tblSales[[#This Row],[Quantity]]*tblSales[[#This Row],[Actual Price]]</f>
        <v>36000</v>
      </c>
    </row>
    <row r="1869" spans="1:12" x14ac:dyDescent="0.35">
      <c r="A1869" s="3" t="s">
        <v>2474</v>
      </c>
      <c r="B1869" s="4" t="s">
        <v>222</v>
      </c>
      <c r="C1869" s="4" t="s">
        <v>41</v>
      </c>
      <c r="D1869" s="4" t="s">
        <v>36</v>
      </c>
      <c r="E1869" s="7">
        <v>42668</v>
      </c>
      <c r="F1869" s="4" t="s">
        <v>105</v>
      </c>
      <c r="G1869" s="4" t="s">
        <v>2426</v>
      </c>
      <c r="H1869" s="4">
        <v>70</v>
      </c>
      <c r="I1869" s="4">
        <v>63</v>
      </c>
      <c r="J1869" s="5">
        <v>0.1</v>
      </c>
      <c r="K1869" s="3">
        <v>36</v>
      </c>
      <c r="L1869" s="4">
        <f>tblSales[[#This Row],[Quantity]]*tblSales[[#This Row],[Actual Price]]</f>
        <v>2268</v>
      </c>
    </row>
    <row r="1870" spans="1:12" x14ac:dyDescent="0.35">
      <c r="A1870" s="3" t="s">
        <v>2475</v>
      </c>
      <c r="B1870" s="4" t="s">
        <v>60</v>
      </c>
      <c r="C1870" s="4" t="s">
        <v>61</v>
      </c>
      <c r="D1870" s="4" t="s">
        <v>14</v>
      </c>
      <c r="E1870" s="7">
        <v>41891</v>
      </c>
      <c r="F1870" s="4" t="s">
        <v>116</v>
      </c>
      <c r="G1870" s="4" t="s">
        <v>1779</v>
      </c>
      <c r="H1870" s="4">
        <v>250</v>
      </c>
      <c r="I1870" s="4">
        <v>245</v>
      </c>
      <c r="J1870" s="5">
        <v>0.02</v>
      </c>
      <c r="K1870" s="3">
        <v>67</v>
      </c>
      <c r="L1870" s="4">
        <f>tblSales[[#This Row],[Quantity]]*tblSales[[#This Row],[Actual Price]]</f>
        <v>16415</v>
      </c>
    </row>
    <row r="1871" spans="1:12" x14ac:dyDescent="0.35">
      <c r="A1871" s="3" t="s">
        <v>2476</v>
      </c>
      <c r="B1871" s="4" t="s">
        <v>135</v>
      </c>
      <c r="C1871" s="4" t="s">
        <v>93</v>
      </c>
      <c r="D1871" s="4" t="s">
        <v>36</v>
      </c>
      <c r="E1871" s="7">
        <v>42385</v>
      </c>
      <c r="F1871" s="4" t="s">
        <v>15</v>
      </c>
      <c r="G1871" s="4" t="s">
        <v>136</v>
      </c>
      <c r="H1871" s="4">
        <v>80</v>
      </c>
      <c r="I1871" s="4">
        <v>74</v>
      </c>
      <c r="J1871" s="5">
        <v>7.4999999999999997E-2</v>
      </c>
      <c r="K1871" s="3">
        <v>59</v>
      </c>
      <c r="L1871" s="4">
        <f>tblSales[[#This Row],[Quantity]]*tblSales[[#This Row],[Actual Price]]</f>
        <v>4366</v>
      </c>
    </row>
    <row r="1872" spans="1:12" x14ac:dyDescent="0.35">
      <c r="A1872" s="3" t="s">
        <v>2477</v>
      </c>
      <c r="B1872" s="4" t="s">
        <v>86</v>
      </c>
      <c r="C1872" s="4" t="s">
        <v>87</v>
      </c>
      <c r="D1872" s="4" t="s">
        <v>14</v>
      </c>
      <c r="E1872" s="7">
        <v>42948</v>
      </c>
      <c r="F1872" s="4" t="s">
        <v>47</v>
      </c>
      <c r="G1872" s="4" t="s">
        <v>1250</v>
      </c>
      <c r="H1872" s="4">
        <v>500</v>
      </c>
      <c r="I1872" s="4">
        <v>465</v>
      </c>
      <c r="J1872" s="5">
        <v>7.0000000000000007E-2</v>
      </c>
      <c r="K1872" s="3">
        <v>32</v>
      </c>
      <c r="L1872" s="4">
        <f>tblSales[[#This Row],[Quantity]]*tblSales[[#This Row],[Actual Price]]</f>
        <v>14880</v>
      </c>
    </row>
    <row r="1873" spans="1:12" x14ac:dyDescent="0.35">
      <c r="A1873" s="3" t="s">
        <v>2478</v>
      </c>
      <c r="B1873" s="4" t="s">
        <v>100</v>
      </c>
      <c r="C1873" s="4" t="s">
        <v>101</v>
      </c>
      <c r="D1873" s="4" t="s">
        <v>14</v>
      </c>
      <c r="E1873" s="7">
        <v>42269</v>
      </c>
      <c r="F1873" s="4" t="s">
        <v>31</v>
      </c>
      <c r="G1873" s="4" t="s">
        <v>949</v>
      </c>
      <c r="H1873" s="4">
        <v>150</v>
      </c>
      <c r="I1873" s="4">
        <v>110</v>
      </c>
      <c r="J1873" s="5">
        <v>0.26669999999999999</v>
      </c>
      <c r="K1873" s="3">
        <v>62</v>
      </c>
      <c r="L1873" s="4">
        <f>tblSales[[#This Row],[Quantity]]*tblSales[[#This Row],[Actual Price]]</f>
        <v>6820</v>
      </c>
    </row>
    <row r="1874" spans="1:12" x14ac:dyDescent="0.35">
      <c r="A1874" s="3" t="s">
        <v>2479</v>
      </c>
      <c r="B1874" s="4" t="s">
        <v>265</v>
      </c>
      <c r="C1874" s="4" t="s">
        <v>266</v>
      </c>
      <c r="D1874" s="4" t="s">
        <v>14</v>
      </c>
      <c r="E1874" s="7">
        <v>43265</v>
      </c>
      <c r="F1874" s="4" t="s">
        <v>73</v>
      </c>
      <c r="G1874" s="4" t="s">
        <v>309</v>
      </c>
      <c r="H1874" s="4">
        <v>500</v>
      </c>
      <c r="I1874" s="4">
        <v>500</v>
      </c>
      <c r="J1874" s="5">
        <v>0</v>
      </c>
      <c r="K1874" s="3">
        <v>88</v>
      </c>
      <c r="L1874" s="4">
        <f>tblSales[[#This Row],[Quantity]]*tblSales[[#This Row],[Actual Price]]</f>
        <v>44000</v>
      </c>
    </row>
    <row r="1875" spans="1:12" x14ac:dyDescent="0.35">
      <c r="A1875" s="3" t="s">
        <v>2480</v>
      </c>
      <c r="B1875" s="4" t="s">
        <v>155</v>
      </c>
      <c r="C1875" s="4" t="s">
        <v>109</v>
      </c>
      <c r="D1875" s="4" t="s">
        <v>20</v>
      </c>
      <c r="E1875" s="7">
        <v>42373</v>
      </c>
      <c r="F1875" s="4" t="s">
        <v>26</v>
      </c>
      <c r="G1875" s="4" t="s">
        <v>1293</v>
      </c>
      <c r="H1875" s="4">
        <v>700</v>
      </c>
      <c r="I1875" s="4">
        <v>700</v>
      </c>
      <c r="J1875" s="5">
        <v>0</v>
      </c>
      <c r="K1875" s="3">
        <v>92</v>
      </c>
      <c r="L1875" s="4">
        <f>tblSales[[#This Row],[Quantity]]*tblSales[[#This Row],[Actual Price]]</f>
        <v>64400</v>
      </c>
    </row>
    <row r="1876" spans="1:12" x14ac:dyDescent="0.35">
      <c r="A1876" s="3" t="s">
        <v>2481</v>
      </c>
      <c r="B1876" s="4" t="s">
        <v>147</v>
      </c>
      <c r="C1876" s="4" t="s">
        <v>148</v>
      </c>
      <c r="D1876" s="4" t="s">
        <v>14</v>
      </c>
      <c r="E1876" s="7">
        <v>43257</v>
      </c>
      <c r="F1876" s="4" t="s">
        <v>123</v>
      </c>
      <c r="G1876" s="4" t="s">
        <v>359</v>
      </c>
      <c r="H1876" s="4">
        <v>50</v>
      </c>
      <c r="I1876" s="4">
        <v>50</v>
      </c>
      <c r="J1876" s="5">
        <v>0</v>
      </c>
      <c r="K1876" s="3">
        <v>47</v>
      </c>
      <c r="L1876" s="4">
        <f>tblSales[[#This Row],[Quantity]]*tblSales[[#This Row],[Actual Price]]</f>
        <v>2350</v>
      </c>
    </row>
    <row r="1877" spans="1:12" x14ac:dyDescent="0.35">
      <c r="A1877" s="3" t="s">
        <v>2482</v>
      </c>
      <c r="B1877" s="4" t="s">
        <v>222</v>
      </c>
      <c r="C1877" s="4" t="s">
        <v>41</v>
      </c>
      <c r="D1877" s="4" t="s">
        <v>36</v>
      </c>
      <c r="E1877" s="7">
        <v>41824</v>
      </c>
      <c r="F1877" s="4" t="s">
        <v>73</v>
      </c>
      <c r="G1877" s="4" t="s">
        <v>1921</v>
      </c>
      <c r="H1877" s="4">
        <v>500</v>
      </c>
      <c r="I1877" s="4">
        <v>490</v>
      </c>
      <c r="J1877" s="5">
        <v>0.02</v>
      </c>
      <c r="K1877" s="3">
        <v>27</v>
      </c>
      <c r="L1877" s="4">
        <f>tblSales[[#This Row],[Quantity]]*tblSales[[#This Row],[Actual Price]]</f>
        <v>13230</v>
      </c>
    </row>
    <row r="1878" spans="1:12" x14ac:dyDescent="0.35">
      <c r="A1878" s="3" t="s">
        <v>2483</v>
      </c>
      <c r="B1878" s="4" t="s">
        <v>29</v>
      </c>
      <c r="C1878" s="4" t="s">
        <v>30</v>
      </c>
      <c r="D1878" s="4" t="s">
        <v>14</v>
      </c>
      <c r="E1878" s="7">
        <v>42644</v>
      </c>
      <c r="F1878" s="4" t="s">
        <v>62</v>
      </c>
      <c r="G1878" s="4" t="s">
        <v>397</v>
      </c>
      <c r="H1878" s="4">
        <v>1000</v>
      </c>
      <c r="I1878" s="4">
        <v>920</v>
      </c>
      <c r="J1878" s="5">
        <v>0.08</v>
      </c>
      <c r="K1878" s="3">
        <v>26</v>
      </c>
      <c r="L1878" s="4">
        <f>tblSales[[#This Row],[Quantity]]*tblSales[[#This Row],[Actual Price]]</f>
        <v>23920</v>
      </c>
    </row>
    <row r="1879" spans="1:12" x14ac:dyDescent="0.35">
      <c r="A1879" s="3" t="s">
        <v>2484</v>
      </c>
      <c r="B1879" s="4" t="s">
        <v>86</v>
      </c>
      <c r="C1879" s="4" t="s">
        <v>87</v>
      </c>
      <c r="D1879" s="4" t="s">
        <v>14</v>
      </c>
      <c r="E1879" s="7">
        <v>42538</v>
      </c>
      <c r="F1879" s="4" t="s">
        <v>73</v>
      </c>
      <c r="G1879" s="4" t="s">
        <v>167</v>
      </c>
      <c r="H1879" s="4">
        <v>500</v>
      </c>
      <c r="I1879" s="4">
        <v>500</v>
      </c>
      <c r="J1879" s="5">
        <v>0</v>
      </c>
      <c r="K1879" s="3">
        <v>78</v>
      </c>
      <c r="L1879" s="4">
        <f>tblSales[[#This Row],[Quantity]]*tblSales[[#This Row],[Actual Price]]</f>
        <v>39000</v>
      </c>
    </row>
    <row r="1880" spans="1:12" x14ac:dyDescent="0.35">
      <c r="A1880" s="3" t="s">
        <v>2485</v>
      </c>
      <c r="B1880" s="4" t="s">
        <v>401</v>
      </c>
      <c r="C1880" s="4" t="s">
        <v>402</v>
      </c>
      <c r="D1880" s="4" t="s">
        <v>14</v>
      </c>
      <c r="E1880" s="7">
        <v>43045</v>
      </c>
      <c r="F1880" s="4" t="s">
        <v>42</v>
      </c>
      <c r="G1880" s="4" t="s">
        <v>1282</v>
      </c>
      <c r="H1880" s="4">
        <v>30</v>
      </c>
      <c r="I1880" s="4">
        <v>30</v>
      </c>
      <c r="J1880" s="5">
        <v>0</v>
      </c>
      <c r="K1880" s="3">
        <v>77</v>
      </c>
      <c r="L1880" s="4">
        <f>tblSales[[#This Row],[Quantity]]*tblSales[[#This Row],[Actual Price]]</f>
        <v>2310</v>
      </c>
    </row>
    <row r="1881" spans="1:12" x14ac:dyDescent="0.35">
      <c r="A1881" s="3" t="s">
        <v>2486</v>
      </c>
      <c r="B1881" s="4" t="s">
        <v>96</v>
      </c>
      <c r="C1881" s="4" t="s">
        <v>97</v>
      </c>
      <c r="D1881" s="4" t="s">
        <v>14</v>
      </c>
      <c r="E1881" s="7">
        <v>42675</v>
      </c>
      <c r="F1881" s="4" t="s">
        <v>15</v>
      </c>
      <c r="G1881" s="4" t="s">
        <v>2487</v>
      </c>
      <c r="H1881" s="4">
        <v>80</v>
      </c>
      <c r="I1881" s="4">
        <v>77</v>
      </c>
      <c r="J1881" s="5">
        <v>3.7499999999999999E-2</v>
      </c>
      <c r="K1881" s="3">
        <v>29</v>
      </c>
      <c r="L1881" s="4">
        <f>tblSales[[#This Row],[Quantity]]*tblSales[[#This Row],[Actual Price]]</f>
        <v>2233</v>
      </c>
    </row>
    <row r="1882" spans="1:12" x14ac:dyDescent="0.35">
      <c r="A1882" s="3" t="s">
        <v>2488</v>
      </c>
      <c r="B1882" s="4" t="s">
        <v>115</v>
      </c>
      <c r="C1882" s="4" t="s">
        <v>55</v>
      </c>
      <c r="D1882" s="4" t="s">
        <v>14</v>
      </c>
      <c r="E1882" s="7">
        <v>42359</v>
      </c>
      <c r="F1882" s="4" t="s">
        <v>62</v>
      </c>
      <c r="G1882" s="4" t="s">
        <v>368</v>
      </c>
      <c r="H1882" s="4">
        <v>1000</v>
      </c>
      <c r="I1882" s="4">
        <v>920</v>
      </c>
      <c r="J1882" s="5">
        <v>0.08</v>
      </c>
      <c r="K1882" s="3">
        <v>55</v>
      </c>
      <c r="L1882" s="4">
        <f>tblSales[[#This Row],[Quantity]]*tblSales[[#This Row],[Actual Price]]</f>
        <v>50600</v>
      </c>
    </row>
    <row r="1883" spans="1:12" x14ac:dyDescent="0.35">
      <c r="A1883" s="3" t="s">
        <v>2489</v>
      </c>
      <c r="B1883" s="4" t="s">
        <v>242</v>
      </c>
      <c r="C1883" s="4" t="s">
        <v>243</v>
      </c>
      <c r="D1883" s="4" t="s">
        <v>14</v>
      </c>
      <c r="E1883" s="7">
        <v>42549</v>
      </c>
      <c r="F1883" s="4" t="s">
        <v>15</v>
      </c>
      <c r="G1883" s="4" t="s">
        <v>244</v>
      </c>
      <c r="H1883" s="4">
        <v>80</v>
      </c>
      <c r="I1883" s="4">
        <v>76</v>
      </c>
      <c r="J1883" s="5">
        <v>0.05</v>
      </c>
      <c r="K1883" s="3">
        <v>25</v>
      </c>
      <c r="L1883" s="4">
        <f>tblSales[[#This Row],[Quantity]]*tblSales[[#This Row],[Actual Price]]</f>
        <v>1900</v>
      </c>
    </row>
    <row r="1884" spans="1:12" x14ac:dyDescent="0.35">
      <c r="A1884" s="3" t="s">
        <v>2490</v>
      </c>
      <c r="B1884" s="4" t="s">
        <v>92</v>
      </c>
      <c r="C1884" s="4" t="s">
        <v>93</v>
      </c>
      <c r="D1884" s="4" t="s">
        <v>36</v>
      </c>
      <c r="E1884" s="7">
        <v>42713</v>
      </c>
      <c r="F1884" s="4" t="s">
        <v>62</v>
      </c>
      <c r="G1884" s="4" t="s">
        <v>508</v>
      </c>
      <c r="H1884" s="4">
        <v>1000</v>
      </c>
      <c r="I1884" s="4">
        <v>740</v>
      </c>
      <c r="J1884" s="5">
        <v>0.26</v>
      </c>
      <c r="K1884" s="3">
        <v>51</v>
      </c>
      <c r="L1884" s="4">
        <f>tblSales[[#This Row],[Quantity]]*tblSales[[#This Row],[Actual Price]]</f>
        <v>37740</v>
      </c>
    </row>
    <row r="1885" spans="1:12" x14ac:dyDescent="0.35">
      <c r="A1885" s="3" t="s">
        <v>2491</v>
      </c>
      <c r="B1885" s="4" t="s">
        <v>34</v>
      </c>
      <c r="C1885" s="4" t="s">
        <v>35</v>
      </c>
      <c r="D1885" s="4" t="s">
        <v>36</v>
      </c>
      <c r="E1885" s="7">
        <v>42853</v>
      </c>
      <c r="F1885" s="4" t="s">
        <v>15</v>
      </c>
      <c r="G1885" s="4" t="s">
        <v>452</v>
      </c>
      <c r="H1885" s="4">
        <v>80</v>
      </c>
      <c r="I1885" s="4">
        <v>80</v>
      </c>
      <c r="J1885" s="5">
        <v>0</v>
      </c>
      <c r="K1885" s="3">
        <v>25</v>
      </c>
      <c r="L1885" s="4">
        <f>tblSales[[#This Row],[Quantity]]*tblSales[[#This Row],[Actual Price]]</f>
        <v>2000</v>
      </c>
    </row>
    <row r="1886" spans="1:12" x14ac:dyDescent="0.35">
      <c r="A1886" s="3" t="s">
        <v>2492</v>
      </c>
      <c r="B1886" s="4" t="s">
        <v>115</v>
      </c>
      <c r="C1886" s="4" t="s">
        <v>55</v>
      </c>
      <c r="D1886" s="4" t="s">
        <v>14</v>
      </c>
      <c r="E1886" s="7">
        <v>41670</v>
      </c>
      <c r="F1886" s="4" t="s">
        <v>15</v>
      </c>
      <c r="G1886" s="4" t="s">
        <v>886</v>
      </c>
      <c r="H1886" s="4">
        <v>80</v>
      </c>
      <c r="I1886" s="4">
        <v>61</v>
      </c>
      <c r="J1886" s="5">
        <v>0.23749999999999999</v>
      </c>
      <c r="K1886" s="3">
        <v>59</v>
      </c>
      <c r="L1886" s="4">
        <f>tblSales[[#This Row],[Quantity]]*tblSales[[#This Row],[Actual Price]]</f>
        <v>3599</v>
      </c>
    </row>
    <row r="1887" spans="1:12" x14ac:dyDescent="0.35">
      <c r="A1887" s="3" t="s">
        <v>2493</v>
      </c>
      <c r="B1887" s="4" t="s">
        <v>82</v>
      </c>
      <c r="C1887" s="4" t="s">
        <v>83</v>
      </c>
      <c r="D1887" s="4" t="s">
        <v>14</v>
      </c>
      <c r="E1887" s="7">
        <v>42312</v>
      </c>
      <c r="F1887" s="4" t="s">
        <v>62</v>
      </c>
      <c r="G1887" s="4" t="s">
        <v>1233</v>
      </c>
      <c r="H1887" s="4">
        <v>1000</v>
      </c>
      <c r="I1887" s="4">
        <v>610</v>
      </c>
      <c r="J1887" s="5">
        <v>0.39</v>
      </c>
      <c r="K1887" s="3">
        <v>96</v>
      </c>
      <c r="L1887" s="4">
        <f>tblSales[[#This Row],[Quantity]]*tblSales[[#This Row],[Actual Price]]</f>
        <v>58560</v>
      </c>
    </row>
    <row r="1888" spans="1:12" x14ac:dyDescent="0.35">
      <c r="A1888" s="3" t="s">
        <v>2494</v>
      </c>
      <c r="B1888" s="4" t="s">
        <v>104</v>
      </c>
      <c r="C1888" s="4" t="s">
        <v>72</v>
      </c>
      <c r="D1888" s="4" t="s">
        <v>36</v>
      </c>
      <c r="E1888" s="7">
        <v>42437</v>
      </c>
      <c r="F1888" s="4" t="s">
        <v>42</v>
      </c>
      <c r="G1888" s="4" t="s">
        <v>192</v>
      </c>
      <c r="H1888" s="4">
        <v>30</v>
      </c>
      <c r="I1888" s="4">
        <v>30</v>
      </c>
      <c r="J1888" s="5">
        <v>0</v>
      </c>
      <c r="K1888" s="3">
        <v>15</v>
      </c>
      <c r="L1888" s="4">
        <f>tblSales[[#This Row],[Quantity]]*tblSales[[#This Row],[Actual Price]]</f>
        <v>450</v>
      </c>
    </row>
    <row r="1889" spans="1:12" x14ac:dyDescent="0.35">
      <c r="A1889" s="3" t="s">
        <v>2495</v>
      </c>
      <c r="B1889" s="4" t="s">
        <v>158</v>
      </c>
      <c r="C1889" s="4" t="s">
        <v>109</v>
      </c>
      <c r="D1889" s="4" t="s">
        <v>20</v>
      </c>
      <c r="E1889" s="7">
        <v>41948</v>
      </c>
      <c r="F1889" s="4" t="s">
        <v>47</v>
      </c>
      <c r="G1889" s="4" t="s">
        <v>1023</v>
      </c>
      <c r="H1889" s="4">
        <v>500</v>
      </c>
      <c r="I1889" s="4">
        <v>390</v>
      </c>
      <c r="J1889" s="5">
        <v>0.22</v>
      </c>
      <c r="K1889" s="3">
        <v>80</v>
      </c>
      <c r="L1889" s="4">
        <f>tblSales[[#This Row],[Quantity]]*tblSales[[#This Row],[Actual Price]]</f>
        <v>31200</v>
      </c>
    </row>
    <row r="1890" spans="1:12" x14ac:dyDescent="0.35">
      <c r="A1890" s="3" t="s">
        <v>2496</v>
      </c>
      <c r="B1890" s="4" t="s">
        <v>125</v>
      </c>
      <c r="C1890" s="4" t="s">
        <v>41</v>
      </c>
      <c r="D1890" s="4" t="s">
        <v>36</v>
      </c>
      <c r="E1890" s="7">
        <v>42430</v>
      </c>
      <c r="F1890" s="4" t="s">
        <v>15</v>
      </c>
      <c r="G1890" s="4" t="s">
        <v>2497</v>
      </c>
      <c r="H1890" s="4">
        <v>80</v>
      </c>
      <c r="I1890" s="4">
        <v>70</v>
      </c>
      <c r="J1890" s="5">
        <v>0.125</v>
      </c>
      <c r="K1890" s="3">
        <v>72</v>
      </c>
      <c r="L1890" s="4">
        <f>tblSales[[#This Row],[Quantity]]*tblSales[[#This Row],[Actual Price]]</f>
        <v>5040</v>
      </c>
    </row>
    <row r="1891" spans="1:12" x14ac:dyDescent="0.35">
      <c r="A1891" s="3" t="s">
        <v>2498</v>
      </c>
      <c r="B1891" s="4" t="s">
        <v>151</v>
      </c>
      <c r="C1891" s="4" t="s">
        <v>152</v>
      </c>
      <c r="D1891" s="4" t="s">
        <v>14</v>
      </c>
      <c r="E1891" s="7">
        <v>41796</v>
      </c>
      <c r="F1891" s="4" t="s">
        <v>47</v>
      </c>
      <c r="G1891" s="4" t="s">
        <v>307</v>
      </c>
      <c r="H1891" s="4">
        <v>500</v>
      </c>
      <c r="I1891" s="4">
        <v>420</v>
      </c>
      <c r="J1891" s="5">
        <v>0.16</v>
      </c>
      <c r="K1891" s="3">
        <v>48</v>
      </c>
      <c r="L1891" s="4">
        <f>tblSales[[#This Row],[Quantity]]*tblSales[[#This Row],[Actual Price]]</f>
        <v>20160</v>
      </c>
    </row>
    <row r="1892" spans="1:12" x14ac:dyDescent="0.35">
      <c r="A1892" s="3" t="s">
        <v>2499</v>
      </c>
      <c r="B1892" s="4" t="s">
        <v>96</v>
      </c>
      <c r="C1892" s="4" t="s">
        <v>97</v>
      </c>
      <c r="D1892" s="4" t="s">
        <v>14</v>
      </c>
      <c r="E1892" s="7">
        <v>43013</v>
      </c>
      <c r="F1892" s="4" t="s">
        <v>105</v>
      </c>
      <c r="G1892" s="4" t="s">
        <v>1276</v>
      </c>
      <c r="H1892" s="4">
        <v>70</v>
      </c>
      <c r="I1892" s="4">
        <v>63</v>
      </c>
      <c r="J1892" s="5">
        <v>0.1</v>
      </c>
      <c r="K1892" s="3">
        <v>29</v>
      </c>
      <c r="L1892" s="4">
        <f>tblSales[[#This Row],[Quantity]]*tblSales[[#This Row],[Actual Price]]</f>
        <v>1827</v>
      </c>
    </row>
    <row r="1893" spans="1:12" x14ac:dyDescent="0.35">
      <c r="A1893" s="3" t="s">
        <v>2500</v>
      </c>
      <c r="B1893" s="4" t="s">
        <v>222</v>
      </c>
      <c r="C1893" s="4" t="s">
        <v>41</v>
      </c>
      <c r="D1893" s="4" t="s">
        <v>36</v>
      </c>
      <c r="E1893" s="7">
        <v>42180</v>
      </c>
      <c r="F1893" s="4" t="s">
        <v>15</v>
      </c>
      <c r="G1893" s="4" t="s">
        <v>263</v>
      </c>
      <c r="H1893" s="4">
        <v>80</v>
      </c>
      <c r="I1893" s="4">
        <v>62</v>
      </c>
      <c r="J1893" s="5">
        <v>0.22500000000000001</v>
      </c>
      <c r="K1893" s="3">
        <v>79</v>
      </c>
      <c r="L1893" s="4">
        <f>tblSales[[#This Row],[Quantity]]*tblSales[[#This Row],[Actual Price]]</f>
        <v>4898</v>
      </c>
    </row>
    <row r="1894" spans="1:12" x14ac:dyDescent="0.35">
      <c r="A1894" s="3" t="s">
        <v>2501</v>
      </c>
      <c r="B1894" s="4" t="s">
        <v>112</v>
      </c>
      <c r="C1894" s="4" t="s">
        <v>83</v>
      </c>
      <c r="D1894" s="4" t="s">
        <v>14</v>
      </c>
      <c r="E1894" s="7">
        <v>41862</v>
      </c>
      <c r="F1894" s="4" t="s">
        <v>123</v>
      </c>
      <c r="G1894" s="4" t="s">
        <v>827</v>
      </c>
      <c r="H1894" s="4">
        <v>50</v>
      </c>
      <c r="I1894" s="4">
        <v>49</v>
      </c>
      <c r="J1894" s="5">
        <v>0.02</v>
      </c>
      <c r="K1894" s="3">
        <v>57</v>
      </c>
      <c r="L1894" s="4">
        <f>tblSales[[#This Row],[Quantity]]*tblSales[[#This Row],[Actual Price]]</f>
        <v>2793</v>
      </c>
    </row>
    <row r="1895" spans="1:12" x14ac:dyDescent="0.35">
      <c r="A1895" s="3" t="s">
        <v>2502</v>
      </c>
      <c r="B1895" s="4" t="s">
        <v>115</v>
      </c>
      <c r="C1895" s="4" t="s">
        <v>55</v>
      </c>
      <c r="D1895" s="4" t="s">
        <v>14</v>
      </c>
      <c r="E1895" s="7">
        <v>41868</v>
      </c>
      <c r="F1895" s="4" t="s">
        <v>56</v>
      </c>
      <c r="G1895" s="4" t="s">
        <v>169</v>
      </c>
      <c r="H1895" s="4">
        <v>800</v>
      </c>
      <c r="I1895" s="4">
        <v>592</v>
      </c>
      <c r="J1895" s="5">
        <v>0.26</v>
      </c>
      <c r="K1895" s="3">
        <v>85</v>
      </c>
      <c r="L1895" s="4">
        <f>tblSales[[#This Row],[Quantity]]*tblSales[[#This Row],[Actual Price]]</f>
        <v>50320</v>
      </c>
    </row>
    <row r="1896" spans="1:12" x14ac:dyDescent="0.35">
      <c r="A1896" s="3" t="s">
        <v>2503</v>
      </c>
      <c r="B1896" s="4" t="s">
        <v>222</v>
      </c>
      <c r="C1896" s="4" t="s">
        <v>41</v>
      </c>
      <c r="D1896" s="4" t="s">
        <v>36</v>
      </c>
      <c r="E1896" s="7">
        <v>42679</v>
      </c>
      <c r="F1896" s="4" t="s">
        <v>31</v>
      </c>
      <c r="G1896" s="4" t="s">
        <v>1060</v>
      </c>
      <c r="H1896" s="4">
        <v>150</v>
      </c>
      <c r="I1896" s="4">
        <v>149</v>
      </c>
      <c r="J1896" s="5">
        <v>6.7000000000000002E-3</v>
      </c>
      <c r="K1896" s="3">
        <v>100</v>
      </c>
      <c r="L1896" s="4">
        <f>tblSales[[#This Row],[Quantity]]*tblSales[[#This Row],[Actual Price]]</f>
        <v>14900</v>
      </c>
    </row>
    <row r="1897" spans="1:12" x14ac:dyDescent="0.35">
      <c r="A1897" s="3" t="s">
        <v>2504</v>
      </c>
      <c r="B1897" s="4" t="s">
        <v>228</v>
      </c>
      <c r="C1897" s="4" t="s">
        <v>229</v>
      </c>
      <c r="D1897" s="4" t="s">
        <v>25</v>
      </c>
      <c r="E1897" s="7">
        <v>42562</v>
      </c>
      <c r="F1897" s="4" t="s">
        <v>62</v>
      </c>
      <c r="G1897" s="4" t="s">
        <v>985</v>
      </c>
      <c r="H1897" s="4">
        <v>1000</v>
      </c>
      <c r="I1897" s="4">
        <v>900</v>
      </c>
      <c r="J1897" s="5">
        <v>0.1</v>
      </c>
      <c r="K1897" s="3">
        <v>63</v>
      </c>
      <c r="L1897" s="4">
        <f>tblSales[[#This Row],[Quantity]]*tblSales[[#This Row],[Actual Price]]</f>
        <v>56700</v>
      </c>
    </row>
    <row r="1898" spans="1:12" x14ac:dyDescent="0.35">
      <c r="A1898" s="3" t="s">
        <v>2505</v>
      </c>
      <c r="B1898" s="4" t="s">
        <v>18</v>
      </c>
      <c r="C1898" s="4" t="s">
        <v>19</v>
      </c>
      <c r="D1898" s="4" t="s">
        <v>20</v>
      </c>
      <c r="E1898" s="7">
        <v>42139</v>
      </c>
      <c r="F1898" s="4" t="s">
        <v>26</v>
      </c>
      <c r="G1898" s="4" t="s">
        <v>479</v>
      </c>
      <c r="H1898" s="4">
        <v>700</v>
      </c>
      <c r="I1898" s="4">
        <v>651</v>
      </c>
      <c r="J1898" s="5">
        <v>7.0000000000000007E-2</v>
      </c>
      <c r="K1898" s="3">
        <v>99</v>
      </c>
      <c r="L1898" s="4">
        <f>tblSales[[#This Row],[Quantity]]*tblSales[[#This Row],[Actual Price]]</f>
        <v>64449</v>
      </c>
    </row>
    <row r="1899" spans="1:12" x14ac:dyDescent="0.35">
      <c r="A1899" s="3" t="s">
        <v>2506</v>
      </c>
      <c r="B1899" s="4" t="s">
        <v>290</v>
      </c>
      <c r="C1899" s="4" t="s">
        <v>109</v>
      </c>
      <c r="D1899" s="4" t="s">
        <v>20</v>
      </c>
      <c r="E1899" s="7">
        <v>42867</v>
      </c>
      <c r="F1899" s="4" t="s">
        <v>37</v>
      </c>
      <c r="G1899" s="4" t="s">
        <v>347</v>
      </c>
      <c r="H1899" s="4">
        <v>50</v>
      </c>
      <c r="I1899" s="4">
        <v>48</v>
      </c>
      <c r="J1899" s="5">
        <v>0.04</v>
      </c>
      <c r="K1899" s="3">
        <v>90</v>
      </c>
      <c r="L1899" s="4">
        <f>tblSales[[#This Row],[Quantity]]*tblSales[[#This Row],[Actual Price]]</f>
        <v>4320</v>
      </c>
    </row>
    <row r="1900" spans="1:12" x14ac:dyDescent="0.35">
      <c r="A1900" s="3" t="s">
        <v>2507</v>
      </c>
      <c r="B1900" s="4" t="s">
        <v>71</v>
      </c>
      <c r="C1900" s="4" t="s">
        <v>72</v>
      </c>
      <c r="D1900" s="4" t="s">
        <v>36</v>
      </c>
      <c r="E1900" s="7">
        <v>42873</v>
      </c>
      <c r="F1900" s="4" t="s">
        <v>56</v>
      </c>
      <c r="G1900" s="4" t="s">
        <v>418</v>
      </c>
      <c r="H1900" s="4">
        <v>800</v>
      </c>
      <c r="I1900" s="4">
        <v>592</v>
      </c>
      <c r="J1900" s="5">
        <v>0.26</v>
      </c>
      <c r="K1900" s="3">
        <v>27</v>
      </c>
      <c r="L1900" s="4">
        <f>tblSales[[#This Row],[Quantity]]*tblSales[[#This Row],[Actual Price]]</f>
        <v>15984</v>
      </c>
    </row>
    <row r="1901" spans="1:12" x14ac:dyDescent="0.35">
      <c r="A1901" s="3" t="s">
        <v>2508</v>
      </c>
      <c r="B1901" s="4" t="s">
        <v>132</v>
      </c>
      <c r="C1901" s="4" t="s">
        <v>109</v>
      </c>
      <c r="D1901" s="4" t="s">
        <v>20</v>
      </c>
      <c r="E1901" s="7">
        <v>43150</v>
      </c>
      <c r="F1901" s="4" t="s">
        <v>31</v>
      </c>
      <c r="G1901" s="4" t="s">
        <v>537</v>
      </c>
      <c r="H1901" s="4">
        <v>150</v>
      </c>
      <c r="I1901" s="4">
        <v>137</v>
      </c>
      <c r="J1901" s="5">
        <v>8.6699999999999999E-2</v>
      </c>
      <c r="K1901" s="3">
        <v>99</v>
      </c>
      <c r="L1901" s="4">
        <f>tblSales[[#This Row],[Quantity]]*tblSales[[#This Row],[Actual Price]]</f>
        <v>13563</v>
      </c>
    </row>
    <row r="1902" spans="1:12" x14ac:dyDescent="0.35">
      <c r="A1902" s="3" t="s">
        <v>2509</v>
      </c>
      <c r="B1902" s="4" t="s">
        <v>147</v>
      </c>
      <c r="C1902" s="4" t="s">
        <v>148</v>
      </c>
      <c r="D1902" s="4" t="s">
        <v>14</v>
      </c>
      <c r="E1902" s="7">
        <v>42760</v>
      </c>
      <c r="F1902" s="4" t="s">
        <v>47</v>
      </c>
      <c r="G1902" s="4" t="s">
        <v>1648</v>
      </c>
      <c r="H1902" s="4">
        <v>500</v>
      </c>
      <c r="I1902" s="4">
        <v>475</v>
      </c>
      <c r="J1902" s="5">
        <v>0.05</v>
      </c>
      <c r="K1902" s="3">
        <v>65</v>
      </c>
      <c r="L1902" s="4">
        <f>tblSales[[#This Row],[Quantity]]*tblSales[[#This Row],[Actual Price]]</f>
        <v>30875</v>
      </c>
    </row>
    <row r="1903" spans="1:12" x14ac:dyDescent="0.35">
      <c r="A1903" s="3" t="s">
        <v>2510</v>
      </c>
      <c r="B1903" s="4" t="s">
        <v>96</v>
      </c>
      <c r="C1903" s="4" t="s">
        <v>97</v>
      </c>
      <c r="D1903" s="4" t="s">
        <v>14</v>
      </c>
      <c r="E1903" s="7">
        <v>42362</v>
      </c>
      <c r="F1903" s="4" t="s">
        <v>31</v>
      </c>
      <c r="G1903" s="4" t="s">
        <v>2139</v>
      </c>
      <c r="H1903" s="4">
        <v>150</v>
      </c>
      <c r="I1903" s="4">
        <v>105</v>
      </c>
      <c r="J1903" s="5">
        <v>0.3</v>
      </c>
      <c r="K1903" s="3">
        <v>77</v>
      </c>
      <c r="L1903" s="4">
        <f>tblSales[[#This Row],[Quantity]]*tblSales[[#This Row],[Actual Price]]</f>
        <v>8085</v>
      </c>
    </row>
    <row r="1904" spans="1:12" x14ac:dyDescent="0.35">
      <c r="A1904" s="3" t="s">
        <v>2511</v>
      </c>
      <c r="B1904" s="4" t="s">
        <v>242</v>
      </c>
      <c r="C1904" s="4" t="s">
        <v>243</v>
      </c>
      <c r="D1904" s="4" t="s">
        <v>14</v>
      </c>
      <c r="E1904" s="7">
        <v>42630</v>
      </c>
      <c r="F1904" s="4" t="s">
        <v>26</v>
      </c>
      <c r="G1904" s="4" t="s">
        <v>244</v>
      </c>
      <c r="H1904" s="4">
        <v>700</v>
      </c>
      <c r="I1904" s="4">
        <v>602</v>
      </c>
      <c r="J1904" s="5">
        <v>0.14000000000000001</v>
      </c>
      <c r="K1904" s="3">
        <v>86</v>
      </c>
      <c r="L1904" s="4">
        <f>tblSales[[#This Row],[Quantity]]*tblSales[[#This Row],[Actual Price]]</f>
        <v>51772</v>
      </c>
    </row>
    <row r="1905" spans="1:12" x14ac:dyDescent="0.35">
      <c r="A1905" s="3" t="s">
        <v>2512</v>
      </c>
      <c r="B1905" s="4" t="s">
        <v>92</v>
      </c>
      <c r="C1905" s="4" t="s">
        <v>93</v>
      </c>
      <c r="D1905" s="4" t="s">
        <v>36</v>
      </c>
      <c r="E1905" s="7">
        <v>42267</v>
      </c>
      <c r="F1905" s="4" t="s">
        <v>56</v>
      </c>
      <c r="G1905" s="4" t="s">
        <v>2352</v>
      </c>
      <c r="H1905" s="4">
        <v>800</v>
      </c>
      <c r="I1905" s="4">
        <v>672</v>
      </c>
      <c r="J1905" s="5">
        <v>0.16</v>
      </c>
      <c r="K1905" s="3">
        <v>59</v>
      </c>
      <c r="L1905" s="4">
        <f>tblSales[[#This Row],[Quantity]]*tblSales[[#This Row],[Actual Price]]</f>
        <v>39648</v>
      </c>
    </row>
    <row r="1906" spans="1:12" x14ac:dyDescent="0.35">
      <c r="A1906" s="3" t="s">
        <v>2513</v>
      </c>
      <c r="B1906" s="4" t="s">
        <v>225</v>
      </c>
      <c r="C1906" s="4" t="s">
        <v>51</v>
      </c>
      <c r="D1906" s="4" t="s">
        <v>25</v>
      </c>
      <c r="E1906" s="7">
        <v>43384</v>
      </c>
      <c r="F1906" s="4" t="s">
        <v>42</v>
      </c>
      <c r="G1906" s="4" t="s">
        <v>1943</v>
      </c>
      <c r="H1906" s="4">
        <v>30</v>
      </c>
      <c r="I1906" s="4">
        <v>28</v>
      </c>
      <c r="J1906" s="5">
        <v>6.6699999999999995E-2</v>
      </c>
      <c r="K1906" s="3">
        <v>37</v>
      </c>
      <c r="L1906" s="4">
        <f>tblSales[[#This Row],[Quantity]]*tblSales[[#This Row],[Actual Price]]</f>
        <v>1036</v>
      </c>
    </row>
    <row r="1907" spans="1:12" x14ac:dyDescent="0.35">
      <c r="A1907" s="3" t="s">
        <v>2514</v>
      </c>
      <c r="B1907" s="4" t="s">
        <v>45</v>
      </c>
      <c r="C1907" s="4" t="s">
        <v>46</v>
      </c>
      <c r="D1907" s="4" t="s">
        <v>25</v>
      </c>
      <c r="E1907" s="7">
        <v>42202</v>
      </c>
      <c r="F1907" s="4" t="s">
        <v>26</v>
      </c>
      <c r="G1907" s="4" t="s">
        <v>1178</v>
      </c>
      <c r="H1907" s="4">
        <v>700</v>
      </c>
      <c r="I1907" s="4">
        <v>420</v>
      </c>
      <c r="J1907" s="5">
        <v>0.4</v>
      </c>
      <c r="K1907" s="3">
        <v>31</v>
      </c>
      <c r="L1907" s="4">
        <f>tblSales[[#This Row],[Quantity]]*tblSales[[#This Row],[Actual Price]]</f>
        <v>13020</v>
      </c>
    </row>
    <row r="1908" spans="1:12" x14ac:dyDescent="0.35">
      <c r="A1908" s="3" t="s">
        <v>2515</v>
      </c>
      <c r="B1908" s="4" t="s">
        <v>290</v>
      </c>
      <c r="C1908" s="4" t="s">
        <v>109</v>
      </c>
      <c r="D1908" s="4" t="s">
        <v>20</v>
      </c>
      <c r="E1908" s="7">
        <v>43296</v>
      </c>
      <c r="F1908" s="4" t="s">
        <v>42</v>
      </c>
      <c r="G1908" s="4" t="s">
        <v>1130</v>
      </c>
      <c r="H1908" s="4">
        <v>30</v>
      </c>
      <c r="I1908" s="4">
        <v>29</v>
      </c>
      <c r="J1908" s="5">
        <v>3.3300000000000003E-2</v>
      </c>
      <c r="K1908" s="3">
        <v>52</v>
      </c>
      <c r="L1908" s="4">
        <f>tblSales[[#This Row],[Quantity]]*tblSales[[#This Row],[Actual Price]]</f>
        <v>1508</v>
      </c>
    </row>
    <row r="1909" spans="1:12" x14ac:dyDescent="0.35">
      <c r="A1909" s="3" t="s">
        <v>2516</v>
      </c>
      <c r="B1909" s="4" t="s">
        <v>256</v>
      </c>
      <c r="C1909" s="4" t="s">
        <v>257</v>
      </c>
      <c r="D1909" s="4" t="s">
        <v>14</v>
      </c>
      <c r="E1909" s="7">
        <v>42318</v>
      </c>
      <c r="F1909" s="4" t="s">
        <v>26</v>
      </c>
      <c r="G1909" s="4" t="s">
        <v>523</v>
      </c>
      <c r="H1909" s="4">
        <v>700</v>
      </c>
      <c r="I1909" s="4">
        <v>616</v>
      </c>
      <c r="J1909" s="5">
        <v>0.12</v>
      </c>
      <c r="K1909" s="3">
        <v>36</v>
      </c>
      <c r="L1909" s="4">
        <f>tblSales[[#This Row],[Quantity]]*tblSales[[#This Row],[Actual Price]]</f>
        <v>22176</v>
      </c>
    </row>
    <row r="1910" spans="1:12" x14ac:dyDescent="0.35">
      <c r="A1910" s="3" t="s">
        <v>2517</v>
      </c>
      <c r="B1910" s="4" t="s">
        <v>435</v>
      </c>
      <c r="C1910" s="4" t="s">
        <v>436</v>
      </c>
      <c r="D1910" s="4" t="s">
        <v>25</v>
      </c>
      <c r="E1910" s="7">
        <v>43121</v>
      </c>
      <c r="F1910" s="4" t="s">
        <v>26</v>
      </c>
      <c r="G1910" s="4" t="s">
        <v>551</v>
      </c>
      <c r="H1910" s="4">
        <v>700</v>
      </c>
      <c r="I1910" s="4">
        <v>602</v>
      </c>
      <c r="J1910" s="5">
        <v>0.14000000000000001</v>
      </c>
      <c r="K1910" s="3">
        <v>11</v>
      </c>
      <c r="L1910" s="4">
        <f>tblSales[[#This Row],[Quantity]]*tblSales[[#This Row],[Actual Price]]</f>
        <v>6622</v>
      </c>
    </row>
    <row r="1911" spans="1:12" x14ac:dyDescent="0.35">
      <c r="A1911" s="3" t="s">
        <v>2518</v>
      </c>
      <c r="B1911" s="4" t="s">
        <v>112</v>
      </c>
      <c r="C1911" s="4" t="s">
        <v>83</v>
      </c>
      <c r="D1911" s="4" t="s">
        <v>14</v>
      </c>
      <c r="E1911" s="7">
        <v>42126</v>
      </c>
      <c r="F1911" s="4" t="s">
        <v>56</v>
      </c>
      <c r="G1911" s="4" t="s">
        <v>611</v>
      </c>
      <c r="H1911" s="4">
        <v>800</v>
      </c>
      <c r="I1911" s="4">
        <v>704</v>
      </c>
      <c r="J1911" s="5">
        <v>0.12</v>
      </c>
      <c r="K1911" s="3">
        <v>74</v>
      </c>
      <c r="L1911" s="4">
        <f>tblSales[[#This Row],[Quantity]]*tblSales[[#This Row],[Actual Price]]</f>
        <v>52096</v>
      </c>
    </row>
    <row r="1912" spans="1:12" x14ac:dyDescent="0.35">
      <c r="A1912" s="3" t="s">
        <v>2519</v>
      </c>
      <c r="B1912" s="4" t="s">
        <v>228</v>
      </c>
      <c r="C1912" s="4" t="s">
        <v>229</v>
      </c>
      <c r="D1912" s="4" t="s">
        <v>25</v>
      </c>
      <c r="E1912" s="7">
        <v>42556</v>
      </c>
      <c r="F1912" s="4" t="s">
        <v>73</v>
      </c>
      <c r="G1912" s="4" t="s">
        <v>837</v>
      </c>
      <c r="H1912" s="4">
        <v>500</v>
      </c>
      <c r="I1912" s="4">
        <v>500</v>
      </c>
      <c r="J1912" s="5">
        <v>0</v>
      </c>
      <c r="K1912" s="3">
        <v>96</v>
      </c>
      <c r="L1912" s="4">
        <f>tblSales[[#This Row],[Quantity]]*tblSales[[#This Row],[Actual Price]]</f>
        <v>48000</v>
      </c>
    </row>
    <row r="1913" spans="1:12" x14ac:dyDescent="0.35">
      <c r="A1913" s="3" t="s">
        <v>2520</v>
      </c>
      <c r="B1913" s="4" t="s">
        <v>206</v>
      </c>
      <c r="C1913" s="4" t="s">
        <v>207</v>
      </c>
      <c r="D1913" s="4" t="s">
        <v>25</v>
      </c>
      <c r="E1913" s="7">
        <v>43052</v>
      </c>
      <c r="F1913" s="4" t="s">
        <v>31</v>
      </c>
      <c r="G1913" s="4" t="s">
        <v>1479</v>
      </c>
      <c r="H1913" s="4">
        <v>150</v>
      </c>
      <c r="I1913" s="4">
        <v>147</v>
      </c>
      <c r="J1913" s="5">
        <v>0.02</v>
      </c>
      <c r="K1913" s="3">
        <v>100</v>
      </c>
      <c r="L1913" s="4">
        <f>tblSales[[#This Row],[Quantity]]*tblSales[[#This Row],[Actual Price]]</f>
        <v>14700</v>
      </c>
    </row>
    <row r="1914" spans="1:12" x14ac:dyDescent="0.35">
      <c r="A1914" s="3" t="s">
        <v>2521</v>
      </c>
      <c r="B1914" s="4" t="s">
        <v>18</v>
      </c>
      <c r="C1914" s="4" t="s">
        <v>19</v>
      </c>
      <c r="D1914" s="4" t="s">
        <v>20</v>
      </c>
      <c r="E1914" s="7">
        <v>43245</v>
      </c>
      <c r="F1914" s="4" t="s">
        <v>42</v>
      </c>
      <c r="G1914" s="4" t="s">
        <v>494</v>
      </c>
      <c r="H1914" s="4">
        <v>30</v>
      </c>
      <c r="I1914" s="4">
        <v>29</v>
      </c>
      <c r="J1914" s="5">
        <v>3.3300000000000003E-2</v>
      </c>
      <c r="K1914" s="3">
        <v>86</v>
      </c>
      <c r="L1914" s="4">
        <f>tblSales[[#This Row],[Quantity]]*tblSales[[#This Row],[Actual Price]]</f>
        <v>2494</v>
      </c>
    </row>
    <row r="1915" spans="1:12" x14ac:dyDescent="0.35">
      <c r="A1915" s="3" t="s">
        <v>2522</v>
      </c>
      <c r="B1915" s="4" t="s">
        <v>222</v>
      </c>
      <c r="C1915" s="4" t="s">
        <v>41</v>
      </c>
      <c r="D1915" s="4" t="s">
        <v>36</v>
      </c>
      <c r="E1915" s="7">
        <v>41837</v>
      </c>
      <c r="F1915" s="4" t="s">
        <v>47</v>
      </c>
      <c r="G1915" s="4" t="s">
        <v>263</v>
      </c>
      <c r="H1915" s="4">
        <v>500</v>
      </c>
      <c r="I1915" s="4">
        <v>455</v>
      </c>
      <c r="J1915" s="5">
        <v>0.09</v>
      </c>
      <c r="K1915" s="3">
        <v>76</v>
      </c>
      <c r="L1915" s="4">
        <f>tblSales[[#This Row],[Quantity]]*tblSales[[#This Row],[Actual Price]]</f>
        <v>34580</v>
      </c>
    </row>
    <row r="1916" spans="1:12" x14ac:dyDescent="0.35">
      <c r="A1916" s="3" t="s">
        <v>2523</v>
      </c>
      <c r="B1916" s="4" t="s">
        <v>271</v>
      </c>
      <c r="C1916" s="4" t="s">
        <v>272</v>
      </c>
      <c r="D1916" s="4" t="s">
        <v>36</v>
      </c>
      <c r="E1916" s="7">
        <v>42308</v>
      </c>
      <c r="F1916" s="4" t="s">
        <v>116</v>
      </c>
      <c r="G1916" s="4" t="s">
        <v>273</v>
      </c>
      <c r="H1916" s="4">
        <v>250</v>
      </c>
      <c r="I1916" s="4">
        <v>250</v>
      </c>
      <c r="J1916" s="5">
        <v>0</v>
      </c>
      <c r="K1916" s="3">
        <v>95</v>
      </c>
      <c r="L1916" s="4">
        <f>tblSales[[#This Row],[Quantity]]*tblSales[[#This Row],[Actual Price]]</f>
        <v>23750</v>
      </c>
    </row>
    <row r="1917" spans="1:12" x14ac:dyDescent="0.35">
      <c r="A1917" s="3" t="s">
        <v>2524</v>
      </c>
      <c r="B1917" s="4" t="s">
        <v>12</v>
      </c>
      <c r="C1917" s="4" t="s">
        <v>13</v>
      </c>
      <c r="D1917" s="4" t="s">
        <v>14</v>
      </c>
      <c r="E1917" s="7">
        <v>42787</v>
      </c>
      <c r="F1917" s="4" t="s">
        <v>56</v>
      </c>
      <c r="G1917" s="4" t="s">
        <v>194</v>
      </c>
      <c r="H1917" s="4">
        <v>800</v>
      </c>
      <c r="I1917" s="4">
        <v>688</v>
      </c>
      <c r="J1917" s="5">
        <v>0.14000000000000001</v>
      </c>
      <c r="K1917" s="3">
        <v>81</v>
      </c>
      <c r="L1917" s="4">
        <f>tblSales[[#This Row],[Quantity]]*tblSales[[#This Row],[Actual Price]]</f>
        <v>55728</v>
      </c>
    </row>
    <row r="1918" spans="1:12" x14ac:dyDescent="0.35">
      <c r="A1918" s="3" t="s">
        <v>2525</v>
      </c>
      <c r="B1918" s="4" t="s">
        <v>23</v>
      </c>
      <c r="C1918" s="4" t="s">
        <v>24</v>
      </c>
      <c r="D1918" s="4" t="s">
        <v>25</v>
      </c>
      <c r="E1918" s="7">
        <v>42381</v>
      </c>
      <c r="F1918" s="4" t="s">
        <v>37</v>
      </c>
      <c r="G1918" s="4" t="s">
        <v>311</v>
      </c>
      <c r="H1918" s="4">
        <v>50</v>
      </c>
      <c r="I1918" s="4">
        <v>44</v>
      </c>
      <c r="J1918" s="5">
        <v>0.12</v>
      </c>
      <c r="K1918" s="3">
        <v>9</v>
      </c>
      <c r="L1918" s="4">
        <f>tblSales[[#This Row],[Quantity]]*tblSales[[#This Row],[Actual Price]]</f>
        <v>396</v>
      </c>
    </row>
    <row r="1919" spans="1:12" x14ac:dyDescent="0.35">
      <c r="A1919" s="3" t="s">
        <v>2526</v>
      </c>
      <c r="B1919" s="4" t="s">
        <v>125</v>
      </c>
      <c r="C1919" s="4" t="s">
        <v>41</v>
      </c>
      <c r="D1919" s="4" t="s">
        <v>36</v>
      </c>
      <c r="E1919" s="7">
        <v>42983</v>
      </c>
      <c r="F1919" s="4" t="s">
        <v>73</v>
      </c>
      <c r="G1919" s="4" t="s">
        <v>864</v>
      </c>
      <c r="H1919" s="4">
        <v>500</v>
      </c>
      <c r="I1919" s="4">
        <v>495</v>
      </c>
      <c r="J1919" s="5">
        <v>0.01</v>
      </c>
      <c r="K1919" s="3">
        <v>26</v>
      </c>
      <c r="L1919" s="4">
        <f>tblSales[[#This Row],[Quantity]]*tblSales[[#This Row],[Actual Price]]</f>
        <v>12870</v>
      </c>
    </row>
    <row r="1920" spans="1:12" x14ac:dyDescent="0.35">
      <c r="A1920" s="3" t="s">
        <v>2527</v>
      </c>
      <c r="B1920" s="4" t="s">
        <v>115</v>
      </c>
      <c r="C1920" s="4" t="s">
        <v>55</v>
      </c>
      <c r="D1920" s="4" t="s">
        <v>14</v>
      </c>
      <c r="E1920" s="7">
        <v>42953</v>
      </c>
      <c r="F1920" s="4" t="s">
        <v>42</v>
      </c>
      <c r="G1920" s="4" t="s">
        <v>477</v>
      </c>
      <c r="H1920" s="4">
        <v>30</v>
      </c>
      <c r="I1920" s="4">
        <v>30</v>
      </c>
      <c r="J1920" s="5">
        <v>0</v>
      </c>
      <c r="K1920" s="3">
        <v>72</v>
      </c>
      <c r="L1920" s="4">
        <f>tblSales[[#This Row],[Quantity]]*tblSales[[#This Row],[Actual Price]]</f>
        <v>2160</v>
      </c>
    </row>
    <row r="1921" spans="1:12" x14ac:dyDescent="0.35">
      <c r="A1921" s="3" t="s">
        <v>2528</v>
      </c>
      <c r="B1921" s="4" t="s">
        <v>119</v>
      </c>
      <c r="C1921" s="4" t="s">
        <v>120</v>
      </c>
      <c r="D1921" s="4" t="s">
        <v>36</v>
      </c>
      <c r="E1921" s="7">
        <v>41984</v>
      </c>
      <c r="F1921" s="4" t="s">
        <v>62</v>
      </c>
      <c r="G1921" s="4" t="s">
        <v>848</v>
      </c>
      <c r="H1921" s="4">
        <v>1000</v>
      </c>
      <c r="I1921" s="4">
        <v>670</v>
      </c>
      <c r="J1921" s="5">
        <v>0.33</v>
      </c>
      <c r="K1921" s="3">
        <v>23</v>
      </c>
      <c r="L1921" s="4">
        <f>tblSales[[#This Row],[Quantity]]*tblSales[[#This Row],[Actual Price]]</f>
        <v>15410</v>
      </c>
    </row>
    <row r="1922" spans="1:12" x14ac:dyDescent="0.35">
      <c r="A1922" s="3" t="s">
        <v>2529</v>
      </c>
      <c r="B1922" s="4" t="s">
        <v>45</v>
      </c>
      <c r="C1922" s="4" t="s">
        <v>46</v>
      </c>
      <c r="D1922" s="4" t="s">
        <v>25</v>
      </c>
      <c r="E1922" s="7">
        <v>42902</v>
      </c>
      <c r="F1922" s="4" t="s">
        <v>56</v>
      </c>
      <c r="G1922" s="4" t="s">
        <v>254</v>
      </c>
      <c r="H1922" s="4">
        <v>800</v>
      </c>
      <c r="I1922" s="4">
        <v>664</v>
      </c>
      <c r="J1922" s="5">
        <v>0.17</v>
      </c>
      <c r="K1922" s="3">
        <v>84</v>
      </c>
      <c r="L1922" s="4">
        <f>tblSales[[#This Row],[Quantity]]*tblSales[[#This Row],[Actual Price]]</f>
        <v>55776</v>
      </c>
    </row>
    <row r="1923" spans="1:12" x14ac:dyDescent="0.35">
      <c r="A1923" s="3" t="s">
        <v>2530</v>
      </c>
      <c r="B1923" s="4" t="s">
        <v>40</v>
      </c>
      <c r="C1923" s="4" t="s">
        <v>41</v>
      </c>
      <c r="D1923" s="4" t="s">
        <v>36</v>
      </c>
      <c r="E1923" s="7">
        <v>41825</v>
      </c>
      <c r="F1923" s="4" t="s">
        <v>123</v>
      </c>
      <c r="G1923" s="4" t="s">
        <v>1632</v>
      </c>
      <c r="H1923" s="4">
        <v>50</v>
      </c>
      <c r="I1923" s="4">
        <v>40</v>
      </c>
      <c r="J1923" s="5">
        <v>0.2</v>
      </c>
      <c r="K1923" s="3">
        <v>37</v>
      </c>
      <c r="L1923" s="4">
        <f>tblSales[[#This Row],[Quantity]]*tblSales[[#This Row],[Actual Price]]</f>
        <v>1480</v>
      </c>
    </row>
    <row r="1924" spans="1:12" x14ac:dyDescent="0.35">
      <c r="A1924" s="3" t="s">
        <v>2531</v>
      </c>
      <c r="B1924" s="4" t="s">
        <v>54</v>
      </c>
      <c r="C1924" s="4" t="s">
        <v>55</v>
      </c>
      <c r="D1924" s="4" t="s">
        <v>14</v>
      </c>
      <c r="E1924" s="7">
        <v>42987</v>
      </c>
      <c r="F1924" s="4" t="s">
        <v>62</v>
      </c>
      <c r="G1924" s="4" t="s">
        <v>57</v>
      </c>
      <c r="H1924" s="4">
        <v>1000</v>
      </c>
      <c r="I1924" s="4">
        <v>890</v>
      </c>
      <c r="J1924" s="5">
        <v>0.11</v>
      </c>
      <c r="K1924" s="3">
        <v>83</v>
      </c>
      <c r="L1924" s="4">
        <f>tblSales[[#This Row],[Quantity]]*tblSales[[#This Row],[Actual Price]]</f>
        <v>73870</v>
      </c>
    </row>
    <row r="1925" spans="1:12" x14ac:dyDescent="0.35">
      <c r="A1925" s="3" t="s">
        <v>2532</v>
      </c>
      <c r="B1925" s="4" t="s">
        <v>96</v>
      </c>
      <c r="C1925" s="4" t="s">
        <v>97</v>
      </c>
      <c r="D1925" s="4" t="s">
        <v>14</v>
      </c>
      <c r="E1925" s="7">
        <v>42321</v>
      </c>
      <c r="F1925" s="4" t="s">
        <v>42</v>
      </c>
      <c r="G1925" s="4" t="s">
        <v>217</v>
      </c>
      <c r="H1925" s="4">
        <v>30</v>
      </c>
      <c r="I1925" s="4">
        <v>20</v>
      </c>
      <c r="J1925" s="5">
        <v>0.33329999999999999</v>
      </c>
      <c r="K1925" s="3">
        <v>13</v>
      </c>
      <c r="L1925" s="4">
        <f>tblSales[[#This Row],[Quantity]]*tblSales[[#This Row],[Actual Price]]</f>
        <v>260</v>
      </c>
    </row>
    <row r="1926" spans="1:12" x14ac:dyDescent="0.35">
      <c r="A1926" s="3" t="s">
        <v>2533</v>
      </c>
      <c r="B1926" s="4" t="s">
        <v>225</v>
      </c>
      <c r="C1926" s="4" t="s">
        <v>51</v>
      </c>
      <c r="D1926" s="4" t="s">
        <v>25</v>
      </c>
      <c r="E1926" s="7">
        <v>42383</v>
      </c>
      <c r="F1926" s="4" t="s">
        <v>116</v>
      </c>
      <c r="G1926" s="4" t="s">
        <v>414</v>
      </c>
      <c r="H1926" s="4">
        <v>250</v>
      </c>
      <c r="I1926" s="4">
        <v>245</v>
      </c>
      <c r="J1926" s="5">
        <v>0.02</v>
      </c>
      <c r="K1926" s="3">
        <v>22</v>
      </c>
      <c r="L1926" s="4">
        <f>tblSales[[#This Row],[Quantity]]*tblSales[[#This Row],[Actual Price]]</f>
        <v>5390</v>
      </c>
    </row>
    <row r="1927" spans="1:12" x14ac:dyDescent="0.35">
      <c r="A1927" s="3" t="s">
        <v>2534</v>
      </c>
      <c r="B1927" s="4" t="s">
        <v>188</v>
      </c>
      <c r="C1927" s="4" t="s">
        <v>189</v>
      </c>
      <c r="D1927" s="4" t="s">
        <v>14</v>
      </c>
      <c r="E1927" s="7">
        <v>41987</v>
      </c>
      <c r="F1927" s="4" t="s">
        <v>37</v>
      </c>
      <c r="G1927" s="4" t="s">
        <v>238</v>
      </c>
      <c r="H1927" s="4">
        <v>50</v>
      </c>
      <c r="I1927" s="4">
        <v>47</v>
      </c>
      <c r="J1927" s="5">
        <v>0.06</v>
      </c>
      <c r="K1927" s="3">
        <v>90</v>
      </c>
      <c r="L1927" s="4">
        <f>tblSales[[#This Row],[Quantity]]*tblSales[[#This Row],[Actual Price]]</f>
        <v>4230</v>
      </c>
    </row>
    <row r="1928" spans="1:12" x14ac:dyDescent="0.35">
      <c r="A1928" s="3" t="s">
        <v>2535</v>
      </c>
      <c r="B1928" s="4" t="s">
        <v>225</v>
      </c>
      <c r="C1928" s="4" t="s">
        <v>51</v>
      </c>
      <c r="D1928" s="4" t="s">
        <v>25</v>
      </c>
      <c r="E1928" s="7">
        <v>42414</v>
      </c>
      <c r="F1928" s="4" t="s">
        <v>15</v>
      </c>
      <c r="G1928" s="4" t="s">
        <v>632</v>
      </c>
      <c r="H1928" s="4">
        <v>80</v>
      </c>
      <c r="I1928" s="4">
        <v>73</v>
      </c>
      <c r="J1928" s="5">
        <v>8.7499999999999994E-2</v>
      </c>
      <c r="K1928" s="3">
        <v>90</v>
      </c>
      <c r="L1928" s="4">
        <f>tblSales[[#This Row],[Quantity]]*tblSales[[#This Row],[Actual Price]]</f>
        <v>6570</v>
      </c>
    </row>
    <row r="1929" spans="1:12" x14ac:dyDescent="0.35">
      <c r="A1929" s="3" t="s">
        <v>2536</v>
      </c>
      <c r="B1929" s="4" t="s">
        <v>100</v>
      </c>
      <c r="C1929" s="4" t="s">
        <v>101</v>
      </c>
      <c r="D1929" s="4" t="s">
        <v>14</v>
      </c>
      <c r="E1929" s="7">
        <v>41863</v>
      </c>
      <c r="F1929" s="4" t="s">
        <v>73</v>
      </c>
      <c r="G1929" s="4" t="s">
        <v>753</v>
      </c>
      <c r="H1929" s="4">
        <v>500</v>
      </c>
      <c r="I1929" s="4">
        <v>490</v>
      </c>
      <c r="J1929" s="5">
        <v>0.02</v>
      </c>
      <c r="K1929" s="3">
        <v>69</v>
      </c>
      <c r="L1929" s="4">
        <f>tblSales[[#This Row],[Quantity]]*tblSales[[#This Row],[Actual Price]]</f>
        <v>33810</v>
      </c>
    </row>
    <row r="1930" spans="1:12" x14ac:dyDescent="0.35">
      <c r="A1930" s="3" t="s">
        <v>2537</v>
      </c>
      <c r="B1930" s="4" t="s">
        <v>188</v>
      </c>
      <c r="C1930" s="4" t="s">
        <v>189</v>
      </c>
      <c r="D1930" s="4" t="s">
        <v>14</v>
      </c>
      <c r="E1930" s="7">
        <v>43297</v>
      </c>
      <c r="F1930" s="4" t="s">
        <v>56</v>
      </c>
      <c r="G1930" s="4" t="s">
        <v>416</v>
      </c>
      <c r="H1930" s="4">
        <v>800</v>
      </c>
      <c r="I1930" s="4">
        <v>712</v>
      </c>
      <c r="J1930" s="5">
        <v>0.11</v>
      </c>
      <c r="K1930" s="3">
        <v>2</v>
      </c>
      <c r="L1930" s="4">
        <f>tblSales[[#This Row],[Quantity]]*tblSales[[#This Row],[Actual Price]]</f>
        <v>1424</v>
      </c>
    </row>
    <row r="1931" spans="1:12" x14ac:dyDescent="0.35">
      <c r="A1931" s="3" t="s">
        <v>2538</v>
      </c>
      <c r="B1931" s="4" t="s">
        <v>50</v>
      </c>
      <c r="C1931" s="4" t="s">
        <v>51</v>
      </c>
      <c r="D1931" s="4" t="s">
        <v>25</v>
      </c>
      <c r="E1931" s="7">
        <v>41901</v>
      </c>
      <c r="F1931" s="4" t="s">
        <v>62</v>
      </c>
      <c r="G1931" s="4" t="s">
        <v>700</v>
      </c>
      <c r="H1931" s="4">
        <v>1000</v>
      </c>
      <c r="I1931" s="4">
        <v>920</v>
      </c>
      <c r="J1931" s="5">
        <v>0.08</v>
      </c>
      <c r="K1931" s="3">
        <v>7</v>
      </c>
      <c r="L1931" s="4">
        <f>tblSales[[#This Row],[Quantity]]*tblSales[[#This Row],[Actual Price]]</f>
        <v>6440</v>
      </c>
    </row>
    <row r="1932" spans="1:12" x14ac:dyDescent="0.35">
      <c r="A1932" s="3" t="s">
        <v>2539</v>
      </c>
      <c r="B1932" s="4" t="s">
        <v>206</v>
      </c>
      <c r="C1932" s="4" t="s">
        <v>207</v>
      </c>
      <c r="D1932" s="4" t="s">
        <v>25</v>
      </c>
      <c r="E1932" s="7">
        <v>42196</v>
      </c>
      <c r="F1932" s="4" t="s">
        <v>73</v>
      </c>
      <c r="G1932" s="4" t="s">
        <v>760</v>
      </c>
      <c r="H1932" s="4">
        <v>500</v>
      </c>
      <c r="I1932" s="4">
        <v>495</v>
      </c>
      <c r="J1932" s="5">
        <v>0.01</v>
      </c>
      <c r="K1932" s="3">
        <v>95</v>
      </c>
      <c r="L1932" s="4">
        <f>tblSales[[#This Row],[Quantity]]*tblSales[[#This Row],[Actual Price]]</f>
        <v>47025</v>
      </c>
    </row>
    <row r="1933" spans="1:12" x14ac:dyDescent="0.35">
      <c r="A1933" s="3" t="s">
        <v>2540</v>
      </c>
      <c r="B1933" s="4" t="s">
        <v>50</v>
      </c>
      <c r="C1933" s="4" t="s">
        <v>51</v>
      </c>
      <c r="D1933" s="4" t="s">
        <v>25</v>
      </c>
      <c r="E1933" s="7">
        <v>43413</v>
      </c>
      <c r="F1933" s="4" t="s">
        <v>37</v>
      </c>
      <c r="G1933" s="4" t="s">
        <v>919</v>
      </c>
      <c r="H1933" s="4">
        <v>50</v>
      </c>
      <c r="I1933" s="4">
        <v>45</v>
      </c>
      <c r="J1933" s="5">
        <v>0.1</v>
      </c>
      <c r="K1933" s="3">
        <v>62</v>
      </c>
      <c r="L1933" s="4">
        <f>tblSales[[#This Row],[Quantity]]*tblSales[[#This Row],[Actual Price]]</f>
        <v>2790</v>
      </c>
    </row>
    <row r="1934" spans="1:12" x14ac:dyDescent="0.35">
      <c r="A1934" s="3" t="s">
        <v>2541</v>
      </c>
      <c r="B1934" s="4" t="s">
        <v>100</v>
      </c>
      <c r="C1934" s="4" t="s">
        <v>101</v>
      </c>
      <c r="D1934" s="4" t="s">
        <v>14</v>
      </c>
      <c r="E1934" s="7">
        <v>43067</v>
      </c>
      <c r="F1934" s="4" t="s">
        <v>73</v>
      </c>
      <c r="G1934" s="4" t="s">
        <v>1091</v>
      </c>
      <c r="H1934" s="4">
        <v>500</v>
      </c>
      <c r="I1934" s="4">
        <v>490</v>
      </c>
      <c r="J1934" s="5">
        <v>0.02</v>
      </c>
      <c r="K1934" s="3">
        <v>81</v>
      </c>
      <c r="L1934" s="4">
        <f>tblSales[[#This Row],[Quantity]]*tblSales[[#This Row],[Actual Price]]</f>
        <v>39690</v>
      </c>
    </row>
    <row r="1935" spans="1:12" x14ac:dyDescent="0.35">
      <c r="A1935" s="3" t="s">
        <v>2542</v>
      </c>
      <c r="B1935" s="4" t="s">
        <v>325</v>
      </c>
      <c r="C1935" s="4" t="s">
        <v>326</v>
      </c>
      <c r="D1935" s="4" t="s">
        <v>14</v>
      </c>
      <c r="E1935" s="7">
        <v>42545</v>
      </c>
      <c r="F1935" s="4" t="s">
        <v>116</v>
      </c>
      <c r="G1935" s="4" t="s">
        <v>454</v>
      </c>
      <c r="H1935" s="4">
        <v>250</v>
      </c>
      <c r="I1935" s="4">
        <v>238</v>
      </c>
      <c r="J1935" s="5">
        <v>4.8000000000000001E-2</v>
      </c>
      <c r="K1935" s="3">
        <v>35</v>
      </c>
      <c r="L1935" s="4">
        <f>tblSales[[#This Row],[Quantity]]*tblSales[[#This Row],[Actual Price]]</f>
        <v>8330</v>
      </c>
    </row>
    <row r="1936" spans="1:12" x14ac:dyDescent="0.35">
      <c r="A1936" s="3" t="s">
        <v>2543</v>
      </c>
      <c r="B1936" s="4" t="s">
        <v>188</v>
      </c>
      <c r="C1936" s="4" t="s">
        <v>189</v>
      </c>
      <c r="D1936" s="4" t="s">
        <v>14</v>
      </c>
      <c r="E1936" s="7">
        <v>43020</v>
      </c>
      <c r="F1936" s="4" t="s">
        <v>62</v>
      </c>
      <c r="G1936" s="4" t="s">
        <v>792</v>
      </c>
      <c r="H1936" s="4">
        <v>1000</v>
      </c>
      <c r="I1936" s="4">
        <v>670</v>
      </c>
      <c r="J1936" s="5">
        <v>0.33</v>
      </c>
      <c r="K1936" s="3">
        <v>74</v>
      </c>
      <c r="L1936" s="4">
        <f>tblSales[[#This Row],[Quantity]]*tblSales[[#This Row],[Actual Price]]</f>
        <v>49580</v>
      </c>
    </row>
    <row r="1937" spans="1:12" x14ac:dyDescent="0.35">
      <c r="A1937" s="3" t="s">
        <v>2544</v>
      </c>
      <c r="B1937" s="4" t="s">
        <v>71</v>
      </c>
      <c r="C1937" s="4" t="s">
        <v>72</v>
      </c>
      <c r="D1937" s="4" t="s">
        <v>36</v>
      </c>
      <c r="E1937" s="7">
        <v>43453</v>
      </c>
      <c r="F1937" s="4" t="s">
        <v>15</v>
      </c>
      <c r="G1937" s="4" t="s">
        <v>963</v>
      </c>
      <c r="H1937" s="4">
        <v>80</v>
      </c>
      <c r="I1937" s="4">
        <v>72</v>
      </c>
      <c r="J1937" s="5">
        <v>0.1</v>
      </c>
      <c r="K1937" s="3">
        <v>3</v>
      </c>
      <c r="L1937" s="4">
        <f>tblSales[[#This Row],[Quantity]]*tblSales[[#This Row],[Actual Price]]</f>
        <v>216</v>
      </c>
    </row>
    <row r="1938" spans="1:12" x14ac:dyDescent="0.35">
      <c r="A1938" s="3" t="s">
        <v>2545</v>
      </c>
      <c r="B1938" s="4" t="s">
        <v>171</v>
      </c>
      <c r="C1938" s="4" t="s">
        <v>172</v>
      </c>
      <c r="D1938" s="4" t="s">
        <v>14</v>
      </c>
      <c r="E1938" s="7">
        <v>42305</v>
      </c>
      <c r="F1938" s="4" t="s">
        <v>47</v>
      </c>
      <c r="G1938" s="4" t="s">
        <v>1865</v>
      </c>
      <c r="H1938" s="4">
        <v>500</v>
      </c>
      <c r="I1938" s="4">
        <v>310</v>
      </c>
      <c r="J1938" s="5">
        <v>0.38</v>
      </c>
      <c r="K1938" s="3">
        <v>19</v>
      </c>
      <c r="L1938" s="4">
        <f>tblSales[[#This Row],[Quantity]]*tblSales[[#This Row],[Actual Price]]</f>
        <v>5890</v>
      </c>
    </row>
    <row r="1939" spans="1:12" x14ac:dyDescent="0.35">
      <c r="A1939" s="3" t="s">
        <v>2546</v>
      </c>
      <c r="B1939" s="4" t="s">
        <v>271</v>
      </c>
      <c r="C1939" s="4" t="s">
        <v>272</v>
      </c>
      <c r="D1939" s="4" t="s">
        <v>36</v>
      </c>
      <c r="E1939" s="7">
        <v>42223</v>
      </c>
      <c r="F1939" s="4" t="s">
        <v>15</v>
      </c>
      <c r="G1939" s="4" t="s">
        <v>273</v>
      </c>
      <c r="H1939" s="4">
        <v>80</v>
      </c>
      <c r="I1939" s="4">
        <v>80</v>
      </c>
      <c r="J1939" s="5">
        <v>0</v>
      </c>
      <c r="K1939" s="3">
        <v>100</v>
      </c>
      <c r="L1939" s="4">
        <f>tblSales[[#This Row],[Quantity]]*tblSales[[#This Row],[Actual Price]]</f>
        <v>8000</v>
      </c>
    </row>
    <row r="1940" spans="1:12" x14ac:dyDescent="0.35">
      <c r="A1940" s="3" t="s">
        <v>2547</v>
      </c>
      <c r="B1940" s="4" t="s">
        <v>435</v>
      </c>
      <c r="C1940" s="4" t="s">
        <v>436</v>
      </c>
      <c r="D1940" s="4" t="s">
        <v>25</v>
      </c>
      <c r="E1940" s="7">
        <v>42066</v>
      </c>
      <c r="F1940" s="4" t="s">
        <v>105</v>
      </c>
      <c r="G1940" s="4" t="s">
        <v>437</v>
      </c>
      <c r="H1940" s="4">
        <v>70</v>
      </c>
      <c r="I1940" s="4">
        <v>57</v>
      </c>
      <c r="J1940" s="5">
        <v>0.1857</v>
      </c>
      <c r="K1940" s="3">
        <v>83</v>
      </c>
      <c r="L1940" s="4">
        <f>tblSales[[#This Row],[Quantity]]*tblSales[[#This Row],[Actual Price]]</f>
        <v>4731</v>
      </c>
    </row>
    <row r="1941" spans="1:12" x14ac:dyDescent="0.35">
      <c r="A1941" s="3" t="s">
        <v>2548</v>
      </c>
      <c r="B1941" s="4" t="s">
        <v>183</v>
      </c>
      <c r="C1941" s="4" t="s">
        <v>109</v>
      </c>
      <c r="D1941" s="4" t="s">
        <v>20</v>
      </c>
      <c r="E1941" s="7">
        <v>41961</v>
      </c>
      <c r="F1941" s="4" t="s">
        <v>37</v>
      </c>
      <c r="G1941" s="4" t="s">
        <v>506</v>
      </c>
      <c r="H1941" s="4">
        <v>50</v>
      </c>
      <c r="I1941" s="4">
        <v>48</v>
      </c>
      <c r="J1941" s="5">
        <v>0.04</v>
      </c>
      <c r="K1941" s="3">
        <v>97</v>
      </c>
      <c r="L1941" s="4">
        <f>tblSales[[#This Row],[Quantity]]*tblSales[[#This Row],[Actual Price]]</f>
        <v>4656</v>
      </c>
    </row>
    <row r="1942" spans="1:12" x14ac:dyDescent="0.35">
      <c r="A1942" s="3" t="s">
        <v>2549</v>
      </c>
      <c r="B1942" s="4" t="s">
        <v>100</v>
      </c>
      <c r="C1942" s="4" t="s">
        <v>101</v>
      </c>
      <c r="D1942" s="4" t="s">
        <v>14</v>
      </c>
      <c r="E1942" s="7">
        <v>41900</v>
      </c>
      <c r="F1942" s="4" t="s">
        <v>31</v>
      </c>
      <c r="G1942" s="4" t="s">
        <v>753</v>
      </c>
      <c r="H1942" s="4">
        <v>150</v>
      </c>
      <c r="I1942" s="4">
        <v>128</v>
      </c>
      <c r="J1942" s="5">
        <v>0.1467</v>
      </c>
      <c r="K1942" s="3">
        <v>37</v>
      </c>
      <c r="L1942" s="4">
        <f>tblSales[[#This Row],[Quantity]]*tblSales[[#This Row],[Actual Price]]</f>
        <v>4736</v>
      </c>
    </row>
    <row r="1943" spans="1:12" x14ac:dyDescent="0.35">
      <c r="A1943" s="3" t="s">
        <v>2550</v>
      </c>
      <c r="B1943" s="4" t="s">
        <v>228</v>
      </c>
      <c r="C1943" s="4" t="s">
        <v>229</v>
      </c>
      <c r="D1943" s="4" t="s">
        <v>25</v>
      </c>
      <c r="E1943" s="7">
        <v>42798</v>
      </c>
      <c r="F1943" s="4" t="s">
        <v>73</v>
      </c>
      <c r="G1943" s="4" t="s">
        <v>2379</v>
      </c>
      <c r="H1943" s="4">
        <v>500</v>
      </c>
      <c r="I1943" s="4">
        <v>490</v>
      </c>
      <c r="J1943" s="5">
        <v>0.02</v>
      </c>
      <c r="K1943" s="3">
        <v>72</v>
      </c>
      <c r="L1943" s="4">
        <f>tblSales[[#This Row],[Quantity]]*tblSales[[#This Row],[Actual Price]]</f>
        <v>35280</v>
      </c>
    </row>
    <row r="1944" spans="1:12" x14ac:dyDescent="0.35">
      <c r="A1944" s="3" t="s">
        <v>2551</v>
      </c>
      <c r="B1944" s="4" t="s">
        <v>100</v>
      </c>
      <c r="C1944" s="4" t="s">
        <v>101</v>
      </c>
      <c r="D1944" s="4" t="s">
        <v>14</v>
      </c>
      <c r="E1944" s="7">
        <v>41709</v>
      </c>
      <c r="F1944" s="4" t="s">
        <v>31</v>
      </c>
      <c r="G1944" s="4" t="s">
        <v>753</v>
      </c>
      <c r="H1944" s="4">
        <v>150</v>
      </c>
      <c r="I1944" s="4">
        <v>120</v>
      </c>
      <c r="J1944" s="5">
        <v>0.2</v>
      </c>
      <c r="K1944" s="3">
        <v>29</v>
      </c>
      <c r="L1944" s="4">
        <f>tblSales[[#This Row],[Quantity]]*tblSales[[#This Row],[Actual Price]]</f>
        <v>3480</v>
      </c>
    </row>
    <row r="1945" spans="1:12" x14ac:dyDescent="0.35">
      <c r="A1945" s="3" t="s">
        <v>2552</v>
      </c>
      <c r="B1945" s="4" t="s">
        <v>12</v>
      </c>
      <c r="C1945" s="4" t="s">
        <v>13</v>
      </c>
      <c r="D1945" s="4" t="s">
        <v>14</v>
      </c>
      <c r="E1945" s="7">
        <v>42243</v>
      </c>
      <c r="F1945" s="4" t="s">
        <v>26</v>
      </c>
      <c r="G1945" s="4" t="s">
        <v>277</v>
      </c>
      <c r="H1945" s="4">
        <v>700</v>
      </c>
      <c r="I1945" s="4">
        <v>665</v>
      </c>
      <c r="J1945" s="5">
        <v>0.05</v>
      </c>
      <c r="K1945" s="3">
        <v>63</v>
      </c>
      <c r="L1945" s="4">
        <f>tblSales[[#This Row],[Quantity]]*tblSales[[#This Row],[Actual Price]]</f>
        <v>41895</v>
      </c>
    </row>
    <row r="1946" spans="1:12" x14ac:dyDescent="0.35">
      <c r="A1946" s="3" t="s">
        <v>2553</v>
      </c>
      <c r="B1946" s="4" t="s">
        <v>60</v>
      </c>
      <c r="C1946" s="4" t="s">
        <v>61</v>
      </c>
      <c r="D1946" s="4" t="s">
        <v>14</v>
      </c>
      <c r="E1946" s="7">
        <v>41802</v>
      </c>
      <c r="F1946" s="4" t="s">
        <v>56</v>
      </c>
      <c r="G1946" s="4" t="s">
        <v>313</v>
      </c>
      <c r="H1946" s="4">
        <v>800</v>
      </c>
      <c r="I1946" s="4">
        <v>480</v>
      </c>
      <c r="J1946" s="5">
        <v>0.4</v>
      </c>
      <c r="K1946" s="3">
        <v>36</v>
      </c>
      <c r="L1946" s="4">
        <f>tblSales[[#This Row],[Quantity]]*tblSales[[#This Row],[Actual Price]]</f>
        <v>17280</v>
      </c>
    </row>
    <row r="1947" spans="1:12" x14ac:dyDescent="0.35">
      <c r="A1947" s="3" t="s">
        <v>2554</v>
      </c>
      <c r="B1947" s="4" t="s">
        <v>96</v>
      </c>
      <c r="C1947" s="4" t="s">
        <v>97</v>
      </c>
      <c r="D1947" s="4" t="s">
        <v>14</v>
      </c>
      <c r="E1947" s="7">
        <v>41765</v>
      </c>
      <c r="F1947" s="4" t="s">
        <v>105</v>
      </c>
      <c r="G1947" s="4" t="s">
        <v>217</v>
      </c>
      <c r="H1947" s="4">
        <v>70</v>
      </c>
      <c r="I1947" s="4">
        <v>67</v>
      </c>
      <c r="J1947" s="5">
        <v>4.2900000000000001E-2</v>
      </c>
      <c r="K1947" s="3">
        <v>95</v>
      </c>
      <c r="L1947" s="4">
        <f>tblSales[[#This Row],[Quantity]]*tblSales[[#This Row],[Actual Price]]</f>
        <v>6365</v>
      </c>
    </row>
    <row r="1948" spans="1:12" x14ac:dyDescent="0.35">
      <c r="A1948" s="3" t="s">
        <v>2555</v>
      </c>
      <c r="B1948" s="4" t="s">
        <v>271</v>
      </c>
      <c r="C1948" s="4" t="s">
        <v>272</v>
      </c>
      <c r="D1948" s="4" t="s">
        <v>36</v>
      </c>
      <c r="E1948" s="7">
        <v>42658</v>
      </c>
      <c r="F1948" s="4" t="s">
        <v>62</v>
      </c>
      <c r="G1948" s="4" t="s">
        <v>716</v>
      </c>
      <c r="H1948" s="4">
        <v>1000</v>
      </c>
      <c r="I1948" s="4">
        <v>680</v>
      </c>
      <c r="J1948" s="5">
        <v>0.32</v>
      </c>
      <c r="K1948" s="3">
        <v>53</v>
      </c>
      <c r="L1948" s="4">
        <f>tblSales[[#This Row],[Quantity]]*tblSales[[#This Row],[Actual Price]]</f>
        <v>36040</v>
      </c>
    </row>
    <row r="1949" spans="1:12" x14ac:dyDescent="0.35">
      <c r="A1949" s="3" t="s">
        <v>2556</v>
      </c>
      <c r="B1949" s="4" t="s">
        <v>128</v>
      </c>
      <c r="C1949" s="4" t="s">
        <v>129</v>
      </c>
      <c r="D1949" s="4" t="s">
        <v>14</v>
      </c>
      <c r="E1949" s="7">
        <v>42146</v>
      </c>
      <c r="F1949" s="4" t="s">
        <v>15</v>
      </c>
      <c r="G1949" s="4" t="s">
        <v>868</v>
      </c>
      <c r="H1949" s="4">
        <v>80</v>
      </c>
      <c r="I1949" s="4">
        <v>57</v>
      </c>
      <c r="J1949" s="5">
        <v>0.28749999999999998</v>
      </c>
      <c r="K1949" s="3">
        <v>88</v>
      </c>
      <c r="L1949" s="4">
        <f>tblSales[[#This Row],[Quantity]]*tblSales[[#This Row],[Actual Price]]</f>
        <v>5016</v>
      </c>
    </row>
    <row r="1950" spans="1:12" x14ac:dyDescent="0.35">
      <c r="A1950" s="3" t="s">
        <v>2557</v>
      </c>
      <c r="B1950" s="4" t="s">
        <v>175</v>
      </c>
      <c r="C1950" s="4" t="s">
        <v>176</v>
      </c>
      <c r="D1950" s="4" t="s">
        <v>14</v>
      </c>
      <c r="E1950" s="7">
        <v>42058</v>
      </c>
      <c r="F1950" s="4" t="s">
        <v>105</v>
      </c>
      <c r="G1950" s="4" t="s">
        <v>177</v>
      </c>
      <c r="H1950" s="4">
        <v>70</v>
      </c>
      <c r="I1950" s="4">
        <v>69</v>
      </c>
      <c r="J1950" s="5">
        <v>1.43E-2</v>
      </c>
      <c r="K1950" s="3">
        <v>53</v>
      </c>
      <c r="L1950" s="4">
        <f>tblSales[[#This Row],[Quantity]]*tblSales[[#This Row],[Actual Price]]</f>
        <v>3657</v>
      </c>
    </row>
    <row r="1951" spans="1:12" x14ac:dyDescent="0.35">
      <c r="A1951" s="3" t="s">
        <v>2558</v>
      </c>
      <c r="B1951" s="4" t="s">
        <v>78</v>
      </c>
      <c r="C1951" s="4" t="s">
        <v>79</v>
      </c>
      <c r="D1951" s="4" t="s">
        <v>36</v>
      </c>
      <c r="E1951" s="7">
        <v>43365</v>
      </c>
      <c r="F1951" s="4" t="s">
        <v>42</v>
      </c>
      <c r="G1951" s="4" t="s">
        <v>163</v>
      </c>
      <c r="H1951" s="4">
        <v>30</v>
      </c>
      <c r="I1951" s="4">
        <v>29</v>
      </c>
      <c r="J1951" s="5">
        <v>3.3300000000000003E-2</v>
      </c>
      <c r="K1951" s="3">
        <v>57</v>
      </c>
      <c r="L1951" s="4">
        <f>tblSales[[#This Row],[Quantity]]*tblSales[[#This Row],[Actual Price]]</f>
        <v>1653</v>
      </c>
    </row>
    <row r="1952" spans="1:12" x14ac:dyDescent="0.35">
      <c r="A1952" s="3" t="s">
        <v>2559</v>
      </c>
      <c r="B1952" s="4" t="s">
        <v>92</v>
      </c>
      <c r="C1952" s="4" t="s">
        <v>93</v>
      </c>
      <c r="D1952" s="4" t="s">
        <v>36</v>
      </c>
      <c r="E1952" s="7">
        <v>42544</v>
      </c>
      <c r="F1952" s="4" t="s">
        <v>26</v>
      </c>
      <c r="G1952" s="4" t="s">
        <v>940</v>
      </c>
      <c r="H1952" s="4">
        <v>700</v>
      </c>
      <c r="I1952" s="4">
        <v>665</v>
      </c>
      <c r="J1952" s="5">
        <v>0.05</v>
      </c>
      <c r="K1952" s="3">
        <v>23</v>
      </c>
      <c r="L1952" s="4">
        <f>tblSales[[#This Row],[Quantity]]*tblSales[[#This Row],[Actual Price]]</f>
        <v>15295</v>
      </c>
    </row>
    <row r="1953" spans="1:12" x14ac:dyDescent="0.35">
      <c r="A1953" s="3" t="s">
        <v>2560</v>
      </c>
      <c r="B1953" s="4" t="s">
        <v>128</v>
      </c>
      <c r="C1953" s="4" t="s">
        <v>129</v>
      </c>
      <c r="D1953" s="4" t="s">
        <v>14</v>
      </c>
      <c r="E1953" s="7">
        <v>42711</v>
      </c>
      <c r="F1953" s="4" t="s">
        <v>116</v>
      </c>
      <c r="G1953" s="4" t="s">
        <v>868</v>
      </c>
      <c r="H1953" s="4">
        <v>250</v>
      </c>
      <c r="I1953" s="4">
        <v>235</v>
      </c>
      <c r="J1953" s="5">
        <v>0.06</v>
      </c>
      <c r="K1953" s="3">
        <v>36</v>
      </c>
      <c r="L1953" s="4">
        <f>tblSales[[#This Row],[Quantity]]*tblSales[[#This Row],[Actual Price]]</f>
        <v>8460</v>
      </c>
    </row>
    <row r="1954" spans="1:12" x14ac:dyDescent="0.35">
      <c r="A1954" s="3" t="s">
        <v>2561</v>
      </c>
      <c r="B1954" s="4" t="s">
        <v>132</v>
      </c>
      <c r="C1954" s="4" t="s">
        <v>109</v>
      </c>
      <c r="D1954" s="4" t="s">
        <v>20</v>
      </c>
      <c r="E1954" s="7">
        <v>43347</v>
      </c>
      <c r="F1954" s="4" t="s">
        <v>116</v>
      </c>
      <c r="G1954" s="4" t="s">
        <v>537</v>
      </c>
      <c r="H1954" s="4">
        <v>250</v>
      </c>
      <c r="I1954" s="4">
        <v>218</v>
      </c>
      <c r="J1954" s="5">
        <v>0.128</v>
      </c>
      <c r="K1954" s="3">
        <v>75</v>
      </c>
      <c r="L1954" s="4">
        <f>tblSales[[#This Row],[Quantity]]*tblSales[[#This Row],[Actual Price]]</f>
        <v>16350</v>
      </c>
    </row>
    <row r="1955" spans="1:12" x14ac:dyDescent="0.35">
      <c r="A1955" s="3" t="s">
        <v>2562</v>
      </c>
      <c r="B1955" s="4" t="s">
        <v>435</v>
      </c>
      <c r="C1955" s="4" t="s">
        <v>436</v>
      </c>
      <c r="D1955" s="4" t="s">
        <v>25</v>
      </c>
      <c r="E1955" s="7">
        <v>42199</v>
      </c>
      <c r="F1955" s="4" t="s">
        <v>56</v>
      </c>
      <c r="G1955" s="4" t="s">
        <v>586</v>
      </c>
      <c r="H1955" s="4">
        <v>800</v>
      </c>
      <c r="I1955" s="4">
        <v>616</v>
      </c>
      <c r="J1955" s="5">
        <v>0.23</v>
      </c>
      <c r="K1955" s="3">
        <v>60</v>
      </c>
      <c r="L1955" s="4">
        <f>tblSales[[#This Row],[Quantity]]*tblSales[[#This Row],[Actual Price]]</f>
        <v>36960</v>
      </c>
    </row>
    <row r="1956" spans="1:12" x14ac:dyDescent="0.35">
      <c r="A1956" s="3" t="s">
        <v>2563</v>
      </c>
      <c r="B1956" s="4" t="s">
        <v>125</v>
      </c>
      <c r="C1956" s="4" t="s">
        <v>41</v>
      </c>
      <c r="D1956" s="4" t="s">
        <v>36</v>
      </c>
      <c r="E1956" s="7">
        <v>41759</v>
      </c>
      <c r="F1956" s="4" t="s">
        <v>47</v>
      </c>
      <c r="G1956" s="4" t="s">
        <v>864</v>
      </c>
      <c r="H1956" s="4">
        <v>500</v>
      </c>
      <c r="I1956" s="4">
        <v>395</v>
      </c>
      <c r="J1956" s="5">
        <v>0.21</v>
      </c>
      <c r="K1956" s="3">
        <v>83</v>
      </c>
      <c r="L1956" s="4">
        <f>tblSales[[#This Row],[Quantity]]*tblSales[[#This Row],[Actual Price]]</f>
        <v>32785</v>
      </c>
    </row>
    <row r="1957" spans="1:12" x14ac:dyDescent="0.35">
      <c r="A1957" s="3" t="s">
        <v>2564</v>
      </c>
      <c r="B1957" s="4" t="s">
        <v>65</v>
      </c>
      <c r="C1957" s="4" t="s">
        <v>66</v>
      </c>
      <c r="D1957" s="4" t="s">
        <v>36</v>
      </c>
      <c r="E1957" s="7">
        <v>43459</v>
      </c>
      <c r="F1957" s="4" t="s">
        <v>105</v>
      </c>
      <c r="G1957" s="4" t="s">
        <v>530</v>
      </c>
      <c r="H1957" s="4">
        <v>70</v>
      </c>
      <c r="I1957" s="4">
        <v>69</v>
      </c>
      <c r="J1957" s="5">
        <v>1.43E-2</v>
      </c>
      <c r="K1957" s="3">
        <v>4</v>
      </c>
      <c r="L1957" s="4">
        <f>tblSales[[#This Row],[Quantity]]*tblSales[[#This Row],[Actual Price]]</f>
        <v>276</v>
      </c>
    </row>
    <row r="1958" spans="1:12" x14ac:dyDescent="0.35">
      <c r="A1958" s="3" t="s">
        <v>2565</v>
      </c>
      <c r="B1958" s="4" t="s">
        <v>222</v>
      </c>
      <c r="C1958" s="4" t="s">
        <v>41</v>
      </c>
      <c r="D1958" s="4" t="s">
        <v>36</v>
      </c>
      <c r="E1958" s="7">
        <v>42304</v>
      </c>
      <c r="F1958" s="4" t="s">
        <v>26</v>
      </c>
      <c r="G1958" s="4" t="s">
        <v>1180</v>
      </c>
      <c r="H1958" s="4">
        <v>700</v>
      </c>
      <c r="I1958" s="4">
        <v>609</v>
      </c>
      <c r="J1958" s="5">
        <v>0.13</v>
      </c>
      <c r="K1958" s="3">
        <v>36</v>
      </c>
      <c r="L1958" s="4">
        <f>tblSales[[#This Row],[Quantity]]*tblSales[[#This Row],[Actual Price]]</f>
        <v>21924</v>
      </c>
    </row>
    <row r="1959" spans="1:12" x14ac:dyDescent="0.35">
      <c r="A1959" s="3" t="s">
        <v>2566</v>
      </c>
      <c r="B1959" s="4" t="s">
        <v>265</v>
      </c>
      <c r="C1959" s="4" t="s">
        <v>266</v>
      </c>
      <c r="D1959" s="4" t="s">
        <v>14</v>
      </c>
      <c r="E1959" s="7">
        <v>42298</v>
      </c>
      <c r="F1959" s="4" t="s">
        <v>47</v>
      </c>
      <c r="G1959" s="4" t="s">
        <v>267</v>
      </c>
      <c r="H1959" s="4">
        <v>500</v>
      </c>
      <c r="I1959" s="4">
        <v>455</v>
      </c>
      <c r="J1959" s="5">
        <v>0.09</v>
      </c>
      <c r="K1959" s="3">
        <v>72</v>
      </c>
      <c r="L1959" s="4">
        <f>tblSales[[#This Row],[Quantity]]*tblSales[[#This Row],[Actual Price]]</f>
        <v>32760</v>
      </c>
    </row>
    <row r="1960" spans="1:12" x14ac:dyDescent="0.35">
      <c r="A1960" s="3" t="s">
        <v>2567</v>
      </c>
      <c r="B1960" s="4" t="s">
        <v>222</v>
      </c>
      <c r="C1960" s="4" t="s">
        <v>41</v>
      </c>
      <c r="D1960" s="4" t="s">
        <v>36</v>
      </c>
      <c r="E1960" s="7">
        <v>43200</v>
      </c>
      <c r="F1960" s="4" t="s">
        <v>15</v>
      </c>
      <c r="G1960" s="4" t="s">
        <v>2568</v>
      </c>
      <c r="H1960" s="4">
        <v>80</v>
      </c>
      <c r="I1960" s="4">
        <v>73</v>
      </c>
      <c r="J1960" s="5">
        <v>8.7499999999999994E-2</v>
      </c>
      <c r="K1960" s="3">
        <v>63</v>
      </c>
      <c r="L1960" s="4">
        <f>tblSales[[#This Row],[Quantity]]*tblSales[[#This Row],[Actual Price]]</f>
        <v>4599</v>
      </c>
    </row>
    <row r="1961" spans="1:12" x14ac:dyDescent="0.35">
      <c r="A1961" s="3" t="s">
        <v>2569</v>
      </c>
      <c r="B1961" s="4" t="s">
        <v>119</v>
      </c>
      <c r="C1961" s="4" t="s">
        <v>120</v>
      </c>
      <c r="D1961" s="4" t="s">
        <v>36</v>
      </c>
      <c r="E1961" s="7">
        <v>42279</v>
      </c>
      <c r="F1961" s="4" t="s">
        <v>42</v>
      </c>
      <c r="G1961" s="4" t="s">
        <v>1682</v>
      </c>
      <c r="H1961" s="4">
        <v>30</v>
      </c>
      <c r="I1961" s="4">
        <v>29</v>
      </c>
      <c r="J1961" s="5">
        <v>3.3300000000000003E-2</v>
      </c>
      <c r="K1961" s="3">
        <v>95</v>
      </c>
      <c r="L1961" s="4">
        <f>tblSales[[#This Row],[Quantity]]*tblSales[[#This Row],[Actual Price]]</f>
        <v>2755</v>
      </c>
    </row>
    <row r="1962" spans="1:12" x14ac:dyDescent="0.35">
      <c r="A1962" s="3" t="s">
        <v>2570</v>
      </c>
      <c r="B1962" s="4" t="s">
        <v>60</v>
      </c>
      <c r="C1962" s="4" t="s">
        <v>61</v>
      </c>
      <c r="D1962" s="4" t="s">
        <v>14</v>
      </c>
      <c r="E1962" s="7">
        <v>41756</v>
      </c>
      <c r="F1962" s="4" t="s">
        <v>47</v>
      </c>
      <c r="G1962" s="4" t="s">
        <v>698</v>
      </c>
      <c r="H1962" s="4">
        <v>500</v>
      </c>
      <c r="I1962" s="4">
        <v>385</v>
      </c>
      <c r="J1962" s="5">
        <v>0.23</v>
      </c>
      <c r="K1962" s="3">
        <v>48</v>
      </c>
      <c r="L1962" s="4">
        <f>tblSales[[#This Row],[Quantity]]*tblSales[[#This Row],[Actual Price]]</f>
        <v>18480</v>
      </c>
    </row>
    <row r="1963" spans="1:12" x14ac:dyDescent="0.35">
      <c r="A1963" s="3" t="s">
        <v>2571</v>
      </c>
      <c r="B1963" s="4" t="s">
        <v>147</v>
      </c>
      <c r="C1963" s="4" t="s">
        <v>148</v>
      </c>
      <c r="D1963" s="4" t="s">
        <v>14</v>
      </c>
      <c r="E1963" s="7">
        <v>42405</v>
      </c>
      <c r="F1963" s="4" t="s">
        <v>56</v>
      </c>
      <c r="G1963" s="4" t="s">
        <v>1319</v>
      </c>
      <c r="H1963" s="4">
        <v>800</v>
      </c>
      <c r="I1963" s="4">
        <v>768</v>
      </c>
      <c r="J1963" s="5">
        <v>0.04</v>
      </c>
      <c r="K1963" s="3">
        <v>51</v>
      </c>
      <c r="L1963" s="4">
        <f>tblSales[[#This Row],[Quantity]]*tblSales[[#This Row],[Actual Price]]</f>
        <v>39168</v>
      </c>
    </row>
    <row r="1964" spans="1:12" x14ac:dyDescent="0.35">
      <c r="A1964" s="3" t="s">
        <v>2572</v>
      </c>
      <c r="B1964" s="4" t="s">
        <v>2244</v>
      </c>
      <c r="C1964" s="4" t="s">
        <v>109</v>
      </c>
      <c r="D1964" s="4" t="s">
        <v>20</v>
      </c>
      <c r="E1964" s="7">
        <v>42132</v>
      </c>
      <c r="F1964" s="4" t="s">
        <v>105</v>
      </c>
      <c r="G1964" s="4" t="s">
        <v>2573</v>
      </c>
      <c r="H1964" s="4">
        <v>70</v>
      </c>
      <c r="I1964" s="4">
        <v>53</v>
      </c>
      <c r="J1964" s="5">
        <v>0.2429</v>
      </c>
      <c r="K1964" s="3">
        <v>52</v>
      </c>
      <c r="L1964" s="4">
        <f>tblSales[[#This Row],[Quantity]]*tblSales[[#This Row],[Actual Price]]</f>
        <v>2756</v>
      </c>
    </row>
    <row r="1965" spans="1:12" x14ac:dyDescent="0.35">
      <c r="A1965" s="3" t="s">
        <v>2574</v>
      </c>
      <c r="B1965" s="4" t="s">
        <v>325</v>
      </c>
      <c r="C1965" s="4" t="s">
        <v>326</v>
      </c>
      <c r="D1965" s="4" t="s">
        <v>14</v>
      </c>
      <c r="E1965" s="7">
        <v>43012</v>
      </c>
      <c r="F1965" s="4" t="s">
        <v>116</v>
      </c>
      <c r="G1965" s="4" t="s">
        <v>366</v>
      </c>
      <c r="H1965" s="4">
        <v>250</v>
      </c>
      <c r="I1965" s="4">
        <v>248</v>
      </c>
      <c r="J1965" s="5">
        <v>8.0000000000000002E-3</v>
      </c>
      <c r="K1965" s="3">
        <v>65</v>
      </c>
      <c r="L1965" s="4">
        <f>tblSales[[#This Row],[Quantity]]*tblSales[[#This Row],[Actual Price]]</f>
        <v>16120</v>
      </c>
    </row>
    <row r="1966" spans="1:12" x14ac:dyDescent="0.35">
      <c r="A1966" s="3" t="s">
        <v>2575</v>
      </c>
      <c r="B1966" s="4" t="s">
        <v>128</v>
      </c>
      <c r="C1966" s="4" t="s">
        <v>129</v>
      </c>
      <c r="D1966" s="4" t="s">
        <v>14</v>
      </c>
      <c r="E1966" s="7">
        <v>43125</v>
      </c>
      <c r="F1966" s="4" t="s">
        <v>116</v>
      </c>
      <c r="G1966" s="4" t="s">
        <v>1262</v>
      </c>
      <c r="H1966" s="4">
        <v>250</v>
      </c>
      <c r="I1966" s="4">
        <v>213</v>
      </c>
      <c r="J1966" s="5">
        <v>0.14799999999999999</v>
      </c>
      <c r="K1966" s="3">
        <v>45</v>
      </c>
      <c r="L1966" s="4">
        <f>tblSales[[#This Row],[Quantity]]*tblSales[[#This Row],[Actual Price]]</f>
        <v>9585</v>
      </c>
    </row>
    <row r="1967" spans="1:12" x14ac:dyDescent="0.35">
      <c r="A1967" s="3" t="s">
        <v>2576</v>
      </c>
      <c r="B1967" s="4" t="s">
        <v>228</v>
      </c>
      <c r="C1967" s="4" t="s">
        <v>229</v>
      </c>
      <c r="D1967" s="4" t="s">
        <v>25</v>
      </c>
      <c r="E1967" s="7">
        <v>41709</v>
      </c>
      <c r="F1967" s="4" t="s">
        <v>123</v>
      </c>
      <c r="G1967" s="4" t="s">
        <v>686</v>
      </c>
      <c r="H1967" s="4">
        <v>50</v>
      </c>
      <c r="I1967" s="4">
        <v>36</v>
      </c>
      <c r="J1967" s="5">
        <v>0.28000000000000003</v>
      </c>
      <c r="K1967" s="3">
        <v>85</v>
      </c>
      <c r="L1967" s="4">
        <f>tblSales[[#This Row],[Quantity]]*tblSales[[#This Row],[Actual Price]]</f>
        <v>3060</v>
      </c>
    </row>
    <row r="1968" spans="1:12" x14ac:dyDescent="0.35">
      <c r="A1968" s="3" t="s">
        <v>2577</v>
      </c>
      <c r="B1968" s="4" t="s">
        <v>132</v>
      </c>
      <c r="C1968" s="4" t="s">
        <v>109</v>
      </c>
      <c r="D1968" s="4" t="s">
        <v>20</v>
      </c>
      <c r="E1968" s="7">
        <v>42012</v>
      </c>
      <c r="F1968" s="4" t="s">
        <v>105</v>
      </c>
      <c r="G1968" s="4" t="s">
        <v>547</v>
      </c>
      <c r="H1968" s="4">
        <v>70</v>
      </c>
      <c r="I1968" s="4">
        <v>66</v>
      </c>
      <c r="J1968" s="5">
        <v>5.7099999999999998E-2</v>
      </c>
      <c r="K1968" s="3">
        <v>15</v>
      </c>
      <c r="L1968" s="4">
        <f>tblSales[[#This Row],[Quantity]]*tblSales[[#This Row],[Actual Price]]</f>
        <v>990</v>
      </c>
    </row>
    <row r="1969" spans="1:12" x14ac:dyDescent="0.35">
      <c r="A1969" s="3" t="s">
        <v>2578</v>
      </c>
      <c r="B1969" s="4" t="s">
        <v>188</v>
      </c>
      <c r="C1969" s="4" t="s">
        <v>189</v>
      </c>
      <c r="D1969" s="4" t="s">
        <v>14</v>
      </c>
      <c r="E1969" s="7">
        <v>42683</v>
      </c>
      <c r="F1969" s="4" t="s">
        <v>47</v>
      </c>
      <c r="G1969" s="4" t="s">
        <v>238</v>
      </c>
      <c r="H1969" s="4">
        <v>500</v>
      </c>
      <c r="I1969" s="4">
        <v>445</v>
      </c>
      <c r="J1969" s="5">
        <v>0.11</v>
      </c>
      <c r="K1969" s="3">
        <v>62</v>
      </c>
      <c r="L1969" s="4">
        <f>tblSales[[#This Row],[Quantity]]*tblSales[[#This Row],[Actual Price]]</f>
        <v>27590</v>
      </c>
    </row>
    <row r="1970" spans="1:12" x14ac:dyDescent="0.35">
      <c r="A1970" s="3" t="s">
        <v>2579</v>
      </c>
      <c r="B1970" s="4" t="s">
        <v>86</v>
      </c>
      <c r="C1970" s="4" t="s">
        <v>87</v>
      </c>
      <c r="D1970" s="4" t="s">
        <v>14</v>
      </c>
      <c r="E1970" s="7">
        <v>42155</v>
      </c>
      <c r="F1970" s="4" t="s">
        <v>37</v>
      </c>
      <c r="G1970" s="4" t="s">
        <v>364</v>
      </c>
      <c r="H1970" s="4">
        <v>50</v>
      </c>
      <c r="I1970" s="4">
        <v>30</v>
      </c>
      <c r="J1970" s="5">
        <v>0.4</v>
      </c>
      <c r="K1970" s="3">
        <v>9</v>
      </c>
      <c r="L1970" s="4">
        <f>tblSales[[#This Row],[Quantity]]*tblSales[[#This Row],[Actual Price]]</f>
        <v>270</v>
      </c>
    </row>
    <row r="1971" spans="1:12" x14ac:dyDescent="0.35">
      <c r="A1971" s="3" t="s">
        <v>2580</v>
      </c>
      <c r="B1971" s="4" t="s">
        <v>435</v>
      </c>
      <c r="C1971" s="4" t="s">
        <v>436</v>
      </c>
      <c r="D1971" s="4" t="s">
        <v>25</v>
      </c>
      <c r="E1971" s="7">
        <v>41730</v>
      </c>
      <c r="F1971" s="4" t="s">
        <v>116</v>
      </c>
      <c r="G1971" s="4" t="s">
        <v>586</v>
      </c>
      <c r="H1971" s="4">
        <v>250</v>
      </c>
      <c r="I1971" s="4">
        <v>243</v>
      </c>
      <c r="J1971" s="5">
        <v>2.8000000000000001E-2</v>
      </c>
      <c r="K1971" s="3">
        <v>6</v>
      </c>
      <c r="L1971" s="4">
        <f>tblSales[[#This Row],[Quantity]]*tblSales[[#This Row],[Actual Price]]</f>
        <v>1458</v>
      </c>
    </row>
    <row r="1972" spans="1:12" x14ac:dyDescent="0.35">
      <c r="A1972" s="3" t="s">
        <v>2581</v>
      </c>
      <c r="B1972" s="4" t="s">
        <v>125</v>
      </c>
      <c r="C1972" s="4" t="s">
        <v>41</v>
      </c>
      <c r="D1972" s="4" t="s">
        <v>36</v>
      </c>
      <c r="E1972" s="7">
        <v>42078</v>
      </c>
      <c r="F1972" s="4" t="s">
        <v>37</v>
      </c>
      <c r="G1972" s="4" t="s">
        <v>2497</v>
      </c>
      <c r="H1972" s="4">
        <v>50</v>
      </c>
      <c r="I1972" s="4">
        <v>45</v>
      </c>
      <c r="J1972" s="5">
        <v>0.1</v>
      </c>
      <c r="K1972" s="3">
        <v>83</v>
      </c>
      <c r="L1972" s="4">
        <f>tblSales[[#This Row],[Quantity]]*tblSales[[#This Row],[Actual Price]]</f>
        <v>3735</v>
      </c>
    </row>
    <row r="1973" spans="1:12" x14ac:dyDescent="0.35">
      <c r="A1973" s="3" t="s">
        <v>2582</v>
      </c>
      <c r="B1973" s="4" t="s">
        <v>175</v>
      </c>
      <c r="C1973" s="4" t="s">
        <v>176</v>
      </c>
      <c r="D1973" s="4" t="s">
        <v>14</v>
      </c>
      <c r="E1973" s="7">
        <v>43081</v>
      </c>
      <c r="F1973" s="4" t="s">
        <v>123</v>
      </c>
      <c r="G1973" s="4" t="s">
        <v>1278</v>
      </c>
      <c r="H1973" s="4">
        <v>50</v>
      </c>
      <c r="I1973" s="4">
        <v>50</v>
      </c>
      <c r="J1973" s="5">
        <v>0</v>
      </c>
      <c r="K1973" s="3">
        <v>99</v>
      </c>
      <c r="L1973" s="4">
        <f>tblSales[[#This Row],[Quantity]]*tblSales[[#This Row],[Actual Price]]</f>
        <v>4950</v>
      </c>
    </row>
    <row r="1974" spans="1:12" x14ac:dyDescent="0.35">
      <c r="A1974" s="3" t="s">
        <v>2583</v>
      </c>
      <c r="B1974" s="4" t="s">
        <v>242</v>
      </c>
      <c r="C1974" s="4" t="s">
        <v>243</v>
      </c>
      <c r="D1974" s="4" t="s">
        <v>14</v>
      </c>
      <c r="E1974" s="7">
        <v>43216</v>
      </c>
      <c r="F1974" s="4" t="s">
        <v>116</v>
      </c>
      <c r="G1974" s="4" t="s">
        <v>381</v>
      </c>
      <c r="H1974" s="4">
        <v>250</v>
      </c>
      <c r="I1974" s="4">
        <v>220</v>
      </c>
      <c r="J1974" s="5">
        <v>0.12</v>
      </c>
      <c r="K1974" s="3">
        <v>58</v>
      </c>
      <c r="L1974" s="4">
        <f>tblSales[[#This Row],[Quantity]]*tblSales[[#This Row],[Actual Price]]</f>
        <v>12760</v>
      </c>
    </row>
    <row r="1975" spans="1:12" x14ac:dyDescent="0.35">
      <c r="A1975" s="3" t="s">
        <v>2584</v>
      </c>
      <c r="B1975" s="4" t="s">
        <v>82</v>
      </c>
      <c r="C1975" s="4" t="s">
        <v>83</v>
      </c>
      <c r="D1975" s="4" t="s">
        <v>14</v>
      </c>
      <c r="E1975" s="7">
        <v>42934</v>
      </c>
      <c r="F1975" s="4" t="s">
        <v>47</v>
      </c>
      <c r="G1975" s="4" t="s">
        <v>557</v>
      </c>
      <c r="H1975" s="4">
        <v>500</v>
      </c>
      <c r="I1975" s="4">
        <v>450</v>
      </c>
      <c r="J1975" s="5">
        <v>0.1</v>
      </c>
      <c r="K1975" s="3">
        <v>90</v>
      </c>
      <c r="L1975" s="4">
        <f>tblSales[[#This Row],[Quantity]]*tblSales[[#This Row],[Actual Price]]</f>
        <v>40500</v>
      </c>
    </row>
    <row r="1976" spans="1:12" x14ac:dyDescent="0.35">
      <c r="A1976" s="3" t="s">
        <v>2585</v>
      </c>
      <c r="B1976" s="4" t="s">
        <v>65</v>
      </c>
      <c r="C1976" s="4" t="s">
        <v>66</v>
      </c>
      <c r="D1976" s="4" t="s">
        <v>36</v>
      </c>
      <c r="E1976" s="7">
        <v>43202</v>
      </c>
      <c r="F1976" s="4" t="s">
        <v>37</v>
      </c>
      <c r="G1976" s="4" t="s">
        <v>1718</v>
      </c>
      <c r="H1976" s="4">
        <v>50</v>
      </c>
      <c r="I1976" s="4">
        <v>48</v>
      </c>
      <c r="J1976" s="5">
        <v>0.04</v>
      </c>
      <c r="K1976" s="3">
        <v>50</v>
      </c>
      <c r="L1976" s="4">
        <f>tblSales[[#This Row],[Quantity]]*tblSales[[#This Row],[Actual Price]]</f>
        <v>2400</v>
      </c>
    </row>
    <row r="1977" spans="1:12" x14ac:dyDescent="0.35">
      <c r="A1977" s="3" t="s">
        <v>2586</v>
      </c>
      <c r="B1977" s="4" t="s">
        <v>125</v>
      </c>
      <c r="C1977" s="4" t="s">
        <v>41</v>
      </c>
      <c r="D1977" s="4" t="s">
        <v>36</v>
      </c>
      <c r="E1977" s="7">
        <v>42602</v>
      </c>
      <c r="F1977" s="4" t="s">
        <v>15</v>
      </c>
      <c r="G1977" s="4" t="s">
        <v>1018</v>
      </c>
      <c r="H1977" s="4">
        <v>80</v>
      </c>
      <c r="I1977" s="4">
        <v>78</v>
      </c>
      <c r="J1977" s="5">
        <v>2.5000000000000001E-2</v>
      </c>
      <c r="K1977" s="3">
        <v>70</v>
      </c>
      <c r="L1977" s="4">
        <f>tblSales[[#This Row],[Quantity]]*tblSales[[#This Row],[Actual Price]]</f>
        <v>5460</v>
      </c>
    </row>
    <row r="1978" spans="1:12" x14ac:dyDescent="0.35">
      <c r="A1978" s="3" t="s">
        <v>2587</v>
      </c>
      <c r="B1978" s="4" t="s">
        <v>12</v>
      </c>
      <c r="C1978" s="4" t="s">
        <v>13</v>
      </c>
      <c r="D1978" s="4" t="s">
        <v>14</v>
      </c>
      <c r="E1978" s="7">
        <v>42699</v>
      </c>
      <c r="F1978" s="4" t="s">
        <v>31</v>
      </c>
      <c r="G1978" s="4" t="s">
        <v>1160</v>
      </c>
      <c r="H1978" s="4">
        <v>150</v>
      </c>
      <c r="I1978" s="4">
        <v>149</v>
      </c>
      <c r="J1978" s="5">
        <v>6.7000000000000002E-3</v>
      </c>
      <c r="K1978" s="3">
        <v>73</v>
      </c>
      <c r="L1978" s="4">
        <f>tblSales[[#This Row],[Quantity]]*tblSales[[#This Row],[Actual Price]]</f>
        <v>10877</v>
      </c>
    </row>
    <row r="1979" spans="1:12" x14ac:dyDescent="0.35">
      <c r="A1979" s="3" t="s">
        <v>2588</v>
      </c>
      <c r="B1979" s="4" t="s">
        <v>34</v>
      </c>
      <c r="C1979" s="4" t="s">
        <v>35</v>
      </c>
      <c r="D1979" s="4" t="s">
        <v>36</v>
      </c>
      <c r="E1979" s="7">
        <v>42700</v>
      </c>
      <c r="F1979" s="4" t="s">
        <v>56</v>
      </c>
      <c r="G1979" s="4" t="s">
        <v>161</v>
      </c>
      <c r="H1979" s="4">
        <v>800</v>
      </c>
      <c r="I1979" s="4">
        <v>592</v>
      </c>
      <c r="J1979" s="5">
        <v>0.26</v>
      </c>
      <c r="K1979" s="3">
        <v>68</v>
      </c>
      <c r="L1979" s="4">
        <f>tblSales[[#This Row],[Quantity]]*tblSales[[#This Row],[Actual Price]]</f>
        <v>40256</v>
      </c>
    </row>
    <row r="1980" spans="1:12" x14ac:dyDescent="0.35">
      <c r="A1980" s="3" t="s">
        <v>2589</v>
      </c>
      <c r="B1980" s="4" t="s">
        <v>147</v>
      </c>
      <c r="C1980" s="4" t="s">
        <v>148</v>
      </c>
      <c r="D1980" s="4" t="s">
        <v>14</v>
      </c>
      <c r="E1980" s="7">
        <v>42377</v>
      </c>
      <c r="F1980" s="4" t="s">
        <v>56</v>
      </c>
      <c r="G1980" s="4" t="s">
        <v>1625</v>
      </c>
      <c r="H1980" s="4">
        <v>800</v>
      </c>
      <c r="I1980" s="4">
        <v>800</v>
      </c>
      <c r="J1980" s="5">
        <v>0</v>
      </c>
      <c r="K1980" s="3">
        <v>19</v>
      </c>
      <c r="L1980" s="4">
        <f>tblSales[[#This Row],[Quantity]]*tblSales[[#This Row],[Actual Price]]</f>
        <v>15200</v>
      </c>
    </row>
    <row r="1981" spans="1:12" x14ac:dyDescent="0.35">
      <c r="A1981" s="3" t="s">
        <v>2590</v>
      </c>
      <c r="B1981" s="4" t="s">
        <v>228</v>
      </c>
      <c r="C1981" s="4" t="s">
        <v>229</v>
      </c>
      <c r="D1981" s="4" t="s">
        <v>25</v>
      </c>
      <c r="E1981" s="7">
        <v>42569</v>
      </c>
      <c r="F1981" s="4" t="s">
        <v>105</v>
      </c>
      <c r="G1981" s="4" t="s">
        <v>871</v>
      </c>
      <c r="H1981" s="4">
        <v>70</v>
      </c>
      <c r="I1981" s="4">
        <v>63</v>
      </c>
      <c r="J1981" s="5">
        <v>0.1</v>
      </c>
      <c r="K1981" s="3">
        <v>86</v>
      </c>
      <c r="L1981" s="4">
        <f>tblSales[[#This Row],[Quantity]]*tblSales[[#This Row],[Actual Price]]</f>
        <v>5418</v>
      </c>
    </row>
    <row r="1982" spans="1:12" x14ac:dyDescent="0.35">
      <c r="A1982" s="3" t="s">
        <v>2591</v>
      </c>
      <c r="B1982" s="4" t="s">
        <v>108</v>
      </c>
      <c r="C1982" s="4" t="s">
        <v>109</v>
      </c>
      <c r="D1982" s="4" t="s">
        <v>20</v>
      </c>
      <c r="E1982" s="7">
        <v>41949</v>
      </c>
      <c r="F1982" s="4" t="s">
        <v>26</v>
      </c>
      <c r="G1982" s="4" t="s">
        <v>947</v>
      </c>
      <c r="H1982" s="4">
        <v>700</v>
      </c>
      <c r="I1982" s="4">
        <v>651</v>
      </c>
      <c r="J1982" s="5">
        <v>7.0000000000000007E-2</v>
      </c>
      <c r="K1982" s="3">
        <v>69</v>
      </c>
      <c r="L1982" s="4">
        <f>tblSales[[#This Row],[Quantity]]*tblSales[[#This Row],[Actual Price]]</f>
        <v>44919</v>
      </c>
    </row>
    <row r="1983" spans="1:12" x14ac:dyDescent="0.35">
      <c r="A1983" s="3" t="s">
        <v>2592</v>
      </c>
      <c r="B1983" s="4" t="s">
        <v>108</v>
      </c>
      <c r="C1983" s="4" t="s">
        <v>109</v>
      </c>
      <c r="D1983" s="4" t="s">
        <v>20</v>
      </c>
      <c r="E1983" s="7">
        <v>42349</v>
      </c>
      <c r="F1983" s="4" t="s">
        <v>15</v>
      </c>
      <c r="G1983" s="4" t="s">
        <v>895</v>
      </c>
      <c r="H1983" s="4">
        <v>80</v>
      </c>
      <c r="I1983" s="4">
        <v>54</v>
      </c>
      <c r="J1983" s="5">
        <v>0.32500000000000001</v>
      </c>
      <c r="K1983" s="3">
        <v>33</v>
      </c>
      <c r="L1983" s="4">
        <f>tblSales[[#This Row],[Quantity]]*tblSales[[#This Row],[Actual Price]]</f>
        <v>1782</v>
      </c>
    </row>
    <row r="1984" spans="1:12" x14ac:dyDescent="0.35">
      <c r="A1984" s="3" t="s">
        <v>2593</v>
      </c>
      <c r="B1984" s="4" t="s">
        <v>50</v>
      </c>
      <c r="C1984" s="4" t="s">
        <v>51</v>
      </c>
      <c r="D1984" s="4" t="s">
        <v>25</v>
      </c>
      <c r="E1984" s="7">
        <v>42375</v>
      </c>
      <c r="F1984" s="4" t="s">
        <v>123</v>
      </c>
      <c r="G1984" s="4" t="s">
        <v>399</v>
      </c>
      <c r="H1984" s="4">
        <v>50</v>
      </c>
      <c r="I1984" s="4">
        <v>50</v>
      </c>
      <c r="J1984" s="5">
        <v>0</v>
      </c>
      <c r="K1984" s="3">
        <v>66</v>
      </c>
      <c r="L1984" s="4">
        <f>tblSales[[#This Row],[Quantity]]*tblSales[[#This Row],[Actual Price]]</f>
        <v>3300</v>
      </c>
    </row>
    <row r="1985" spans="1:12" x14ac:dyDescent="0.35">
      <c r="A1985" s="3" t="s">
        <v>2594</v>
      </c>
      <c r="B1985" s="4" t="s">
        <v>92</v>
      </c>
      <c r="C1985" s="4" t="s">
        <v>93</v>
      </c>
      <c r="D1985" s="4" t="s">
        <v>36</v>
      </c>
      <c r="E1985" s="7">
        <v>42010</v>
      </c>
      <c r="F1985" s="4" t="s">
        <v>47</v>
      </c>
      <c r="G1985" s="4" t="s">
        <v>94</v>
      </c>
      <c r="H1985" s="4">
        <v>500</v>
      </c>
      <c r="I1985" s="4">
        <v>320</v>
      </c>
      <c r="J1985" s="5">
        <v>0.36</v>
      </c>
      <c r="K1985" s="3">
        <v>71</v>
      </c>
      <c r="L1985" s="4">
        <f>tblSales[[#This Row],[Quantity]]*tblSales[[#This Row],[Actual Price]]</f>
        <v>22720</v>
      </c>
    </row>
    <row r="1986" spans="1:12" x14ac:dyDescent="0.35">
      <c r="A1986" s="3" t="s">
        <v>2595</v>
      </c>
      <c r="B1986" s="4" t="s">
        <v>147</v>
      </c>
      <c r="C1986" s="4" t="s">
        <v>148</v>
      </c>
      <c r="D1986" s="4" t="s">
        <v>14</v>
      </c>
      <c r="E1986" s="7">
        <v>43143</v>
      </c>
      <c r="F1986" s="4" t="s">
        <v>37</v>
      </c>
      <c r="G1986" s="4" t="s">
        <v>1335</v>
      </c>
      <c r="H1986" s="4">
        <v>50</v>
      </c>
      <c r="I1986" s="4">
        <v>43</v>
      </c>
      <c r="J1986" s="5">
        <v>0.14000000000000001</v>
      </c>
      <c r="K1986" s="3">
        <v>10</v>
      </c>
      <c r="L1986" s="4">
        <f>tblSales[[#This Row],[Quantity]]*tblSales[[#This Row],[Actual Price]]</f>
        <v>430</v>
      </c>
    </row>
    <row r="1987" spans="1:12" x14ac:dyDescent="0.35">
      <c r="A1987" s="3" t="s">
        <v>2596</v>
      </c>
      <c r="B1987" s="4" t="s">
        <v>119</v>
      </c>
      <c r="C1987" s="4" t="s">
        <v>120</v>
      </c>
      <c r="D1987" s="4" t="s">
        <v>36</v>
      </c>
      <c r="E1987" s="7">
        <v>42762</v>
      </c>
      <c r="F1987" s="4" t="s">
        <v>15</v>
      </c>
      <c r="G1987" s="4" t="s">
        <v>910</v>
      </c>
      <c r="H1987" s="4">
        <v>80</v>
      </c>
      <c r="I1987" s="4">
        <v>78</v>
      </c>
      <c r="J1987" s="5">
        <v>2.5000000000000001E-2</v>
      </c>
      <c r="K1987" s="3">
        <v>17</v>
      </c>
      <c r="L1987" s="4">
        <f>tblSales[[#This Row],[Quantity]]*tblSales[[#This Row],[Actual Price]]</f>
        <v>1326</v>
      </c>
    </row>
    <row r="1988" spans="1:12" x14ac:dyDescent="0.35">
      <c r="A1988" s="3" t="s">
        <v>2597</v>
      </c>
      <c r="B1988" s="4" t="s">
        <v>54</v>
      </c>
      <c r="C1988" s="4" t="s">
        <v>55</v>
      </c>
      <c r="D1988" s="4" t="s">
        <v>14</v>
      </c>
      <c r="E1988" s="7">
        <v>42187</v>
      </c>
      <c r="F1988" s="4" t="s">
        <v>116</v>
      </c>
      <c r="G1988" s="4" t="s">
        <v>796</v>
      </c>
      <c r="H1988" s="4">
        <v>250</v>
      </c>
      <c r="I1988" s="4">
        <v>248</v>
      </c>
      <c r="J1988" s="5">
        <v>8.0000000000000002E-3</v>
      </c>
      <c r="K1988" s="3">
        <v>6</v>
      </c>
      <c r="L1988" s="4">
        <f>tblSales[[#This Row],[Quantity]]*tblSales[[#This Row],[Actual Price]]</f>
        <v>1488</v>
      </c>
    </row>
    <row r="1989" spans="1:12" x14ac:dyDescent="0.35">
      <c r="A1989" s="3" t="s">
        <v>2598</v>
      </c>
      <c r="B1989" s="4" t="s">
        <v>45</v>
      </c>
      <c r="C1989" s="4" t="s">
        <v>46</v>
      </c>
      <c r="D1989" s="4" t="s">
        <v>25</v>
      </c>
      <c r="E1989" s="7">
        <v>42887</v>
      </c>
      <c r="F1989" s="4" t="s">
        <v>42</v>
      </c>
      <c r="G1989" s="4" t="s">
        <v>1071</v>
      </c>
      <c r="H1989" s="4">
        <v>30</v>
      </c>
      <c r="I1989" s="4">
        <v>27</v>
      </c>
      <c r="J1989" s="5">
        <v>0.1</v>
      </c>
      <c r="K1989" s="3">
        <v>64</v>
      </c>
      <c r="L1989" s="4">
        <f>tblSales[[#This Row],[Quantity]]*tblSales[[#This Row],[Actual Price]]</f>
        <v>1728</v>
      </c>
    </row>
    <row r="1990" spans="1:12" x14ac:dyDescent="0.35">
      <c r="A1990" s="3" t="s">
        <v>2599</v>
      </c>
      <c r="B1990" s="4" t="s">
        <v>256</v>
      </c>
      <c r="C1990" s="4" t="s">
        <v>257</v>
      </c>
      <c r="D1990" s="4" t="s">
        <v>14</v>
      </c>
      <c r="E1990" s="7">
        <v>43163</v>
      </c>
      <c r="F1990" s="4" t="s">
        <v>73</v>
      </c>
      <c r="G1990" s="4" t="s">
        <v>806</v>
      </c>
      <c r="H1990" s="4">
        <v>500</v>
      </c>
      <c r="I1990" s="4">
        <v>495</v>
      </c>
      <c r="J1990" s="5">
        <v>0.01</v>
      </c>
      <c r="K1990" s="3">
        <v>44</v>
      </c>
      <c r="L1990" s="4">
        <f>tblSales[[#This Row],[Quantity]]*tblSales[[#This Row],[Actual Price]]</f>
        <v>21780</v>
      </c>
    </row>
    <row r="1991" spans="1:12" x14ac:dyDescent="0.35">
      <c r="A1991" s="3" t="s">
        <v>2600</v>
      </c>
      <c r="B1991" s="4" t="s">
        <v>92</v>
      </c>
      <c r="C1991" s="4" t="s">
        <v>93</v>
      </c>
      <c r="D1991" s="4" t="s">
        <v>36</v>
      </c>
      <c r="E1991" s="7">
        <v>43436</v>
      </c>
      <c r="F1991" s="4" t="s">
        <v>56</v>
      </c>
      <c r="G1991" s="4" t="s">
        <v>286</v>
      </c>
      <c r="H1991" s="4">
        <v>800</v>
      </c>
      <c r="I1991" s="4">
        <v>480</v>
      </c>
      <c r="J1991" s="5">
        <v>0.4</v>
      </c>
      <c r="K1991" s="3">
        <v>14</v>
      </c>
      <c r="L1991" s="4">
        <f>tblSales[[#This Row],[Quantity]]*tblSales[[#This Row],[Actual Price]]</f>
        <v>6720</v>
      </c>
    </row>
    <row r="1992" spans="1:12" x14ac:dyDescent="0.35">
      <c r="A1992" s="3" t="s">
        <v>2601</v>
      </c>
      <c r="B1992" s="4" t="s">
        <v>158</v>
      </c>
      <c r="C1992" s="4" t="s">
        <v>109</v>
      </c>
      <c r="D1992" s="4" t="s">
        <v>20</v>
      </c>
      <c r="E1992" s="7">
        <v>42372</v>
      </c>
      <c r="F1992" s="4" t="s">
        <v>116</v>
      </c>
      <c r="G1992" s="4" t="s">
        <v>159</v>
      </c>
      <c r="H1992" s="4">
        <v>250</v>
      </c>
      <c r="I1992" s="4">
        <v>215</v>
      </c>
      <c r="J1992" s="5">
        <v>0.14000000000000001</v>
      </c>
      <c r="K1992" s="3">
        <v>18</v>
      </c>
      <c r="L1992" s="4">
        <f>tblSales[[#This Row],[Quantity]]*tblSales[[#This Row],[Actual Price]]</f>
        <v>3870</v>
      </c>
    </row>
    <row r="1993" spans="1:12" x14ac:dyDescent="0.35">
      <c r="A1993" s="3" t="s">
        <v>2602</v>
      </c>
      <c r="B1993" s="4" t="s">
        <v>100</v>
      </c>
      <c r="C1993" s="4" t="s">
        <v>101</v>
      </c>
      <c r="D1993" s="4" t="s">
        <v>14</v>
      </c>
      <c r="E1993" s="7">
        <v>42014</v>
      </c>
      <c r="F1993" s="4" t="s">
        <v>47</v>
      </c>
      <c r="G1993" s="4" t="s">
        <v>1091</v>
      </c>
      <c r="H1993" s="4">
        <v>500</v>
      </c>
      <c r="I1993" s="4">
        <v>420</v>
      </c>
      <c r="J1993" s="5">
        <v>0.16</v>
      </c>
      <c r="K1993" s="3">
        <v>64</v>
      </c>
      <c r="L1993" s="4">
        <f>tblSales[[#This Row],[Quantity]]*tblSales[[#This Row],[Actual Price]]</f>
        <v>26880</v>
      </c>
    </row>
    <row r="1994" spans="1:12" x14ac:dyDescent="0.35">
      <c r="A1994" s="3" t="s">
        <v>2603</v>
      </c>
      <c r="B1994" s="4" t="s">
        <v>325</v>
      </c>
      <c r="C1994" s="4" t="s">
        <v>326</v>
      </c>
      <c r="D1994" s="4" t="s">
        <v>14</v>
      </c>
      <c r="E1994" s="7">
        <v>41682</v>
      </c>
      <c r="F1994" s="4" t="s">
        <v>56</v>
      </c>
      <c r="G1994" s="4" t="s">
        <v>1469</v>
      </c>
      <c r="H1994" s="4">
        <v>800</v>
      </c>
      <c r="I1994" s="4">
        <v>648</v>
      </c>
      <c r="J1994" s="5">
        <v>0.19</v>
      </c>
      <c r="K1994" s="3">
        <v>46</v>
      </c>
      <c r="L1994" s="4">
        <f>tblSales[[#This Row],[Quantity]]*tblSales[[#This Row],[Actual Price]]</f>
        <v>29808</v>
      </c>
    </row>
    <row r="1995" spans="1:12" x14ac:dyDescent="0.35">
      <c r="A1995" s="3" t="s">
        <v>2604</v>
      </c>
      <c r="B1995" s="4" t="s">
        <v>82</v>
      </c>
      <c r="C1995" s="4" t="s">
        <v>83</v>
      </c>
      <c r="D1995" s="4" t="s">
        <v>14</v>
      </c>
      <c r="E1995" s="7">
        <v>43019</v>
      </c>
      <c r="F1995" s="4" t="s">
        <v>37</v>
      </c>
      <c r="G1995" s="4" t="s">
        <v>1233</v>
      </c>
      <c r="H1995" s="4">
        <v>50</v>
      </c>
      <c r="I1995" s="4">
        <v>49</v>
      </c>
      <c r="J1995" s="5">
        <v>0.02</v>
      </c>
      <c r="K1995" s="3">
        <v>64</v>
      </c>
      <c r="L1995" s="4">
        <f>tblSales[[#This Row],[Quantity]]*tblSales[[#This Row],[Actual Price]]</f>
        <v>3136</v>
      </c>
    </row>
    <row r="1996" spans="1:12" x14ac:dyDescent="0.35">
      <c r="A1996" s="3" t="s">
        <v>2605</v>
      </c>
      <c r="B1996" s="4" t="s">
        <v>60</v>
      </c>
      <c r="C1996" s="4" t="s">
        <v>61</v>
      </c>
      <c r="D1996" s="4" t="s">
        <v>14</v>
      </c>
      <c r="E1996" s="7">
        <v>43339</v>
      </c>
      <c r="F1996" s="4" t="s">
        <v>47</v>
      </c>
      <c r="G1996" s="4" t="s">
        <v>1843</v>
      </c>
      <c r="H1996" s="4">
        <v>500</v>
      </c>
      <c r="I1996" s="4">
        <v>465</v>
      </c>
      <c r="J1996" s="5">
        <v>7.0000000000000007E-2</v>
      </c>
      <c r="K1996" s="3">
        <v>45</v>
      </c>
      <c r="L1996" s="4">
        <f>tblSales[[#This Row],[Quantity]]*tblSales[[#This Row],[Actual Price]]</f>
        <v>20925</v>
      </c>
    </row>
    <row r="1997" spans="1:12" x14ac:dyDescent="0.35">
      <c r="A1997" s="3" t="s">
        <v>2606</v>
      </c>
      <c r="B1997" s="4" t="s">
        <v>225</v>
      </c>
      <c r="C1997" s="4" t="s">
        <v>51</v>
      </c>
      <c r="D1997" s="4" t="s">
        <v>25</v>
      </c>
      <c r="E1997" s="7">
        <v>41683</v>
      </c>
      <c r="F1997" s="4" t="s">
        <v>116</v>
      </c>
      <c r="G1997" s="4" t="s">
        <v>1039</v>
      </c>
      <c r="H1997" s="4">
        <v>250</v>
      </c>
      <c r="I1997" s="4">
        <v>215</v>
      </c>
      <c r="J1997" s="5">
        <v>0.14000000000000001</v>
      </c>
      <c r="K1997" s="3">
        <v>37</v>
      </c>
      <c r="L1997" s="4">
        <f>tblSales[[#This Row],[Quantity]]*tblSales[[#This Row],[Actual Price]]</f>
        <v>7955</v>
      </c>
    </row>
    <row r="1998" spans="1:12" x14ac:dyDescent="0.35">
      <c r="A1998" s="3" t="s">
        <v>2607</v>
      </c>
      <c r="B1998" s="4" t="s">
        <v>112</v>
      </c>
      <c r="C1998" s="4" t="s">
        <v>83</v>
      </c>
      <c r="D1998" s="4" t="s">
        <v>14</v>
      </c>
      <c r="E1998" s="7">
        <v>42544</v>
      </c>
      <c r="F1998" s="4" t="s">
        <v>31</v>
      </c>
      <c r="G1998" s="4" t="s">
        <v>373</v>
      </c>
      <c r="H1998" s="4">
        <v>150</v>
      </c>
      <c r="I1998" s="4">
        <v>149</v>
      </c>
      <c r="J1998" s="5">
        <v>6.7000000000000002E-3</v>
      </c>
      <c r="K1998" s="3">
        <v>89</v>
      </c>
      <c r="L1998" s="4">
        <f>tblSales[[#This Row],[Quantity]]*tblSales[[#This Row],[Actual Price]]</f>
        <v>13261</v>
      </c>
    </row>
    <row r="1999" spans="1:12" x14ac:dyDescent="0.35">
      <c r="A1999" s="3" t="s">
        <v>2608</v>
      </c>
      <c r="B1999" s="4" t="s">
        <v>125</v>
      </c>
      <c r="C1999" s="4" t="s">
        <v>41</v>
      </c>
      <c r="D1999" s="4" t="s">
        <v>36</v>
      </c>
      <c r="E1999" s="7">
        <v>41967</v>
      </c>
      <c r="F1999" s="4" t="s">
        <v>123</v>
      </c>
      <c r="G1999" s="4" t="s">
        <v>570</v>
      </c>
      <c r="H1999" s="4">
        <v>50</v>
      </c>
      <c r="I1999" s="4">
        <v>38</v>
      </c>
      <c r="J1999" s="5">
        <v>0.24</v>
      </c>
      <c r="K1999" s="3">
        <v>52</v>
      </c>
      <c r="L1999" s="4">
        <f>tblSales[[#This Row],[Quantity]]*tblSales[[#This Row],[Actual Price]]</f>
        <v>1976</v>
      </c>
    </row>
    <row r="2000" spans="1:12" x14ac:dyDescent="0.35">
      <c r="A2000" s="3" t="s">
        <v>2609</v>
      </c>
      <c r="B2000" s="4" t="s">
        <v>78</v>
      </c>
      <c r="C2000" s="4" t="s">
        <v>79</v>
      </c>
      <c r="D2000" s="4" t="s">
        <v>36</v>
      </c>
      <c r="E2000" s="7">
        <v>42998</v>
      </c>
      <c r="F2000" s="4" t="s">
        <v>62</v>
      </c>
      <c r="G2000" s="4" t="s">
        <v>1094</v>
      </c>
      <c r="H2000" s="4">
        <v>1000</v>
      </c>
      <c r="I2000" s="4">
        <v>670</v>
      </c>
      <c r="J2000" s="5">
        <v>0.33</v>
      </c>
      <c r="K2000" s="3">
        <v>97</v>
      </c>
      <c r="L2000" s="4">
        <f>tblSales[[#This Row],[Quantity]]*tblSales[[#This Row],[Actual Price]]</f>
        <v>64990</v>
      </c>
    </row>
    <row r="2001" spans="1:12" x14ac:dyDescent="0.35">
      <c r="A2001" s="3" t="s">
        <v>2610</v>
      </c>
      <c r="B2001" s="4" t="s">
        <v>78</v>
      </c>
      <c r="C2001" s="4" t="s">
        <v>79</v>
      </c>
      <c r="D2001" s="4" t="s">
        <v>36</v>
      </c>
      <c r="E2001" s="7">
        <v>43440</v>
      </c>
      <c r="F2001" s="4" t="s">
        <v>62</v>
      </c>
      <c r="G2001" s="4" t="s">
        <v>2440</v>
      </c>
      <c r="H2001" s="4">
        <v>1000</v>
      </c>
      <c r="I2001" s="4">
        <v>590</v>
      </c>
      <c r="J2001" s="5">
        <v>0.41</v>
      </c>
      <c r="K2001" s="3">
        <v>50</v>
      </c>
      <c r="L2001" s="4">
        <f>tblSales[[#This Row],[Quantity]]*tblSales[[#This Row],[Actual Price]]</f>
        <v>29500</v>
      </c>
    </row>
    <row r="2002" spans="1:12" x14ac:dyDescent="0.35">
      <c r="A2002" s="3" t="s">
        <v>2611</v>
      </c>
      <c r="B2002" s="4" t="s">
        <v>271</v>
      </c>
      <c r="C2002" s="4" t="s">
        <v>272</v>
      </c>
      <c r="D2002" s="4" t="s">
        <v>36</v>
      </c>
      <c r="E2002" s="7">
        <v>41925</v>
      </c>
      <c r="F2002" s="4" t="s">
        <v>123</v>
      </c>
      <c r="G2002" s="4" t="s">
        <v>714</v>
      </c>
      <c r="H2002" s="4">
        <v>50</v>
      </c>
      <c r="I2002" s="4">
        <v>49</v>
      </c>
      <c r="J2002" s="5">
        <v>0.02</v>
      </c>
      <c r="K2002" s="3">
        <v>48</v>
      </c>
      <c r="L2002" s="4">
        <f>tblSales[[#This Row],[Quantity]]*tblSales[[#This Row],[Actual Price]]</f>
        <v>2352</v>
      </c>
    </row>
    <row r="2003" spans="1:12" x14ac:dyDescent="0.35">
      <c r="A2003" s="3" t="s">
        <v>2612</v>
      </c>
      <c r="B2003" s="4" t="s">
        <v>158</v>
      </c>
      <c r="C2003" s="4" t="s">
        <v>109</v>
      </c>
      <c r="D2003" s="4" t="s">
        <v>20</v>
      </c>
      <c r="E2003" s="7">
        <v>42354</v>
      </c>
      <c r="F2003" s="4" t="s">
        <v>42</v>
      </c>
      <c r="G2003" s="4" t="s">
        <v>926</v>
      </c>
      <c r="H2003" s="4">
        <v>30</v>
      </c>
      <c r="I2003" s="4">
        <v>20</v>
      </c>
      <c r="J2003" s="5">
        <v>0.33329999999999999</v>
      </c>
      <c r="K2003" s="3">
        <v>85</v>
      </c>
      <c r="L2003" s="4">
        <f>tblSales[[#This Row],[Quantity]]*tblSales[[#This Row],[Actual Price]]</f>
        <v>1700</v>
      </c>
    </row>
    <row r="2004" spans="1:12" x14ac:dyDescent="0.35">
      <c r="A2004" s="3" t="s">
        <v>2613</v>
      </c>
      <c r="B2004" s="4" t="s">
        <v>147</v>
      </c>
      <c r="C2004" s="4" t="s">
        <v>148</v>
      </c>
      <c r="D2004" s="4" t="s">
        <v>14</v>
      </c>
      <c r="E2004" s="7">
        <v>41868</v>
      </c>
      <c r="F2004" s="4" t="s">
        <v>47</v>
      </c>
      <c r="G2004" s="4" t="s">
        <v>1007</v>
      </c>
      <c r="H2004" s="4">
        <v>500</v>
      </c>
      <c r="I2004" s="4">
        <v>450</v>
      </c>
      <c r="J2004" s="5">
        <v>0.1</v>
      </c>
      <c r="K2004" s="3">
        <v>26</v>
      </c>
      <c r="L2004" s="4">
        <f>tblSales[[#This Row],[Quantity]]*tblSales[[#This Row],[Actual Price]]</f>
        <v>11700</v>
      </c>
    </row>
    <row r="2005" spans="1:12" x14ac:dyDescent="0.35">
      <c r="A2005" s="3" t="s">
        <v>2614</v>
      </c>
      <c r="B2005" s="4" t="s">
        <v>265</v>
      </c>
      <c r="C2005" s="4" t="s">
        <v>266</v>
      </c>
      <c r="D2005" s="4" t="s">
        <v>14</v>
      </c>
      <c r="E2005" s="7">
        <v>43442</v>
      </c>
      <c r="F2005" s="4" t="s">
        <v>73</v>
      </c>
      <c r="G2005" s="4" t="s">
        <v>600</v>
      </c>
      <c r="H2005" s="4">
        <v>500</v>
      </c>
      <c r="I2005" s="4">
        <v>490</v>
      </c>
      <c r="J2005" s="5">
        <v>0.02</v>
      </c>
      <c r="K2005" s="3">
        <v>35</v>
      </c>
      <c r="L2005" s="4">
        <f>tblSales[[#This Row],[Quantity]]*tblSales[[#This Row],[Actual Price]]</f>
        <v>17150</v>
      </c>
    </row>
    <row r="2006" spans="1:12" x14ac:dyDescent="0.35">
      <c r="A2006" s="3" t="s">
        <v>2615</v>
      </c>
      <c r="B2006" s="4" t="s">
        <v>171</v>
      </c>
      <c r="C2006" s="4" t="s">
        <v>172</v>
      </c>
      <c r="D2006" s="4" t="s">
        <v>14</v>
      </c>
      <c r="E2006" s="7">
        <v>42725</v>
      </c>
      <c r="F2006" s="4" t="s">
        <v>116</v>
      </c>
      <c r="G2006" s="4" t="s">
        <v>1101</v>
      </c>
      <c r="H2006" s="4">
        <v>250</v>
      </c>
      <c r="I2006" s="4">
        <v>103</v>
      </c>
      <c r="J2006" s="5">
        <v>0.58799999999999997</v>
      </c>
      <c r="K2006" s="3">
        <v>3</v>
      </c>
      <c r="L2006" s="4">
        <f>tblSales[[#This Row],[Quantity]]*tblSales[[#This Row],[Actual Price]]</f>
        <v>309</v>
      </c>
    </row>
    <row r="2007" spans="1:12" x14ac:dyDescent="0.35">
      <c r="A2007" s="3" t="s">
        <v>2616</v>
      </c>
      <c r="B2007" s="4" t="s">
        <v>147</v>
      </c>
      <c r="C2007" s="4" t="s">
        <v>148</v>
      </c>
      <c r="D2007" s="4" t="s">
        <v>14</v>
      </c>
      <c r="E2007" s="7">
        <v>42631</v>
      </c>
      <c r="F2007" s="4" t="s">
        <v>42</v>
      </c>
      <c r="G2007" s="4" t="s">
        <v>1007</v>
      </c>
      <c r="H2007" s="4">
        <v>30</v>
      </c>
      <c r="I2007" s="4">
        <v>26</v>
      </c>
      <c r="J2007" s="5">
        <v>0.1333</v>
      </c>
      <c r="K2007" s="3">
        <v>32</v>
      </c>
      <c r="L2007" s="4">
        <f>tblSales[[#This Row],[Quantity]]*tblSales[[#This Row],[Actual Price]]</f>
        <v>832</v>
      </c>
    </row>
    <row r="2008" spans="1:12" x14ac:dyDescent="0.35">
      <c r="A2008" s="3" t="s">
        <v>2617</v>
      </c>
      <c r="B2008" s="4" t="s">
        <v>104</v>
      </c>
      <c r="C2008" s="4" t="s">
        <v>72</v>
      </c>
      <c r="D2008" s="4" t="s">
        <v>36</v>
      </c>
      <c r="E2008" s="7">
        <v>42984</v>
      </c>
      <c r="F2008" s="4" t="s">
        <v>62</v>
      </c>
      <c r="G2008" s="4" t="s">
        <v>498</v>
      </c>
      <c r="H2008" s="4">
        <v>1000</v>
      </c>
      <c r="I2008" s="4">
        <v>570</v>
      </c>
      <c r="J2008" s="5">
        <v>0.43</v>
      </c>
      <c r="K2008" s="3">
        <v>96</v>
      </c>
      <c r="L2008" s="4">
        <f>tblSales[[#This Row],[Quantity]]*tblSales[[#This Row],[Actual Price]]</f>
        <v>54720</v>
      </c>
    </row>
    <row r="2009" spans="1:12" x14ac:dyDescent="0.35">
      <c r="A2009" s="3" t="s">
        <v>2618</v>
      </c>
      <c r="B2009" s="4" t="s">
        <v>188</v>
      </c>
      <c r="C2009" s="4" t="s">
        <v>189</v>
      </c>
      <c r="D2009" s="4" t="s">
        <v>14</v>
      </c>
      <c r="E2009" s="7">
        <v>41691</v>
      </c>
      <c r="F2009" s="4" t="s">
        <v>37</v>
      </c>
      <c r="G2009" s="4" t="s">
        <v>684</v>
      </c>
      <c r="H2009" s="4">
        <v>50</v>
      </c>
      <c r="I2009" s="4">
        <v>50</v>
      </c>
      <c r="J2009" s="5">
        <v>0</v>
      </c>
      <c r="K2009" s="3">
        <v>64</v>
      </c>
      <c r="L2009" s="4">
        <f>tblSales[[#This Row],[Quantity]]*tblSales[[#This Row],[Actual Price]]</f>
        <v>3200</v>
      </c>
    </row>
    <row r="2010" spans="1:12" x14ac:dyDescent="0.35">
      <c r="A2010" s="3" t="s">
        <v>2619</v>
      </c>
      <c r="B2010" s="4" t="s">
        <v>132</v>
      </c>
      <c r="C2010" s="4" t="s">
        <v>109</v>
      </c>
      <c r="D2010" s="4" t="s">
        <v>20</v>
      </c>
      <c r="E2010" s="7">
        <v>42483</v>
      </c>
      <c r="F2010" s="4" t="s">
        <v>15</v>
      </c>
      <c r="G2010" s="4" t="s">
        <v>213</v>
      </c>
      <c r="H2010" s="4">
        <v>80</v>
      </c>
      <c r="I2010" s="4">
        <v>79</v>
      </c>
      <c r="J2010" s="5">
        <v>1.2500000000000001E-2</v>
      </c>
      <c r="K2010" s="3">
        <v>62</v>
      </c>
      <c r="L2010" s="4">
        <f>tblSales[[#This Row],[Quantity]]*tblSales[[#This Row],[Actual Price]]</f>
        <v>4898</v>
      </c>
    </row>
    <row r="2011" spans="1:12" x14ac:dyDescent="0.35">
      <c r="A2011" s="3" t="s">
        <v>2620</v>
      </c>
      <c r="B2011" s="4" t="s">
        <v>151</v>
      </c>
      <c r="C2011" s="4" t="s">
        <v>152</v>
      </c>
      <c r="D2011" s="4" t="s">
        <v>14</v>
      </c>
      <c r="E2011" s="7">
        <v>42178</v>
      </c>
      <c r="F2011" s="4" t="s">
        <v>42</v>
      </c>
      <c r="G2011" s="4" t="s">
        <v>825</v>
      </c>
      <c r="H2011" s="4">
        <v>30</v>
      </c>
      <c r="I2011" s="4">
        <v>27</v>
      </c>
      <c r="J2011" s="5">
        <v>0.1</v>
      </c>
      <c r="K2011" s="3">
        <v>3</v>
      </c>
      <c r="L2011" s="4">
        <f>tblSales[[#This Row],[Quantity]]*tblSales[[#This Row],[Actual Price]]</f>
        <v>81</v>
      </c>
    </row>
    <row r="2012" spans="1:12" x14ac:dyDescent="0.35">
      <c r="A2012" s="3" t="s">
        <v>2621</v>
      </c>
      <c r="B2012" s="4" t="s">
        <v>206</v>
      </c>
      <c r="C2012" s="4" t="s">
        <v>207</v>
      </c>
      <c r="D2012" s="4" t="s">
        <v>25</v>
      </c>
      <c r="E2012" s="7">
        <v>41962</v>
      </c>
      <c r="F2012" s="4" t="s">
        <v>62</v>
      </c>
      <c r="G2012" s="4" t="s">
        <v>1873</v>
      </c>
      <c r="H2012" s="4">
        <v>1000</v>
      </c>
      <c r="I2012" s="4">
        <v>800</v>
      </c>
      <c r="J2012" s="5">
        <v>0.2</v>
      </c>
      <c r="K2012" s="3">
        <v>24</v>
      </c>
      <c r="L2012" s="4">
        <f>tblSales[[#This Row],[Quantity]]*tblSales[[#This Row],[Actual Price]]</f>
        <v>19200</v>
      </c>
    </row>
    <row r="2013" spans="1:12" x14ac:dyDescent="0.35">
      <c r="A2013" s="3" t="s">
        <v>2622</v>
      </c>
      <c r="B2013" s="4" t="s">
        <v>171</v>
      </c>
      <c r="C2013" s="4" t="s">
        <v>172</v>
      </c>
      <c r="D2013" s="4" t="s">
        <v>14</v>
      </c>
      <c r="E2013" s="7">
        <v>42411</v>
      </c>
      <c r="F2013" s="4" t="s">
        <v>37</v>
      </c>
      <c r="G2013" s="4" t="s">
        <v>173</v>
      </c>
      <c r="H2013" s="4">
        <v>50</v>
      </c>
      <c r="I2013" s="4">
        <v>46</v>
      </c>
      <c r="J2013" s="5">
        <v>0.08</v>
      </c>
      <c r="K2013" s="3">
        <v>93</v>
      </c>
      <c r="L2013" s="4">
        <f>tblSales[[#This Row],[Quantity]]*tblSales[[#This Row],[Actual Price]]</f>
        <v>4278</v>
      </c>
    </row>
    <row r="2014" spans="1:12" x14ac:dyDescent="0.35">
      <c r="A2014" s="3" t="s">
        <v>2623</v>
      </c>
      <c r="B2014" s="4" t="s">
        <v>132</v>
      </c>
      <c r="C2014" s="4" t="s">
        <v>109</v>
      </c>
      <c r="D2014" s="4" t="s">
        <v>20</v>
      </c>
      <c r="E2014" s="7">
        <v>42074</v>
      </c>
      <c r="F2014" s="4" t="s">
        <v>56</v>
      </c>
      <c r="G2014" s="4" t="s">
        <v>547</v>
      </c>
      <c r="H2014" s="4">
        <v>800</v>
      </c>
      <c r="I2014" s="4">
        <v>440</v>
      </c>
      <c r="J2014" s="5">
        <v>0.45</v>
      </c>
      <c r="K2014" s="3">
        <v>33</v>
      </c>
      <c r="L2014" s="4">
        <f>tblSales[[#This Row],[Quantity]]*tblSales[[#This Row],[Actual Price]]</f>
        <v>14520</v>
      </c>
    </row>
    <row r="2015" spans="1:12" x14ac:dyDescent="0.35">
      <c r="A2015" s="3" t="s">
        <v>2624</v>
      </c>
      <c r="B2015" s="4" t="s">
        <v>18</v>
      </c>
      <c r="C2015" s="4" t="s">
        <v>19</v>
      </c>
      <c r="D2015" s="4" t="s">
        <v>20</v>
      </c>
      <c r="E2015" s="7">
        <v>41887</v>
      </c>
      <c r="F2015" s="4" t="s">
        <v>15</v>
      </c>
      <c r="G2015" s="4" t="s">
        <v>777</v>
      </c>
      <c r="H2015" s="4">
        <v>80</v>
      </c>
      <c r="I2015" s="4">
        <v>71</v>
      </c>
      <c r="J2015" s="5">
        <v>0.1125</v>
      </c>
      <c r="K2015" s="3">
        <v>19</v>
      </c>
      <c r="L2015" s="4">
        <f>tblSales[[#This Row],[Quantity]]*tblSales[[#This Row],[Actual Price]]</f>
        <v>1349</v>
      </c>
    </row>
    <row r="2016" spans="1:12" x14ac:dyDescent="0.35">
      <c r="A2016" s="3" t="s">
        <v>2625</v>
      </c>
      <c r="B2016" s="4" t="s">
        <v>132</v>
      </c>
      <c r="C2016" s="4" t="s">
        <v>109</v>
      </c>
      <c r="D2016" s="4" t="s">
        <v>20</v>
      </c>
      <c r="E2016" s="7">
        <v>42420</v>
      </c>
      <c r="F2016" s="4" t="s">
        <v>56</v>
      </c>
      <c r="G2016" s="4" t="s">
        <v>537</v>
      </c>
      <c r="H2016" s="4">
        <v>800</v>
      </c>
      <c r="I2016" s="4">
        <v>512</v>
      </c>
      <c r="J2016" s="5">
        <v>0.36</v>
      </c>
      <c r="K2016" s="3">
        <v>98</v>
      </c>
      <c r="L2016" s="4">
        <f>tblSales[[#This Row],[Quantity]]*tblSales[[#This Row],[Actual Price]]</f>
        <v>50176</v>
      </c>
    </row>
    <row r="2017" spans="1:12" x14ac:dyDescent="0.35">
      <c r="A2017" s="3" t="s">
        <v>2626</v>
      </c>
      <c r="B2017" s="4" t="s">
        <v>45</v>
      </c>
      <c r="C2017" s="4" t="s">
        <v>46</v>
      </c>
      <c r="D2017" s="4" t="s">
        <v>25</v>
      </c>
      <c r="E2017" s="7">
        <v>41762</v>
      </c>
      <c r="F2017" s="4" t="s">
        <v>15</v>
      </c>
      <c r="G2017" s="4" t="s">
        <v>432</v>
      </c>
      <c r="H2017" s="4">
        <v>80</v>
      </c>
      <c r="I2017" s="4">
        <v>77</v>
      </c>
      <c r="J2017" s="5">
        <v>3.7499999999999999E-2</v>
      </c>
      <c r="K2017" s="3">
        <v>41</v>
      </c>
      <c r="L2017" s="4">
        <f>tblSales[[#This Row],[Quantity]]*tblSales[[#This Row],[Actual Price]]</f>
        <v>3157</v>
      </c>
    </row>
    <row r="2018" spans="1:12" x14ac:dyDescent="0.35">
      <c r="A2018" s="3" t="s">
        <v>2627</v>
      </c>
      <c r="B2018" s="4" t="s">
        <v>271</v>
      </c>
      <c r="C2018" s="4" t="s">
        <v>272</v>
      </c>
      <c r="D2018" s="4" t="s">
        <v>36</v>
      </c>
      <c r="E2018" s="7">
        <v>41857</v>
      </c>
      <c r="F2018" s="4" t="s">
        <v>73</v>
      </c>
      <c r="G2018" s="4" t="s">
        <v>273</v>
      </c>
      <c r="H2018" s="4">
        <v>500</v>
      </c>
      <c r="I2018" s="4">
        <v>490</v>
      </c>
      <c r="J2018" s="5">
        <v>0.02</v>
      </c>
      <c r="K2018" s="3">
        <v>40</v>
      </c>
      <c r="L2018" s="4">
        <f>tblSales[[#This Row],[Quantity]]*tblSales[[#This Row],[Actual Price]]</f>
        <v>19600</v>
      </c>
    </row>
    <row r="2019" spans="1:12" x14ac:dyDescent="0.35">
      <c r="A2019" s="3" t="s">
        <v>2628</v>
      </c>
      <c r="B2019" s="4" t="s">
        <v>54</v>
      </c>
      <c r="C2019" s="4" t="s">
        <v>55</v>
      </c>
      <c r="D2019" s="4" t="s">
        <v>14</v>
      </c>
      <c r="E2019" s="7">
        <v>42333</v>
      </c>
      <c r="F2019" s="4" t="s">
        <v>62</v>
      </c>
      <c r="G2019" s="4" t="s">
        <v>57</v>
      </c>
      <c r="H2019" s="4">
        <v>1000</v>
      </c>
      <c r="I2019" s="4">
        <v>920</v>
      </c>
      <c r="J2019" s="5">
        <v>0.08</v>
      </c>
      <c r="K2019" s="3">
        <v>55</v>
      </c>
      <c r="L2019" s="4">
        <f>tblSales[[#This Row],[Quantity]]*tblSales[[#This Row],[Actual Price]]</f>
        <v>50600</v>
      </c>
    </row>
    <row r="2020" spans="1:12" x14ac:dyDescent="0.35">
      <c r="A2020" s="3" t="s">
        <v>2629</v>
      </c>
      <c r="B2020" s="4" t="s">
        <v>60</v>
      </c>
      <c r="C2020" s="4" t="s">
        <v>61</v>
      </c>
      <c r="D2020" s="4" t="s">
        <v>14</v>
      </c>
      <c r="E2020" s="7">
        <v>42849</v>
      </c>
      <c r="F2020" s="4" t="s">
        <v>62</v>
      </c>
      <c r="G2020" s="4" t="s">
        <v>698</v>
      </c>
      <c r="H2020" s="4">
        <v>1000</v>
      </c>
      <c r="I2020" s="4">
        <v>740</v>
      </c>
      <c r="J2020" s="5">
        <v>0.26</v>
      </c>
      <c r="K2020" s="3">
        <v>92</v>
      </c>
      <c r="L2020" s="4">
        <f>tblSales[[#This Row],[Quantity]]*tblSales[[#This Row],[Actual Price]]</f>
        <v>68080</v>
      </c>
    </row>
    <row r="2021" spans="1:12" x14ac:dyDescent="0.35">
      <c r="A2021" s="3" t="s">
        <v>2630</v>
      </c>
      <c r="B2021" s="4" t="s">
        <v>96</v>
      </c>
      <c r="C2021" s="4" t="s">
        <v>97</v>
      </c>
      <c r="D2021" s="4" t="s">
        <v>14</v>
      </c>
      <c r="E2021" s="7">
        <v>42912</v>
      </c>
      <c r="F2021" s="4" t="s">
        <v>47</v>
      </c>
      <c r="G2021" s="4" t="s">
        <v>732</v>
      </c>
      <c r="H2021" s="4">
        <v>500</v>
      </c>
      <c r="I2021" s="4">
        <v>450</v>
      </c>
      <c r="J2021" s="5">
        <v>0.1</v>
      </c>
      <c r="K2021" s="3">
        <v>57</v>
      </c>
      <c r="L2021" s="4">
        <f>tblSales[[#This Row],[Quantity]]*tblSales[[#This Row],[Actual Price]]</f>
        <v>25650</v>
      </c>
    </row>
    <row r="2022" spans="1:12" x14ac:dyDescent="0.35">
      <c r="A2022" s="3" t="s">
        <v>2631</v>
      </c>
      <c r="B2022" s="4" t="s">
        <v>222</v>
      </c>
      <c r="C2022" s="4" t="s">
        <v>41</v>
      </c>
      <c r="D2022" s="4" t="s">
        <v>36</v>
      </c>
      <c r="E2022" s="7">
        <v>43411</v>
      </c>
      <c r="F2022" s="4" t="s">
        <v>42</v>
      </c>
      <c r="G2022" s="4" t="s">
        <v>2426</v>
      </c>
      <c r="H2022" s="4">
        <v>30</v>
      </c>
      <c r="I2022" s="4">
        <v>30</v>
      </c>
      <c r="J2022" s="5">
        <v>0</v>
      </c>
      <c r="K2022" s="3">
        <v>68</v>
      </c>
      <c r="L2022" s="4">
        <f>tblSales[[#This Row],[Quantity]]*tblSales[[#This Row],[Actual Price]]</f>
        <v>2040</v>
      </c>
    </row>
    <row r="2023" spans="1:12" x14ac:dyDescent="0.35">
      <c r="A2023" s="3" t="s">
        <v>2632</v>
      </c>
      <c r="B2023" s="4" t="s">
        <v>112</v>
      </c>
      <c r="C2023" s="4" t="s">
        <v>83</v>
      </c>
      <c r="D2023" s="4" t="s">
        <v>14</v>
      </c>
      <c r="E2023" s="7">
        <v>42210</v>
      </c>
      <c r="F2023" s="4" t="s">
        <v>105</v>
      </c>
      <c r="G2023" s="4" t="s">
        <v>827</v>
      </c>
      <c r="H2023" s="4">
        <v>70</v>
      </c>
      <c r="I2023" s="4">
        <v>56</v>
      </c>
      <c r="J2023" s="5">
        <v>0.2</v>
      </c>
      <c r="K2023" s="3">
        <v>29</v>
      </c>
      <c r="L2023" s="4">
        <f>tblSales[[#This Row],[Quantity]]*tblSales[[#This Row],[Actual Price]]</f>
        <v>1624</v>
      </c>
    </row>
    <row r="2024" spans="1:12" x14ac:dyDescent="0.35">
      <c r="A2024" s="3" t="s">
        <v>2633</v>
      </c>
      <c r="B2024" s="4" t="s">
        <v>2171</v>
      </c>
      <c r="C2024" s="4" t="s">
        <v>19</v>
      </c>
      <c r="D2024" s="4" t="s">
        <v>20</v>
      </c>
      <c r="E2024" s="7">
        <v>42833</v>
      </c>
      <c r="F2024" s="4" t="s">
        <v>62</v>
      </c>
      <c r="G2024" s="4" t="s">
        <v>2364</v>
      </c>
      <c r="H2024" s="4">
        <v>1000</v>
      </c>
      <c r="I2024" s="4">
        <v>560</v>
      </c>
      <c r="J2024" s="5">
        <v>0.44</v>
      </c>
      <c r="K2024" s="3">
        <v>54</v>
      </c>
      <c r="L2024" s="4">
        <f>tblSales[[#This Row],[Quantity]]*tblSales[[#This Row],[Actual Price]]</f>
        <v>30240</v>
      </c>
    </row>
    <row r="2025" spans="1:12" x14ac:dyDescent="0.35">
      <c r="A2025" s="3" t="s">
        <v>2634</v>
      </c>
      <c r="B2025" s="4" t="s">
        <v>112</v>
      </c>
      <c r="C2025" s="4" t="s">
        <v>83</v>
      </c>
      <c r="D2025" s="4" t="s">
        <v>14</v>
      </c>
      <c r="E2025" s="7">
        <v>41654</v>
      </c>
      <c r="F2025" s="4" t="s">
        <v>123</v>
      </c>
      <c r="G2025" s="4" t="s">
        <v>373</v>
      </c>
      <c r="H2025" s="4">
        <v>50</v>
      </c>
      <c r="I2025" s="4">
        <v>48</v>
      </c>
      <c r="J2025" s="5">
        <v>0.04</v>
      </c>
      <c r="K2025" s="3">
        <v>64</v>
      </c>
      <c r="L2025" s="4">
        <f>tblSales[[#This Row],[Quantity]]*tblSales[[#This Row],[Actual Price]]</f>
        <v>3072</v>
      </c>
    </row>
    <row r="2026" spans="1:12" x14ac:dyDescent="0.35">
      <c r="A2026" s="3" t="s">
        <v>2635</v>
      </c>
      <c r="B2026" s="4" t="s">
        <v>78</v>
      </c>
      <c r="C2026" s="4" t="s">
        <v>79</v>
      </c>
      <c r="D2026" s="4" t="s">
        <v>36</v>
      </c>
      <c r="E2026" s="7">
        <v>43354</v>
      </c>
      <c r="F2026" s="4" t="s">
        <v>47</v>
      </c>
      <c r="G2026" s="4" t="s">
        <v>1094</v>
      </c>
      <c r="H2026" s="4">
        <v>500</v>
      </c>
      <c r="I2026" s="4">
        <v>490</v>
      </c>
      <c r="J2026" s="5">
        <v>0.02</v>
      </c>
      <c r="K2026" s="3">
        <v>71</v>
      </c>
      <c r="L2026" s="4">
        <f>tblSales[[#This Row],[Quantity]]*tblSales[[#This Row],[Actual Price]]</f>
        <v>34790</v>
      </c>
    </row>
    <row r="2027" spans="1:12" x14ac:dyDescent="0.35">
      <c r="A2027" s="3" t="s">
        <v>2636</v>
      </c>
      <c r="B2027" s="4" t="s">
        <v>54</v>
      </c>
      <c r="C2027" s="4" t="s">
        <v>55</v>
      </c>
      <c r="D2027" s="4" t="s">
        <v>14</v>
      </c>
      <c r="E2027" s="7">
        <v>41756</v>
      </c>
      <c r="F2027" s="4" t="s">
        <v>73</v>
      </c>
      <c r="G2027" s="4" t="s">
        <v>405</v>
      </c>
      <c r="H2027" s="4">
        <v>500</v>
      </c>
      <c r="I2027" s="4">
        <v>500</v>
      </c>
      <c r="J2027" s="5">
        <v>0</v>
      </c>
      <c r="K2027" s="3">
        <v>42</v>
      </c>
      <c r="L2027" s="4">
        <f>tblSales[[#This Row],[Quantity]]*tblSales[[#This Row],[Actual Price]]</f>
        <v>21000</v>
      </c>
    </row>
    <row r="2028" spans="1:12" x14ac:dyDescent="0.35">
      <c r="A2028" s="3" t="s">
        <v>2637</v>
      </c>
      <c r="B2028" s="4" t="s">
        <v>158</v>
      </c>
      <c r="C2028" s="4" t="s">
        <v>109</v>
      </c>
      <c r="D2028" s="4" t="s">
        <v>20</v>
      </c>
      <c r="E2028" s="7">
        <v>42077</v>
      </c>
      <c r="F2028" s="4" t="s">
        <v>73</v>
      </c>
      <c r="G2028" s="4" t="s">
        <v>1287</v>
      </c>
      <c r="H2028" s="4">
        <v>500</v>
      </c>
      <c r="I2028" s="4">
        <v>490</v>
      </c>
      <c r="J2028" s="5">
        <v>0.02</v>
      </c>
      <c r="K2028" s="3">
        <v>98</v>
      </c>
      <c r="L2028" s="4">
        <f>tblSales[[#This Row],[Quantity]]*tblSales[[#This Row],[Actual Price]]</f>
        <v>48020</v>
      </c>
    </row>
    <row r="2029" spans="1:12" x14ac:dyDescent="0.35">
      <c r="A2029" s="3" t="s">
        <v>2638</v>
      </c>
      <c r="B2029" s="4" t="s">
        <v>2192</v>
      </c>
      <c r="C2029" s="4" t="s">
        <v>109</v>
      </c>
      <c r="D2029" s="4" t="s">
        <v>20</v>
      </c>
      <c r="E2029" s="7">
        <v>42288</v>
      </c>
      <c r="F2029" s="4" t="s">
        <v>31</v>
      </c>
      <c r="G2029" s="4" t="s">
        <v>2639</v>
      </c>
      <c r="H2029" s="4">
        <v>150</v>
      </c>
      <c r="I2029" s="4">
        <v>101</v>
      </c>
      <c r="J2029" s="5">
        <v>0.32669999999999999</v>
      </c>
      <c r="K2029" s="3">
        <v>16</v>
      </c>
      <c r="L2029" s="4">
        <f>tblSales[[#This Row],[Quantity]]*tblSales[[#This Row],[Actual Price]]</f>
        <v>1616</v>
      </c>
    </row>
    <row r="2030" spans="1:12" x14ac:dyDescent="0.35">
      <c r="A2030" s="3" t="s">
        <v>2640</v>
      </c>
      <c r="B2030" s="4" t="s">
        <v>50</v>
      </c>
      <c r="C2030" s="4" t="s">
        <v>51</v>
      </c>
      <c r="D2030" s="4" t="s">
        <v>25</v>
      </c>
      <c r="E2030" s="7">
        <v>42708</v>
      </c>
      <c r="F2030" s="4" t="s">
        <v>105</v>
      </c>
      <c r="G2030" s="4" t="s">
        <v>399</v>
      </c>
      <c r="H2030" s="4">
        <v>70</v>
      </c>
      <c r="I2030" s="4">
        <v>69</v>
      </c>
      <c r="J2030" s="5">
        <v>1.43E-2</v>
      </c>
      <c r="K2030" s="3">
        <v>19</v>
      </c>
      <c r="L2030" s="4">
        <f>tblSales[[#This Row],[Quantity]]*tblSales[[#This Row],[Actual Price]]</f>
        <v>1311</v>
      </c>
    </row>
    <row r="2031" spans="1:12" x14ac:dyDescent="0.35">
      <c r="A2031" s="3" t="s">
        <v>2641</v>
      </c>
      <c r="B2031" s="4" t="s">
        <v>155</v>
      </c>
      <c r="C2031" s="4" t="s">
        <v>109</v>
      </c>
      <c r="D2031" s="4" t="s">
        <v>20</v>
      </c>
      <c r="E2031" s="7">
        <v>42511</v>
      </c>
      <c r="F2031" s="4" t="s">
        <v>56</v>
      </c>
      <c r="G2031" s="4" t="s">
        <v>1186</v>
      </c>
      <c r="H2031" s="4">
        <v>800</v>
      </c>
      <c r="I2031" s="4">
        <v>696</v>
      </c>
      <c r="J2031" s="5">
        <v>0.13</v>
      </c>
      <c r="K2031" s="3">
        <v>84</v>
      </c>
      <c r="L2031" s="4">
        <f>tblSales[[#This Row],[Quantity]]*tblSales[[#This Row],[Actual Price]]</f>
        <v>58464</v>
      </c>
    </row>
    <row r="2032" spans="1:12" x14ac:dyDescent="0.35">
      <c r="A2032" s="3" t="s">
        <v>2642</v>
      </c>
      <c r="B2032" s="4" t="s">
        <v>12</v>
      </c>
      <c r="C2032" s="4" t="s">
        <v>13</v>
      </c>
      <c r="D2032" s="4" t="s">
        <v>14</v>
      </c>
      <c r="E2032" s="7">
        <v>43194</v>
      </c>
      <c r="F2032" s="4" t="s">
        <v>105</v>
      </c>
      <c r="G2032" s="4" t="s">
        <v>138</v>
      </c>
      <c r="H2032" s="4">
        <v>70</v>
      </c>
      <c r="I2032" s="4">
        <v>69</v>
      </c>
      <c r="J2032" s="5">
        <v>1.43E-2</v>
      </c>
      <c r="K2032" s="3">
        <v>36</v>
      </c>
      <c r="L2032" s="4">
        <f>tblSales[[#This Row],[Quantity]]*tblSales[[#This Row],[Actual Price]]</f>
        <v>2484</v>
      </c>
    </row>
    <row r="2033" spans="1:12" x14ac:dyDescent="0.35">
      <c r="A2033" s="3" t="s">
        <v>2643</v>
      </c>
      <c r="B2033" s="4" t="s">
        <v>34</v>
      </c>
      <c r="C2033" s="4" t="s">
        <v>35</v>
      </c>
      <c r="D2033" s="4" t="s">
        <v>36</v>
      </c>
      <c r="E2033" s="7">
        <v>43069</v>
      </c>
      <c r="F2033" s="4" t="s">
        <v>56</v>
      </c>
      <c r="G2033" s="4" t="s">
        <v>1132</v>
      </c>
      <c r="H2033" s="4">
        <v>800</v>
      </c>
      <c r="I2033" s="4">
        <v>520</v>
      </c>
      <c r="J2033" s="5">
        <v>0.35</v>
      </c>
      <c r="K2033" s="3">
        <v>74</v>
      </c>
      <c r="L2033" s="4">
        <f>tblSales[[#This Row],[Quantity]]*tblSales[[#This Row],[Actual Price]]</f>
        <v>38480</v>
      </c>
    </row>
    <row r="2034" spans="1:12" x14ac:dyDescent="0.35">
      <c r="A2034" s="3" t="s">
        <v>2644</v>
      </c>
      <c r="B2034" s="4" t="s">
        <v>82</v>
      </c>
      <c r="C2034" s="4" t="s">
        <v>83</v>
      </c>
      <c r="D2034" s="4" t="s">
        <v>14</v>
      </c>
      <c r="E2034" s="7">
        <v>42542</v>
      </c>
      <c r="F2034" s="4" t="s">
        <v>123</v>
      </c>
      <c r="G2034" s="4" t="s">
        <v>1494</v>
      </c>
      <c r="H2034" s="4">
        <v>50</v>
      </c>
      <c r="I2034" s="4">
        <v>44</v>
      </c>
      <c r="J2034" s="5">
        <v>0.12</v>
      </c>
      <c r="K2034" s="3">
        <v>14</v>
      </c>
      <c r="L2034" s="4">
        <f>tblSales[[#This Row],[Quantity]]*tblSales[[#This Row],[Actual Price]]</f>
        <v>616</v>
      </c>
    </row>
    <row r="2035" spans="1:12" x14ac:dyDescent="0.35">
      <c r="A2035" s="3" t="s">
        <v>2645</v>
      </c>
      <c r="B2035" s="4" t="s">
        <v>119</v>
      </c>
      <c r="C2035" s="4" t="s">
        <v>120</v>
      </c>
      <c r="D2035" s="4" t="s">
        <v>36</v>
      </c>
      <c r="E2035" s="7">
        <v>42068</v>
      </c>
      <c r="F2035" s="4" t="s">
        <v>15</v>
      </c>
      <c r="G2035" s="4" t="s">
        <v>121</v>
      </c>
      <c r="H2035" s="4">
        <v>80</v>
      </c>
      <c r="I2035" s="4">
        <v>77</v>
      </c>
      <c r="J2035" s="5">
        <v>3.7499999999999999E-2</v>
      </c>
      <c r="K2035" s="3">
        <v>83</v>
      </c>
      <c r="L2035" s="4">
        <f>tblSales[[#This Row],[Quantity]]*tblSales[[#This Row],[Actual Price]]</f>
        <v>6391</v>
      </c>
    </row>
    <row r="2036" spans="1:12" x14ac:dyDescent="0.35">
      <c r="A2036" s="3" t="s">
        <v>2646</v>
      </c>
      <c r="B2036" s="4" t="s">
        <v>92</v>
      </c>
      <c r="C2036" s="4" t="s">
        <v>93</v>
      </c>
      <c r="D2036" s="4" t="s">
        <v>36</v>
      </c>
      <c r="E2036" s="7">
        <v>42320</v>
      </c>
      <c r="F2036" s="4" t="s">
        <v>26</v>
      </c>
      <c r="G2036" s="4" t="s">
        <v>200</v>
      </c>
      <c r="H2036" s="4">
        <v>700</v>
      </c>
      <c r="I2036" s="4">
        <v>455</v>
      </c>
      <c r="J2036" s="5">
        <v>0.35</v>
      </c>
      <c r="K2036" s="3">
        <v>54</v>
      </c>
      <c r="L2036" s="4">
        <f>tblSales[[#This Row],[Quantity]]*tblSales[[#This Row],[Actual Price]]</f>
        <v>24570</v>
      </c>
    </row>
    <row r="2037" spans="1:12" x14ac:dyDescent="0.35">
      <c r="A2037" s="3" t="s">
        <v>2647</v>
      </c>
      <c r="B2037" s="4" t="s">
        <v>45</v>
      </c>
      <c r="C2037" s="4" t="s">
        <v>46</v>
      </c>
      <c r="D2037" s="4" t="s">
        <v>25</v>
      </c>
      <c r="E2037" s="7">
        <v>43270</v>
      </c>
      <c r="F2037" s="4" t="s">
        <v>47</v>
      </c>
      <c r="G2037" s="4" t="s">
        <v>1103</v>
      </c>
      <c r="H2037" s="4">
        <v>500</v>
      </c>
      <c r="I2037" s="4">
        <v>485</v>
      </c>
      <c r="J2037" s="5">
        <v>0.03</v>
      </c>
      <c r="K2037" s="3">
        <v>32</v>
      </c>
      <c r="L2037" s="4">
        <f>tblSales[[#This Row],[Quantity]]*tblSales[[#This Row],[Actual Price]]</f>
        <v>15520</v>
      </c>
    </row>
    <row r="2038" spans="1:12" x14ac:dyDescent="0.35">
      <c r="A2038" s="3" t="s">
        <v>2648</v>
      </c>
      <c r="B2038" s="4" t="s">
        <v>40</v>
      </c>
      <c r="C2038" s="4" t="s">
        <v>41</v>
      </c>
      <c r="D2038" s="4" t="s">
        <v>36</v>
      </c>
      <c r="E2038" s="7">
        <v>43309</v>
      </c>
      <c r="F2038" s="4" t="s">
        <v>73</v>
      </c>
      <c r="G2038" s="4" t="s">
        <v>1305</v>
      </c>
      <c r="H2038" s="4">
        <v>500</v>
      </c>
      <c r="I2038" s="4">
        <v>500</v>
      </c>
      <c r="J2038" s="5">
        <v>0</v>
      </c>
      <c r="K2038" s="3">
        <v>21</v>
      </c>
      <c r="L2038" s="4">
        <f>tblSales[[#This Row],[Quantity]]*tblSales[[#This Row],[Actual Price]]</f>
        <v>10500</v>
      </c>
    </row>
    <row r="2039" spans="1:12" x14ac:dyDescent="0.35">
      <c r="A2039" s="3" t="s">
        <v>2649</v>
      </c>
      <c r="B2039" s="4" t="s">
        <v>155</v>
      </c>
      <c r="C2039" s="4" t="s">
        <v>109</v>
      </c>
      <c r="D2039" s="4" t="s">
        <v>20</v>
      </c>
      <c r="E2039" s="7">
        <v>41842</v>
      </c>
      <c r="F2039" s="4" t="s">
        <v>31</v>
      </c>
      <c r="G2039" s="4" t="s">
        <v>156</v>
      </c>
      <c r="H2039" s="4">
        <v>150</v>
      </c>
      <c r="I2039" s="4">
        <v>119</v>
      </c>
      <c r="J2039" s="5">
        <v>0.20669999999999999</v>
      </c>
      <c r="K2039" s="3">
        <v>55</v>
      </c>
      <c r="L2039" s="4">
        <f>tblSales[[#This Row],[Quantity]]*tblSales[[#This Row],[Actual Price]]</f>
        <v>6545</v>
      </c>
    </row>
    <row r="2040" spans="1:12" x14ac:dyDescent="0.35">
      <c r="A2040" s="3" t="s">
        <v>2650</v>
      </c>
      <c r="B2040" s="4" t="s">
        <v>45</v>
      </c>
      <c r="C2040" s="4" t="s">
        <v>46</v>
      </c>
      <c r="D2040" s="4" t="s">
        <v>25</v>
      </c>
      <c r="E2040" s="7">
        <v>42360</v>
      </c>
      <c r="F2040" s="4" t="s">
        <v>105</v>
      </c>
      <c r="G2040" s="4" t="s">
        <v>1071</v>
      </c>
      <c r="H2040" s="4">
        <v>70</v>
      </c>
      <c r="I2040" s="4">
        <v>60</v>
      </c>
      <c r="J2040" s="5">
        <v>0.1429</v>
      </c>
      <c r="K2040" s="3">
        <v>51</v>
      </c>
      <c r="L2040" s="4">
        <f>tblSales[[#This Row],[Quantity]]*tblSales[[#This Row],[Actual Price]]</f>
        <v>3060</v>
      </c>
    </row>
    <row r="2041" spans="1:12" x14ac:dyDescent="0.35">
      <c r="A2041" s="3" t="s">
        <v>2651</v>
      </c>
      <c r="B2041" s="4" t="s">
        <v>34</v>
      </c>
      <c r="C2041" s="4" t="s">
        <v>35</v>
      </c>
      <c r="D2041" s="4" t="s">
        <v>36</v>
      </c>
      <c r="E2041" s="7">
        <v>43392</v>
      </c>
      <c r="F2041" s="4" t="s">
        <v>123</v>
      </c>
      <c r="G2041" s="4" t="s">
        <v>76</v>
      </c>
      <c r="H2041" s="4">
        <v>50</v>
      </c>
      <c r="I2041" s="4">
        <v>45</v>
      </c>
      <c r="J2041" s="5">
        <v>0.1</v>
      </c>
      <c r="K2041" s="3">
        <v>92</v>
      </c>
      <c r="L2041" s="4">
        <f>tblSales[[#This Row],[Quantity]]*tblSales[[#This Row],[Actual Price]]</f>
        <v>4140</v>
      </c>
    </row>
    <row r="2042" spans="1:12" x14ac:dyDescent="0.35">
      <c r="A2042" s="3" t="s">
        <v>2652</v>
      </c>
      <c r="B2042" s="4" t="s">
        <v>12</v>
      </c>
      <c r="C2042" s="4" t="s">
        <v>13</v>
      </c>
      <c r="D2042" s="4" t="s">
        <v>14</v>
      </c>
      <c r="E2042" s="7">
        <v>42936</v>
      </c>
      <c r="F2042" s="4" t="s">
        <v>56</v>
      </c>
      <c r="G2042" s="4" t="s">
        <v>294</v>
      </c>
      <c r="H2042" s="4">
        <v>800</v>
      </c>
      <c r="I2042" s="4">
        <v>744</v>
      </c>
      <c r="J2042" s="5">
        <v>7.0000000000000007E-2</v>
      </c>
      <c r="K2042" s="3">
        <v>96</v>
      </c>
      <c r="L2042" s="4">
        <f>tblSales[[#This Row],[Quantity]]*tblSales[[#This Row],[Actual Price]]</f>
        <v>71424</v>
      </c>
    </row>
    <row r="2043" spans="1:12" x14ac:dyDescent="0.35">
      <c r="A2043" s="3" t="s">
        <v>2653</v>
      </c>
      <c r="B2043" s="4" t="s">
        <v>2244</v>
      </c>
      <c r="C2043" s="4" t="s">
        <v>109</v>
      </c>
      <c r="D2043" s="4" t="s">
        <v>20</v>
      </c>
      <c r="E2043" s="7">
        <v>42944</v>
      </c>
      <c r="F2043" s="4" t="s">
        <v>47</v>
      </c>
      <c r="G2043" s="4" t="s">
        <v>2311</v>
      </c>
      <c r="H2043" s="4">
        <v>500</v>
      </c>
      <c r="I2043" s="4">
        <v>470</v>
      </c>
      <c r="J2043" s="5">
        <v>0.06</v>
      </c>
      <c r="K2043" s="3">
        <v>75</v>
      </c>
      <c r="L2043" s="4">
        <f>tblSales[[#This Row],[Quantity]]*tblSales[[#This Row],[Actual Price]]</f>
        <v>35250</v>
      </c>
    </row>
    <row r="2044" spans="1:12" x14ac:dyDescent="0.35">
      <c r="A2044" s="3" t="s">
        <v>2654</v>
      </c>
      <c r="B2044" s="4" t="s">
        <v>50</v>
      </c>
      <c r="C2044" s="4" t="s">
        <v>51</v>
      </c>
      <c r="D2044" s="4" t="s">
        <v>25</v>
      </c>
      <c r="E2044" s="7">
        <v>43195</v>
      </c>
      <c r="F2044" s="4" t="s">
        <v>105</v>
      </c>
      <c r="G2044" s="4" t="s">
        <v>69</v>
      </c>
      <c r="H2044" s="4">
        <v>70</v>
      </c>
      <c r="I2044" s="4">
        <v>61</v>
      </c>
      <c r="J2044" s="5">
        <v>0.12859999999999999</v>
      </c>
      <c r="K2044" s="3">
        <v>31</v>
      </c>
      <c r="L2044" s="4">
        <f>tblSales[[#This Row],[Quantity]]*tblSales[[#This Row],[Actual Price]]</f>
        <v>1891</v>
      </c>
    </row>
    <row r="2045" spans="1:12" x14ac:dyDescent="0.35">
      <c r="A2045" s="3" t="s">
        <v>2655</v>
      </c>
      <c r="B2045" s="4" t="s">
        <v>92</v>
      </c>
      <c r="C2045" s="4" t="s">
        <v>93</v>
      </c>
      <c r="D2045" s="4" t="s">
        <v>36</v>
      </c>
      <c r="E2045" s="7">
        <v>42151</v>
      </c>
      <c r="F2045" s="4" t="s">
        <v>26</v>
      </c>
      <c r="G2045" s="4" t="s">
        <v>508</v>
      </c>
      <c r="H2045" s="4">
        <v>700</v>
      </c>
      <c r="I2045" s="4">
        <v>546</v>
      </c>
      <c r="J2045" s="5">
        <v>0.22</v>
      </c>
      <c r="K2045" s="3">
        <v>82</v>
      </c>
      <c r="L2045" s="4">
        <f>tblSales[[#This Row],[Quantity]]*tblSales[[#This Row],[Actual Price]]</f>
        <v>44772</v>
      </c>
    </row>
    <row r="2046" spans="1:12" x14ac:dyDescent="0.35">
      <c r="A2046" s="3" t="s">
        <v>2656</v>
      </c>
      <c r="B2046" s="4" t="s">
        <v>34</v>
      </c>
      <c r="C2046" s="4" t="s">
        <v>35</v>
      </c>
      <c r="D2046" s="4" t="s">
        <v>36</v>
      </c>
      <c r="E2046" s="7">
        <v>41755</v>
      </c>
      <c r="F2046" s="4" t="s">
        <v>73</v>
      </c>
      <c r="G2046" s="4" t="s">
        <v>38</v>
      </c>
      <c r="H2046" s="4">
        <v>500</v>
      </c>
      <c r="I2046" s="4">
        <v>495</v>
      </c>
      <c r="J2046" s="5">
        <v>0.01</v>
      </c>
      <c r="K2046" s="3">
        <v>40</v>
      </c>
      <c r="L2046" s="4">
        <f>tblSales[[#This Row],[Quantity]]*tblSales[[#This Row],[Actual Price]]</f>
        <v>19800</v>
      </c>
    </row>
    <row r="2047" spans="1:12" x14ac:dyDescent="0.35">
      <c r="A2047" s="3" t="s">
        <v>2657</v>
      </c>
      <c r="B2047" s="4" t="s">
        <v>225</v>
      </c>
      <c r="C2047" s="4" t="s">
        <v>51</v>
      </c>
      <c r="D2047" s="4" t="s">
        <v>25</v>
      </c>
      <c r="E2047" s="7">
        <v>42417</v>
      </c>
      <c r="F2047" s="4" t="s">
        <v>56</v>
      </c>
      <c r="G2047" s="4" t="s">
        <v>226</v>
      </c>
      <c r="H2047" s="4">
        <v>800</v>
      </c>
      <c r="I2047" s="4">
        <v>592</v>
      </c>
      <c r="J2047" s="5">
        <v>0.26</v>
      </c>
      <c r="K2047" s="3">
        <v>70</v>
      </c>
      <c r="L2047" s="4">
        <f>tblSales[[#This Row],[Quantity]]*tblSales[[#This Row],[Actual Price]]</f>
        <v>41440</v>
      </c>
    </row>
    <row r="2048" spans="1:12" x14ac:dyDescent="0.35">
      <c r="A2048" s="3" t="s">
        <v>2658</v>
      </c>
      <c r="B2048" s="4" t="s">
        <v>188</v>
      </c>
      <c r="C2048" s="4" t="s">
        <v>189</v>
      </c>
      <c r="D2048" s="4" t="s">
        <v>14</v>
      </c>
      <c r="E2048" s="7">
        <v>42166</v>
      </c>
      <c r="F2048" s="4" t="s">
        <v>15</v>
      </c>
      <c r="G2048" s="4" t="s">
        <v>1151</v>
      </c>
      <c r="H2048" s="4">
        <v>80</v>
      </c>
      <c r="I2048" s="4">
        <v>64</v>
      </c>
      <c r="J2048" s="5">
        <v>0.2</v>
      </c>
      <c r="K2048" s="3">
        <v>10</v>
      </c>
      <c r="L2048" s="4">
        <f>tblSales[[#This Row],[Quantity]]*tblSales[[#This Row],[Actual Price]]</f>
        <v>640</v>
      </c>
    </row>
    <row r="2049" spans="1:12" x14ac:dyDescent="0.35">
      <c r="A2049" s="3" t="s">
        <v>2659</v>
      </c>
      <c r="B2049" s="4" t="s">
        <v>222</v>
      </c>
      <c r="C2049" s="4" t="s">
        <v>41</v>
      </c>
      <c r="D2049" s="4" t="s">
        <v>36</v>
      </c>
      <c r="E2049" s="7">
        <v>41965</v>
      </c>
      <c r="F2049" s="4" t="s">
        <v>26</v>
      </c>
      <c r="G2049" s="4" t="s">
        <v>1921</v>
      </c>
      <c r="H2049" s="4">
        <v>700</v>
      </c>
      <c r="I2049" s="4">
        <v>693</v>
      </c>
      <c r="J2049" s="5">
        <v>0.01</v>
      </c>
      <c r="K2049" s="3">
        <v>61</v>
      </c>
      <c r="L2049" s="4">
        <f>tblSales[[#This Row],[Quantity]]*tblSales[[#This Row],[Actual Price]]</f>
        <v>42273</v>
      </c>
    </row>
    <row r="2050" spans="1:12" x14ac:dyDescent="0.35">
      <c r="A2050" s="3" t="s">
        <v>2660</v>
      </c>
      <c r="B2050" s="4" t="s">
        <v>151</v>
      </c>
      <c r="C2050" s="4" t="s">
        <v>152</v>
      </c>
      <c r="D2050" s="4" t="s">
        <v>14</v>
      </c>
      <c r="E2050" s="7">
        <v>42340</v>
      </c>
      <c r="F2050" s="4" t="s">
        <v>123</v>
      </c>
      <c r="G2050" s="4" t="s">
        <v>410</v>
      </c>
      <c r="H2050" s="4">
        <v>50</v>
      </c>
      <c r="I2050" s="4">
        <v>38</v>
      </c>
      <c r="J2050" s="5">
        <v>0.24</v>
      </c>
      <c r="K2050" s="3">
        <v>19</v>
      </c>
      <c r="L2050" s="4">
        <f>tblSales[[#This Row],[Quantity]]*tblSales[[#This Row],[Actual Price]]</f>
        <v>722</v>
      </c>
    </row>
    <row r="2051" spans="1:12" x14ac:dyDescent="0.35">
      <c r="A2051" s="3" t="s">
        <v>2661</v>
      </c>
      <c r="B2051" s="4" t="s">
        <v>225</v>
      </c>
      <c r="C2051" s="4" t="s">
        <v>51</v>
      </c>
      <c r="D2051" s="4" t="s">
        <v>25</v>
      </c>
      <c r="E2051" s="7">
        <v>42126</v>
      </c>
      <c r="F2051" s="4" t="s">
        <v>31</v>
      </c>
      <c r="G2051" s="4" t="s">
        <v>2662</v>
      </c>
      <c r="H2051" s="4">
        <v>150</v>
      </c>
      <c r="I2051" s="4">
        <v>140</v>
      </c>
      <c r="J2051" s="5">
        <v>6.6699999999999995E-2</v>
      </c>
      <c r="K2051" s="3">
        <v>19</v>
      </c>
      <c r="L2051" s="4">
        <f>tblSales[[#This Row],[Quantity]]*tblSales[[#This Row],[Actual Price]]</f>
        <v>2660</v>
      </c>
    </row>
    <row r="2052" spans="1:12" x14ac:dyDescent="0.35">
      <c r="A2052" s="3" t="s">
        <v>2663</v>
      </c>
      <c r="B2052" s="4" t="s">
        <v>112</v>
      </c>
      <c r="C2052" s="4" t="s">
        <v>83</v>
      </c>
      <c r="D2052" s="4" t="s">
        <v>14</v>
      </c>
      <c r="E2052" s="7">
        <v>41811</v>
      </c>
      <c r="F2052" s="4" t="s">
        <v>42</v>
      </c>
      <c r="G2052" s="4" t="s">
        <v>373</v>
      </c>
      <c r="H2052" s="4">
        <v>30</v>
      </c>
      <c r="I2052" s="4">
        <v>24</v>
      </c>
      <c r="J2052" s="5">
        <v>0.2</v>
      </c>
      <c r="K2052" s="3">
        <v>60</v>
      </c>
      <c r="L2052" s="4">
        <f>tblSales[[#This Row],[Quantity]]*tblSales[[#This Row],[Actual Price]]</f>
        <v>1440</v>
      </c>
    </row>
    <row r="2053" spans="1:12" x14ac:dyDescent="0.35">
      <c r="A2053" s="3" t="s">
        <v>2664</v>
      </c>
      <c r="B2053" s="4" t="s">
        <v>23</v>
      </c>
      <c r="C2053" s="4" t="s">
        <v>24</v>
      </c>
      <c r="D2053" s="4" t="s">
        <v>25</v>
      </c>
      <c r="E2053" s="7">
        <v>43034</v>
      </c>
      <c r="F2053" s="4" t="s">
        <v>15</v>
      </c>
      <c r="G2053" s="4" t="s">
        <v>625</v>
      </c>
      <c r="H2053" s="4">
        <v>80</v>
      </c>
      <c r="I2053" s="4">
        <v>74</v>
      </c>
      <c r="J2053" s="5">
        <v>7.4999999999999997E-2</v>
      </c>
      <c r="K2053" s="3">
        <v>27</v>
      </c>
      <c r="L2053" s="4">
        <f>tblSales[[#This Row],[Quantity]]*tblSales[[#This Row],[Actual Price]]</f>
        <v>1998</v>
      </c>
    </row>
    <row r="2054" spans="1:12" x14ac:dyDescent="0.35">
      <c r="A2054" s="3" t="s">
        <v>2665</v>
      </c>
      <c r="B2054" s="4" t="s">
        <v>401</v>
      </c>
      <c r="C2054" s="4" t="s">
        <v>402</v>
      </c>
      <c r="D2054" s="4" t="s">
        <v>14</v>
      </c>
      <c r="E2054" s="7">
        <v>42421</v>
      </c>
      <c r="F2054" s="4" t="s">
        <v>105</v>
      </c>
      <c r="G2054" s="4" t="s">
        <v>1282</v>
      </c>
      <c r="H2054" s="4">
        <v>70</v>
      </c>
      <c r="I2054" s="4">
        <v>62</v>
      </c>
      <c r="J2054" s="5">
        <v>0.1143</v>
      </c>
      <c r="K2054" s="3">
        <v>41</v>
      </c>
      <c r="L2054" s="4">
        <f>tblSales[[#This Row],[Quantity]]*tblSales[[#This Row],[Actual Price]]</f>
        <v>2542</v>
      </c>
    </row>
    <row r="2055" spans="1:12" x14ac:dyDescent="0.35">
      <c r="A2055" s="3" t="s">
        <v>2666</v>
      </c>
      <c r="B2055" s="4" t="s">
        <v>71</v>
      </c>
      <c r="C2055" s="4" t="s">
        <v>72</v>
      </c>
      <c r="D2055" s="4" t="s">
        <v>36</v>
      </c>
      <c r="E2055" s="7">
        <v>41880</v>
      </c>
      <c r="F2055" s="4" t="s">
        <v>15</v>
      </c>
      <c r="G2055" s="4" t="s">
        <v>143</v>
      </c>
      <c r="H2055" s="4">
        <v>80</v>
      </c>
      <c r="I2055" s="4">
        <v>76</v>
      </c>
      <c r="J2055" s="5">
        <v>0.05</v>
      </c>
      <c r="K2055" s="3">
        <v>1</v>
      </c>
      <c r="L2055" s="4">
        <f>tblSales[[#This Row],[Quantity]]*tblSales[[#This Row],[Actual Price]]</f>
        <v>76</v>
      </c>
    </row>
    <row r="2056" spans="1:12" x14ac:dyDescent="0.35">
      <c r="A2056" s="3" t="s">
        <v>2667</v>
      </c>
      <c r="B2056" s="4" t="s">
        <v>155</v>
      </c>
      <c r="C2056" s="4" t="s">
        <v>109</v>
      </c>
      <c r="D2056" s="4" t="s">
        <v>20</v>
      </c>
      <c r="E2056" s="7">
        <v>43424</v>
      </c>
      <c r="F2056" s="4" t="s">
        <v>37</v>
      </c>
      <c r="G2056" s="4" t="s">
        <v>2668</v>
      </c>
      <c r="H2056" s="4">
        <v>50</v>
      </c>
      <c r="I2056" s="4">
        <v>45</v>
      </c>
      <c r="J2056" s="5">
        <v>0.1</v>
      </c>
      <c r="K2056" s="3">
        <v>55</v>
      </c>
      <c r="L2056" s="4">
        <f>tblSales[[#This Row],[Quantity]]*tblSales[[#This Row],[Actual Price]]</f>
        <v>2475</v>
      </c>
    </row>
    <row r="2057" spans="1:12" x14ac:dyDescent="0.35">
      <c r="A2057" s="3" t="s">
        <v>2669</v>
      </c>
      <c r="B2057" s="4" t="s">
        <v>2192</v>
      </c>
      <c r="C2057" s="4" t="s">
        <v>109</v>
      </c>
      <c r="D2057" s="4" t="s">
        <v>20</v>
      </c>
      <c r="E2057" s="7">
        <v>43233</v>
      </c>
      <c r="F2057" s="4" t="s">
        <v>62</v>
      </c>
      <c r="G2057" s="4" t="s">
        <v>2202</v>
      </c>
      <c r="H2057" s="4">
        <v>1000</v>
      </c>
      <c r="I2057" s="4">
        <v>670</v>
      </c>
      <c r="J2057" s="5">
        <v>0.33</v>
      </c>
      <c r="K2057" s="3">
        <v>36</v>
      </c>
      <c r="L2057" s="4">
        <f>tblSales[[#This Row],[Quantity]]*tblSales[[#This Row],[Actual Price]]</f>
        <v>24120</v>
      </c>
    </row>
    <row r="2058" spans="1:12" x14ac:dyDescent="0.35">
      <c r="A2058" s="3" t="s">
        <v>2670</v>
      </c>
      <c r="B2058" s="4" t="s">
        <v>175</v>
      </c>
      <c r="C2058" s="4" t="s">
        <v>176</v>
      </c>
      <c r="D2058" s="4" t="s">
        <v>14</v>
      </c>
      <c r="E2058" s="7">
        <v>43350</v>
      </c>
      <c r="F2058" s="4" t="s">
        <v>105</v>
      </c>
      <c r="G2058" s="4" t="s">
        <v>1278</v>
      </c>
      <c r="H2058" s="4">
        <v>70</v>
      </c>
      <c r="I2058" s="4">
        <v>67</v>
      </c>
      <c r="J2058" s="5">
        <v>4.2900000000000001E-2</v>
      </c>
      <c r="K2058" s="3">
        <v>100</v>
      </c>
      <c r="L2058" s="4">
        <f>tblSales[[#This Row],[Quantity]]*tblSales[[#This Row],[Actual Price]]</f>
        <v>6700</v>
      </c>
    </row>
    <row r="2059" spans="1:12" x14ac:dyDescent="0.35">
      <c r="A2059" s="3" t="s">
        <v>2671</v>
      </c>
      <c r="B2059" s="4" t="s">
        <v>2192</v>
      </c>
      <c r="C2059" s="4" t="s">
        <v>109</v>
      </c>
      <c r="D2059" s="4" t="s">
        <v>20</v>
      </c>
      <c r="E2059" s="7">
        <v>42997</v>
      </c>
      <c r="F2059" s="4" t="s">
        <v>37</v>
      </c>
      <c r="G2059" s="4" t="s">
        <v>2193</v>
      </c>
      <c r="H2059" s="4">
        <v>50</v>
      </c>
      <c r="I2059" s="4">
        <v>46</v>
      </c>
      <c r="J2059" s="5">
        <v>0.08</v>
      </c>
      <c r="K2059" s="3">
        <v>61</v>
      </c>
      <c r="L2059" s="4">
        <f>tblSales[[#This Row],[Quantity]]*tblSales[[#This Row],[Actual Price]]</f>
        <v>2806</v>
      </c>
    </row>
    <row r="2060" spans="1:12" x14ac:dyDescent="0.35">
      <c r="A2060" s="3" t="s">
        <v>2672</v>
      </c>
      <c r="B2060" s="4" t="s">
        <v>92</v>
      </c>
      <c r="C2060" s="4" t="s">
        <v>93</v>
      </c>
      <c r="D2060" s="4" t="s">
        <v>36</v>
      </c>
      <c r="E2060" s="7">
        <v>43342</v>
      </c>
      <c r="F2060" s="4" t="s">
        <v>56</v>
      </c>
      <c r="G2060" s="4" t="s">
        <v>901</v>
      </c>
      <c r="H2060" s="4">
        <v>800</v>
      </c>
      <c r="I2060" s="4">
        <v>752</v>
      </c>
      <c r="J2060" s="5">
        <v>0.06</v>
      </c>
      <c r="K2060" s="3">
        <v>44</v>
      </c>
      <c r="L2060" s="4">
        <f>tblSales[[#This Row],[Quantity]]*tblSales[[#This Row],[Actual Price]]</f>
        <v>33088</v>
      </c>
    </row>
    <row r="2061" spans="1:12" x14ac:dyDescent="0.35">
      <c r="A2061" s="3" t="s">
        <v>2673</v>
      </c>
      <c r="B2061" s="4" t="s">
        <v>435</v>
      </c>
      <c r="C2061" s="4" t="s">
        <v>436</v>
      </c>
      <c r="D2061" s="4" t="s">
        <v>25</v>
      </c>
      <c r="E2061" s="7">
        <v>43209</v>
      </c>
      <c r="F2061" s="4" t="s">
        <v>73</v>
      </c>
      <c r="G2061" s="4" t="s">
        <v>829</v>
      </c>
      <c r="H2061" s="4">
        <v>500</v>
      </c>
      <c r="I2061" s="4">
        <v>490</v>
      </c>
      <c r="J2061" s="5">
        <v>0.02</v>
      </c>
      <c r="K2061" s="3">
        <v>100</v>
      </c>
      <c r="L2061" s="4">
        <f>tblSales[[#This Row],[Quantity]]*tblSales[[#This Row],[Actual Price]]</f>
        <v>49000</v>
      </c>
    </row>
    <row r="2062" spans="1:12" x14ac:dyDescent="0.35">
      <c r="A2062" s="3" t="s">
        <v>2674</v>
      </c>
      <c r="B2062" s="4" t="s">
        <v>29</v>
      </c>
      <c r="C2062" s="4" t="s">
        <v>30</v>
      </c>
      <c r="D2062" s="4" t="s">
        <v>14</v>
      </c>
      <c r="E2062" s="7">
        <v>42673</v>
      </c>
      <c r="F2062" s="4" t="s">
        <v>31</v>
      </c>
      <c r="G2062" s="4" t="s">
        <v>250</v>
      </c>
      <c r="H2062" s="4">
        <v>150</v>
      </c>
      <c r="I2062" s="4">
        <v>147</v>
      </c>
      <c r="J2062" s="5">
        <v>0.02</v>
      </c>
      <c r="K2062" s="3">
        <v>61</v>
      </c>
      <c r="L2062" s="4">
        <f>tblSales[[#This Row],[Quantity]]*tblSales[[#This Row],[Actual Price]]</f>
        <v>8967</v>
      </c>
    </row>
    <row r="2063" spans="1:12" x14ac:dyDescent="0.35">
      <c r="A2063" s="3" t="s">
        <v>2675</v>
      </c>
      <c r="B2063" s="4" t="s">
        <v>96</v>
      </c>
      <c r="C2063" s="4" t="s">
        <v>97</v>
      </c>
      <c r="D2063" s="4" t="s">
        <v>14</v>
      </c>
      <c r="E2063" s="7">
        <v>42301</v>
      </c>
      <c r="F2063" s="4" t="s">
        <v>73</v>
      </c>
      <c r="G2063" s="4" t="s">
        <v>732</v>
      </c>
      <c r="H2063" s="4">
        <v>500</v>
      </c>
      <c r="I2063" s="4">
        <v>495</v>
      </c>
      <c r="J2063" s="5">
        <v>0.01</v>
      </c>
      <c r="K2063" s="3">
        <v>48</v>
      </c>
      <c r="L2063" s="4">
        <f>tblSales[[#This Row],[Quantity]]*tblSales[[#This Row],[Actual Price]]</f>
        <v>23760</v>
      </c>
    </row>
    <row r="2064" spans="1:12" x14ac:dyDescent="0.35">
      <c r="A2064" s="3" t="s">
        <v>2676</v>
      </c>
      <c r="B2064" s="4" t="s">
        <v>112</v>
      </c>
      <c r="C2064" s="4" t="s">
        <v>83</v>
      </c>
      <c r="D2064" s="4" t="s">
        <v>14</v>
      </c>
      <c r="E2064" s="7">
        <v>42887</v>
      </c>
      <c r="F2064" s="4" t="s">
        <v>73</v>
      </c>
      <c r="G2064" s="4" t="s">
        <v>1689</v>
      </c>
      <c r="H2064" s="4">
        <v>500</v>
      </c>
      <c r="I2064" s="4">
        <v>500</v>
      </c>
      <c r="J2064" s="5">
        <v>0</v>
      </c>
      <c r="K2064" s="3">
        <v>39</v>
      </c>
      <c r="L2064" s="4">
        <f>tblSales[[#This Row],[Quantity]]*tblSales[[#This Row],[Actual Price]]</f>
        <v>19500</v>
      </c>
    </row>
    <row r="2065" spans="1:12" x14ac:dyDescent="0.35">
      <c r="A2065" s="3" t="s">
        <v>2677</v>
      </c>
      <c r="B2065" s="4" t="s">
        <v>256</v>
      </c>
      <c r="C2065" s="4" t="s">
        <v>257</v>
      </c>
      <c r="D2065" s="4" t="s">
        <v>14</v>
      </c>
      <c r="E2065" s="7">
        <v>42426</v>
      </c>
      <c r="F2065" s="4" t="s">
        <v>62</v>
      </c>
      <c r="G2065" s="4" t="s">
        <v>806</v>
      </c>
      <c r="H2065" s="4">
        <v>1000</v>
      </c>
      <c r="I2065" s="4">
        <v>680</v>
      </c>
      <c r="J2065" s="5">
        <v>0.32</v>
      </c>
      <c r="K2065" s="3">
        <v>28</v>
      </c>
      <c r="L2065" s="4">
        <f>tblSales[[#This Row],[Quantity]]*tblSales[[#This Row],[Actual Price]]</f>
        <v>19040</v>
      </c>
    </row>
    <row r="2066" spans="1:12" x14ac:dyDescent="0.35">
      <c r="A2066" s="3" t="s">
        <v>2678</v>
      </c>
      <c r="B2066" s="4" t="s">
        <v>2244</v>
      </c>
      <c r="C2066" s="4" t="s">
        <v>109</v>
      </c>
      <c r="D2066" s="4" t="s">
        <v>20</v>
      </c>
      <c r="E2066" s="7">
        <v>43413</v>
      </c>
      <c r="F2066" s="4" t="s">
        <v>42</v>
      </c>
      <c r="G2066" s="4" t="s">
        <v>2311</v>
      </c>
      <c r="H2066" s="4">
        <v>30</v>
      </c>
      <c r="I2066" s="4">
        <v>27</v>
      </c>
      <c r="J2066" s="5">
        <v>0.1</v>
      </c>
      <c r="K2066" s="3">
        <v>25</v>
      </c>
      <c r="L2066" s="4">
        <f>tblSales[[#This Row],[Quantity]]*tblSales[[#This Row],[Actual Price]]</f>
        <v>675</v>
      </c>
    </row>
    <row r="2067" spans="1:12" x14ac:dyDescent="0.35">
      <c r="A2067" s="3" t="s">
        <v>2679</v>
      </c>
      <c r="B2067" s="4" t="s">
        <v>225</v>
      </c>
      <c r="C2067" s="4" t="s">
        <v>51</v>
      </c>
      <c r="D2067" s="4" t="s">
        <v>25</v>
      </c>
      <c r="E2067" s="7">
        <v>43397</v>
      </c>
      <c r="F2067" s="4" t="s">
        <v>123</v>
      </c>
      <c r="G2067" s="4" t="s">
        <v>226</v>
      </c>
      <c r="H2067" s="4">
        <v>50</v>
      </c>
      <c r="I2067" s="4">
        <v>44</v>
      </c>
      <c r="J2067" s="5">
        <v>0.12</v>
      </c>
      <c r="K2067" s="3">
        <v>66</v>
      </c>
      <c r="L2067" s="4">
        <f>tblSales[[#This Row],[Quantity]]*tblSales[[#This Row],[Actual Price]]</f>
        <v>2904</v>
      </c>
    </row>
    <row r="2068" spans="1:12" x14ac:dyDescent="0.35">
      <c r="A2068" s="3" t="s">
        <v>2680</v>
      </c>
      <c r="B2068" s="4" t="s">
        <v>290</v>
      </c>
      <c r="C2068" s="4" t="s">
        <v>109</v>
      </c>
      <c r="D2068" s="4" t="s">
        <v>20</v>
      </c>
      <c r="E2068" s="7">
        <v>43203</v>
      </c>
      <c r="F2068" s="4" t="s">
        <v>15</v>
      </c>
      <c r="G2068" s="4" t="s">
        <v>1130</v>
      </c>
      <c r="H2068" s="4">
        <v>80</v>
      </c>
      <c r="I2068" s="4">
        <v>80</v>
      </c>
      <c r="J2068" s="5">
        <v>0</v>
      </c>
      <c r="K2068" s="3">
        <v>66</v>
      </c>
      <c r="L2068" s="4">
        <f>tblSales[[#This Row],[Quantity]]*tblSales[[#This Row],[Actual Price]]</f>
        <v>5280</v>
      </c>
    </row>
    <row r="2069" spans="1:12" x14ac:dyDescent="0.35">
      <c r="A2069" s="3" t="s">
        <v>2681</v>
      </c>
      <c r="B2069" s="4" t="s">
        <v>151</v>
      </c>
      <c r="C2069" s="4" t="s">
        <v>152</v>
      </c>
      <c r="D2069" s="4" t="s">
        <v>14</v>
      </c>
      <c r="E2069" s="7">
        <v>41660</v>
      </c>
      <c r="F2069" s="4" t="s">
        <v>47</v>
      </c>
      <c r="G2069" s="4" t="s">
        <v>307</v>
      </c>
      <c r="H2069" s="4">
        <v>500</v>
      </c>
      <c r="I2069" s="4">
        <v>360</v>
      </c>
      <c r="J2069" s="5">
        <v>0.28000000000000003</v>
      </c>
      <c r="K2069" s="3">
        <v>49</v>
      </c>
      <c r="L2069" s="4">
        <f>tblSales[[#This Row],[Quantity]]*tblSales[[#This Row],[Actual Price]]</f>
        <v>17640</v>
      </c>
    </row>
    <row r="2070" spans="1:12" x14ac:dyDescent="0.35">
      <c r="A2070" s="3" t="s">
        <v>2682</v>
      </c>
      <c r="B2070" s="4" t="s">
        <v>2192</v>
      </c>
      <c r="C2070" s="4" t="s">
        <v>109</v>
      </c>
      <c r="D2070" s="4" t="s">
        <v>20</v>
      </c>
      <c r="E2070" s="7">
        <v>41859</v>
      </c>
      <c r="F2070" s="4" t="s">
        <v>56</v>
      </c>
      <c r="G2070" s="4" t="s">
        <v>2202</v>
      </c>
      <c r="H2070" s="4">
        <v>800</v>
      </c>
      <c r="I2070" s="4">
        <v>656</v>
      </c>
      <c r="J2070" s="5">
        <v>0.18</v>
      </c>
      <c r="K2070" s="3">
        <v>59</v>
      </c>
      <c r="L2070" s="4">
        <f>tblSales[[#This Row],[Quantity]]*tblSales[[#This Row],[Actual Price]]</f>
        <v>38704</v>
      </c>
    </row>
    <row r="2071" spans="1:12" x14ac:dyDescent="0.35">
      <c r="A2071" s="3" t="s">
        <v>2683</v>
      </c>
      <c r="B2071" s="4" t="s">
        <v>2244</v>
      </c>
      <c r="C2071" s="4" t="s">
        <v>109</v>
      </c>
      <c r="D2071" s="4" t="s">
        <v>20</v>
      </c>
      <c r="E2071" s="7">
        <v>42507</v>
      </c>
      <c r="F2071" s="4" t="s">
        <v>116</v>
      </c>
      <c r="G2071" s="4" t="s">
        <v>2245</v>
      </c>
      <c r="H2071" s="4">
        <v>250</v>
      </c>
      <c r="I2071" s="4">
        <v>248</v>
      </c>
      <c r="J2071" s="5">
        <v>8.0000000000000002E-3</v>
      </c>
      <c r="K2071" s="3">
        <v>10</v>
      </c>
      <c r="L2071" s="4">
        <f>tblSales[[#This Row],[Quantity]]*tblSales[[#This Row],[Actual Price]]</f>
        <v>2480</v>
      </c>
    </row>
    <row r="2072" spans="1:12" x14ac:dyDescent="0.35">
      <c r="A2072" s="3" t="s">
        <v>2684</v>
      </c>
      <c r="B2072" s="4" t="s">
        <v>45</v>
      </c>
      <c r="C2072" s="4" t="s">
        <v>46</v>
      </c>
      <c r="D2072" s="4" t="s">
        <v>25</v>
      </c>
      <c r="E2072" s="7">
        <v>42634</v>
      </c>
      <c r="F2072" s="4" t="s">
        <v>123</v>
      </c>
      <c r="G2072" s="4" t="s">
        <v>432</v>
      </c>
      <c r="H2072" s="4">
        <v>50</v>
      </c>
      <c r="I2072" s="4">
        <v>49</v>
      </c>
      <c r="J2072" s="5">
        <v>0.02</v>
      </c>
      <c r="K2072" s="3">
        <v>37</v>
      </c>
      <c r="L2072" s="4">
        <f>tblSales[[#This Row],[Quantity]]*tblSales[[#This Row],[Actual Price]]</f>
        <v>1813</v>
      </c>
    </row>
    <row r="2073" spans="1:12" x14ac:dyDescent="0.35">
      <c r="A2073" s="3" t="s">
        <v>2685</v>
      </c>
      <c r="B2073" s="4" t="s">
        <v>12</v>
      </c>
      <c r="C2073" s="4" t="s">
        <v>13</v>
      </c>
      <c r="D2073" s="4" t="s">
        <v>14</v>
      </c>
      <c r="E2073" s="7">
        <v>42620</v>
      </c>
      <c r="F2073" s="4" t="s">
        <v>47</v>
      </c>
      <c r="G2073" s="4" t="s">
        <v>349</v>
      </c>
      <c r="H2073" s="4">
        <v>500</v>
      </c>
      <c r="I2073" s="4">
        <v>480</v>
      </c>
      <c r="J2073" s="5">
        <v>0.04</v>
      </c>
      <c r="K2073" s="3">
        <v>25</v>
      </c>
      <c r="L2073" s="4">
        <f>tblSales[[#This Row],[Quantity]]*tblSales[[#This Row],[Actual Price]]</f>
        <v>12000</v>
      </c>
    </row>
    <row r="2074" spans="1:12" x14ac:dyDescent="0.35">
      <c r="A2074" s="3" t="s">
        <v>2686</v>
      </c>
      <c r="B2074" s="4" t="s">
        <v>135</v>
      </c>
      <c r="C2074" s="4" t="s">
        <v>93</v>
      </c>
      <c r="D2074" s="4" t="s">
        <v>36</v>
      </c>
      <c r="E2074" s="7">
        <v>41642</v>
      </c>
      <c r="F2074" s="4" t="s">
        <v>62</v>
      </c>
      <c r="G2074" s="4" t="s">
        <v>1136</v>
      </c>
      <c r="H2074" s="4">
        <v>1000</v>
      </c>
      <c r="I2074" s="4">
        <v>620</v>
      </c>
      <c r="J2074" s="5">
        <v>0.38</v>
      </c>
      <c r="K2074" s="3">
        <v>1</v>
      </c>
      <c r="L2074" s="4">
        <f>tblSales[[#This Row],[Quantity]]*tblSales[[#This Row],[Actual Price]]</f>
        <v>620</v>
      </c>
    </row>
    <row r="2075" spans="1:12" x14ac:dyDescent="0.35">
      <c r="A2075" s="3" t="s">
        <v>2687</v>
      </c>
      <c r="B2075" s="4" t="s">
        <v>18</v>
      </c>
      <c r="C2075" s="4" t="s">
        <v>19</v>
      </c>
      <c r="D2075" s="4" t="s">
        <v>20</v>
      </c>
      <c r="E2075" s="7">
        <v>42222</v>
      </c>
      <c r="F2075" s="4" t="s">
        <v>116</v>
      </c>
      <c r="G2075" s="4" t="s">
        <v>21</v>
      </c>
      <c r="H2075" s="4">
        <v>250</v>
      </c>
      <c r="I2075" s="4">
        <v>190</v>
      </c>
      <c r="J2075" s="5">
        <v>0.24</v>
      </c>
      <c r="K2075" s="3">
        <v>76</v>
      </c>
      <c r="L2075" s="4">
        <f>tblSales[[#This Row],[Quantity]]*tblSales[[#This Row],[Actual Price]]</f>
        <v>14440</v>
      </c>
    </row>
    <row r="2076" spans="1:12" x14ac:dyDescent="0.35">
      <c r="A2076" s="3" t="s">
        <v>2688</v>
      </c>
      <c r="B2076" s="4" t="s">
        <v>54</v>
      </c>
      <c r="C2076" s="4" t="s">
        <v>55</v>
      </c>
      <c r="D2076" s="4" t="s">
        <v>14</v>
      </c>
      <c r="E2076" s="7">
        <v>42875</v>
      </c>
      <c r="F2076" s="4" t="s">
        <v>56</v>
      </c>
      <c r="G2076" s="4" t="s">
        <v>57</v>
      </c>
      <c r="H2076" s="4">
        <v>800</v>
      </c>
      <c r="I2076" s="4">
        <v>680</v>
      </c>
      <c r="J2076" s="5">
        <v>0.15</v>
      </c>
      <c r="K2076" s="3">
        <v>29</v>
      </c>
      <c r="L2076" s="4">
        <f>tblSales[[#This Row],[Quantity]]*tblSales[[#This Row],[Actual Price]]</f>
        <v>19720</v>
      </c>
    </row>
    <row r="2077" spans="1:12" x14ac:dyDescent="0.35">
      <c r="A2077" s="3" t="s">
        <v>2689</v>
      </c>
      <c r="B2077" s="4" t="s">
        <v>71</v>
      </c>
      <c r="C2077" s="4" t="s">
        <v>72</v>
      </c>
      <c r="D2077" s="4" t="s">
        <v>36</v>
      </c>
      <c r="E2077" s="7">
        <v>43348</v>
      </c>
      <c r="F2077" s="4" t="s">
        <v>47</v>
      </c>
      <c r="G2077" s="4" t="s">
        <v>74</v>
      </c>
      <c r="H2077" s="4">
        <v>500</v>
      </c>
      <c r="I2077" s="4">
        <v>480</v>
      </c>
      <c r="J2077" s="5">
        <v>0.04</v>
      </c>
      <c r="K2077" s="3">
        <v>38</v>
      </c>
      <c r="L2077" s="4">
        <f>tblSales[[#This Row],[Quantity]]*tblSales[[#This Row],[Actual Price]]</f>
        <v>18240</v>
      </c>
    </row>
    <row r="2078" spans="1:12" x14ac:dyDescent="0.35">
      <c r="A2078" s="3" t="s">
        <v>2690</v>
      </c>
      <c r="B2078" s="4" t="s">
        <v>435</v>
      </c>
      <c r="C2078" s="4" t="s">
        <v>436</v>
      </c>
      <c r="D2078" s="4" t="s">
        <v>25</v>
      </c>
      <c r="E2078" s="7">
        <v>43450</v>
      </c>
      <c r="F2078" s="4" t="s">
        <v>123</v>
      </c>
      <c r="G2078" s="4" t="s">
        <v>859</v>
      </c>
      <c r="H2078" s="4">
        <v>50</v>
      </c>
      <c r="I2078" s="4">
        <v>49</v>
      </c>
      <c r="J2078" s="5">
        <v>0.02</v>
      </c>
      <c r="K2078" s="3">
        <v>60</v>
      </c>
      <c r="L2078" s="4">
        <f>tblSales[[#This Row],[Quantity]]*tblSales[[#This Row],[Actual Price]]</f>
        <v>2940</v>
      </c>
    </row>
    <row r="2079" spans="1:12" x14ac:dyDescent="0.35">
      <c r="A2079" s="3" t="s">
        <v>2691</v>
      </c>
      <c r="B2079" s="4" t="s">
        <v>401</v>
      </c>
      <c r="C2079" s="4" t="s">
        <v>402</v>
      </c>
      <c r="D2079" s="4" t="s">
        <v>14</v>
      </c>
      <c r="E2079" s="7">
        <v>42054</v>
      </c>
      <c r="F2079" s="4" t="s">
        <v>15</v>
      </c>
      <c r="G2079" s="4" t="s">
        <v>444</v>
      </c>
      <c r="H2079" s="4">
        <v>80</v>
      </c>
      <c r="I2079" s="4">
        <v>58</v>
      </c>
      <c r="J2079" s="5">
        <v>0.27500000000000002</v>
      </c>
      <c r="K2079" s="3">
        <v>43</v>
      </c>
      <c r="L2079" s="4">
        <f>tblSales[[#This Row],[Quantity]]*tblSales[[#This Row],[Actual Price]]</f>
        <v>2494</v>
      </c>
    </row>
    <row r="2080" spans="1:12" x14ac:dyDescent="0.35">
      <c r="A2080" s="3" t="s">
        <v>2692</v>
      </c>
      <c r="B2080" s="4" t="s">
        <v>290</v>
      </c>
      <c r="C2080" s="4" t="s">
        <v>109</v>
      </c>
      <c r="D2080" s="4" t="s">
        <v>20</v>
      </c>
      <c r="E2080" s="7">
        <v>42491</v>
      </c>
      <c r="F2080" s="4" t="s">
        <v>47</v>
      </c>
      <c r="G2080" s="4" t="s">
        <v>878</v>
      </c>
      <c r="H2080" s="4">
        <v>500</v>
      </c>
      <c r="I2080" s="4">
        <v>500</v>
      </c>
      <c r="J2080" s="5">
        <v>0</v>
      </c>
      <c r="K2080" s="3">
        <v>15</v>
      </c>
      <c r="L2080" s="4">
        <f>tblSales[[#This Row],[Quantity]]*tblSales[[#This Row],[Actual Price]]</f>
        <v>7500</v>
      </c>
    </row>
    <row r="2081" spans="1:12" x14ac:dyDescent="0.35">
      <c r="A2081" s="3" t="s">
        <v>2693</v>
      </c>
      <c r="B2081" s="4" t="s">
        <v>82</v>
      </c>
      <c r="C2081" s="4" t="s">
        <v>83</v>
      </c>
      <c r="D2081" s="4" t="s">
        <v>14</v>
      </c>
      <c r="E2081" s="7">
        <v>41926</v>
      </c>
      <c r="F2081" s="4" t="s">
        <v>26</v>
      </c>
      <c r="G2081" s="4" t="s">
        <v>1233</v>
      </c>
      <c r="H2081" s="4">
        <v>700</v>
      </c>
      <c r="I2081" s="4">
        <v>574</v>
      </c>
      <c r="J2081" s="5">
        <v>0.18</v>
      </c>
      <c r="K2081" s="3">
        <v>76</v>
      </c>
      <c r="L2081" s="4">
        <f>tblSales[[#This Row],[Quantity]]*tblSales[[#This Row],[Actual Price]]</f>
        <v>43624</v>
      </c>
    </row>
    <row r="2082" spans="1:12" x14ac:dyDescent="0.35">
      <c r="A2082" s="3" t="s">
        <v>2694</v>
      </c>
      <c r="B2082" s="4" t="s">
        <v>242</v>
      </c>
      <c r="C2082" s="4" t="s">
        <v>243</v>
      </c>
      <c r="D2082" s="4" t="s">
        <v>14</v>
      </c>
      <c r="E2082" s="7">
        <v>43132</v>
      </c>
      <c r="F2082" s="4" t="s">
        <v>37</v>
      </c>
      <c r="G2082" s="4" t="s">
        <v>288</v>
      </c>
      <c r="H2082" s="4">
        <v>50</v>
      </c>
      <c r="I2082" s="4">
        <v>47</v>
      </c>
      <c r="J2082" s="5">
        <v>0.06</v>
      </c>
      <c r="K2082" s="3">
        <v>83</v>
      </c>
      <c r="L2082" s="4">
        <f>tblSales[[#This Row],[Quantity]]*tblSales[[#This Row],[Actual Price]]</f>
        <v>3901</v>
      </c>
    </row>
    <row r="2083" spans="1:12" x14ac:dyDescent="0.35">
      <c r="A2083" s="3" t="s">
        <v>2695</v>
      </c>
      <c r="B2083" s="4" t="s">
        <v>125</v>
      </c>
      <c r="C2083" s="4" t="s">
        <v>41</v>
      </c>
      <c r="D2083" s="4" t="s">
        <v>36</v>
      </c>
      <c r="E2083" s="7">
        <v>43436</v>
      </c>
      <c r="F2083" s="4" t="s">
        <v>42</v>
      </c>
      <c r="G2083" s="4" t="s">
        <v>917</v>
      </c>
      <c r="H2083" s="4">
        <v>30</v>
      </c>
      <c r="I2083" s="4">
        <v>26</v>
      </c>
      <c r="J2083" s="5">
        <v>0.1333</v>
      </c>
      <c r="K2083" s="3">
        <v>51</v>
      </c>
      <c r="L2083" s="4">
        <f>tblSales[[#This Row],[Quantity]]*tblSales[[#This Row],[Actual Price]]</f>
        <v>1326</v>
      </c>
    </row>
    <row r="2084" spans="1:12" x14ac:dyDescent="0.35">
      <c r="A2084" s="3" t="s">
        <v>2696</v>
      </c>
      <c r="B2084" s="4" t="s">
        <v>34</v>
      </c>
      <c r="C2084" s="4" t="s">
        <v>35</v>
      </c>
      <c r="D2084" s="4" t="s">
        <v>36</v>
      </c>
      <c r="E2084" s="7">
        <v>41965</v>
      </c>
      <c r="F2084" s="4" t="s">
        <v>42</v>
      </c>
      <c r="G2084" s="4" t="s">
        <v>76</v>
      </c>
      <c r="H2084" s="4">
        <v>30</v>
      </c>
      <c r="I2084" s="4">
        <v>22</v>
      </c>
      <c r="J2084" s="5">
        <v>0.26669999999999999</v>
      </c>
      <c r="K2084" s="3">
        <v>100</v>
      </c>
      <c r="L2084" s="4">
        <f>tblSales[[#This Row],[Quantity]]*tblSales[[#This Row],[Actual Price]]</f>
        <v>2200</v>
      </c>
    </row>
    <row r="2085" spans="1:12" x14ac:dyDescent="0.35">
      <c r="A2085" s="3" t="s">
        <v>2697</v>
      </c>
      <c r="B2085" s="4" t="s">
        <v>100</v>
      </c>
      <c r="C2085" s="4" t="s">
        <v>101</v>
      </c>
      <c r="D2085" s="4" t="s">
        <v>14</v>
      </c>
      <c r="E2085" s="7">
        <v>42279</v>
      </c>
      <c r="F2085" s="4" t="s">
        <v>26</v>
      </c>
      <c r="G2085" s="4" t="s">
        <v>912</v>
      </c>
      <c r="H2085" s="4">
        <v>700</v>
      </c>
      <c r="I2085" s="4">
        <v>679</v>
      </c>
      <c r="J2085" s="5">
        <v>0.03</v>
      </c>
      <c r="K2085" s="3">
        <v>20</v>
      </c>
      <c r="L2085" s="4">
        <f>tblSales[[#This Row],[Quantity]]*tblSales[[#This Row],[Actual Price]]</f>
        <v>13580</v>
      </c>
    </row>
    <row r="2086" spans="1:12" x14ac:dyDescent="0.35">
      <c r="A2086" s="3" t="s">
        <v>2698</v>
      </c>
      <c r="B2086" s="4" t="s">
        <v>256</v>
      </c>
      <c r="C2086" s="4" t="s">
        <v>257</v>
      </c>
      <c r="D2086" s="4" t="s">
        <v>14</v>
      </c>
      <c r="E2086" s="7">
        <v>41920</v>
      </c>
      <c r="F2086" s="4" t="s">
        <v>62</v>
      </c>
      <c r="G2086" s="4" t="s">
        <v>1209</v>
      </c>
      <c r="H2086" s="4">
        <v>1000</v>
      </c>
      <c r="I2086" s="4">
        <v>850</v>
      </c>
      <c r="J2086" s="5">
        <v>0.15</v>
      </c>
      <c r="K2086" s="3">
        <v>6</v>
      </c>
      <c r="L2086" s="4">
        <f>tblSales[[#This Row],[Quantity]]*tblSales[[#This Row],[Actual Price]]</f>
        <v>5100</v>
      </c>
    </row>
    <row r="2087" spans="1:12" x14ac:dyDescent="0.35">
      <c r="A2087" s="3" t="s">
        <v>2699</v>
      </c>
      <c r="B2087" s="4" t="s">
        <v>104</v>
      </c>
      <c r="C2087" s="4" t="s">
        <v>72</v>
      </c>
      <c r="D2087" s="4" t="s">
        <v>36</v>
      </c>
      <c r="E2087" s="7">
        <v>43274</v>
      </c>
      <c r="F2087" s="4" t="s">
        <v>73</v>
      </c>
      <c r="G2087" s="4" t="s">
        <v>728</v>
      </c>
      <c r="H2087" s="4">
        <v>500</v>
      </c>
      <c r="I2087" s="4">
        <v>490</v>
      </c>
      <c r="J2087" s="5">
        <v>0.02</v>
      </c>
      <c r="K2087" s="3">
        <v>73</v>
      </c>
      <c r="L2087" s="4">
        <f>tblSales[[#This Row],[Quantity]]*tblSales[[#This Row],[Actual Price]]</f>
        <v>35770</v>
      </c>
    </row>
    <row r="2088" spans="1:12" x14ac:dyDescent="0.35">
      <c r="A2088" s="3" t="s">
        <v>2700</v>
      </c>
      <c r="B2088" s="4" t="s">
        <v>100</v>
      </c>
      <c r="C2088" s="4" t="s">
        <v>101</v>
      </c>
      <c r="D2088" s="4" t="s">
        <v>14</v>
      </c>
      <c r="E2088" s="7">
        <v>42588</v>
      </c>
      <c r="F2088" s="4" t="s">
        <v>105</v>
      </c>
      <c r="G2088" s="4" t="s">
        <v>102</v>
      </c>
      <c r="H2088" s="4">
        <v>70</v>
      </c>
      <c r="I2088" s="4">
        <v>70</v>
      </c>
      <c r="J2088" s="5">
        <v>0</v>
      </c>
      <c r="K2088" s="3">
        <v>73</v>
      </c>
      <c r="L2088" s="4">
        <f>tblSales[[#This Row],[Quantity]]*tblSales[[#This Row],[Actual Price]]</f>
        <v>5110</v>
      </c>
    </row>
    <row r="2089" spans="1:12" x14ac:dyDescent="0.35">
      <c r="A2089" s="3" t="s">
        <v>2701</v>
      </c>
      <c r="B2089" s="4" t="s">
        <v>71</v>
      </c>
      <c r="C2089" s="4" t="s">
        <v>72</v>
      </c>
      <c r="D2089" s="4" t="s">
        <v>36</v>
      </c>
      <c r="E2089" s="7">
        <v>41808</v>
      </c>
      <c r="F2089" s="4" t="s">
        <v>47</v>
      </c>
      <c r="G2089" s="4" t="s">
        <v>329</v>
      </c>
      <c r="H2089" s="4">
        <v>500</v>
      </c>
      <c r="I2089" s="4">
        <v>455</v>
      </c>
      <c r="J2089" s="5">
        <v>0.09</v>
      </c>
      <c r="K2089" s="3">
        <v>11</v>
      </c>
      <c r="L2089" s="4">
        <f>tblSales[[#This Row],[Quantity]]*tblSales[[#This Row],[Actual Price]]</f>
        <v>5005</v>
      </c>
    </row>
    <row r="2090" spans="1:12" x14ac:dyDescent="0.35">
      <c r="A2090" s="3" t="s">
        <v>2702</v>
      </c>
      <c r="B2090" s="4" t="s">
        <v>147</v>
      </c>
      <c r="C2090" s="4" t="s">
        <v>148</v>
      </c>
      <c r="D2090" s="4" t="s">
        <v>14</v>
      </c>
      <c r="E2090" s="7">
        <v>41843</v>
      </c>
      <c r="F2090" s="4" t="s">
        <v>42</v>
      </c>
      <c r="G2090" s="4" t="s">
        <v>1648</v>
      </c>
      <c r="H2090" s="4">
        <v>30</v>
      </c>
      <c r="I2090" s="4">
        <v>26</v>
      </c>
      <c r="J2090" s="5">
        <v>0.1333</v>
      </c>
      <c r="K2090" s="3">
        <v>68</v>
      </c>
      <c r="L2090" s="4">
        <f>tblSales[[#This Row],[Quantity]]*tblSales[[#This Row],[Actual Price]]</f>
        <v>1768</v>
      </c>
    </row>
    <row r="2091" spans="1:12" x14ac:dyDescent="0.35">
      <c r="A2091" s="3" t="s">
        <v>2703</v>
      </c>
      <c r="B2091" s="4" t="s">
        <v>65</v>
      </c>
      <c r="C2091" s="4" t="s">
        <v>66</v>
      </c>
      <c r="D2091" s="4" t="s">
        <v>36</v>
      </c>
      <c r="E2091" s="7">
        <v>42744</v>
      </c>
      <c r="F2091" s="4" t="s">
        <v>105</v>
      </c>
      <c r="G2091" s="4" t="s">
        <v>1058</v>
      </c>
      <c r="H2091" s="4">
        <v>70</v>
      </c>
      <c r="I2091" s="4">
        <v>69</v>
      </c>
      <c r="J2091" s="5">
        <v>1.43E-2</v>
      </c>
      <c r="K2091" s="3">
        <v>11</v>
      </c>
      <c r="L2091" s="4">
        <f>tblSales[[#This Row],[Quantity]]*tblSales[[#This Row],[Actual Price]]</f>
        <v>759</v>
      </c>
    </row>
    <row r="2092" spans="1:12" x14ac:dyDescent="0.35">
      <c r="A2092" s="3" t="s">
        <v>2704</v>
      </c>
      <c r="B2092" s="4" t="s">
        <v>34</v>
      </c>
      <c r="C2092" s="4" t="s">
        <v>35</v>
      </c>
      <c r="D2092" s="4" t="s">
        <v>36</v>
      </c>
      <c r="E2092" s="7">
        <v>43412</v>
      </c>
      <c r="F2092" s="4" t="s">
        <v>15</v>
      </c>
      <c r="G2092" s="4" t="s">
        <v>1132</v>
      </c>
      <c r="H2092" s="4">
        <v>80</v>
      </c>
      <c r="I2092" s="4">
        <v>69</v>
      </c>
      <c r="J2092" s="5">
        <v>0.13750000000000001</v>
      </c>
      <c r="K2092" s="3">
        <v>46</v>
      </c>
      <c r="L2092" s="4">
        <f>tblSales[[#This Row],[Quantity]]*tblSales[[#This Row],[Actual Price]]</f>
        <v>3174</v>
      </c>
    </row>
    <row r="2093" spans="1:12" x14ac:dyDescent="0.35">
      <c r="A2093" s="3" t="s">
        <v>2705</v>
      </c>
      <c r="B2093" s="4" t="s">
        <v>100</v>
      </c>
      <c r="C2093" s="4" t="s">
        <v>101</v>
      </c>
      <c r="D2093" s="4" t="s">
        <v>14</v>
      </c>
      <c r="E2093" s="7">
        <v>42934</v>
      </c>
      <c r="F2093" s="4" t="s">
        <v>31</v>
      </c>
      <c r="G2093" s="4" t="s">
        <v>1172</v>
      </c>
      <c r="H2093" s="4">
        <v>150</v>
      </c>
      <c r="I2093" s="4">
        <v>141</v>
      </c>
      <c r="J2093" s="5">
        <v>0.06</v>
      </c>
      <c r="K2093" s="3">
        <v>48</v>
      </c>
      <c r="L2093" s="4">
        <f>tblSales[[#This Row],[Quantity]]*tblSales[[#This Row],[Actual Price]]</f>
        <v>6768</v>
      </c>
    </row>
    <row r="2094" spans="1:12" x14ac:dyDescent="0.35">
      <c r="A2094" s="3" t="s">
        <v>2706</v>
      </c>
      <c r="B2094" s="4" t="s">
        <v>155</v>
      </c>
      <c r="C2094" s="4" t="s">
        <v>109</v>
      </c>
      <c r="D2094" s="4" t="s">
        <v>20</v>
      </c>
      <c r="E2094" s="7">
        <v>42211</v>
      </c>
      <c r="F2094" s="4" t="s">
        <v>123</v>
      </c>
      <c r="G2094" s="4" t="s">
        <v>491</v>
      </c>
      <c r="H2094" s="4">
        <v>50</v>
      </c>
      <c r="I2094" s="4">
        <v>36</v>
      </c>
      <c r="J2094" s="5">
        <v>0.28000000000000003</v>
      </c>
      <c r="K2094" s="3">
        <v>54</v>
      </c>
      <c r="L2094" s="4">
        <f>tblSales[[#This Row],[Quantity]]*tblSales[[#This Row],[Actual Price]]</f>
        <v>1944</v>
      </c>
    </row>
    <row r="2095" spans="1:12" x14ac:dyDescent="0.35">
      <c r="A2095" s="3" t="s">
        <v>2707</v>
      </c>
      <c r="B2095" s="4" t="s">
        <v>242</v>
      </c>
      <c r="C2095" s="4" t="s">
        <v>243</v>
      </c>
      <c r="D2095" s="4" t="s">
        <v>14</v>
      </c>
      <c r="E2095" s="7">
        <v>41976</v>
      </c>
      <c r="F2095" s="4" t="s">
        <v>56</v>
      </c>
      <c r="G2095" s="4" t="s">
        <v>351</v>
      </c>
      <c r="H2095" s="4">
        <v>800</v>
      </c>
      <c r="I2095" s="4">
        <v>608</v>
      </c>
      <c r="J2095" s="5">
        <v>0.24</v>
      </c>
      <c r="K2095" s="3">
        <v>88</v>
      </c>
      <c r="L2095" s="4">
        <f>tblSales[[#This Row],[Quantity]]*tblSales[[#This Row],[Actual Price]]</f>
        <v>53504</v>
      </c>
    </row>
    <row r="2096" spans="1:12" x14ac:dyDescent="0.35">
      <c r="A2096" s="3" t="s">
        <v>2708</v>
      </c>
      <c r="B2096" s="4" t="s">
        <v>151</v>
      </c>
      <c r="C2096" s="4" t="s">
        <v>152</v>
      </c>
      <c r="D2096" s="4" t="s">
        <v>14</v>
      </c>
      <c r="E2096" s="7">
        <v>41765</v>
      </c>
      <c r="F2096" s="4" t="s">
        <v>73</v>
      </c>
      <c r="G2096" s="4" t="s">
        <v>186</v>
      </c>
      <c r="H2096" s="4">
        <v>500</v>
      </c>
      <c r="I2096" s="4">
        <v>495</v>
      </c>
      <c r="J2096" s="5">
        <v>0.01</v>
      </c>
      <c r="K2096" s="3">
        <v>42</v>
      </c>
      <c r="L2096" s="4">
        <f>tblSales[[#This Row],[Quantity]]*tblSales[[#This Row],[Actual Price]]</f>
        <v>20790</v>
      </c>
    </row>
    <row r="2097" spans="1:12" x14ac:dyDescent="0.35">
      <c r="A2097" s="3" t="s">
        <v>2709</v>
      </c>
      <c r="B2097" s="4" t="s">
        <v>115</v>
      </c>
      <c r="C2097" s="4" t="s">
        <v>55</v>
      </c>
      <c r="D2097" s="4" t="s">
        <v>14</v>
      </c>
      <c r="E2097" s="7">
        <v>42272</v>
      </c>
      <c r="F2097" s="4" t="s">
        <v>31</v>
      </c>
      <c r="G2097" s="4" t="s">
        <v>368</v>
      </c>
      <c r="H2097" s="4">
        <v>150</v>
      </c>
      <c r="I2097" s="4">
        <v>126</v>
      </c>
      <c r="J2097" s="5">
        <v>0.16</v>
      </c>
      <c r="K2097" s="3">
        <v>16</v>
      </c>
      <c r="L2097" s="4">
        <f>tblSales[[#This Row],[Quantity]]*tblSales[[#This Row],[Actual Price]]</f>
        <v>2016</v>
      </c>
    </row>
    <row r="2098" spans="1:12" x14ac:dyDescent="0.35">
      <c r="A2098" s="3" t="s">
        <v>2710</v>
      </c>
      <c r="B2098" s="4" t="s">
        <v>40</v>
      </c>
      <c r="C2098" s="4" t="s">
        <v>41</v>
      </c>
      <c r="D2098" s="4" t="s">
        <v>36</v>
      </c>
      <c r="E2098" s="7">
        <v>43139</v>
      </c>
      <c r="F2098" s="4" t="s">
        <v>37</v>
      </c>
      <c r="G2098" s="4" t="s">
        <v>1632</v>
      </c>
      <c r="H2098" s="4">
        <v>50</v>
      </c>
      <c r="I2098" s="4">
        <v>17</v>
      </c>
      <c r="J2098" s="5">
        <v>0.66</v>
      </c>
      <c r="K2098" s="3">
        <v>44</v>
      </c>
      <c r="L2098" s="4">
        <f>tblSales[[#This Row],[Quantity]]*tblSales[[#This Row],[Actual Price]]</f>
        <v>748</v>
      </c>
    </row>
    <row r="2099" spans="1:12" x14ac:dyDescent="0.35">
      <c r="A2099" s="3" t="s">
        <v>2711</v>
      </c>
      <c r="B2099" s="4" t="s">
        <v>29</v>
      </c>
      <c r="C2099" s="4" t="s">
        <v>30</v>
      </c>
      <c r="D2099" s="4" t="s">
        <v>14</v>
      </c>
      <c r="E2099" s="7">
        <v>43044</v>
      </c>
      <c r="F2099" s="4" t="s">
        <v>42</v>
      </c>
      <c r="G2099" s="4" t="s">
        <v>336</v>
      </c>
      <c r="H2099" s="4">
        <v>30</v>
      </c>
      <c r="I2099" s="4">
        <v>28</v>
      </c>
      <c r="J2099" s="5">
        <v>6.6699999999999995E-2</v>
      </c>
      <c r="K2099" s="3">
        <v>47</v>
      </c>
      <c r="L2099" s="4">
        <f>tblSales[[#This Row],[Quantity]]*tblSales[[#This Row],[Actual Price]]</f>
        <v>1316</v>
      </c>
    </row>
    <row r="2100" spans="1:12" x14ac:dyDescent="0.35">
      <c r="A2100" s="3" t="s">
        <v>2712</v>
      </c>
      <c r="B2100" s="4" t="s">
        <v>108</v>
      </c>
      <c r="C2100" s="4" t="s">
        <v>109</v>
      </c>
      <c r="D2100" s="4" t="s">
        <v>20</v>
      </c>
      <c r="E2100" s="7">
        <v>42416</v>
      </c>
      <c r="F2100" s="4" t="s">
        <v>62</v>
      </c>
      <c r="G2100" s="4" t="s">
        <v>355</v>
      </c>
      <c r="H2100" s="4">
        <v>1000</v>
      </c>
      <c r="I2100" s="4">
        <v>810</v>
      </c>
      <c r="J2100" s="5">
        <v>0.19</v>
      </c>
      <c r="K2100" s="3">
        <v>87</v>
      </c>
      <c r="L2100" s="4">
        <f>tblSales[[#This Row],[Quantity]]*tblSales[[#This Row],[Actual Price]]</f>
        <v>70470</v>
      </c>
    </row>
    <row r="2101" spans="1:12" x14ac:dyDescent="0.35">
      <c r="A2101" s="3" t="s">
        <v>2713</v>
      </c>
      <c r="B2101" s="4" t="s">
        <v>222</v>
      </c>
      <c r="C2101" s="4" t="s">
        <v>41</v>
      </c>
      <c r="D2101" s="4" t="s">
        <v>36</v>
      </c>
      <c r="E2101" s="7">
        <v>41939</v>
      </c>
      <c r="F2101" s="4" t="s">
        <v>26</v>
      </c>
      <c r="G2101" s="4" t="s">
        <v>2568</v>
      </c>
      <c r="H2101" s="4">
        <v>700</v>
      </c>
      <c r="I2101" s="4">
        <v>700</v>
      </c>
      <c r="J2101" s="5">
        <v>0</v>
      </c>
      <c r="K2101" s="3">
        <v>34</v>
      </c>
      <c r="L2101" s="4">
        <f>tblSales[[#This Row],[Quantity]]*tblSales[[#This Row],[Actual Price]]</f>
        <v>23800</v>
      </c>
    </row>
    <row r="2102" spans="1:12" x14ac:dyDescent="0.35">
      <c r="A2102" s="3" t="s">
        <v>2714</v>
      </c>
      <c r="B2102" s="4" t="s">
        <v>183</v>
      </c>
      <c r="C2102" s="4" t="s">
        <v>109</v>
      </c>
      <c r="D2102" s="4" t="s">
        <v>20</v>
      </c>
      <c r="E2102" s="7">
        <v>43360</v>
      </c>
      <c r="F2102" s="4" t="s">
        <v>37</v>
      </c>
      <c r="G2102" s="4" t="s">
        <v>204</v>
      </c>
      <c r="H2102" s="4">
        <v>50</v>
      </c>
      <c r="I2102" s="4">
        <v>48</v>
      </c>
      <c r="J2102" s="5">
        <v>0.04</v>
      </c>
      <c r="K2102" s="3">
        <v>69</v>
      </c>
      <c r="L2102" s="4">
        <f>tblSales[[#This Row],[Quantity]]*tblSales[[#This Row],[Actual Price]]</f>
        <v>3312</v>
      </c>
    </row>
    <row r="2103" spans="1:12" x14ac:dyDescent="0.35">
      <c r="A2103" s="3" t="s">
        <v>2715</v>
      </c>
      <c r="B2103" s="4" t="s">
        <v>2244</v>
      </c>
      <c r="C2103" s="4" t="s">
        <v>109</v>
      </c>
      <c r="D2103" s="4" t="s">
        <v>20</v>
      </c>
      <c r="E2103" s="7">
        <v>42596</v>
      </c>
      <c r="F2103" s="4" t="s">
        <v>123</v>
      </c>
      <c r="G2103" s="4" t="s">
        <v>2245</v>
      </c>
      <c r="H2103" s="4">
        <v>50</v>
      </c>
      <c r="I2103" s="4">
        <v>43</v>
      </c>
      <c r="J2103" s="5">
        <v>0.14000000000000001</v>
      </c>
      <c r="K2103" s="3">
        <v>25</v>
      </c>
      <c r="L2103" s="4">
        <f>tblSales[[#This Row],[Quantity]]*tblSales[[#This Row],[Actual Price]]</f>
        <v>1075</v>
      </c>
    </row>
    <row r="2104" spans="1:12" x14ac:dyDescent="0.35">
      <c r="A2104" s="3" t="s">
        <v>2716</v>
      </c>
      <c r="B2104" s="4" t="s">
        <v>228</v>
      </c>
      <c r="C2104" s="4" t="s">
        <v>229</v>
      </c>
      <c r="D2104" s="4" t="s">
        <v>25</v>
      </c>
      <c r="E2104" s="7">
        <v>42231</v>
      </c>
      <c r="F2104" s="4" t="s">
        <v>56</v>
      </c>
      <c r="G2104" s="4" t="s">
        <v>230</v>
      </c>
      <c r="H2104" s="4">
        <v>800</v>
      </c>
      <c r="I2104" s="4">
        <v>504</v>
      </c>
      <c r="J2104" s="5">
        <v>0.37</v>
      </c>
      <c r="K2104" s="3">
        <v>88</v>
      </c>
      <c r="L2104" s="4">
        <f>tblSales[[#This Row],[Quantity]]*tblSales[[#This Row],[Actual Price]]</f>
        <v>44352</v>
      </c>
    </row>
    <row r="2105" spans="1:12" x14ac:dyDescent="0.35">
      <c r="A2105" s="3" t="s">
        <v>2717</v>
      </c>
      <c r="B2105" s="4" t="s">
        <v>119</v>
      </c>
      <c r="C2105" s="4" t="s">
        <v>120</v>
      </c>
      <c r="D2105" s="4" t="s">
        <v>36</v>
      </c>
      <c r="E2105" s="7">
        <v>43200</v>
      </c>
      <c r="F2105" s="4" t="s">
        <v>15</v>
      </c>
      <c r="G2105" s="4" t="s">
        <v>1080</v>
      </c>
      <c r="H2105" s="4">
        <v>80</v>
      </c>
      <c r="I2105" s="4">
        <v>76</v>
      </c>
      <c r="J2105" s="5">
        <v>0.05</v>
      </c>
      <c r="K2105" s="3">
        <v>36</v>
      </c>
      <c r="L2105" s="4">
        <f>tblSales[[#This Row],[Quantity]]*tblSales[[#This Row],[Actual Price]]</f>
        <v>2736</v>
      </c>
    </row>
    <row r="2106" spans="1:12" x14ac:dyDescent="0.35">
      <c r="A2106" s="3" t="s">
        <v>2718</v>
      </c>
      <c r="B2106" s="4" t="s">
        <v>65</v>
      </c>
      <c r="C2106" s="4" t="s">
        <v>66</v>
      </c>
      <c r="D2106" s="4" t="s">
        <v>36</v>
      </c>
      <c r="E2106" s="7">
        <v>42203</v>
      </c>
      <c r="F2106" s="4" t="s">
        <v>42</v>
      </c>
      <c r="G2106" s="4" t="s">
        <v>873</v>
      </c>
      <c r="H2106" s="4">
        <v>30</v>
      </c>
      <c r="I2106" s="4">
        <v>29</v>
      </c>
      <c r="J2106" s="5">
        <v>3.3300000000000003E-2</v>
      </c>
      <c r="K2106" s="3">
        <v>70</v>
      </c>
      <c r="L2106" s="4">
        <f>tblSales[[#This Row],[Quantity]]*tblSales[[#This Row],[Actual Price]]</f>
        <v>2030</v>
      </c>
    </row>
    <row r="2107" spans="1:12" x14ac:dyDescent="0.35">
      <c r="A2107" s="3" t="s">
        <v>2719</v>
      </c>
      <c r="B2107" s="4" t="s">
        <v>135</v>
      </c>
      <c r="C2107" s="4" t="s">
        <v>93</v>
      </c>
      <c r="D2107" s="4" t="s">
        <v>36</v>
      </c>
      <c r="E2107" s="7">
        <v>42083</v>
      </c>
      <c r="F2107" s="4" t="s">
        <v>26</v>
      </c>
      <c r="G2107" s="4" t="s">
        <v>375</v>
      </c>
      <c r="H2107" s="4">
        <v>700</v>
      </c>
      <c r="I2107" s="4">
        <v>644</v>
      </c>
      <c r="J2107" s="5">
        <v>0.08</v>
      </c>
      <c r="K2107" s="3">
        <v>92</v>
      </c>
      <c r="L2107" s="4">
        <f>tblSales[[#This Row],[Quantity]]*tblSales[[#This Row],[Actual Price]]</f>
        <v>59248</v>
      </c>
    </row>
    <row r="2108" spans="1:12" x14ac:dyDescent="0.35">
      <c r="A2108" s="3" t="s">
        <v>2720</v>
      </c>
      <c r="B2108" s="4" t="s">
        <v>132</v>
      </c>
      <c r="C2108" s="4" t="s">
        <v>109</v>
      </c>
      <c r="D2108" s="4" t="s">
        <v>20</v>
      </c>
      <c r="E2108" s="7">
        <v>43464</v>
      </c>
      <c r="F2108" s="4" t="s">
        <v>105</v>
      </c>
      <c r="G2108" s="4" t="s">
        <v>213</v>
      </c>
      <c r="H2108" s="4">
        <v>70</v>
      </c>
      <c r="I2108" s="4">
        <v>69</v>
      </c>
      <c r="J2108" s="5">
        <v>1.43E-2</v>
      </c>
      <c r="K2108" s="3">
        <v>29</v>
      </c>
      <c r="L2108" s="4">
        <f>tblSales[[#This Row],[Quantity]]*tblSales[[#This Row],[Actual Price]]</f>
        <v>2001</v>
      </c>
    </row>
    <row r="2109" spans="1:12" x14ac:dyDescent="0.35">
      <c r="A2109" s="3" t="s">
        <v>2721</v>
      </c>
      <c r="B2109" s="4" t="s">
        <v>119</v>
      </c>
      <c r="C2109" s="4" t="s">
        <v>120</v>
      </c>
      <c r="D2109" s="4" t="s">
        <v>36</v>
      </c>
      <c r="E2109" s="7">
        <v>43168</v>
      </c>
      <c r="F2109" s="4" t="s">
        <v>62</v>
      </c>
      <c r="G2109" s="4" t="s">
        <v>848</v>
      </c>
      <c r="H2109" s="4">
        <v>1000</v>
      </c>
      <c r="I2109" s="4">
        <v>780</v>
      </c>
      <c r="J2109" s="5">
        <v>0.22</v>
      </c>
      <c r="K2109" s="3">
        <v>70</v>
      </c>
      <c r="L2109" s="4">
        <f>tblSales[[#This Row],[Quantity]]*tblSales[[#This Row],[Actual Price]]</f>
        <v>54600</v>
      </c>
    </row>
    <row r="2110" spans="1:12" x14ac:dyDescent="0.35">
      <c r="A2110" s="3" t="s">
        <v>2722</v>
      </c>
      <c r="B2110" s="4" t="s">
        <v>104</v>
      </c>
      <c r="C2110" s="4" t="s">
        <v>72</v>
      </c>
      <c r="D2110" s="4" t="s">
        <v>36</v>
      </c>
      <c r="E2110" s="7">
        <v>42455</v>
      </c>
      <c r="F2110" s="4" t="s">
        <v>123</v>
      </c>
      <c r="G2110" s="4" t="s">
        <v>106</v>
      </c>
      <c r="H2110" s="4">
        <v>50</v>
      </c>
      <c r="I2110" s="4">
        <v>45</v>
      </c>
      <c r="J2110" s="5">
        <v>0.1</v>
      </c>
      <c r="K2110" s="3">
        <v>59</v>
      </c>
      <c r="L2110" s="4">
        <f>tblSales[[#This Row],[Quantity]]*tblSales[[#This Row],[Actual Price]]</f>
        <v>2655</v>
      </c>
    </row>
    <row r="2111" spans="1:12" x14ac:dyDescent="0.35">
      <c r="A2111" s="3" t="s">
        <v>2723</v>
      </c>
      <c r="B2111" s="4" t="s">
        <v>54</v>
      </c>
      <c r="C2111" s="4" t="s">
        <v>55</v>
      </c>
      <c r="D2111" s="4" t="s">
        <v>14</v>
      </c>
      <c r="E2111" s="7">
        <v>41829</v>
      </c>
      <c r="F2111" s="4" t="s">
        <v>105</v>
      </c>
      <c r="G2111" s="4" t="s">
        <v>815</v>
      </c>
      <c r="H2111" s="4">
        <v>70</v>
      </c>
      <c r="I2111" s="4">
        <v>70</v>
      </c>
      <c r="J2111" s="5">
        <v>0</v>
      </c>
      <c r="K2111" s="3">
        <v>84</v>
      </c>
      <c r="L2111" s="4">
        <f>tblSales[[#This Row],[Quantity]]*tblSales[[#This Row],[Actual Price]]</f>
        <v>5880</v>
      </c>
    </row>
    <row r="2112" spans="1:12" x14ac:dyDescent="0.35">
      <c r="A2112" s="3" t="s">
        <v>2724</v>
      </c>
      <c r="B2112" s="4" t="s">
        <v>147</v>
      </c>
      <c r="C2112" s="4" t="s">
        <v>148</v>
      </c>
      <c r="D2112" s="4" t="s">
        <v>14</v>
      </c>
      <c r="E2112" s="7">
        <v>42042</v>
      </c>
      <c r="F2112" s="4" t="s">
        <v>116</v>
      </c>
      <c r="G2112" s="4" t="s">
        <v>1319</v>
      </c>
      <c r="H2112" s="4">
        <v>250</v>
      </c>
      <c r="I2112" s="4">
        <v>225</v>
      </c>
      <c r="J2112" s="5">
        <v>0.1</v>
      </c>
      <c r="K2112" s="3">
        <v>85</v>
      </c>
      <c r="L2112" s="4">
        <f>tblSales[[#This Row],[Quantity]]*tblSales[[#This Row],[Actual Price]]</f>
        <v>19125</v>
      </c>
    </row>
    <row r="2113" spans="1:12" x14ac:dyDescent="0.35">
      <c r="A2113" s="3" t="s">
        <v>2725</v>
      </c>
      <c r="B2113" s="4" t="s">
        <v>78</v>
      </c>
      <c r="C2113" s="4" t="s">
        <v>79</v>
      </c>
      <c r="D2113" s="4" t="s">
        <v>36</v>
      </c>
      <c r="E2113" s="7">
        <v>41661</v>
      </c>
      <c r="F2113" s="4" t="s">
        <v>116</v>
      </c>
      <c r="G2113" s="4" t="s">
        <v>2440</v>
      </c>
      <c r="H2113" s="4">
        <v>250</v>
      </c>
      <c r="I2113" s="4">
        <v>205</v>
      </c>
      <c r="J2113" s="5">
        <v>0.18</v>
      </c>
      <c r="K2113" s="3">
        <v>83</v>
      </c>
      <c r="L2113" s="4">
        <f>tblSales[[#This Row],[Quantity]]*tblSales[[#This Row],[Actual Price]]</f>
        <v>17015</v>
      </c>
    </row>
    <row r="2114" spans="1:12" x14ac:dyDescent="0.35">
      <c r="A2114" s="3" t="s">
        <v>2726</v>
      </c>
      <c r="B2114" s="4" t="s">
        <v>135</v>
      </c>
      <c r="C2114" s="4" t="s">
        <v>93</v>
      </c>
      <c r="D2114" s="4" t="s">
        <v>36</v>
      </c>
      <c r="E2114" s="7">
        <v>42606</v>
      </c>
      <c r="F2114" s="4" t="s">
        <v>31</v>
      </c>
      <c r="G2114" s="4" t="s">
        <v>703</v>
      </c>
      <c r="H2114" s="4">
        <v>150</v>
      </c>
      <c r="I2114" s="4">
        <v>131</v>
      </c>
      <c r="J2114" s="5">
        <v>0.12670000000000001</v>
      </c>
      <c r="K2114" s="3">
        <v>59</v>
      </c>
      <c r="L2114" s="4">
        <f>tblSales[[#This Row],[Quantity]]*tblSales[[#This Row],[Actual Price]]</f>
        <v>7729</v>
      </c>
    </row>
    <row r="2115" spans="1:12" x14ac:dyDescent="0.35">
      <c r="A2115" s="3" t="s">
        <v>2727</v>
      </c>
      <c r="B2115" s="4" t="s">
        <v>104</v>
      </c>
      <c r="C2115" s="4" t="s">
        <v>72</v>
      </c>
      <c r="D2115" s="4" t="s">
        <v>36</v>
      </c>
      <c r="E2115" s="7">
        <v>41788</v>
      </c>
      <c r="F2115" s="4" t="s">
        <v>42</v>
      </c>
      <c r="G2115" s="4" t="s">
        <v>106</v>
      </c>
      <c r="H2115" s="4">
        <v>30</v>
      </c>
      <c r="I2115" s="4">
        <v>23</v>
      </c>
      <c r="J2115" s="5">
        <v>0.23330000000000001</v>
      </c>
      <c r="K2115" s="3">
        <v>94</v>
      </c>
      <c r="L2115" s="4">
        <f>tblSales[[#This Row],[Quantity]]*tblSales[[#This Row],[Actual Price]]</f>
        <v>2162</v>
      </c>
    </row>
    <row r="2116" spans="1:12" x14ac:dyDescent="0.35">
      <c r="A2116" s="3" t="s">
        <v>2728</v>
      </c>
      <c r="B2116" s="4" t="s">
        <v>65</v>
      </c>
      <c r="C2116" s="4" t="s">
        <v>66</v>
      </c>
      <c r="D2116" s="4" t="s">
        <v>36</v>
      </c>
      <c r="E2116" s="7">
        <v>42969</v>
      </c>
      <c r="F2116" s="4" t="s">
        <v>31</v>
      </c>
      <c r="G2116" s="4" t="s">
        <v>2470</v>
      </c>
      <c r="H2116" s="4">
        <v>150</v>
      </c>
      <c r="I2116" s="4">
        <v>150</v>
      </c>
      <c r="J2116" s="5">
        <v>0</v>
      </c>
      <c r="K2116" s="3">
        <v>99</v>
      </c>
      <c r="L2116" s="4">
        <f>tblSales[[#This Row],[Quantity]]*tblSales[[#This Row],[Actual Price]]</f>
        <v>14850</v>
      </c>
    </row>
    <row r="2117" spans="1:12" x14ac:dyDescent="0.35">
      <c r="A2117" s="3" t="s">
        <v>2729</v>
      </c>
      <c r="B2117" s="4" t="s">
        <v>86</v>
      </c>
      <c r="C2117" s="4" t="s">
        <v>87</v>
      </c>
      <c r="D2117" s="4" t="s">
        <v>14</v>
      </c>
      <c r="E2117" s="7">
        <v>42998</v>
      </c>
      <c r="F2117" s="4" t="s">
        <v>105</v>
      </c>
      <c r="G2117" s="4" t="s">
        <v>582</v>
      </c>
      <c r="H2117" s="4">
        <v>70</v>
      </c>
      <c r="I2117" s="4">
        <v>69</v>
      </c>
      <c r="J2117" s="5">
        <v>1.43E-2</v>
      </c>
      <c r="K2117" s="3">
        <v>51</v>
      </c>
      <c r="L2117" s="4">
        <f>tblSales[[#This Row],[Quantity]]*tblSales[[#This Row],[Actual Price]]</f>
        <v>3519</v>
      </c>
    </row>
    <row r="2118" spans="1:12" x14ac:dyDescent="0.35">
      <c r="A2118" s="3" t="s">
        <v>2730</v>
      </c>
      <c r="B2118" s="4" t="s">
        <v>71</v>
      </c>
      <c r="C2118" s="4" t="s">
        <v>72</v>
      </c>
      <c r="D2118" s="4" t="s">
        <v>36</v>
      </c>
      <c r="E2118" s="7">
        <v>43182</v>
      </c>
      <c r="F2118" s="4" t="s">
        <v>31</v>
      </c>
      <c r="G2118" s="4" t="s">
        <v>1415</v>
      </c>
      <c r="H2118" s="4">
        <v>150</v>
      </c>
      <c r="I2118" s="4">
        <v>128</v>
      </c>
      <c r="J2118" s="5">
        <v>0.1467</v>
      </c>
      <c r="K2118" s="3">
        <v>78</v>
      </c>
      <c r="L2118" s="4">
        <f>tblSales[[#This Row],[Quantity]]*tblSales[[#This Row],[Actual Price]]</f>
        <v>9984</v>
      </c>
    </row>
    <row r="2119" spans="1:12" x14ac:dyDescent="0.35">
      <c r="A2119" s="3" t="s">
        <v>2731</v>
      </c>
      <c r="B2119" s="4" t="s">
        <v>242</v>
      </c>
      <c r="C2119" s="4" t="s">
        <v>243</v>
      </c>
      <c r="D2119" s="4" t="s">
        <v>14</v>
      </c>
      <c r="E2119" s="7">
        <v>43008</v>
      </c>
      <c r="F2119" s="4" t="s">
        <v>123</v>
      </c>
      <c r="G2119" s="4" t="s">
        <v>627</v>
      </c>
      <c r="H2119" s="4">
        <v>50</v>
      </c>
      <c r="I2119" s="4">
        <v>49</v>
      </c>
      <c r="J2119" s="5">
        <v>0.02</v>
      </c>
      <c r="K2119" s="3">
        <v>36</v>
      </c>
      <c r="L2119" s="4">
        <f>tblSales[[#This Row],[Quantity]]*tblSales[[#This Row],[Actual Price]]</f>
        <v>1764</v>
      </c>
    </row>
    <row r="2120" spans="1:12" x14ac:dyDescent="0.35">
      <c r="A2120" s="3" t="s">
        <v>2732</v>
      </c>
      <c r="B2120" s="4" t="s">
        <v>242</v>
      </c>
      <c r="C2120" s="4" t="s">
        <v>243</v>
      </c>
      <c r="D2120" s="4" t="s">
        <v>14</v>
      </c>
      <c r="E2120" s="7">
        <v>42533</v>
      </c>
      <c r="F2120" s="4" t="s">
        <v>15</v>
      </c>
      <c r="G2120" s="4" t="s">
        <v>521</v>
      </c>
      <c r="H2120" s="4">
        <v>80</v>
      </c>
      <c r="I2120" s="4">
        <v>70</v>
      </c>
      <c r="J2120" s="5">
        <v>0.125</v>
      </c>
      <c r="K2120" s="3">
        <v>48</v>
      </c>
      <c r="L2120" s="4">
        <f>tblSales[[#This Row],[Quantity]]*tblSales[[#This Row],[Actual Price]]</f>
        <v>3360</v>
      </c>
    </row>
    <row r="2121" spans="1:12" x14ac:dyDescent="0.35">
      <c r="A2121" s="3" t="s">
        <v>2733</v>
      </c>
      <c r="B2121" s="4" t="s">
        <v>119</v>
      </c>
      <c r="C2121" s="4" t="s">
        <v>120</v>
      </c>
      <c r="D2121" s="4" t="s">
        <v>36</v>
      </c>
      <c r="E2121" s="7">
        <v>43346</v>
      </c>
      <c r="F2121" s="4" t="s">
        <v>15</v>
      </c>
      <c r="G2121" s="4" t="s">
        <v>910</v>
      </c>
      <c r="H2121" s="4">
        <v>80</v>
      </c>
      <c r="I2121" s="4">
        <v>80</v>
      </c>
      <c r="J2121" s="5">
        <v>0</v>
      </c>
      <c r="K2121" s="3">
        <v>6</v>
      </c>
      <c r="L2121" s="4">
        <f>tblSales[[#This Row],[Quantity]]*tblSales[[#This Row],[Actual Price]]</f>
        <v>480</v>
      </c>
    </row>
    <row r="2122" spans="1:12" x14ac:dyDescent="0.35">
      <c r="A2122" s="3" t="s">
        <v>2734</v>
      </c>
      <c r="B2122" s="4" t="s">
        <v>188</v>
      </c>
      <c r="C2122" s="4" t="s">
        <v>189</v>
      </c>
      <c r="D2122" s="4" t="s">
        <v>14</v>
      </c>
      <c r="E2122" s="7">
        <v>42674</v>
      </c>
      <c r="F2122" s="4" t="s">
        <v>62</v>
      </c>
      <c r="G2122" s="4" t="s">
        <v>190</v>
      </c>
      <c r="H2122" s="4">
        <v>1000</v>
      </c>
      <c r="I2122" s="4">
        <v>870</v>
      </c>
      <c r="J2122" s="5">
        <v>0.13</v>
      </c>
      <c r="K2122" s="3">
        <v>67</v>
      </c>
      <c r="L2122" s="4">
        <f>tblSales[[#This Row],[Quantity]]*tblSales[[#This Row],[Actual Price]]</f>
        <v>58290</v>
      </c>
    </row>
    <row r="2123" spans="1:12" x14ac:dyDescent="0.35">
      <c r="A2123" s="3" t="s">
        <v>2735</v>
      </c>
      <c r="B2123" s="4" t="s">
        <v>112</v>
      </c>
      <c r="C2123" s="4" t="s">
        <v>83</v>
      </c>
      <c r="D2123" s="4" t="s">
        <v>14</v>
      </c>
      <c r="E2123" s="7">
        <v>41752</v>
      </c>
      <c r="F2123" s="4" t="s">
        <v>123</v>
      </c>
      <c r="G2123" s="4" t="s">
        <v>1219</v>
      </c>
      <c r="H2123" s="4">
        <v>50</v>
      </c>
      <c r="I2123" s="4">
        <v>39</v>
      </c>
      <c r="J2123" s="5">
        <v>0.22</v>
      </c>
      <c r="K2123" s="3">
        <v>95</v>
      </c>
      <c r="L2123" s="4">
        <f>tblSales[[#This Row],[Quantity]]*tblSales[[#This Row],[Actual Price]]</f>
        <v>3705</v>
      </c>
    </row>
    <row r="2124" spans="1:12" x14ac:dyDescent="0.35">
      <c r="A2124" s="3" t="s">
        <v>2736</v>
      </c>
      <c r="B2124" s="4" t="s">
        <v>256</v>
      </c>
      <c r="C2124" s="4" t="s">
        <v>257</v>
      </c>
      <c r="D2124" s="4" t="s">
        <v>14</v>
      </c>
      <c r="E2124" s="7">
        <v>42986</v>
      </c>
      <c r="F2124" s="4" t="s">
        <v>31</v>
      </c>
      <c r="G2124" s="4" t="s">
        <v>523</v>
      </c>
      <c r="H2124" s="4">
        <v>150</v>
      </c>
      <c r="I2124" s="4">
        <v>138</v>
      </c>
      <c r="J2124" s="5">
        <v>0.08</v>
      </c>
      <c r="K2124" s="3">
        <v>39</v>
      </c>
      <c r="L2124" s="4">
        <f>tblSales[[#This Row],[Quantity]]*tblSales[[#This Row],[Actual Price]]</f>
        <v>5382</v>
      </c>
    </row>
    <row r="2125" spans="1:12" x14ac:dyDescent="0.35">
      <c r="A2125" s="3" t="s">
        <v>2737</v>
      </c>
      <c r="B2125" s="4" t="s">
        <v>29</v>
      </c>
      <c r="C2125" s="4" t="s">
        <v>30</v>
      </c>
      <c r="D2125" s="4" t="s">
        <v>14</v>
      </c>
      <c r="E2125" s="7">
        <v>42835</v>
      </c>
      <c r="F2125" s="4" t="s">
        <v>15</v>
      </c>
      <c r="G2125" s="4" t="s">
        <v>446</v>
      </c>
      <c r="H2125" s="4">
        <v>80</v>
      </c>
      <c r="I2125" s="4">
        <v>75</v>
      </c>
      <c r="J2125" s="5">
        <v>6.25E-2</v>
      </c>
      <c r="K2125" s="3">
        <v>9</v>
      </c>
      <c r="L2125" s="4">
        <f>tblSales[[#This Row],[Quantity]]*tblSales[[#This Row],[Actual Price]]</f>
        <v>675</v>
      </c>
    </row>
    <row r="2126" spans="1:12" x14ac:dyDescent="0.35">
      <c r="A2126" s="3" t="s">
        <v>2738</v>
      </c>
      <c r="B2126" s="4" t="s">
        <v>115</v>
      </c>
      <c r="C2126" s="4" t="s">
        <v>55</v>
      </c>
      <c r="D2126" s="4" t="s">
        <v>14</v>
      </c>
      <c r="E2126" s="7">
        <v>41679</v>
      </c>
      <c r="F2126" s="4" t="s">
        <v>42</v>
      </c>
      <c r="G2126" s="4" t="s">
        <v>1222</v>
      </c>
      <c r="H2126" s="4">
        <v>30</v>
      </c>
      <c r="I2126" s="4">
        <v>29</v>
      </c>
      <c r="J2126" s="5">
        <v>3.3300000000000003E-2</v>
      </c>
      <c r="K2126" s="3">
        <v>76</v>
      </c>
      <c r="L2126" s="4">
        <f>tblSales[[#This Row],[Quantity]]*tblSales[[#This Row],[Actual Price]]</f>
        <v>2204</v>
      </c>
    </row>
    <row r="2127" spans="1:12" x14ac:dyDescent="0.35">
      <c r="A2127" s="3" t="s">
        <v>2739</v>
      </c>
      <c r="B2127" s="4" t="s">
        <v>29</v>
      </c>
      <c r="C2127" s="4" t="s">
        <v>30</v>
      </c>
      <c r="D2127" s="4" t="s">
        <v>14</v>
      </c>
      <c r="E2127" s="7">
        <v>42683</v>
      </c>
      <c r="F2127" s="4" t="s">
        <v>105</v>
      </c>
      <c r="G2127" s="4" t="s">
        <v>1744</v>
      </c>
      <c r="H2127" s="4">
        <v>70</v>
      </c>
      <c r="I2127" s="4">
        <v>65</v>
      </c>
      <c r="J2127" s="5">
        <v>7.1400000000000005E-2</v>
      </c>
      <c r="K2127" s="3">
        <v>79</v>
      </c>
      <c r="L2127" s="4">
        <f>tblSales[[#This Row],[Quantity]]*tblSales[[#This Row],[Actual Price]]</f>
        <v>5135</v>
      </c>
    </row>
    <row r="2128" spans="1:12" x14ac:dyDescent="0.35">
      <c r="A2128" s="3" t="s">
        <v>2740</v>
      </c>
      <c r="B2128" s="4" t="s">
        <v>112</v>
      </c>
      <c r="C2128" s="4" t="s">
        <v>83</v>
      </c>
      <c r="D2128" s="4" t="s">
        <v>14</v>
      </c>
      <c r="E2128" s="7">
        <v>42105</v>
      </c>
      <c r="F2128" s="4" t="s">
        <v>123</v>
      </c>
      <c r="G2128" s="4" t="s">
        <v>113</v>
      </c>
      <c r="H2128" s="4">
        <v>50</v>
      </c>
      <c r="I2128" s="4">
        <v>47</v>
      </c>
      <c r="J2128" s="5">
        <v>0.06</v>
      </c>
      <c r="K2128" s="3">
        <v>69</v>
      </c>
      <c r="L2128" s="4">
        <f>tblSales[[#This Row],[Quantity]]*tblSales[[#This Row],[Actual Price]]</f>
        <v>3243</v>
      </c>
    </row>
    <row r="2129" spans="1:12" x14ac:dyDescent="0.35">
      <c r="A2129" s="3" t="s">
        <v>2741</v>
      </c>
      <c r="B2129" s="4" t="s">
        <v>2171</v>
      </c>
      <c r="C2129" s="4" t="s">
        <v>19</v>
      </c>
      <c r="D2129" s="4" t="s">
        <v>20</v>
      </c>
      <c r="E2129" s="7">
        <v>43271</v>
      </c>
      <c r="F2129" s="4" t="s">
        <v>31</v>
      </c>
      <c r="G2129" s="4" t="s">
        <v>2458</v>
      </c>
      <c r="H2129" s="4">
        <v>150</v>
      </c>
      <c r="I2129" s="4">
        <v>140</v>
      </c>
      <c r="J2129" s="5">
        <v>6.6699999999999995E-2</v>
      </c>
      <c r="K2129" s="3">
        <v>78</v>
      </c>
      <c r="L2129" s="4">
        <f>tblSales[[#This Row],[Quantity]]*tblSales[[#This Row],[Actual Price]]</f>
        <v>10920</v>
      </c>
    </row>
    <row r="2130" spans="1:12" x14ac:dyDescent="0.35">
      <c r="A2130" s="3" t="s">
        <v>2742</v>
      </c>
      <c r="B2130" s="4" t="s">
        <v>23</v>
      </c>
      <c r="C2130" s="4" t="s">
        <v>24</v>
      </c>
      <c r="D2130" s="4" t="s">
        <v>25</v>
      </c>
      <c r="E2130" s="7">
        <v>42783</v>
      </c>
      <c r="F2130" s="4" t="s">
        <v>116</v>
      </c>
      <c r="G2130" s="4" t="s">
        <v>484</v>
      </c>
      <c r="H2130" s="4">
        <v>250</v>
      </c>
      <c r="I2130" s="4">
        <v>228</v>
      </c>
      <c r="J2130" s="5">
        <v>8.7999999999999995E-2</v>
      </c>
      <c r="K2130" s="3">
        <v>95</v>
      </c>
      <c r="L2130" s="4">
        <f>tblSales[[#This Row],[Quantity]]*tblSales[[#This Row],[Actual Price]]</f>
        <v>21660</v>
      </c>
    </row>
    <row r="2131" spans="1:12" x14ac:dyDescent="0.35">
      <c r="A2131" s="3" t="s">
        <v>2743</v>
      </c>
      <c r="B2131" s="4" t="s">
        <v>125</v>
      </c>
      <c r="C2131" s="4" t="s">
        <v>41</v>
      </c>
      <c r="D2131" s="4" t="s">
        <v>36</v>
      </c>
      <c r="E2131" s="7">
        <v>41712</v>
      </c>
      <c r="F2131" s="4" t="s">
        <v>105</v>
      </c>
      <c r="G2131" s="4" t="s">
        <v>126</v>
      </c>
      <c r="H2131" s="4">
        <v>70</v>
      </c>
      <c r="I2131" s="4">
        <v>50</v>
      </c>
      <c r="J2131" s="5">
        <v>0.28570000000000001</v>
      </c>
      <c r="K2131" s="3">
        <v>93</v>
      </c>
      <c r="L2131" s="4">
        <f>tblSales[[#This Row],[Quantity]]*tblSales[[#This Row],[Actual Price]]</f>
        <v>4650</v>
      </c>
    </row>
    <row r="2132" spans="1:12" x14ac:dyDescent="0.35">
      <c r="A2132" s="3" t="s">
        <v>2744</v>
      </c>
      <c r="B2132" s="4" t="s">
        <v>92</v>
      </c>
      <c r="C2132" s="4" t="s">
        <v>93</v>
      </c>
      <c r="D2132" s="4" t="s">
        <v>36</v>
      </c>
      <c r="E2132" s="7">
        <v>42614</v>
      </c>
      <c r="F2132" s="4" t="s">
        <v>56</v>
      </c>
      <c r="G2132" s="4" t="s">
        <v>345</v>
      </c>
      <c r="H2132" s="4">
        <v>800</v>
      </c>
      <c r="I2132" s="4">
        <v>768</v>
      </c>
      <c r="J2132" s="5">
        <v>0.04</v>
      </c>
      <c r="K2132" s="3">
        <v>12</v>
      </c>
      <c r="L2132" s="4">
        <f>tblSales[[#This Row],[Quantity]]*tblSales[[#This Row],[Actual Price]]</f>
        <v>9216</v>
      </c>
    </row>
    <row r="2133" spans="1:12" x14ac:dyDescent="0.35">
      <c r="A2133" s="3" t="s">
        <v>2745</v>
      </c>
      <c r="B2133" s="4" t="s">
        <v>158</v>
      </c>
      <c r="C2133" s="4" t="s">
        <v>109</v>
      </c>
      <c r="D2133" s="4" t="s">
        <v>20</v>
      </c>
      <c r="E2133" s="7">
        <v>41873</v>
      </c>
      <c r="F2133" s="4" t="s">
        <v>62</v>
      </c>
      <c r="G2133" s="4" t="s">
        <v>159</v>
      </c>
      <c r="H2133" s="4">
        <v>1000</v>
      </c>
      <c r="I2133" s="4">
        <v>590</v>
      </c>
      <c r="J2133" s="5">
        <v>0.41</v>
      </c>
      <c r="K2133" s="3">
        <v>1</v>
      </c>
      <c r="L2133" s="4">
        <f>tblSales[[#This Row],[Quantity]]*tblSales[[#This Row],[Actual Price]]</f>
        <v>590</v>
      </c>
    </row>
    <row r="2134" spans="1:12" x14ac:dyDescent="0.35">
      <c r="A2134" s="3" t="s">
        <v>2746</v>
      </c>
      <c r="B2134" s="4" t="s">
        <v>265</v>
      </c>
      <c r="C2134" s="4" t="s">
        <v>266</v>
      </c>
      <c r="D2134" s="4" t="s">
        <v>14</v>
      </c>
      <c r="E2134" s="7">
        <v>42531</v>
      </c>
      <c r="F2134" s="4" t="s">
        <v>37</v>
      </c>
      <c r="G2134" s="4" t="s">
        <v>600</v>
      </c>
      <c r="H2134" s="4">
        <v>50</v>
      </c>
      <c r="I2134" s="4">
        <v>50</v>
      </c>
      <c r="J2134" s="5">
        <v>0</v>
      </c>
      <c r="K2134" s="3">
        <v>67</v>
      </c>
      <c r="L2134" s="4">
        <f>tblSales[[#This Row],[Quantity]]*tblSales[[#This Row],[Actual Price]]</f>
        <v>3350</v>
      </c>
    </row>
    <row r="2135" spans="1:12" x14ac:dyDescent="0.35">
      <c r="A2135" s="3" t="s">
        <v>2747</v>
      </c>
      <c r="B2135" s="4" t="s">
        <v>12</v>
      </c>
      <c r="C2135" s="4" t="s">
        <v>13</v>
      </c>
      <c r="D2135" s="4" t="s">
        <v>14</v>
      </c>
      <c r="E2135" s="7">
        <v>42018</v>
      </c>
      <c r="F2135" s="4" t="s">
        <v>56</v>
      </c>
      <c r="G2135" s="4" t="s">
        <v>1160</v>
      </c>
      <c r="H2135" s="4">
        <v>800</v>
      </c>
      <c r="I2135" s="4">
        <v>776</v>
      </c>
      <c r="J2135" s="5">
        <v>0.03</v>
      </c>
      <c r="K2135" s="3">
        <v>27</v>
      </c>
      <c r="L2135" s="4">
        <f>tblSales[[#This Row],[Quantity]]*tblSales[[#This Row],[Actual Price]]</f>
        <v>20952</v>
      </c>
    </row>
    <row r="2136" spans="1:12" x14ac:dyDescent="0.35">
      <c r="A2136" s="3" t="s">
        <v>2748</v>
      </c>
      <c r="B2136" s="4" t="s">
        <v>222</v>
      </c>
      <c r="C2136" s="4" t="s">
        <v>41</v>
      </c>
      <c r="D2136" s="4" t="s">
        <v>36</v>
      </c>
      <c r="E2136" s="7">
        <v>43112</v>
      </c>
      <c r="F2136" s="4" t="s">
        <v>42</v>
      </c>
      <c r="G2136" s="4" t="s">
        <v>1323</v>
      </c>
      <c r="H2136" s="4">
        <v>30</v>
      </c>
      <c r="I2136" s="4">
        <v>26</v>
      </c>
      <c r="J2136" s="5">
        <v>0.1333</v>
      </c>
      <c r="K2136" s="3">
        <v>86</v>
      </c>
      <c r="L2136" s="4">
        <f>tblSales[[#This Row],[Quantity]]*tblSales[[#This Row],[Actual Price]]</f>
        <v>2236</v>
      </c>
    </row>
    <row r="2137" spans="1:12" x14ac:dyDescent="0.35">
      <c r="A2137" s="3" t="s">
        <v>2749</v>
      </c>
      <c r="B2137" s="4" t="s">
        <v>151</v>
      </c>
      <c r="C2137" s="4" t="s">
        <v>152</v>
      </c>
      <c r="D2137" s="4" t="s">
        <v>14</v>
      </c>
      <c r="E2137" s="7">
        <v>41869</v>
      </c>
      <c r="F2137" s="4" t="s">
        <v>47</v>
      </c>
      <c r="G2137" s="4" t="s">
        <v>2109</v>
      </c>
      <c r="H2137" s="4">
        <v>500</v>
      </c>
      <c r="I2137" s="4">
        <v>360</v>
      </c>
      <c r="J2137" s="5">
        <v>0.28000000000000003</v>
      </c>
      <c r="K2137" s="3">
        <v>62</v>
      </c>
      <c r="L2137" s="4">
        <f>tblSales[[#This Row],[Quantity]]*tblSales[[#This Row],[Actual Price]]</f>
        <v>22320</v>
      </c>
    </row>
    <row r="2138" spans="1:12" x14ac:dyDescent="0.35">
      <c r="A2138" s="3" t="s">
        <v>2750</v>
      </c>
      <c r="B2138" s="4" t="s">
        <v>96</v>
      </c>
      <c r="C2138" s="4" t="s">
        <v>97</v>
      </c>
      <c r="D2138" s="4" t="s">
        <v>14</v>
      </c>
      <c r="E2138" s="7">
        <v>42956</v>
      </c>
      <c r="F2138" s="4" t="s">
        <v>31</v>
      </c>
      <c r="G2138" s="4" t="s">
        <v>181</v>
      </c>
      <c r="H2138" s="4">
        <v>150</v>
      </c>
      <c r="I2138" s="4">
        <v>126</v>
      </c>
      <c r="J2138" s="5">
        <v>0.16</v>
      </c>
      <c r="K2138" s="3">
        <v>61</v>
      </c>
      <c r="L2138" s="4">
        <f>tblSales[[#This Row],[Quantity]]*tblSales[[#This Row],[Actual Price]]</f>
        <v>7686</v>
      </c>
    </row>
    <row r="2139" spans="1:12" x14ac:dyDescent="0.35">
      <c r="A2139" s="3" t="s">
        <v>2751</v>
      </c>
      <c r="B2139" s="4" t="s">
        <v>34</v>
      </c>
      <c r="C2139" s="4" t="s">
        <v>35</v>
      </c>
      <c r="D2139" s="4" t="s">
        <v>36</v>
      </c>
      <c r="E2139" s="7">
        <v>42462</v>
      </c>
      <c r="F2139" s="4" t="s">
        <v>56</v>
      </c>
      <c r="G2139" s="4" t="s">
        <v>2423</v>
      </c>
      <c r="H2139" s="4">
        <v>800</v>
      </c>
      <c r="I2139" s="4">
        <v>520</v>
      </c>
      <c r="J2139" s="5">
        <v>0.35</v>
      </c>
      <c r="K2139" s="3">
        <v>98</v>
      </c>
      <c r="L2139" s="4">
        <f>tblSales[[#This Row],[Quantity]]*tblSales[[#This Row],[Actual Price]]</f>
        <v>50960</v>
      </c>
    </row>
    <row r="2140" spans="1:12" x14ac:dyDescent="0.35">
      <c r="A2140" s="3" t="s">
        <v>2752</v>
      </c>
      <c r="B2140" s="4" t="s">
        <v>183</v>
      </c>
      <c r="C2140" s="4" t="s">
        <v>109</v>
      </c>
      <c r="D2140" s="4" t="s">
        <v>20</v>
      </c>
      <c r="E2140" s="7">
        <v>43411</v>
      </c>
      <c r="F2140" s="4" t="s">
        <v>62</v>
      </c>
      <c r="G2140" s="4" t="s">
        <v>1259</v>
      </c>
      <c r="H2140" s="4">
        <v>1000</v>
      </c>
      <c r="I2140" s="4">
        <v>650</v>
      </c>
      <c r="J2140" s="5">
        <v>0.35</v>
      </c>
      <c r="K2140" s="3">
        <v>88</v>
      </c>
      <c r="L2140" s="4">
        <f>tblSales[[#This Row],[Quantity]]*tblSales[[#This Row],[Actual Price]]</f>
        <v>57200</v>
      </c>
    </row>
    <row r="2141" spans="1:12" x14ac:dyDescent="0.35">
      <c r="A2141" s="3" t="s">
        <v>2753</v>
      </c>
      <c r="B2141" s="4" t="s">
        <v>135</v>
      </c>
      <c r="C2141" s="4" t="s">
        <v>93</v>
      </c>
      <c r="D2141" s="4" t="s">
        <v>36</v>
      </c>
      <c r="E2141" s="7">
        <v>42596</v>
      </c>
      <c r="F2141" s="4" t="s">
        <v>62</v>
      </c>
      <c r="G2141" s="4" t="s">
        <v>703</v>
      </c>
      <c r="H2141" s="4">
        <v>1000</v>
      </c>
      <c r="I2141" s="4">
        <v>920</v>
      </c>
      <c r="J2141" s="5">
        <v>0.08</v>
      </c>
      <c r="K2141" s="3">
        <v>10</v>
      </c>
      <c r="L2141" s="4">
        <f>tblSales[[#This Row],[Quantity]]*tblSales[[#This Row],[Actual Price]]</f>
        <v>9200</v>
      </c>
    </row>
    <row r="2142" spans="1:12" x14ac:dyDescent="0.35">
      <c r="A2142" s="3" t="s">
        <v>2754</v>
      </c>
      <c r="B2142" s="4" t="s">
        <v>54</v>
      </c>
      <c r="C2142" s="4" t="s">
        <v>55</v>
      </c>
      <c r="D2142" s="4" t="s">
        <v>14</v>
      </c>
      <c r="E2142" s="7">
        <v>42790</v>
      </c>
      <c r="F2142" s="4" t="s">
        <v>123</v>
      </c>
      <c r="G2142" s="4" t="s">
        <v>57</v>
      </c>
      <c r="H2142" s="4">
        <v>50</v>
      </c>
      <c r="I2142" s="4">
        <v>49</v>
      </c>
      <c r="J2142" s="5">
        <v>0.02</v>
      </c>
      <c r="K2142" s="3">
        <v>90</v>
      </c>
      <c r="L2142" s="4">
        <f>tblSales[[#This Row],[Quantity]]*tblSales[[#This Row],[Actual Price]]</f>
        <v>4410</v>
      </c>
    </row>
    <row r="2143" spans="1:12" x14ac:dyDescent="0.35">
      <c r="A2143" s="3" t="s">
        <v>2755</v>
      </c>
      <c r="B2143" s="4" t="s">
        <v>96</v>
      </c>
      <c r="C2143" s="4" t="s">
        <v>97</v>
      </c>
      <c r="D2143" s="4" t="s">
        <v>14</v>
      </c>
      <c r="E2143" s="7">
        <v>43105</v>
      </c>
      <c r="F2143" s="4" t="s">
        <v>62</v>
      </c>
      <c r="G2143" s="4" t="s">
        <v>2139</v>
      </c>
      <c r="H2143" s="4">
        <v>1000</v>
      </c>
      <c r="I2143" s="4">
        <v>950</v>
      </c>
      <c r="J2143" s="5">
        <v>0.05</v>
      </c>
      <c r="K2143" s="3">
        <v>66</v>
      </c>
      <c r="L2143" s="4">
        <f>tblSales[[#This Row],[Quantity]]*tblSales[[#This Row],[Actual Price]]</f>
        <v>62700</v>
      </c>
    </row>
    <row r="2144" spans="1:12" x14ac:dyDescent="0.35">
      <c r="A2144" s="3" t="s">
        <v>2756</v>
      </c>
      <c r="B2144" s="4" t="s">
        <v>108</v>
      </c>
      <c r="C2144" s="4" t="s">
        <v>109</v>
      </c>
      <c r="D2144" s="4" t="s">
        <v>20</v>
      </c>
      <c r="E2144" s="7">
        <v>43078</v>
      </c>
      <c r="F2144" s="4" t="s">
        <v>42</v>
      </c>
      <c r="G2144" s="4" t="s">
        <v>240</v>
      </c>
      <c r="H2144" s="4">
        <v>30</v>
      </c>
      <c r="I2144" s="4">
        <v>29</v>
      </c>
      <c r="J2144" s="5">
        <v>3.3300000000000003E-2</v>
      </c>
      <c r="K2144" s="3">
        <v>22</v>
      </c>
      <c r="L2144" s="4">
        <f>tblSales[[#This Row],[Quantity]]*tblSales[[#This Row],[Actual Price]]</f>
        <v>638</v>
      </c>
    </row>
    <row r="2145" spans="1:12" x14ac:dyDescent="0.35">
      <c r="A2145" s="3" t="s">
        <v>2757</v>
      </c>
      <c r="B2145" s="4" t="s">
        <v>242</v>
      </c>
      <c r="C2145" s="4" t="s">
        <v>243</v>
      </c>
      <c r="D2145" s="4" t="s">
        <v>14</v>
      </c>
      <c r="E2145" s="7">
        <v>41648</v>
      </c>
      <c r="F2145" s="4" t="s">
        <v>123</v>
      </c>
      <c r="G2145" s="4" t="s">
        <v>521</v>
      </c>
      <c r="H2145" s="4">
        <v>50</v>
      </c>
      <c r="I2145" s="4">
        <v>37</v>
      </c>
      <c r="J2145" s="5">
        <v>0.26</v>
      </c>
      <c r="K2145" s="3">
        <v>50</v>
      </c>
      <c r="L2145" s="4">
        <f>tblSales[[#This Row],[Quantity]]*tblSales[[#This Row],[Actual Price]]</f>
        <v>1850</v>
      </c>
    </row>
    <row r="2146" spans="1:12" x14ac:dyDescent="0.35">
      <c r="A2146" s="3" t="s">
        <v>2758</v>
      </c>
      <c r="B2146" s="4" t="s">
        <v>132</v>
      </c>
      <c r="C2146" s="4" t="s">
        <v>109</v>
      </c>
      <c r="D2146" s="4" t="s">
        <v>20</v>
      </c>
      <c r="E2146" s="7">
        <v>42112</v>
      </c>
      <c r="F2146" s="4" t="s">
        <v>42</v>
      </c>
      <c r="G2146" s="4" t="s">
        <v>475</v>
      </c>
      <c r="H2146" s="4">
        <v>30</v>
      </c>
      <c r="I2146" s="4">
        <v>23</v>
      </c>
      <c r="J2146" s="5">
        <v>0.23330000000000001</v>
      </c>
      <c r="K2146" s="3">
        <v>8</v>
      </c>
      <c r="L2146" s="4">
        <f>tblSales[[#This Row],[Quantity]]*tblSales[[#This Row],[Actual Price]]</f>
        <v>184</v>
      </c>
    </row>
    <row r="2147" spans="1:12" x14ac:dyDescent="0.35">
      <c r="A2147" s="3" t="s">
        <v>2759</v>
      </c>
      <c r="B2147" s="4" t="s">
        <v>78</v>
      </c>
      <c r="C2147" s="4" t="s">
        <v>79</v>
      </c>
      <c r="D2147" s="4" t="s">
        <v>36</v>
      </c>
      <c r="E2147" s="7">
        <v>42046</v>
      </c>
      <c r="F2147" s="4" t="s">
        <v>116</v>
      </c>
      <c r="G2147" s="4" t="s">
        <v>1790</v>
      </c>
      <c r="H2147" s="4">
        <v>250</v>
      </c>
      <c r="I2147" s="4">
        <v>168</v>
      </c>
      <c r="J2147" s="5">
        <v>0.32800000000000001</v>
      </c>
      <c r="K2147" s="3">
        <v>16</v>
      </c>
      <c r="L2147" s="4">
        <f>tblSales[[#This Row],[Quantity]]*tblSales[[#This Row],[Actual Price]]</f>
        <v>2688</v>
      </c>
    </row>
    <row r="2148" spans="1:12" x14ac:dyDescent="0.35">
      <c r="A2148" s="3" t="s">
        <v>2760</v>
      </c>
      <c r="B2148" s="4" t="s">
        <v>82</v>
      </c>
      <c r="C2148" s="4" t="s">
        <v>83</v>
      </c>
      <c r="D2148" s="4" t="s">
        <v>14</v>
      </c>
      <c r="E2148" s="7">
        <v>43167</v>
      </c>
      <c r="F2148" s="4" t="s">
        <v>26</v>
      </c>
      <c r="G2148" s="4" t="s">
        <v>1233</v>
      </c>
      <c r="H2148" s="4">
        <v>700</v>
      </c>
      <c r="I2148" s="4">
        <v>609</v>
      </c>
      <c r="J2148" s="5">
        <v>0.13</v>
      </c>
      <c r="K2148" s="3">
        <v>84</v>
      </c>
      <c r="L2148" s="4">
        <f>tblSales[[#This Row],[Quantity]]*tblSales[[#This Row],[Actual Price]]</f>
        <v>51156</v>
      </c>
    </row>
    <row r="2149" spans="1:12" x14ac:dyDescent="0.35">
      <c r="A2149" s="3" t="s">
        <v>2761</v>
      </c>
      <c r="B2149" s="4" t="s">
        <v>2171</v>
      </c>
      <c r="C2149" s="4" t="s">
        <v>19</v>
      </c>
      <c r="D2149" s="4" t="s">
        <v>20</v>
      </c>
      <c r="E2149" s="7">
        <v>42839</v>
      </c>
      <c r="F2149" s="4" t="s">
        <v>47</v>
      </c>
      <c r="G2149" s="4" t="s">
        <v>2364</v>
      </c>
      <c r="H2149" s="4">
        <v>500</v>
      </c>
      <c r="I2149" s="4">
        <v>470</v>
      </c>
      <c r="J2149" s="5">
        <v>0.06</v>
      </c>
      <c r="K2149" s="3">
        <v>21</v>
      </c>
      <c r="L2149" s="4">
        <f>tblSales[[#This Row],[Quantity]]*tblSales[[#This Row],[Actual Price]]</f>
        <v>9870</v>
      </c>
    </row>
    <row r="2150" spans="1:12" x14ac:dyDescent="0.35">
      <c r="A2150" s="3" t="s">
        <v>2762</v>
      </c>
      <c r="B2150" s="4" t="s">
        <v>155</v>
      </c>
      <c r="C2150" s="4" t="s">
        <v>109</v>
      </c>
      <c r="D2150" s="4" t="s">
        <v>20</v>
      </c>
      <c r="E2150" s="7">
        <v>42706</v>
      </c>
      <c r="F2150" s="4" t="s">
        <v>15</v>
      </c>
      <c r="G2150" s="4" t="s">
        <v>491</v>
      </c>
      <c r="H2150" s="4">
        <v>80</v>
      </c>
      <c r="I2150" s="4">
        <v>79</v>
      </c>
      <c r="J2150" s="5">
        <v>1.2500000000000001E-2</v>
      </c>
      <c r="K2150" s="3">
        <v>16</v>
      </c>
      <c r="L2150" s="4">
        <f>tblSales[[#This Row],[Quantity]]*tblSales[[#This Row],[Actual Price]]</f>
        <v>1264</v>
      </c>
    </row>
    <row r="2151" spans="1:12" x14ac:dyDescent="0.35">
      <c r="A2151" s="3" t="s">
        <v>2763</v>
      </c>
      <c r="B2151" s="4" t="s">
        <v>222</v>
      </c>
      <c r="C2151" s="4" t="s">
        <v>41</v>
      </c>
      <c r="D2151" s="4" t="s">
        <v>36</v>
      </c>
      <c r="E2151" s="7">
        <v>42301</v>
      </c>
      <c r="F2151" s="4" t="s">
        <v>31</v>
      </c>
      <c r="G2151" s="4" t="s">
        <v>2426</v>
      </c>
      <c r="H2151" s="4">
        <v>150</v>
      </c>
      <c r="I2151" s="4">
        <v>105</v>
      </c>
      <c r="J2151" s="5">
        <v>0.3</v>
      </c>
      <c r="K2151" s="3">
        <v>6</v>
      </c>
      <c r="L2151" s="4">
        <f>tblSales[[#This Row],[Quantity]]*tblSales[[#This Row],[Actual Price]]</f>
        <v>630</v>
      </c>
    </row>
    <row r="2152" spans="1:12" x14ac:dyDescent="0.35">
      <c r="A2152" s="3" t="s">
        <v>2764</v>
      </c>
      <c r="B2152" s="4" t="s">
        <v>228</v>
      </c>
      <c r="C2152" s="4" t="s">
        <v>229</v>
      </c>
      <c r="D2152" s="4" t="s">
        <v>25</v>
      </c>
      <c r="E2152" s="7">
        <v>42227</v>
      </c>
      <c r="F2152" s="4" t="s">
        <v>15</v>
      </c>
      <c r="G2152" s="4" t="s">
        <v>279</v>
      </c>
      <c r="H2152" s="4">
        <v>80</v>
      </c>
      <c r="I2152" s="4">
        <v>58</v>
      </c>
      <c r="J2152" s="5">
        <v>0.27500000000000002</v>
      </c>
      <c r="K2152" s="3">
        <v>76</v>
      </c>
      <c r="L2152" s="4">
        <f>tblSales[[#This Row],[Quantity]]*tblSales[[#This Row],[Actual Price]]</f>
        <v>4408</v>
      </c>
    </row>
    <row r="2153" spans="1:12" x14ac:dyDescent="0.35">
      <c r="A2153" s="3" t="s">
        <v>2765</v>
      </c>
      <c r="B2153" s="4" t="s">
        <v>12</v>
      </c>
      <c r="C2153" s="4" t="s">
        <v>13</v>
      </c>
      <c r="D2153" s="4" t="s">
        <v>14</v>
      </c>
      <c r="E2153" s="7">
        <v>42071</v>
      </c>
      <c r="F2153" s="4" t="s">
        <v>56</v>
      </c>
      <c r="G2153" s="4" t="s">
        <v>277</v>
      </c>
      <c r="H2153" s="4">
        <v>800</v>
      </c>
      <c r="I2153" s="4">
        <v>744</v>
      </c>
      <c r="J2153" s="5">
        <v>7.0000000000000007E-2</v>
      </c>
      <c r="K2153" s="3">
        <v>15</v>
      </c>
      <c r="L2153" s="4">
        <f>tblSales[[#This Row],[Quantity]]*tblSales[[#This Row],[Actual Price]]</f>
        <v>11160</v>
      </c>
    </row>
    <row r="2154" spans="1:12" x14ac:dyDescent="0.35">
      <c r="A2154" s="3" t="s">
        <v>2766</v>
      </c>
      <c r="B2154" s="4" t="s">
        <v>188</v>
      </c>
      <c r="C2154" s="4" t="s">
        <v>189</v>
      </c>
      <c r="D2154" s="4" t="s">
        <v>14</v>
      </c>
      <c r="E2154" s="7">
        <v>41859</v>
      </c>
      <c r="F2154" s="4" t="s">
        <v>26</v>
      </c>
      <c r="G2154" s="4" t="s">
        <v>1151</v>
      </c>
      <c r="H2154" s="4">
        <v>700</v>
      </c>
      <c r="I2154" s="4">
        <v>651</v>
      </c>
      <c r="J2154" s="5">
        <v>7.0000000000000007E-2</v>
      </c>
      <c r="K2154" s="3">
        <v>15</v>
      </c>
      <c r="L2154" s="4">
        <f>tblSales[[#This Row],[Quantity]]*tblSales[[#This Row],[Actual Price]]</f>
        <v>9765</v>
      </c>
    </row>
    <row r="2155" spans="1:12" x14ac:dyDescent="0.35">
      <c r="A2155" s="3" t="s">
        <v>2767</v>
      </c>
      <c r="B2155" s="4" t="s">
        <v>78</v>
      </c>
      <c r="C2155" s="4" t="s">
        <v>79</v>
      </c>
      <c r="D2155" s="4" t="s">
        <v>36</v>
      </c>
      <c r="E2155" s="7">
        <v>42922</v>
      </c>
      <c r="F2155" s="4" t="s">
        <v>105</v>
      </c>
      <c r="G2155" s="4" t="s">
        <v>80</v>
      </c>
      <c r="H2155" s="4">
        <v>70</v>
      </c>
      <c r="I2155" s="4">
        <v>65</v>
      </c>
      <c r="J2155" s="5">
        <v>7.1400000000000005E-2</v>
      </c>
      <c r="K2155" s="3">
        <v>92</v>
      </c>
      <c r="L2155" s="4">
        <f>tblSales[[#This Row],[Quantity]]*tblSales[[#This Row],[Actual Price]]</f>
        <v>5980</v>
      </c>
    </row>
    <row r="2156" spans="1:12" x14ac:dyDescent="0.35">
      <c r="A2156" s="3" t="s">
        <v>2768</v>
      </c>
      <c r="B2156" s="4" t="s">
        <v>108</v>
      </c>
      <c r="C2156" s="4" t="s">
        <v>109</v>
      </c>
      <c r="D2156" s="4" t="s">
        <v>20</v>
      </c>
      <c r="E2156" s="7">
        <v>42024</v>
      </c>
      <c r="F2156" s="4" t="s">
        <v>15</v>
      </c>
      <c r="G2156" s="4" t="s">
        <v>947</v>
      </c>
      <c r="H2156" s="4">
        <v>80</v>
      </c>
      <c r="I2156" s="4">
        <v>75</v>
      </c>
      <c r="J2156" s="5">
        <v>6.25E-2</v>
      </c>
      <c r="K2156" s="3">
        <v>79</v>
      </c>
      <c r="L2156" s="4">
        <f>tblSales[[#This Row],[Quantity]]*tblSales[[#This Row],[Actual Price]]</f>
        <v>5925</v>
      </c>
    </row>
    <row r="2157" spans="1:12" x14ac:dyDescent="0.35">
      <c r="A2157" s="3" t="s">
        <v>2769</v>
      </c>
      <c r="B2157" s="4" t="s">
        <v>45</v>
      </c>
      <c r="C2157" s="4" t="s">
        <v>46</v>
      </c>
      <c r="D2157" s="4" t="s">
        <v>25</v>
      </c>
      <c r="E2157" s="7">
        <v>42854</v>
      </c>
      <c r="F2157" s="4" t="s">
        <v>47</v>
      </c>
      <c r="G2157" s="4" t="s">
        <v>432</v>
      </c>
      <c r="H2157" s="4">
        <v>500</v>
      </c>
      <c r="I2157" s="4">
        <v>500</v>
      </c>
      <c r="J2157" s="5">
        <v>0</v>
      </c>
      <c r="K2157" s="3">
        <v>37</v>
      </c>
      <c r="L2157" s="4">
        <f>tblSales[[#This Row],[Quantity]]*tblSales[[#This Row],[Actual Price]]</f>
        <v>18500</v>
      </c>
    </row>
    <row r="2158" spans="1:12" x14ac:dyDescent="0.35">
      <c r="A2158" s="3" t="s">
        <v>2770</v>
      </c>
      <c r="B2158" s="4" t="s">
        <v>54</v>
      </c>
      <c r="C2158" s="4" t="s">
        <v>55</v>
      </c>
      <c r="D2158" s="4" t="s">
        <v>14</v>
      </c>
      <c r="E2158" s="7">
        <v>43062</v>
      </c>
      <c r="F2158" s="4" t="s">
        <v>73</v>
      </c>
      <c r="G2158" s="4" t="s">
        <v>815</v>
      </c>
      <c r="H2158" s="4">
        <v>500</v>
      </c>
      <c r="I2158" s="4">
        <v>495</v>
      </c>
      <c r="J2158" s="5">
        <v>0.01</v>
      </c>
      <c r="K2158" s="3">
        <v>6</v>
      </c>
      <c r="L2158" s="4">
        <f>tblSales[[#This Row],[Quantity]]*tblSales[[#This Row],[Actual Price]]</f>
        <v>2970</v>
      </c>
    </row>
    <row r="2159" spans="1:12" x14ac:dyDescent="0.35">
      <c r="A2159" s="3" t="s">
        <v>2771</v>
      </c>
      <c r="B2159" s="4" t="s">
        <v>119</v>
      </c>
      <c r="C2159" s="4" t="s">
        <v>120</v>
      </c>
      <c r="D2159" s="4" t="s">
        <v>36</v>
      </c>
      <c r="E2159" s="7">
        <v>42944</v>
      </c>
      <c r="F2159" s="4" t="s">
        <v>26</v>
      </c>
      <c r="G2159" s="4" t="s">
        <v>897</v>
      </c>
      <c r="H2159" s="4">
        <v>700</v>
      </c>
      <c r="I2159" s="4">
        <v>665</v>
      </c>
      <c r="J2159" s="5">
        <v>0.05</v>
      </c>
      <c r="K2159" s="3">
        <v>95</v>
      </c>
      <c r="L2159" s="4">
        <f>tblSales[[#This Row],[Quantity]]*tblSales[[#This Row],[Actual Price]]</f>
        <v>63175</v>
      </c>
    </row>
    <row r="2160" spans="1:12" x14ac:dyDescent="0.35">
      <c r="A2160" s="3" t="s">
        <v>2772</v>
      </c>
      <c r="B2160" s="4" t="s">
        <v>96</v>
      </c>
      <c r="C2160" s="4" t="s">
        <v>97</v>
      </c>
      <c r="D2160" s="4" t="s">
        <v>14</v>
      </c>
      <c r="E2160" s="7">
        <v>43067</v>
      </c>
      <c r="F2160" s="4" t="s">
        <v>116</v>
      </c>
      <c r="G2160" s="4" t="s">
        <v>217</v>
      </c>
      <c r="H2160" s="4">
        <v>250</v>
      </c>
      <c r="I2160" s="4">
        <v>230</v>
      </c>
      <c r="J2160" s="5">
        <v>0.08</v>
      </c>
      <c r="K2160" s="3">
        <v>90</v>
      </c>
      <c r="L2160" s="4">
        <f>tblSales[[#This Row],[Quantity]]*tblSales[[#This Row],[Actual Price]]</f>
        <v>20700</v>
      </c>
    </row>
    <row r="2161" spans="1:12" x14ac:dyDescent="0.35">
      <c r="A2161" s="3" t="s">
        <v>2773</v>
      </c>
      <c r="B2161" s="4" t="s">
        <v>82</v>
      </c>
      <c r="C2161" s="4" t="s">
        <v>83</v>
      </c>
      <c r="D2161" s="4" t="s">
        <v>14</v>
      </c>
      <c r="E2161" s="7">
        <v>42452</v>
      </c>
      <c r="F2161" s="4" t="s">
        <v>31</v>
      </c>
      <c r="G2161" s="4" t="s">
        <v>1048</v>
      </c>
      <c r="H2161" s="4">
        <v>150</v>
      </c>
      <c r="I2161" s="4">
        <v>143</v>
      </c>
      <c r="J2161" s="5">
        <v>4.6699999999999998E-2</v>
      </c>
      <c r="K2161" s="3">
        <v>60</v>
      </c>
      <c r="L2161" s="4">
        <f>tblSales[[#This Row],[Quantity]]*tblSales[[#This Row],[Actual Price]]</f>
        <v>8580</v>
      </c>
    </row>
    <row r="2162" spans="1:12" x14ac:dyDescent="0.35">
      <c r="A2162" s="3" t="s">
        <v>2774</v>
      </c>
      <c r="B2162" s="4" t="s">
        <v>435</v>
      </c>
      <c r="C2162" s="4" t="s">
        <v>436</v>
      </c>
      <c r="D2162" s="4" t="s">
        <v>25</v>
      </c>
      <c r="E2162" s="7">
        <v>42762</v>
      </c>
      <c r="F2162" s="4" t="s">
        <v>116</v>
      </c>
      <c r="G2162" s="4" t="s">
        <v>463</v>
      </c>
      <c r="H2162" s="4">
        <v>250</v>
      </c>
      <c r="I2162" s="4">
        <v>230</v>
      </c>
      <c r="J2162" s="5">
        <v>0.08</v>
      </c>
      <c r="K2162" s="3">
        <v>22</v>
      </c>
      <c r="L2162" s="4">
        <f>tblSales[[#This Row],[Quantity]]*tblSales[[#This Row],[Actual Price]]</f>
        <v>5060</v>
      </c>
    </row>
    <row r="2163" spans="1:12" x14ac:dyDescent="0.35">
      <c r="A2163" s="3" t="s">
        <v>2775</v>
      </c>
      <c r="B2163" s="4" t="s">
        <v>23</v>
      </c>
      <c r="C2163" s="4" t="s">
        <v>24</v>
      </c>
      <c r="D2163" s="4" t="s">
        <v>25</v>
      </c>
      <c r="E2163" s="7">
        <v>42156</v>
      </c>
      <c r="F2163" s="4" t="s">
        <v>26</v>
      </c>
      <c r="G2163" s="4" t="s">
        <v>311</v>
      </c>
      <c r="H2163" s="4">
        <v>700</v>
      </c>
      <c r="I2163" s="4">
        <v>665</v>
      </c>
      <c r="J2163" s="5">
        <v>0.05</v>
      </c>
      <c r="K2163" s="3">
        <v>34</v>
      </c>
      <c r="L2163" s="4">
        <f>tblSales[[#This Row],[Quantity]]*tblSales[[#This Row],[Actual Price]]</f>
        <v>22610</v>
      </c>
    </row>
    <row r="2164" spans="1:12" x14ac:dyDescent="0.35">
      <c r="A2164" s="3" t="s">
        <v>2776</v>
      </c>
      <c r="B2164" s="4" t="s">
        <v>2244</v>
      </c>
      <c r="C2164" s="4" t="s">
        <v>109</v>
      </c>
      <c r="D2164" s="4" t="s">
        <v>20</v>
      </c>
      <c r="E2164" s="7">
        <v>41839</v>
      </c>
      <c r="F2164" s="4" t="s">
        <v>116</v>
      </c>
      <c r="G2164" s="4" t="s">
        <v>2777</v>
      </c>
      <c r="H2164" s="4">
        <v>250</v>
      </c>
      <c r="I2164" s="4">
        <v>245</v>
      </c>
      <c r="J2164" s="5">
        <v>0.02</v>
      </c>
      <c r="K2164" s="3">
        <v>96</v>
      </c>
      <c r="L2164" s="4">
        <f>tblSales[[#This Row],[Quantity]]*tblSales[[#This Row],[Actual Price]]</f>
        <v>23520</v>
      </c>
    </row>
    <row r="2165" spans="1:12" x14ac:dyDescent="0.35">
      <c r="A2165" s="3" t="s">
        <v>2778</v>
      </c>
      <c r="B2165" s="4" t="s">
        <v>155</v>
      </c>
      <c r="C2165" s="4" t="s">
        <v>109</v>
      </c>
      <c r="D2165" s="4" t="s">
        <v>20</v>
      </c>
      <c r="E2165" s="7">
        <v>41885</v>
      </c>
      <c r="F2165" s="4" t="s">
        <v>37</v>
      </c>
      <c r="G2165" s="4" t="s">
        <v>491</v>
      </c>
      <c r="H2165" s="4">
        <v>50</v>
      </c>
      <c r="I2165" s="4">
        <v>38</v>
      </c>
      <c r="J2165" s="5">
        <v>0.24</v>
      </c>
      <c r="K2165" s="3">
        <v>10</v>
      </c>
      <c r="L2165" s="4">
        <f>tblSales[[#This Row],[Quantity]]*tblSales[[#This Row],[Actual Price]]</f>
        <v>380</v>
      </c>
    </row>
    <row r="2166" spans="1:12" x14ac:dyDescent="0.35">
      <c r="A2166" s="3" t="s">
        <v>2779</v>
      </c>
      <c r="B2166" s="4" t="s">
        <v>135</v>
      </c>
      <c r="C2166" s="4" t="s">
        <v>93</v>
      </c>
      <c r="D2166" s="4" t="s">
        <v>36</v>
      </c>
      <c r="E2166" s="7">
        <v>42629</v>
      </c>
      <c r="F2166" s="4" t="s">
        <v>105</v>
      </c>
      <c r="G2166" s="4" t="s">
        <v>539</v>
      </c>
      <c r="H2166" s="4">
        <v>70</v>
      </c>
      <c r="I2166" s="4">
        <v>64</v>
      </c>
      <c r="J2166" s="5">
        <v>8.5699999999999998E-2</v>
      </c>
      <c r="K2166" s="3">
        <v>63</v>
      </c>
      <c r="L2166" s="4">
        <f>tblSales[[#This Row],[Quantity]]*tblSales[[#This Row],[Actual Price]]</f>
        <v>4032</v>
      </c>
    </row>
    <row r="2167" spans="1:12" x14ac:dyDescent="0.35">
      <c r="A2167" s="3" t="s">
        <v>2780</v>
      </c>
      <c r="B2167" s="4" t="s">
        <v>125</v>
      </c>
      <c r="C2167" s="4" t="s">
        <v>41</v>
      </c>
      <c r="D2167" s="4" t="s">
        <v>36</v>
      </c>
      <c r="E2167" s="7">
        <v>42208</v>
      </c>
      <c r="F2167" s="4" t="s">
        <v>116</v>
      </c>
      <c r="G2167" s="4" t="s">
        <v>917</v>
      </c>
      <c r="H2167" s="4">
        <v>250</v>
      </c>
      <c r="I2167" s="4">
        <v>238</v>
      </c>
      <c r="J2167" s="5">
        <v>4.8000000000000001E-2</v>
      </c>
      <c r="K2167" s="3">
        <v>81</v>
      </c>
      <c r="L2167" s="4">
        <f>tblSales[[#This Row],[Quantity]]*tblSales[[#This Row],[Actual Price]]</f>
        <v>19278</v>
      </c>
    </row>
    <row r="2168" spans="1:12" x14ac:dyDescent="0.35">
      <c r="A2168" s="3" t="s">
        <v>2781</v>
      </c>
      <c r="B2168" s="4" t="s">
        <v>112</v>
      </c>
      <c r="C2168" s="4" t="s">
        <v>83</v>
      </c>
      <c r="D2168" s="4" t="s">
        <v>14</v>
      </c>
      <c r="E2168" s="7">
        <v>42496</v>
      </c>
      <c r="F2168" s="4" t="s">
        <v>31</v>
      </c>
      <c r="G2168" s="4" t="s">
        <v>611</v>
      </c>
      <c r="H2168" s="4">
        <v>150</v>
      </c>
      <c r="I2168" s="4">
        <v>137</v>
      </c>
      <c r="J2168" s="5">
        <v>8.6699999999999999E-2</v>
      </c>
      <c r="K2168" s="3">
        <v>34</v>
      </c>
      <c r="L2168" s="4">
        <f>tblSales[[#This Row],[Quantity]]*tblSales[[#This Row],[Actual Price]]</f>
        <v>4658</v>
      </c>
    </row>
    <row r="2169" spans="1:12" x14ac:dyDescent="0.35">
      <c r="A2169" s="3" t="s">
        <v>2782</v>
      </c>
      <c r="B2169" s="4" t="s">
        <v>171</v>
      </c>
      <c r="C2169" s="4" t="s">
        <v>172</v>
      </c>
      <c r="D2169" s="4" t="s">
        <v>14</v>
      </c>
      <c r="E2169" s="7">
        <v>42537</v>
      </c>
      <c r="F2169" s="4" t="s">
        <v>56</v>
      </c>
      <c r="G2169" s="4" t="s">
        <v>942</v>
      </c>
      <c r="H2169" s="4">
        <v>800</v>
      </c>
      <c r="I2169" s="4">
        <v>520</v>
      </c>
      <c r="J2169" s="5">
        <v>0.35</v>
      </c>
      <c r="K2169" s="3">
        <v>76</v>
      </c>
      <c r="L2169" s="4">
        <f>tblSales[[#This Row],[Quantity]]*tblSales[[#This Row],[Actual Price]]</f>
        <v>39520</v>
      </c>
    </row>
    <row r="2170" spans="1:12" x14ac:dyDescent="0.35">
      <c r="A2170" s="3" t="s">
        <v>2783</v>
      </c>
      <c r="B2170" s="4" t="s">
        <v>188</v>
      </c>
      <c r="C2170" s="4" t="s">
        <v>189</v>
      </c>
      <c r="D2170" s="4" t="s">
        <v>14</v>
      </c>
      <c r="E2170" s="7">
        <v>42156</v>
      </c>
      <c r="F2170" s="4" t="s">
        <v>15</v>
      </c>
      <c r="G2170" s="4" t="s">
        <v>792</v>
      </c>
      <c r="H2170" s="4">
        <v>80</v>
      </c>
      <c r="I2170" s="4">
        <v>80</v>
      </c>
      <c r="J2170" s="5">
        <v>0</v>
      </c>
      <c r="K2170" s="3">
        <v>57</v>
      </c>
      <c r="L2170" s="4">
        <f>tblSales[[#This Row],[Quantity]]*tblSales[[#This Row],[Actual Price]]</f>
        <v>4560</v>
      </c>
    </row>
    <row r="2171" spans="1:12" x14ac:dyDescent="0.35">
      <c r="A2171" s="3" t="s">
        <v>2784</v>
      </c>
      <c r="B2171" s="4" t="s">
        <v>100</v>
      </c>
      <c r="C2171" s="4" t="s">
        <v>101</v>
      </c>
      <c r="D2171" s="4" t="s">
        <v>14</v>
      </c>
      <c r="E2171" s="7">
        <v>42049</v>
      </c>
      <c r="F2171" s="4" t="s">
        <v>15</v>
      </c>
      <c r="G2171" s="4" t="s">
        <v>949</v>
      </c>
      <c r="H2171" s="4">
        <v>80</v>
      </c>
      <c r="I2171" s="4">
        <v>62</v>
      </c>
      <c r="J2171" s="5">
        <v>0.22500000000000001</v>
      </c>
      <c r="K2171" s="3">
        <v>48</v>
      </c>
      <c r="L2171" s="4">
        <f>tblSales[[#This Row],[Quantity]]*tblSales[[#This Row],[Actual Price]]</f>
        <v>2976</v>
      </c>
    </row>
    <row r="2172" spans="1:12" x14ac:dyDescent="0.35">
      <c r="A2172" s="3" t="s">
        <v>2785</v>
      </c>
      <c r="B2172" s="4" t="s">
        <v>54</v>
      </c>
      <c r="C2172" s="4" t="s">
        <v>55</v>
      </c>
      <c r="D2172" s="4" t="s">
        <v>14</v>
      </c>
      <c r="E2172" s="7">
        <v>42606</v>
      </c>
      <c r="F2172" s="4" t="s">
        <v>37</v>
      </c>
      <c r="G2172" s="4" t="s">
        <v>648</v>
      </c>
      <c r="H2172" s="4">
        <v>50</v>
      </c>
      <c r="I2172" s="4">
        <v>50</v>
      </c>
      <c r="J2172" s="5">
        <v>0</v>
      </c>
      <c r="K2172" s="3">
        <v>59</v>
      </c>
      <c r="L2172" s="4">
        <f>tblSales[[#This Row],[Quantity]]*tblSales[[#This Row],[Actual Price]]</f>
        <v>2950</v>
      </c>
    </row>
    <row r="2173" spans="1:12" x14ac:dyDescent="0.35">
      <c r="A2173" s="3" t="s">
        <v>2786</v>
      </c>
      <c r="B2173" s="4" t="s">
        <v>132</v>
      </c>
      <c r="C2173" s="4" t="s">
        <v>109</v>
      </c>
      <c r="D2173" s="4" t="s">
        <v>20</v>
      </c>
      <c r="E2173" s="7">
        <v>41790</v>
      </c>
      <c r="F2173" s="4" t="s">
        <v>56</v>
      </c>
      <c r="G2173" s="4" t="s">
        <v>689</v>
      </c>
      <c r="H2173" s="4">
        <v>800</v>
      </c>
      <c r="I2173" s="4">
        <v>640</v>
      </c>
      <c r="J2173" s="5">
        <v>0.2</v>
      </c>
      <c r="K2173" s="3">
        <v>23</v>
      </c>
      <c r="L2173" s="4">
        <f>tblSales[[#This Row],[Quantity]]*tblSales[[#This Row],[Actual Price]]</f>
        <v>14720</v>
      </c>
    </row>
    <row r="2174" spans="1:12" x14ac:dyDescent="0.35">
      <c r="A2174" s="3" t="s">
        <v>2787</v>
      </c>
      <c r="B2174" s="4" t="s">
        <v>401</v>
      </c>
      <c r="C2174" s="4" t="s">
        <v>402</v>
      </c>
      <c r="D2174" s="4" t="s">
        <v>14</v>
      </c>
      <c r="E2174" s="7">
        <v>42082</v>
      </c>
      <c r="F2174" s="4" t="s">
        <v>42</v>
      </c>
      <c r="G2174" s="4" t="s">
        <v>1282</v>
      </c>
      <c r="H2174" s="4">
        <v>30</v>
      </c>
      <c r="I2174" s="4">
        <v>21</v>
      </c>
      <c r="J2174" s="5">
        <v>0.3</v>
      </c>
      <c r="K2174" s="3">
        <v>47</v>
      </c>
      <c r="L2174" s="4">
        <f>tblSales[[#This Row],[Quantity]]*tblSales[[#This Row],[Actual Price]]</f>
        <v>987</v>
      </c>
    </row>
    <row r="2175" spans="1:12" x14ac:dyDescent="0.35">
      <c r="A2175" s="3" t="s">
        <v>2788</v>
      </c>
      <c r="B2175" s="4" t="s">
        <v>2171</v>
      </c>
      <c r="C2175" s="4" t="s">
        <v>19</v>
      </c>
      <c r="D2175" s="4" t="s">
        <v>20</v>
      </c>
      <c r="E2175" s="7">
        <v>41761</v>
      </c>
      <c r="F2175" s="4" t="s">
        <v>62</v>
      </c>
      <c r="G2175" s="4" t="s">
        <v>2789</v>
      </c>
      <c r="H2175" s="4">
        <v>1000</v>
      </c>
      <c r="I2175" s="4">
        <v>780</v>
      </c>
      <c r="J2175" s="5">
        <v>0.22</v>
      </c>
      <c r="K2175" s="3">
        <v>67</v>
      </c>
      <c r="L2175" s="4">
        <f>tblSales[[#This Row],[Quantity]]*tblSales[[#This Row],[Actual Price]]</f>
        <v>52260</v>
      </c>
    </row>
    <row r="2176" spans="1:12" x14ac:dyDescent="0.35">
      <c r="A2176" s="3" t="s">
        <v>2790</v>
      </c>
      <c r="B2176" s="4" t="s">
        <v>96</v>
      </c>
      <c r="C2176" s="4" t="s">
        <v>97</v>
      </c>
      <c r="D2176" s="4" t="s">
        <v>14</v>
      </c>
      <c r="E2176" s="7">
        <v>42962</v>
      </c>
      <c r="F2176" s="4" t="s">
        <v>26</v>
      </c>
      <c r="G2176" s="4" t="s">
        <v>98</v>
      </c>
      <c r="H2176" s="4">
        <v>700</v>
      </c>
      <c r="I2176" s="4">
        <v>679</v>
      </c>
      <c r="J2176" s="5">
        <v>0.03</v>
      </c>
      <c r="K2176" s="3">
        <v>13</v>
      </c>
      <c r="L2176" s="4">
        <f>tblSales[[#This Row],[Quantity]]*tblSales[[#This Row],[Actual Price]]</f>
        <v>8827</v>
      </c>
    </row>
    <row r="2177" spans="1:12" x14ac:dyDescent="0.35">
      <c r="A2177" s="3" t="s">
        <v>2791</v>
      </c>
      <c r="B2177" s="4" t="s">
        <v>71</v>
      </c>
      <c r="C2177" s="4" t="s">
        <v>72</v>
      </c>
      <c r="D2177" s="4" t="s">
        <v>36</v>
      </c>
      <c r="E2177" s="7">
        <v>42056</v>
      </c>
      <c r="F2177" s="4" t="s">
        <v>37</v>
      </c>
      <c r="G2177" s="4" t="s">
        <v>2296</v>
      </c>
      <c r="H2177" s="4">
        <v>50</v>
      </c>
      <c r="I2177" s="4">
        <v>50</v>
      </c>
      <c r="J2177" s="5">
        <v>0</v>
      </c>
      <c r="K2177" s="3">
        <v>51</v>
      </c>
      <c r="L2177" s="4">
        <f>tblSales[[#This Row],[Quantity]]*tblSales[[#This Row],[Actual Price]]</f>
        <v>2550</v>
      </c>
    </row>
    <row r="2178" spans="1:12" x14ac:dyDescent="0.35">
      <c r="A2178" s="3" t="s">
        <v>2792</v>
      </c>
      <c r="B2178" s="4" t="s">
        <v>158</v>
      </c>
      <c r="C2178" s="4" t="s">
        <v>109</v>
      </c>
      <c r="D2178" s="4" t="s">
        <v>20</v>
      </c>
      <c r="E2178" s="7">
        <v>42341</v>
      </c>
      <c r="F2178" s="4" t="s">
        <v>105</v>
      </c>
      <c r="G2178" s="4" t="s">
        <v>305</v>
      </c>
      <c r="H2178" s="4">
        <v>70</v>
      </c>
      <c r="I2178" s="4">
        <v>55</v>
      </c>
      <c r="J2178" s="5">
        <v>0.21429999999999999</v>
      </c>
      <c r="K2178" s="3">
        <v>42</v>
      </c>
      <c r="L2178" s="4">
        <f>tblSales[[#This Row],[Quantity]]*tblSales[[#This Row],[Actual Price]]</f>
        <v>2310</v>
      </c>
    </row>
    <row r="2179" spans="1:12" x14ac:dyDescent="0.35">
      <c r="A2179" s="3" t="s">
        <v>2793</v>
      </c>
      <c r="B2179" s="4" t="s">
        <v>401</v>
      </c>
      <c r="C2179" s="4" t="s">
        <v>402</v>
      </c>
      <c r="D2179" s="4" t="s">
        <v>14</v>
      </c>
      <c r="E2179" s="7">
        <v>41844</v>
      </c>
      <c r="F2179" s="4" t="s">
        <v>56</v>
      </c>
      <c r="G2179" s="4" t="s">
        <v>487</v>
      </c>
      <c r="H2179" s="4">
        <v>800</v>
      </c>
      <c r="I2179" s="4">
        <v>800</v>
      </c>
      <c r="J2179" s="5">
        <v>0</v>
      </c>
      <c r="K2179" s="3">
        <v>7</v>
      </c>
      <c r="L2179" s="4">
        <f>tblSales[[#This Row],[Quantity]]*tblSales[[#This Row],[Actual Price]]</f>
        <v>5600</v>
      </c>
    </row>
    <row r="2180" spans="1:12" x14ac:dyDescent="0.35">
      <c r="A2180" s="3" t="s">
        <v>2794</v>
      </c>
      <c r="B2180" s="4" t="s">
        <v>65</v>
      </c>
      <c r="C2180" s="4" t="s">
        <v>66</v>
      </c>
      <c r="D2180" s="4" t="s">
        <v>36</v>
      </c>
      <c r="E2180" s="7">
        <v>43081</v>
      </c>
      <c r="F2180" s="4" t="s">
        <v>37</v>
      </c>
      <c r="G2180" s="4" t="s">
        <v>2470</v>
      </c>
      <c r="H2180" s="4">
        <v>50</v>
      </c>
      <c r="I2180" s="4">
        <v>50</v>
      </c>
      <c r="J2180" s="5">
        <v>0</v>
      </c>
      <c r="K2180" s="3">
        <v>11</v>
      </c>
      <c r="L2180" s="4">
        <f>tblSales[[#This Row],[Quantity]]*tblSales[[#This Row],[Actual Price]]</f>
        <v>550</v>
      </c>
    </row>
    <row r="2181" spans="1:12" x14ac:dyDescent="0.35">
      <c r="A2181" s="3" t="s">
        <v>2795</v>
      </c>
      <c r="B2181" s="4" t="s">
        <v>18</v>
      </c>
      <c r="C2181" s="4" t="s">
        <v>19</v>
      </c>
      <c r="D2181" s="4" t="s">
        <v>20</v>
      </c>
      <c r="E2181" s="7">
        <v>42331</v>
      </c>
      <c r="F2181" s="4" t="s">
        <v>15</v>
      </c>
      <c r="G2181" s="4" t="s">
        <v>777</v>
      </c>
      <c r="H2181" s="4">
        <v>80</v>
      </c>
      <c r="I2181" s="4">
        <v>59</v>
      </c>
      <c r="J2181" s="5">
        <v>0.26250000000000001</v>
      </c>
      <c r="K2181" s="3">
        <v>12</v>
      </c>
      <c r="L2181" s="4">
        <f>tblSales[[#This Row],[Quantity]]*tblSales[[#This Row],[Actual Price]]</f>
        <v>708</v>
      </c>
    </row>
    <row r="2182" spans="1:12" x14ac:dyDescent="0.35">
      <c r="A2182" s="3" t="s">
        <v>2796</v>
      </c>
      <c r="B2182" s="4" t="s">
        <v>290</v>
      </c>
      <c r="C2182" s="4" t="s">
        <v>109</v>
      </c>
      <c r="D2182" s="4" t="s">
        <v>20</v>
      </c>
      <c r="E2182" s="7">
        <v>42105</v>
      </c>
      <c r="F2182" s="4" t="s">
        <v>42</v>
      </c>
      <c r="G2182" s="4" t="s">
        <v>904</v>
      </c>
      <c r="H2182" s="4">
        <v>30</v>
      </c>
      <c r="I2182" s="4">
        <v>30</v>
      </c>
      <c r="J2182" s="5">
        <v>0</v>
      </c>
      <c r="K2182" s="3">
        <v>56</v>
      </c>
      <c r="L2182" s="4">
        <f>tblSales[[#This Row],[Quantity]]*tblSales[[#This Row],[Actual Price]]</f>
        <v>1680</v>
      </c>
    </row>
    <row r="2183" spans="1:12" x14ac:dyDescent="0.35">
      <c r="A2183" s="3" t="s">
        <v>2797</v>
      </c>
      <c r="B2183" s="4" t="s">
        <v>271</v>
      </c>
      <c r="C2183" s="4" t="s">
        <v>272</v>
      </c>
      <c r="D2183" s="4" t="s">
        <v>36</v>
      </c>
      <c r="E2183" s="7">
        <v>42974</v>
      </c>
      <c r="F2183" s="4" t="s">
        <v>31</v>
      </c>
      <c r="G2183" s="4" t="s">
        <v>716</v>
      </c>
      <c r="H2183" s="4">
        <v>150</v>
      </c>
      <c r="I2183" s="4">
        <v>140</v>
      </c>
      <c r="J2183" s="5">
        <v>6.6699999999999995E-2</v>
      </c>
      <c r="K2183" s="3">
        <v>92</v>
      </c>
      <c r="L2183" s="4">
        <f>tblSales[[#This Row],[Quantity]]*tblSales[[#This Row],[Actual Price]]</f>
        <v>12880</v>
      </c>
    </row>
    <row r="2184" spans="1:12" x14ac:dyDescent="0.35">
      <c r="A2184" s="3" t="s">
        <v>2798</v>
      </c>
      <c r="B2184" s="4" t="s">
        <v>242</v>
      </c>
      <c r="C2184" s="4" t="s">
        <v>243</v>
      </c>
      <c r="D2184" s="4" t="s">
        <v>14</v>
      </c>
      <c r="E2184" s="7">
        <v>41910</v>
      </c>
      <c r="F2184" s="4" t="s">
        <v>15</v>
      </c>
      <c r="G2184" s="4" t="s">
        <v>521</v>
      </c>
      <c r="H2184" s="4">
        <v>80</v>
      </c>
      <c r="I2184" s="4">
        <v>66</v>
      </c>
      <c r="J2184" s="5">
        <v>0.17499999999999999</v>
      </c>
      <c r="K2184" s="3">
        <v>43</v>
      </c>
      <c r="L2184" s="4">
        <f>tblSales[[#This Row],[Quantity]]*tblSales[[#This Row],[Actual Price]]</f>
        <v>2838</v>
      </c>
    </row>
    <row r="2185" spans="1:12" x14ac:dyDescent="0.35">
      <c r="A2185" s="3" t="s">
        <v>2799</v>
      </c>
      <c r="B2185" s="4" t="s">
        <v>325</v>
      </c>
      <c r="C2185" s="4" t="s">
        <v>326</v>
      </c>
      <c r="D2185" s="4" t="s">
        <v>14</v>
      </c>
      <c r="E2185" s="7">
        <v>41905</v>
      </c>
      <c r="F2185" s="4" t="s">
        <v>47</v>
      </c>
      <c r="G2185" s="4" t="s">
        <v>589</v>
      </c>
      <c r="H2185" s="4">
        <v>500</v>
      </c>
      <c r="I2185" s="4">
        <v>475</v>
      </c>
      <c r="J2185" s="5">
        <v>0.05</v>
      </c>
      <c r="K2185" s="3">
        <v>77</v>
      </c>
      <c r="L2185" s="4">
        <f>tblSales[[#This Row],[Quantity]]*tblSales[[#This Row],[Actual Price]]</f>
        <v>36575</v>
      </c>
    </row>
    <row r="2186" spans="1:12" x14ac:dyDescent="0.35">
      <c r="A2186" s="3" t="s">
        <v>2800</v>
      </c>
      <c r="B2186" s="4" t="s">
        <v>45</v>
      </c>
      <c r="C2186" s="4" t="s">
        <v>46</v>
      </c>
      <c r="D2186" s="4" t="s">
        <v>25</v>
      </c>
      <c r="E2186" s="7">
        <v>42538</v>
      </c>
      <c r="F2186" s="4" t="s">
        <v>47</v>
      </c>
      <c r="G2186" s="4" t="s">
        <v>1103</v>
      </c>
      <c r="H2186" s="4">
        <v>500</v>
      </c>
      <c r="I2186" s="4">
        <v>485</v>
      </c>
      <c r="J2186" s="5">
        <v>0.03</v>
      </c>
      <c r="K2186" s="3">
        <v>37</v>
      </c>
      <c r="L2186" s="4">
        <f>tblSales[[#This Row],[Quantity]]*tblSales[[#This Row],[Actual Price]]</f>
        <v>17945</v>
      </c>
    </row>
    <row r="2187" spans="1:12" x14ac:dyDescent="0.35">
      <c r="A2187" s="3" t="s">
        <v>2801</v>
      </c>
      <c r="B2187" s="4" t="s">
        <v>50</v>
      </c>
      <c r="C2187" s="4" t="s">
        <v>51</v>
      </c>
      <c r="D2187" s="4" t="s">
        <v>25</v>
      </c>
      <c r="E2187" s="7">
        <v>42251</v>
      </c>
      <c r="F2187" s="4" t="s">
        <v>26</v>
      </c>
      <c r="G2187" s="4" t="s">
        <v>2288</v>
      </c>
      <c r="H2187" s="4">
        <v>700</v>
      </c>
      <c r="I2187" s="4">
        <v>581</v>
      </c>
      <c r="J2187" s="5">
        <v>0.17</v>
      </c>
      <c r="K2187" s="3">
        <v>46</v>
      </c>
      <c r="L2187" s="4">
        <f>tblSales[[#This Row],[Quantity]]*tblSales[[#This Row],[Actual Price]]</f>
        <v>26726</v>
      </c>
    </row>
    <row r="2188" spans="1:12" x14ac:dyDescent="0.35">
      <c r="A2188" s="3" t="s">
        <v>2802</v>
      </c>
      <c r="B2188" s="4" t="s">
        <v>60</v>
      </c>
      <c r="C2188" s="4" t="s">
        <v>61</v>
      </c>
      <c r="D2188" s="4" t="s">
        <v>14</v>
      </c>
      <c r="E2188" s="7">
        <v>43327</v>
      </c>
      <c r="F2188" s="4" t="s">
        <v>15</v>
      </c>
      <c r="G2188" s="4" t="s">
        <v>1779</v>
      </c>
      <c r="H2188" s="4">
        <v>80</v>
      </c>
      <c r="I2188" s="4">
        <v>74</v>
      </c>
      <c r="J2188" s="5">
        <v>7.4999999999999997E-2</v>
      </c>
      <c r="K2188" s="3">
        <v>2</v>
      </c>
      <c r="L2188" s="4">
        <f>tblSales[[#This Row],[Quantity]]*tblSales[[#This Row],[Actual Price]]</f>
        <v>148</v>
      </c>
    </row>
    <row r="2189" spans="1:12" x14ac:dyDescent="0.35">
      <c r="A2189" s="3" t="s">
        <v>2803</v>
      </c>
      <c r="B2189" s="4" t="s">
        <v>228</v>
      </c>
      <c r="C2189" s="4" t="s">
        <v>229</v>
      </c>
      <c r="D2189" s="4" t="s">
        <v>25</v>
      </c>
      <c r="E2189" s="7">
        <v>43112</v>
      </c>
      <c r="F2189" s="4" t="s">
        <v>73</v>
      </c>
      <c r="G2189" s="4" t="s">
        <v>622</v>
      </c>
      <c r="H2189" s="4">
        <v>500</v>
      </c>
      <c r="I2189" s="4">
        <v>490</v>
      </c>
      <c r="J2189" s="5">
        <v>0.02</v>
      </c>
      <c r="K2189" s="3">
        <v>19</v>
      </c>
      <c r="L2189" s="4">
        <f>tblSales[[#This Row],[Quantity]]*tblSales[[#This Row],[Actual Price]]</f>
        <v>9310</v>
      </c>
    </row>
    <row r="2190" spans="1:12" x14ac:dyDescent="0.35">
      <c r="A2190" s="3" t="s">
        <v>2804</v>
      </c>
      <c r="B2190" s="4" t="s">
        <v>104</v>
      </c>
      <c r="C2190" s="4" t="s">
        <v>72</v>
      </c>
      <c r="D2190" s="4" t="s">
        <v>36</v>
      </c>
      <c r="E2190" s="7">
        <v>42623</v>
      </c>
      <c r="F2190" s="4" t="s">
        <v>116</v>
      </c>
      <c r="G2190" s="4" t="s">
        <v>106</v>
      </c>
      <c r="H2190" s="4">
        <v>250</v>
      </c>
      <c r="I2190" s="4">
        <v>240</v>
      </c>
      <c r="J2190" s="5">
        <v>0.04</v>
      </c>
      <c r="K2190" s="3">
        <v>15</v>
      </c>
      <c r="L2190" s="4">
        <f>tblSales[[#This Row],[Quantity]]*tblSales[[#This Row],[Actual Price]]</f>
        <v>3600</v>
      </c>
    </row>
    <row r="2191" spans="1:12" x14ac:dyDescent="0.35">
      <c r="A2191" s="3" t="s">
        <v>2805</v>
      </c>
      <c r="B2191" s="4" t="s">
        <v>45</v>
      </c>
      <c r="C2191" s="4" t="s">
        <v>46</v>
      </c>
      <c r="D2191" s="4" t="s">
        <v>25</v>
      </c>
      <c r="E2191" s="7">
        <v>43023</v>
      </c>
      <c r="F2191" s="4" t="s">
        <v>56</v>
      </c>
      <c r="G2191" s="4" t="s">
        <v>1178</v>
      </c>
      <c r="H2191" s="4">
        <v>800</v>
      </c>
      <c r="I2191" s="4">
        <v>744</v>
      </c>
      <c r="J2191" s="5">
        <v>7.0000000000000007E-2</v>
      </c>
      <c r="K2191" s="3">
        <v>17</v>
      </c>
      <c r="L2191" s="4">
        <f>tblSales[[#This Row],[Quantity]]*tblSales[[#This Row],[Actual Price]]</f>
        <v>12648</v>
      </c>
    </row>
    <row r="2192" spans="1:12" x14ac:dyDescent="0.35">
      <c r="A2192" s="3" t="s">
        <v>2806</v>
      </c>
      <c r="B2192" s="4" t="s">
        <v>50</v>
      </c>
      <c r="C2192" s="4" t="s">
        <v>51</v>
      </c>
      <c r="D2192" s="4" t="s">
        <v>25</v>
      </c>
      <c r="E2192" s="7">
        <v>43113</v>
      </c>
      <c r="F2192" s="4" t="s">
        <v>73</v>
      </c>
      <c r="G2192" s="4" t="s">
        <v>1001</v>
      </c>
      <c r="H2192" s="4">
        <v>500</v>
      </c>
      <c r="I2192" s="4">
        <v>490</v>
      </c>
      <c r="J2192" s="5">
        <v>0.02</v>
      </c>
      <c r="K2192" s="3">
        <v>80</v>
      </c>
      <c r="L2192" s="4">
        <f>tblSales[[#This Row],[Quantity]]*tblSales[[#This Row],[Actual Price]]</f>
        <v>39200</v>
      </c>
    </row>
    <row r="2193" spans="1:12" x14ac:dyDescent="0.35">
      <c r="A2193" s="3" t="s">
        <v>2807</v>
      </c>
      <c r="B2193" s="4" t="s">
        <v>242</v>
      </c>
      <c r="C2193" s="4" t="s">
        <v>243</v>
      </c>
      <c r="D2193" s="4" t="s">
        <v>14</v>
      </c>
      <c r="E2193" s="7">
        <v>43015</v>
      </c>
      <c r="F2193" s="4" t="s">
        <v>73</v>
      </c>
      <c r="G2193" s="4" t="s">
        <v>288</v>
      </c>
      <c r="H2193" s="4">
        <v>500</v>
      </c>
      <c r="I2193" s="4">
        <v>495</v>
      </c>
      <c r="J2193" s="5">
        <v>0.01</v>
      </c>
      <c r="K2193" s="3">
        <v>35</v>
      </c>
      <c r="L2193" s="4">
        <f>tblSales[[#This Row],[Quantity]]*tblSales[[#This Row],[Actual Price]]</f>
        <v>17325</v>
      </c>
    </row>
    <row r="2194" spans="1:12" x14ac:dyDescent="0.35">
      <c r="A2194" s="3" t="s">
        <v>2808</v>
      </c>
      <c r="B2194" s="4" t="s">
        <v>132</v>
      </c>
      <c r="C2194" s="4" t="s">
        <v>109</v>
      </c>
      <c r="D2194" s="4" t="s">
        <v>20</v>
      </c>
      <c r="E2194" s="7">
        <v>43126</v>
      </c>
      <c r="F2194" s="4" t="s">
        <v>73</v>
      </c>
      <c r="G2194" s="4" t="s">
        <v>547</v>
      </c>
      <c r="H2194" s="4">
        <v>500</v>
      </c>
      <c r="I2194" s="4">
        <v>500</v>
      </c>
      <c r="J2194" s="5">
        <v>0</v>
      </c>
      <c r="K2194" s="3">
        <v>11</v>
      </c>
      <c r="L2194" s="4">
        <f>tblSales[[#This Row],[Quantity]]*tblSales[[#This Row],[Actual Price]]</f>
        <v>5500</v>
      </c>
    </row>
    <row r="2195" spans="1:12" x14ac:dyDescent="0.35">
      <c r="A2195" s="3" t="s">
        <v>2809</v>
      </c>
      <c r="B2195" s="4" t="s">
        <v>171</v>
      </c>
      <c r="C2195" s="4" t="s">
        <v>172</v>
      </c>
      <c r="D2195" s="4" t="s">
        <v>14</v>
      </c>
      <c r="E2195" s="7">
        <v>43053</v>
      </c>
      <c r="F2195" s="4" t="s">
        <v>31</v>
      </c>
      <c r="G2195" s="4" t="s">
        <v>441</v>
      </c>
      <c r="H2195" s="4">
        <v>150</v>
      </c>
      <c r="I2195" s="4">
        <v>138</v>
      </c>
      <c r="J2195" s="5">
        <v>0.08</v>
      </c>
      <c r="K2195" s="3">
        <v>14</v>
      </c>
      <c r="L2195" s="4">
        <f>tblSales[[#This Row],[Quantity]]*tblSales[[#This Row],[Actual Price]]</f>
        <v>1932</v>
      </c>
    </row>
    <row r="2196" spans="1:12" x14ac:dyDescent="0.35">
      <c r="A2196" s="3" t="s">
        <v>2810</v>
      </c>
      <c r="B2196" s="4" t="s">
        <v>45</v>
      </c>
      <c r="C2196" s="4" t="s">
        <v>46</v>
      </c>
      <c r="D2196" s="4" t="s">
        <v>25</v>
      </c>
      <c r="E2196" s="7">
        <v>42423</v>
      </c>
      <c r="F2196" s="4" t="s">
        <v>73</v>
      </c>
      <c r="G2196" s="4" t="s">
        <v>1036</v>
      </c>
      <c r="H2196" s="4">
        <v>500</v>
      </c>
      <c r="I2196" s="4">
        <v>490</v>
      </c>
      <c r="J2196" s="5">
        <v>0.02</v>
      </c>
      <c r="K2196" s="3">
        <v>84</v>
      </c>
      <c r="L2196" s="4">
        <f>tblSales[[#This Row],[Quantity]]*tblSales[[#This Row],[Actual Price]]</f>
        <v>41160</v>
      </c>
    </row>
    <row r="2197" spans="1:12" x14ac:dyDescent="0.35">
      <c r="A2197" s="3" t="s">
        <v>2811</v>
      </c>
      <c r="B2197" s="4" t="s">
        <v>78</v>
      </c>
      <c r="C2197" s="4" t="s">
        <v>79</v>
      </c>
      <c r="D2197" s="4" t="s">
        <v>36</v>
      </c>
      <c r="E2197" s="7">
        <v>42835</v>
      </c>
      <c r="F2197" s="4" t="s">
        <v>26</v>
      </c>
      <c r="G2197" s="4" t="s">
        <v>395</v>
      </c>
      <c r="H2197" s="4">
        <v>700</v>
      </c>
      <c r="I2197" s="4">
        <v>658</v>
      </c>
      <c r="J2197" s="5">
        <v>0.06</v>
      </c>
      <c r="K2197" s="3">
        <v>28</v>
      </c>
      <c r="L2197" s="4">
        <f>tblSales[[#This Row],[Quantity]]*tblSales[[#This Row],[Actual Price]]</f>
        <v>18424</v>
      </c>
    </row>
    <row r="2198" spans="1:12" x14ac:dyDescent="0.35">
      <c r="A2198" s="3" t="s">
        <v>2812</v>
      </c>
      <c r="B2198" s="4" t="s">
        <v>325</v>
      </c>
      <c r="C2198" s="4" t="s">
        <v>326</v>
      </c>
      <c r="D2198" s="4" t="s">
        <v>14</v>
      </c>
      <c r="E2198" s="7">
        <v>42456</v>
      </c>
      <c r="F2198" s="4" t="s">
        <v>62</v>
      </c>
      <c r="G2198" s="4" t="s">
        <v>923</v>
      </c>
      <c r="H2198" s="4">
        <v>1000</v>
      </c>
      <c r="I2198" s="4">
        <v>800</v>
      </c>
      <c r="J2198" s="5">
        <v>0.2</v>
      </c>
      <c r="K2198" s="3">
        <v>34</v>
      </c>
      <c r="L2198" s="4">
        <f>tblSales[[#This Row],[Quantity]]*tblSales[[#This Row],[Actual Price]]</f>
        <v>27200</v>
      </c>
    </row>
    <row r="2199" spans="1:12" x14ac:dyDescent="0.35">
      <c r="A2199" s="3" t="s">
        <v>2813</v>
      </c>
      <c r="B2199" s="4" t="s">
        <v>222</v>
      </c>
      <c r="C2199" s="4" t="s">
        <v>41</v>
      </c>
      <c r="D2199" s="4" t="s">
        <v>36</v>
      </c>
      <c r="E2199" s="7">
        <v>42792</v>
      </c>
      <c r="F2199" s="4" t="s">
        <v>47</v>
      </c>
      <c r="G2199" s="4" t="s">
        <v>1323</v>
      </c>
      <c r="H2199" s="4">
        <v>500</v>
      </c>
      <c r="I2199" s="4">
        <v>485</v>
      </c>
      <c r="J2199" s="5">
        <v>0.03</v>
      </c>
      <c r="K2199" s="3">
        <v>84</v>
      </c>
      <c r="L2199" s="4">
        <f>tblSales[[#This Row],[Quantity]]*tblSales[[#This Row],[Actual Price]]</f>
        <v>40740</v>
      </c>
    </row>
    <row r="2200" spans="1:12" x14ac:dyDescent="0.35">
      <c r="A2200" s="3" t="s">
        <v>2814</v>
      </c>
      <c r="B2200" s="4" t="s">
        <v>86</v>
      </c>
      <c r="C2200" s="4" t="s">
        <v>87</v>
      </c>
      <c r="D2200" s="4" t="s">
        <v>14</v>
      </c>
      <c r="E2200" s="7">
        <v>42371</v>
      </c>
      <c r="F2200" s="4" t="s">
        <v>47</v>
      </c>
      <c r="G2200" s="4" t="s">
        <v>88</v>
      </c>
      <c r="H2200" s="4">
        <v>500</v>
      </c>
      <c r="I2200" s="4">
        <v>445</v>
      </c>
      <c r="J2200" s="5">
        <v>0.11</v>
      </c>
      <c r="K2200" s="3">
        <v>10</v>
      </c>
      <c r="L2200" s="4">
        <f>tblSales[[#This Row],[Quantity]]*tblSales[[#This Row],[Actual Price]]</f>
        <v>4450</v>
      </c>
    </row>
    <row r="2201" spans="1:12" x14ac:dyDescent="0.35">
      <c r="A2201" s="3" t="s">
        <v>2815</v>
      </c>
      <c r="B2201" s="4" t="s">
        <v>92</v>
      </c>
      <c r="C2201" s="4" t="s">
        <v>93</v>
      </c>
      <c r="D2201" s="4" t="s">
        <v>36</v>
      </c>
      <c r="E2201" s="7">
        <v>42012</v>
      </c>
      <c r="F2201" s="4" t="s">
        <v>105</v>
      </c>
      <c r="G2201" s="4" t="s">
        <v>1514</v>
      </c>
      <c r="H2201" s="4">
        <v>70</v>
      </c>
      <c r="I2201" s="4">
        <v>59</v>
      </c>
      <c r="J2201" s="5">
        <v>0.15709999999999999</v>
      </c>
      <c r="K2201" s="3">
        <v>27</v>
      </c>
      <c r="L2201" s="4">
        <f>tblSales[[#This Row],[Quantity]]*tblSales[[#This Row],[Actual Price]]</f>
        <v>1593</v>
      </c>
    </row>
    <row r="2202" spans="1:12" x14ac:dyDescent="0.35">
      <c r="A2202" s="3" t="s">
        <v>2816</v>
      </c>
      <c r="B2202" s="4" t="s">
        <v>158</v>
      </c>
      <c r="C2202" s="4" t="s">
        <v>109</v>
      </c>
      <c r="D2202" s="4" t="s">
        <v>20</v>
      </c>
      <c r="E2202" s="7">
        <v>41736</v>
      </c>
      <c r="F2202" s="4" t="s">
        <v>31</v>
      </c>
      <c r="G2202" s="4" t="s">
        <v>982</v>
      </c>
      <c r="H2202" s="4">
        <v>150</v>
      </c>
      <c r="I2202" s="4">
        <v>122</v>
      </c>
      <c r="J2202" s="5">
        <v>0.1867</v>
      </c>
      <c r="K2202" s="3">
        <v>55</v>
      </c>
      <c r="L2202" s="4">
        <f>tblSales[[#This Row],[Quantity]]*tblSales[[#This Row],[Actual Price]]</f>
        <v>6710</v>
      </c>
    </row>
    <row r="2203" spans="1:12" x14ac:dyDescent="0.35">
      <c r="A2203" s="3" t="s">
        <v>2817</v>
      </c>
      <c r="B2203" s="4" t="s">
        <v>175</v>
      </c>
      <c r="C2203" s="4" t="s">
        <v>176</v>
      </c>
      <c r="D2203" s="4" t="s">
        <v>14</v>
      </c>
      <c r="E2203" s="7">
        <v>42481</v>
      </c>
      <c r="F2203" s="4" t="s">
        <v>26</v>
      </c>
      <c r="G2203" s="4" t="s">
        <v>1457</v>
      </c>
      <c r="H2203" s="4">
        <v>700</v>
      </c>
      <c r="I2203" s="4">
        <v>658</v>
      </c>
      <c r="J2203" s="5">
        <v>0.06</v>
      </c>
      <c r="K2203" s="3">
        <v>50</v>
      </c>
      <c r="L2203" s="4">
        <f>tblSales[[#This Row],[Quantity]]*tblSales[[#This Row],[Actual Price]]</f>
        <v>32900</v>
      </c>
    </row>
    <row r="2204" spans="1:12" x14ac:dyDescent="0.35">
      <c r="A2204" s="3" t="s">
        <v>2818</v>
      </c>
      <c r="B2204" s="4" t="s">
        <v>12</v>
      </c>
      <c r="C2204" s="4" t="s">
        <v>13</v>
      </c>
      <c r="D2204" s="4" t="s">
        <v>14</v>
      </c>
      <c r="E2204" s="7">
        <v>42082</v>
      </c>
      <c r="F2204" s="4" t="s">
        <v>47</v>
      </c>
      <c r="G2204" s="4" t="s">
        <v>138</v>
      </c>
      <c r="H2204" s="4">
        <v>500</v>
      </c>
      <c r="I2204" s="4">
        <v>480</v>
      </c>
      <c r="J2204" s="5">
        <v>0.04</v>
      </c>
      <c r="K2204" s="3">
        <v>2</v>
      </c>
      <c r="L2204" s="4">
        <f>tblSales[[#This Row],[Quantity]]*tblSales[[#This Row],[Actual Price]]</f>
        <v>960</v>
      </c>
    </row>
    <row r="2205" spans="1:12" x14ac:dyDescent="0.35">
      <c r="A2205" s="3" t="s">
        <v>2819</v>
      </c>
      <c r="B2205" s="4" t="s">
        <v>128</v>
      </c>
      <c r="C2205" s="4" t="s">
        <v>129</v>
      </c>
      <c r="D2205" s="4" t="s">
        <v>14</v>
      </c>
      <c r="E2205" s="7">
        <v>42306</v>
      </c>
      <c r="F2205" s="4" t="s">
        <v>42</v>
      </c>
      <c r="G2205" s="4" t="s">
        <v>386</v>
      </c>
      <c r="H2205" s="4">
        <v>30</v>
      </c>
      <c r="I2205" s="4">
        <v>27</v>
      </c>
      <c r="J2205" s="5">
        <v>0.1</v>
      </c>
      <c r="K2205" s="3">
        <v>22</v>
      </c>
      <c r="L2205" s="4">
        <f>tblSales[[#This Row],[Quantity]]*tblSales[[#This Row],[Actual Price]]</f>
        <v>594</v>
      </c>
    </row>
    <row r="2206" spans="1:12" x14ac:dyDescent="0.35">
      <c r="A2206" s="3" t="s">
        <v>2820</v>
      </c>
      <c r="B2206" s="4" t="s">
        <v>401</v>
      </c>
      <c r="C2206" s="4" t="s">
        <v>402</v>
      </c>
      <c r="D2206" s="4" t="s">
        <v>14</v>
      </c>
      <c r="E2206" s="7">
        <v>42959</v>
      </c>
      <c r="F2206" s="4" t="s">
        <v>56</v>
      </c>
      <c r="G2206" s="4" t="s">
        <v>403</v>
      </c>
      <c r="H2206" s="4">
        <v>800</v>
      </c>
      <c r="I2206" s="4">
        <v>592</v>
      </c>
      <c r="J2206" s="5">
        <v>0.26</v>
      </c>
      <c r="K2206" s="3">
        <v>98</v>
      </c>
      <c r="L2206" s="4">
        <f>tblSales[[#This Row],[Quantity]]*tblSales[[#This Row],[Actual Price]]</f>
        <v>58016</v>
      </c>
    </row>
    <row r="2207" spans="1:12" x14ac:dyDescent="0.35">
      <c r="A2207" s="3" t="s">
        <v>2821</v>
      </c>
      <c r="B2207" s="4" t="s">
        <v>23</v>
      </c>
      <c r="C2207" s="4" t="s">
        <v>24</v>
      </c>
      <c r="D2207" s="4" t="s">
        <v>25</v>
      </c>
      <c r="E2207" s="7">
        <v>42775</v>
      </c>
      <c r="F2207" s="4" t="s">
        <v>56</v>
      </c>
      <c r="G2207" s="4" t="s">
        <v>1585</v>
      </c>
      <c r="H2207" s="4">
        <v>800</v>
      </c>
      <c r="I2207" s="4">
        <v>680</v>
      </c>
      <c r="J2207" s="5">
        <v>0.15</v>
      </c>
      <c r="K2207" s="3">
        <v>59</v>
      </c>
      <c r="L2207" s="4">
        <f>tblSales[[#This Row],[Quantity]]*tblSales[[#This Row],[Actual Price]]</f>
        <v>40120</v>
      </c>
    </row>
    <row r="2208" spans="1:12" x14ac:dyDescent="0.35">
      <c r="A2208" s="3" t="s">
        <v>2822</v>
      </c>
      <c r="B2208" s="4" t="s">
        <v>435</v>
      </c>
      <c r="C2208" s="4" t="s">
        <v>436</v>
      </c>
      <c r="D2208" s="4" t="s">
        <v>25</v>
      </c>
      <c r="E2208" s="7">
        <v>42381</v>
      </c>
      <c r="F2208" s="4" t="s">
        <v>26</v>
      </c>
      <c r="G2208" s="4" t="s">
        <v>586</v>
      </c>
      <c r="H2208" s="4">
        <v>700</v>
      </c>
      <c r="I2208" s="4">
        <v>693</v>
      </c>
      <c r="J2208" s="5">
        <v>0.01</v>
      </c>
      <c r="K2208" s="3">
        <v>70</v>
      </c>
      <c r="L2208" s="4">
        <f>tblSales[[#This Row],[Quantity]]*tblSales[[#This Row],[Actual Price]]</f>
        <v>48510</v>
      </c>
    </row>
    <row r="2209" spans="1:12" x14ac:dyDescent="0.35">
      <c r="A2209" s="3" t="s">
        <v>2823</v>
      </c>
      <c r="B2209" s="4" t="s">
        <v>125</v>
      </c>
      <c r="C2209" s="4" t="s">
        <v>41</v>
      </c>
      <c r="D2209" s="4" t="s">
        <v>36</v>
      </c>
      <c r="E2209" s="7">
        <v>43021</v>
      </c>
      <c r="F2209" s="4" t="s">
        <v>31</v>
      </c>
      <c r="G2209" s="4" t="s">
        <v>864</v>
      </c>
      <c r="H2209" s="4">
        <v>150</v>
      </c>
      <c r="I2209" s="4">
        <v>141</v>
      </c>
      <c r="J2209" s="5">
        <v>0.06</v>
      </c>
      <c r="K2209" s="3">
        <v>77</v>
      </c>
      <c r="L2209" s="4">
        <f>tblSales[[#This Row],[Quantity]]*tblSales[[#This Row],[Actual Price]]</f>
        <v>10857</v>
      </c>
    </row>
    <row r="2210" spans="1:12" x14ac:dyDescent="0.35">
      <c r="A2210" s="3" t="s">
        <v>2824</v>
      </c>
      <c r="B2210" s="4" t="s">
        <v>206</v>
      </c>
      <c r="C2210" s="4" t="s">
        <v>207</v>
      </c>
      <c r="D2210" s="4" t="s">
        <v>25</v>
      </c>
      <c r="E2210" s="7">
        <v>42963</v>
      </c>
      <c r="F2210" s="4" t="s">
        <v>47</v>
      </c>
      <c r="G2210" s="4" t="s">
        <v>723</v>
      </c>
      <c r="H2210" s="4">
        <v>500</v>
      </c>
      <c r="I2210" s="4">
        <v>470</v>
      </c>
      <c r="J2210" s="5">
        <v>0.06</v>
      </c>
      <c r="K2210" s="3">
        <v>93</v>
      </c>
      <c r="L2210" s="4">
        <f>tblSales[[#This Row],[Quantity]]*tblSales[[#This Row],[Actual Price]]</f>
        <v>43710</v>
      </c>
    </row>
    <row r="2211" spans="1:12" x14ac:dyDescent="0.35">
      <c r="A2211" s="3" t="s">
        <v>2825</v>
      </c>
      <c r="B2211" s="4" t="s">
        <v>183</v>
      </c>
      <c r="C2211" s="4" t="s">
        <v>109</v>
      </c>
      <c r="D2211" s="4" t="s">
        <v>20</v>
      </c>
      <c r="E2211" s="7">
        <v>43289</v>
      </c>
      <c r="F2211" s="4" t="s">
        <v>73</v>
      </c>
      <c r="G2211" s="4" t="s">
        <v>204</v>
      </c>
      <c r="H2211" s="4">
        <v>500</v>
      </c>
      <c r="I2211" s="4">
        <v>495</v>
      </c>
      <c r="J2211" s="5">
        <v>0.01</v>
      </c>
      <c r="K2211" s="3">
        <v>10</v>
      </c>
      <c r="L2211" s="4">
        <f>tblSales[[#This Row],[Quantity]]*tblSales[[#This Row],[Actual Price]]</f>
        <v>4950</v>
      </c>
    </row>
    <row r="2212" spans="1:12" x14ac:dyDescent="0.35">
      <c r="A2212" s="3" t="s">
        <v>2826</v>
      </c>
      <c r="B2212" s="4" t="s">
        <v>183</v>
      </c>
      <c r="C2212" s="4" t="s">
        <v>109</v>
      </c>
      <c r="D2212" s="4" t="s">
        <v>20</v>
      </c>
      <c r="E2212" s="7">
        <v>42556</v>
      </c>
      <c r="F2212" s="4" t="s">
        <v>116</v>
      </c>
      <c r="G2212" s="4" t="s">
        <v>1259</v>
      </c>
      <c r="H2212" s="4">
        <v>250</v>
      </c>
      <c r="I2212" s="4">
        <v>248</v>
      </c>
      <c r="J2212" s="5">
        <v>8.0000000000000002E-3</v>
      </c>
      <c r="K2212" s="3">
        <v>88</v>
      </c>
      <c r="L2212" s="4">
        <f>tblSales[[#This Row],[Quantity]]*tblSales[[#This Row],[Actual Price]]</f>
        <v>21824</v>
      </c>
    </row>
    <row r="2213" spans="1:12" x14ac:dyDescent="0.35">
      <c r="A2213" s="3" t="s">
        <v>2827</v>
      </c>
      <c r="B2213" s="4" t="s">
        <v>82</v>
      </c>
      <c r="C2213" s="4" t="s">
        <v>83</v>
      </c>
      <c r="D2213" s="4" t="s">
        <v>14</v>
      </c>
      <c r="E2213" s="7">
        <v>43069</v>
      </c>
      <c r="F2213" s="4" t="s">
        <v>15</v>
      </c>
      <c r="G2213" s="4" t="s">
        <v>388</v>
      </c>
      <c r="H2213" s="4">
        <v>80</v>
      </c>
      <c r="I2213" s="4">
        <v>76</v>
      </c>
      <c r="J2213" s="5">
        <v>0.05</v>
      </c>
      <c r="K2213" s="3">
        <v>85</v>
      </c>
      <c r="L2213" s="4">
        <f>tblSales[[#This Row],[Quantity]]*tblSales[[#This Row],[Actual Price]]</f>
        <v>6460</v>
      </c>
    </row>
    <row r="2214" spans="1:12" x14ac:dyDescent="0.35">
      <c r="A2214" s="3" t="s">
        <v>2828</v>
      </c>
      <c r="B2214" s="4" t="s">
        <v>135</v>
      </c>
      <c r="C2214" s="4" t="s">
        <v>93</v>
      </c>
      <c r="D2214" s="4" t="s">
        <v>36</v>
      </c>
      <c r="E2214" s="7">
        <v>42133</v>
      </c>
      <c r="F2214" s="4" t="s">
        <v>123</v>
      </c>
      <c r="G2214" s="4" t="s">
        <v>1128</v>
      </c>
      <c r="H2214" s="4">
        <v>50</v>
      </c>
      <c r="I2214" s="4">
        <v>33</v>
      </c>
      <c r="J2214" s="5">
        <v>0.34</v>
      </c>
      <c r="K2214" s="3">
        <v>52</v>
      </c>
      <c r="L2214" s="4">
        <f>tblSales[[#This Row],[Quantity]]*tblSales[[#This Row],[Actual Price]]</f>
        <v>1716</v>
      </c>
    </row>
    <row r="2215" spans="1:12" x14ac:dyDescent="0.35">
      <c r="A2215" s="3" t="s">
        <v>2829</v>
      </c>
      <c r="B2215" s="4" t="s">
        <v>45</v>
      </c>
      <c r="C2215" s="4" t="s">
        <v>46</v>
      </c>
      <c r="D2215" s="4" t="s">
        <v>25</v>
      </c>
      <c r="E2215" s="7">
        <v>43295</v>
      </c>
      <c r="F2215" s="4" t="s">
        <v>47</v>
      </c>
      <c r="G2215" s="4" t="s">
        <v>1103</v>
      </c>
      <c r="H2215" s="4">
        <v>500</v>
      </c>
      <c r="I2215" s="4">
        <v>475</v>
      </c>
      <c r="J2215" s="5">
        <v>0.05</v>
      </c>
      <c r="K2215" s="3">
        <v>87</v>
      </c>
      <c r="L2215" s="4">
        <f>tblSales[[#This Row],[Quantity]]*tblSales[[#This Row],[Actual Price]]</f>
        <v>41325</v>
      </c>
    </row>
    <row r="2216" spans="1:12" x14ac:dyDescent="0.35">
      <c r="A2216" s="3" t="s">
        <v>2830</v>
      </c>
      <c r="B2216" s="4" t="s">
        <v>119</v>
      </c>
      <c r="C2216" s="4" t="s">
        <v>120</v>
      </c>
      <c r="D2216" s="4" t="s">
        <v>36</v>
      </c>
      <c r="E2216" s="7">
        <v>43256</v>
      </c>
      <c r="F2216" s="4" t="s">
        <v>26</v>
      </c>
      <c r="G2216" s="4" t="s">
        <v>848</v>
      </c>
      <c r="H2216" s="4">
        <v>700</v>
      </c>
      <c r="I2216" s="4">
        <v>686</v>
      </c>
      <c r="J2216" s="5">
        <v>0.02</v>
      </c>
      <c r="K2216" s="3">
        <v>15</v>
      </c>
      <c r="L2216" s="4">
        <f>tblSales[[#This Row],[Quantity]]*tblSales[[#This Row],[Actual Price]]</f>
        <v>10290</v>
      </c>
    </row>
    <row r="2217" spans="1:12" x14ac:dyDescent="0.35">
      <c r="A2217" s="3" t="s">
        <v>2831</v>
      </c>
      <c r="B2217" s="4" t="s">
        <v>54</v>
      </c>
      <c r="C2217" s="4" t="s">
        <v>55</v>
      </c>
      <c r="D2217" s="4" t="s">
        <v>14</v>
      </c>
      <c r="E2217" s="7">
        <v>41710</v>
      </c>
      <c r="F2217" s="4" t="s">
        <v>62</v>
      </c>
      <c r="G2217" s="4" t="s">
        <v>796</v>
      </c>
      <c r="H2217" s="4">
        <v>1000</v>
      </c>
      <c r="I2217" s="4">
        <v>780</v>
      </c>
      <c r="J2217" s="5">
        <v>0.22</v>
      </c>
      <c r="K2217" s="3">
        <v>48</v>
      </c>
      <c r="L2217" s="4">
        <f>tblSales[[#This Row],[Quantity]]*tblSales[[#This Row],[Actual Price]]</f>
        <v>37440</v>
      </c>
    </row>
    <row r="2218" spans="1:12" x14ac:dyDescent="0.35">
      <c r="A2218" s="3" t="s">
        <v>2832</v>
      </c>
      <c r="B2218" s="4" t="s">
        <v>2171</v>
      </c>
      <c r="C2218" s="4" t="s">
        <v>19</v>
      </c>
      <c r="D2218" s="4" t="s">
        <v>20</v>
      </c>
      <c r="E2218" s="7">
        <v>41790</v>
      </c>
      <c r="F2218" s="4" t="s">
        <v>62</v>
      </c>
      <c r="G2218" s="4" t="s">
        <v>2458</v>
      </c>
      <c r="H2218" s="4">
        <v>1000</v>
      </c>
      <c r="I2218" s="4">
        <v>510</v>
      </c>
      <c r="J2218" s="5">
        <v>0.49</v>
      </c>
      <c r="K2218" s="3">
        <v>80</v>
      </c>
      <c r="L2218" s="4">
        <f>tblSales[[#This Row],[Quantity]]*tblSales[[#This Row],[Actual Price]]</f>
        <v>40800</v>
      </c>
    </row>
    <row r="2219" spans="1:12" x14ac:dyDescent="0.35">
      <c r="A2219" s="3" t="s">
        <v>2833</v>
      </c>
      <c r="B2219" s="4" t="s">
        <v>132</v>
      </c>
      <c r="C2219" s="4" t="s">
        <v>109</v>
      </c>
      <c r="D2219" s="4" t="s">
        <v>20</v>
      </c>
      <c r="E2219" s="7">
        <v>42728</v>
      </c>
      <c r="F2219" s="4" t="s">
        <v>123</v>
      </c>
      <c r="G2219" s="4" t="s">
        <v>794</v>
      </c>
      <c r="H2219" s="4">
        <v>50</v>
      </c>
      <c r="I2219" s="4">
        <v>49</v>
      </c>
      <c r="J2219" s="5">
        <v>0.02</v>
      </c>
      <c r="K2219" s="3">
        <v>70</v>
      </c>
      <c r="L2219" s="4">
        <f>tblSales[[#This Row],[Quantity]]*tblSales[[#This Row],[Actual Price]]</f>
        <v>3430</v>
      </c>
    </row>
    <row r="2220" spans="1:12" x14ac:dyDescent="0.35">
      <c r="A2220" s="3" t="s">
        <v>2834</v>
      </c>
      <c r="B2220" s="4" t="s">
        <v>125</v>
      </c>
      <c r="C2220" s="4" t="s">
        <v>41</v>
      </c>
      <c r="D2220" s="4" t="s">
        <v>36</v>
      </c>
      <c r="E2220" s="7">
        <v>43027</v>
      </c>
      <c r="F2220" s="4" t="s">
        <v>56</v>
      </c>
      <c r="G2220" s="4" t="s">
        <v>576</v>
      </c>
      <c r="H2220" s="4">
        <v>800</v>
      </c>
      <c r="I2220" s="4">
        <v>512</v>
      </c>
      <c r="J2220" s="5">
        <v>0.36</v>
      </c>
      <c r="K2220" s="3">
        <v>38</v>
      </c>
      <c r="L2220" s="4">
        <f>tblSales[[#This Row],[Quantity]]*tblSales[[#This Row],[Actual Price]]</f>
        <v>19456</v>
      </c>
    </row>
    <row r="2221" spans="1:12" x14ac:dyDescent="0.35">
      <c r="A2221" s="3" t="s">
        <v>2835</v>
      </c>
      <c r="B2221" s="4" t="s">
        <v>206</v>
      </c>
      <c r="C2221" s="4" t="s">
        <v>207</v>
      </c>
      <c r="D2221" s="4" t="s">
        <v>25</v>
      </c>
      <c r="E2221" s="7">
        <v>42218</v>
      </c>
      <c r="F2221" s="4" t="s">
        <v>56</v>
      </c>
      <c r="G2221" s="4" t="s">
        <v>1873</v>
      </c>
      <c r="H2221" s="4">
        <v>800</v>
      </c>
      <c r="I2221" s="4">
        <v>656</v>
      </c>
      <c r="J2221" s="5">
        <v>0.18</v>
      </c>
      <c r="K2221" s="3">
        <v>21</v>
      </c>
      <c r="L2221" s="4">
        <f>tblSales[[#This Row],[Quantity]]*tblSales[[#This Row],[Actual Price]]</f>
        <v>13776</v>
      </c>
    </row>
    <row r="2222" spans="1:12" x14ac:dyDescent="0.35">
      <c r="A2222" s="3" t="s">
        <v>2836</v>
      </c>
      <c r="B2222" s="4" t="s">
        <v>206</v>
      </c>
      <c r="C2222" s="4" t="s">
        <v>207</v>
      </c>
      <c r="D2222" s="4" t="s">
        <v>25</v>
      </c>
      <c r="E2222" s="7">
        <v>42123</v>
      </c>
      <c r="F2222" s="4" t="s">
        <v>15</v>
      </c>
      <c r="G2222" s="4" t="s">
        <v>661</v>
      </c>
      <c r="H2222" s="4">
        <v>80</v>
      </c>
      <c r="I2222" s="4">
        <v>72</v>
      </c>
      <c r="J2222" s="5">
        <v>0.1</v>
      </c>
      <c r="K2222" s="3">
        <v>35</v>
      </c>
      <c r="L2222" s="4">
        <f>tblSales[[#This Row],[Quantity]]*tblSales[[#This Row],[Actual Price]]</f>
        <v>2520</v>
      </c>
    </row>
    <row r="2223" spans="1:12" x14ac:dyDescent="0.35">
      <c r="A2223" s="3" t="s">
        <v>2837</v>
      </c>
      <c r="B2223" s="4" t="s">
        <v>104</v>
      </c>
      <c r="C2223" s="4" t="s">
        <v>72</v>
      </c>
      <c r="D2223" s="4" t="s">
        <v>36</v>
      </c>
      <c r="E2223" s="7">
        <v>41879</v>
      </c>
      <c r="F2223" s="4" t="s">
        <v>73</v>
      </c>
      <c r="G2223" s="4" t="s">
        <v>106</v>
      </c>
      <c r="H2223" s="4">
        <v>500</v>
      </c>
      <c r="I2223" s="4">
        <v>500</v>
      </c>
      <c r="J2223" s="5">
        <v>0</v>
      </c>
      <c r="K2223" s="3">
        <v>33</v>
      </c>
      <c r="L2223" s="4">
        <f>tblSales[[#This Row],[Quantity]]*tblSales[[#This Row],[Actual Price]]</f>
        <v>16500</v>
      </c>
    </row>
    <row r="2224" spans="1:12" x14ac:dyDescent="0.35">
      <c r="A2224" s="3" t="s">
        <v>2838</v>
      </c>
      <c r="B2224" s="4" t="s">
        <v>104</v>
      </c>
      <c r="C2224" s="4" t="s">
        <v>72</v>
      </c>
      <c r="D2224" s="4" t="s">
        <v>36</v>
      </c>
      <c r="E2224" s="7">
        <v>41831</v>
      </c>
      <c r="F2224" s="4" t="s">
        <v>56</v>
      </c>
      <c r="G2224" s="4" t="s">
        <v>593</v>
      </c>
      <c r="H2224" s="4">
        <v>800</v>
      </c>
      <c r="I2224" s="4">
        <v>472</v>
      </c>
      <c r="J2224" s="5">
        <v>0.41</v>
      </c>
      <c r="K2224" s="3">
        <v>34</v>
      </c>
      <c r="L2224" s="4">
        <f>tblSales[[#This Row],[Quantity]]*tblSales[[#This Row],[Actual Price]]</f>
        <v>16048</v>
      </c>
    </row>
    <row r="2225" spans="1:12" x14ac:dyDescent="0.35">
      <c r="A2225" s="3" t="s">
        <v>2839</v>
      </c>
      <c r="B2225" s="4" t="s">
        <v>71</v>
      </c>
      <c r="C2225" s="4" t="s">
        <v>72</v>
      </c>
      <c r="D2225" s="4" t="s">
        <v>36</v>
      </c>
      <c r="E2225" s="7">
        <v>43128</v>
      </c>
      <c r="F2225" s="4" t="s">
        <v>15</v>
      </c>
      <c r="G2225" s="4" t="s">
        <v>392</v>
      </c>
      <c r="H2225" s="4">
        <v>80</v>
      </c>
      <c r="I2225" s="4">
        <v>80</v>
      </c>
      <c r="J2225" s="5">
        <v>0</v>
      </c>
      <c r="K2225" s="3">
        <v>61</v>
      </c>
      <c r="L2225" s="4">
        <f>tblSales[[#This Row],[Quantity]]*tblSales[[#This Row],[Actual Price]]</f>
        <v>4880</v>
      </c>
    </row>
    <row r="2226" spans="1:12" x14ac:dyDescent="0.35">
      <c r="A2226" s="3" t="s">
        <v>2840</v>
      </c>
      <c r="B2226" s="4" t="s">
        <v>188</v>
      </c>
      <c r="C2226" s="4" t="s">
        <v>189</v>
      </c>
      <c r="D2226" s="4" t="s">
        <v>14</v>
      </c>
      <c r="E2226" s="7">
        <v>42080</v>
      </c>
      <c r="F2226" s="4" t="s">
        <v>105</v>
      </c>
      <c r="G2226" s="4" t="s">
        <v>1151</v>
      </c>
      <c r="H2226" s="4">
        <v>70</v>
      </c>
      <c r="I2226" s="4">
        <v>64</v>
      </c>
      <c r="J2226" s="5">
        <v>8.5699999999999998E-2</v>
      </c>
      <c r="K2226" s="3">
        <v>50</v>
      </c>
      <c r="L2226" s="4">
        <f>tblSales[[#This Row],[Quantity]]*tblSales[[#This Row],[Actual Price]]</f>
        <v>3200</v>
      </c>
    </row>
    <row r="2227" spans="1:12" x14ac:dyDescent="0.35">
      <c r="A2227" s="3" t="s">
        <v>2841</v>
      </c>
      <c r="B2227" s="4" t="s">
        <v>183</v>
      </c>
      <c r="C2227" s="4" t="s">
        <v>109</v>
      </c>
      <c r="D2227" s="4" t="s">
        <v>20</v>
      </c>
      <c r="E2227" s="7">
        <v>41769</v>
      </c>
      <c r="F2227" s="4" t="s">
        <v>31</v>
      </c>
      <c r="G2227" s="4" t="s">
        <v>2017</v>
      </c>
      <c r="H2227" s="4">
        <v>150</v>
      </c>
      <c r="I2227" s="4">
        <v>114</v>
      </c>
      <c r="J2227" s="5">
        <v>0.24</v>
      </c>
      <c r="K2227" s="3">
        <v>76</v>
      </c>
      <c r="L2227" s="4">
        <f>tblSales[[#This Row],[Quantity]]*tblSales[[#This Row],[Actual Price]]</f>
        <v>8664</v>
      </c>
    </row>
    <row r="2228" spans="1:12" x14ac:dyDescent="0.35">
      <c r="A2228" s="3" t="s">
        <v>2842</v>
      </c>
      <c r="B2228" s="4" t="s">
        <v>29</v>
      </c>
      <c r="C2228" s="4" t="s">
        <v>30</v>
      </c>
      <c r="D2228" s="4" t="s">
        <v>14</v>
      </c>
      <c r="E2228" s="7">
        <v>42772</v>
      </c>
      <c r="F2228" s="4" t="s">
        <v>15</v>
      </c>
      <c r="G2228" s="4" t="s">
        <v>2843</v>
      </c>
      <c r="H2228" s="4">
        <v>80</v>
      </c>
      <c r="I2228" s="4">
        <v>73</v>
      </c>
      <c r="J2228" s="5">
        <v>8.7499999999999994E-2</v>
      </c>
      <c r="K2228" s="3">
        <v>91</v>
      </c>
      <c r="L2228" s="4">
        <f>tblSales[[#This Row],[Quantity]]*tblSales[[#This Row],[Actual Price]]</f>
        <v>6643</v>
      </c>
    </row>
    <row r="2229" spans="1:12" x14ac:dyDescent="0.35">
      <c r="A2229" s="3" t="s">
        <v>2844</v>
      </c>
      <c r="B2229" s="4" t="s">
        <v>128</v>
      </c>
      <c r="C2229" s="4" t="s">
        <v>129</v>
      </c>
      <c r="D2229" s="4" t="s">
        <v>14</v>
      </c>
      <c r="E2229" s="7">
        <v>42760</v>
      </c>
      <c r="F2229" s="4" t="s">
        <v>123</v>
      </c>
      <c r="G2229" s="4" t="s">
        <v>211</v>
      </c>
      <c r="H2229" s="4">
        <v>50</v>
      </c>
      <c r="I2229" s="4">
        <v>47</v>
      </c>
      <c r="J2229" s="5">
        <v>0.06</v>
      </c>
      <c r="K2229" s="3">
        <v>72</v>
      </c>
      <c r="L2229" s="4">
        <f>tblSales[[#This Row],[Quantity]]*tblSales[[#This Row],[Actual Price]]</f>
        <v>3384</v>
      </c>
    </row>
    <row r="2230" spans="1:12" x14ac:dyDescent="0.35">
      <c r="A2230" s="3" t="s">
        <v>2845</v>
      </c>
      <c r="B2230" s="4" t="s">
        <v>225</v>
      </c>
      <c r="C2230" s="4" t="s">
        <v>51</v>
      </c>
      <c r="D2230" s="4" t="s">
        <v>25</v>
      </c>
      <c r="E2230" s="7">
        <v>43413</v>
      </c>
      <c r="F2230" s="4" t="s">
        <v>62</v>
      </c>
      <c r="G2230" s="4" t="s">
        <v>775</v>
      </c>
      <c r="H2230" s="4">
        <v>1000</v>
      </c>
      <c r="I2230" s="4">
        <v>960</v>
      </c>
      <c r="J2230" s="5">
        <v>0.04</v>
      </c>
      <c r="K2230" s="3">
        <v>57</v>
      </c>
      <c r="L2230" s="4">
        <f>tblSales[[#This Row],[Quantity]]*tblSales[[#This Row],[Actual Price]]</f>
        <v>54720</v>
      </c>
    </row>
    <row r="2231" spans="1:12" x14ac:dyDescent="0.35">
      <c r="A2231" s="3" t="s">
        <v>2846</v>
      </c>
      <c r="B2231" s="4" t="s">
        <v>158</v>
      </c>
      <c r="C2231" s="4" t="s">
        <v>109</v>
      </c>
      <c r="D2231" s="4" t="s">
        <v>20</v>
      </c>
      <c r="E2231" s="7">
        <v>42642</v>
      </c>
      <c r="F2231" s="4" t="s">
        <v>62</v>
      </c>
      <c r="G2231" s="4" t="s">
        <v>1871</v>
      </c>
      <c r="H2231" s="4">
        <v>1000</v>
      </c>
      <c r="I2231" s="4">
        <v>990</v>
      </c>
      <c r="J2231" s="5">
        <v>0.01</v>
      </c>
      <c r="K2231" s="3">
        <v>27</v>
      </c>
      <c r="L2231" s="4">
        <f>tblSales[[#This Row],[Quantity]]*tblSales[[#This Row],[Actual Price]]</f>
        <v>26730</v>
      </c>
    </row>
    <row r="2232" spans="1:12" x14ac:dyDescent="0.35">
      <c r="A2232" s="3" t="s">
        <v>2847</v>
      </c>
      <c r="B2232" s="4" t="s">
        <v>206</v>
      </c>
      <c r="C2232" s="4" t="s">
        <v>207</v>
      </c>
      <c r="D2232" s="4" t="s">
        <v>25</v>
      </c>
      <c r="E2232" s="7">
        <v>43393</v>
      </c>
      <c r="F2232" s="4" t="s">
        <v>56</v>
      </c>
      <c r="G2232" s="4" t="s">
        <v>208</v>
      </c>
      <c r="H2232" s="4">
        <v>800</v>
      </c>
      <c r="I2232" s="4">
        <v>720</v>
      </c>
      <c r="J2232" s="5">
        <v>0.1</v>
      </c>
      <c r="K2232" s="3">
        <v>44</v>
      </c>
      <c r="L2232" s="4">
        <f>tblSales[[#This Row],[Quantity]]*tblSales[[#This Row],[Actual Price]]</f>
        <v>31680</v>
      </c>
    </row>
    <row r="2233" spans="1:12" x14ac:dyDescent="0.35">
      <c r="A2233" s="3" t="s">
        <v>2848</v>
      </c>
      <c r="B2233" s="4" t="s">
        <v>183</v>
      </c>
      <c r="C2233" s="4" t="s">
        <v>109</v>
      </c>
      <c r="D2233" s="4" t="s">
        <v>20</v>
      </c>
      <c r="E2233" s="7">
        <v>42225</v>
      </c>
      <c r="F2233" s="4" t="s">
        <v>56</v>
      </c>
      <c r="G2233" s="4" t="s">
        <v>1044</v>
      </c>
      <c r="H2233" s="4">
        <v>800</v>
      </c>
      <c r="I2233" s="4">
        <v>600</v>
      </c>
      <c r="J2233" s="5">
        <v>0.25</v>
      </c>
      <c r="K2233" s="3">
        <v>12</v>
      </c>
      <c r="L2233" s="4">
        <f>tblSales[[#This Row],[Quantity]]*tblSales[[#This Row],[Actual Price]]</f>
        <v>7200</v>
      </c>
    </row>
    <row r="2234" spans="1:12" x14ac:dyDescent="0.35">
      <c r="A2234" s="3" t="s">
        <v>2849</v>
      </c>
      <c r="B2234" s="4" t="s">
        <v>147</v>
      </c>
      <c r="C2234" s="4" t="s">
        <v>148</v>
      </c>
      <c r="D2234" s="4" t="s">
        <v>14</v>
      </c>
      <c r="E2234" s="7">
        <v>42430</v>
      </c>
      <c r="F2234" s="4" t="s">
        <v>47</v>
      </c>
      <c r="G2234" s="4" t="s">
        <v>726</v>
      </c>
      <c r="H2234" s="4">
        <v>500</v>
      </c>
      <c r="I2234" s="4">
        <v>435</v>
      </c>
      <c r="J2234" s="5">
        <v>0.13</v>
      </c>
      <c r="K2234" s="3">
        <v>15</v>
      </c>
      <c r="L2234" s="4">
        <f>tblSales[[#This Row],[Quantity]]*tblSales[[#This Row],[Actual Price]]</f>
        <v>6525</v>
      </c>
    </row>
    <row r="2235" spans="1:12" x14ac:dyDescent="0.35">
      <c r="A2235" s="3" t="s">
        <v>2850</v>
      </c>
      <c r="B2235" s="4" t="s">
        <v>206</v>
      </c>
      <c r="C2235" s="4" t="s">
        <v>207</v>
      </c>
      <c r="D2235" s="4" t="s">
        <v>25</v>
      </c>
      <c r="E2235" s="7">
        <v>41696</v>
      </c>
      <c r="F2235" s="4" t="s">
        <v>42</v>
      </c>
      <c r="G2235" s="4" t="s">
        <v>1479</v>
      </c>
      <c r="H2235" s="4">
        <v>30</v>
      </c>
      <c r="I2235" s="4">
        <v>25</v>
      </c>
      <c r="J2235" s="5">
        <v>0.16669999999999999</v>
      </c>
      <c r="K2235" s="3">
        <v>85</v>
      </c>
      <c r="L2235" s="4">
        <f>tblSales[[#This Row],[Quantity]]*tblSales[[#This Row],[Actual Price]]</f>
        <v>2125</v>
      </c>
    </row>
    <row r="2236" spans="1:12" x14ac:dyDescent="0.35">
      <c r="A2236" s="3" t="s">
        <v>2851</v>
      </c>
      <c r="B2236" s="4" t="s">
        <v>222</v>
      </c>
      <c r="C2236" s="4" t="s">
        <v>41</v>
      </c>
      <c r="D2236" s="4" t="s">
        <v>36</v>
      </c>
      <c r="E2236" s="7">
        <v>41655</v>
      </c>
      <c r="F2236" s="4" t="s">
        <v>37</v>
      </c>
      <c r="G2236" s="4" t="s">
        <v>1180</v>
      </c>
      <c r="H2236" s="4">
        <v>50</v>
      </c>
      <c r="I2236" s="4">
        <v>46</v>
      </c>
      <c r="J2236" s="5">
        <v>0.08</v>
      </c>
      <c r="K2236" s="3">
        <v>94</v>
      </c>
      <c r="L2236" s="4">
        <f>tblSales[[#This Row],[Quantity]]*tblSales[[#This Row],[Actual Price]]</f>
        <v>4324</v>
      </c>
    </row>
    <row r="2237" spans="1:12" x14ac:dyDescent="0.35">
      <c r="A2237" s="3" t="s">
        <v>2852</v>
      </c>
      <c r="B2237" s="4" t="s">
        <v>54</v>
      </c>
      <c r="C2237" s="4" t="s">
        <v>55</v>
      </c>
      <c r="D2237" s="4" t="s">
        <v>14</v>
      </c>
      <c r="E2237" s="7">
        <v>41892</v>
      </c>
      <c r="F2237" s="4" t="s">
        <v>37</v>
      </c>
      <c r="G2237" s="4" t="s">
        <v>648</v>
      </c>
      <c r="H2237" s="4">
        <v>50</v>
      </c>
      <c r="I2237" s="4">
        <v>48</v>
      </c>
      <c r="J2237" s="5">
        <v>0.04</v>
      </c>
      <c r="K2237" s="3">
        <v>4</v>
      </c>
      <c r="L2237" s="4">
        <f>tblSales[[#This Row],[Quantity]]*tblSales[[#This Row],[Actual Price]]</f>
        <v>192</v>
      </c>
    </row>
    <row r="2238" spans="1:12" x14ac:dyDescent="0.35">
      <c r="A2238" s="3" t="s">
        <v>2853</v>
      </c>
      <c r="B2238" s="4" t="s">
        <v>151</v>
      </c>
      <c r="C2238" s="4" t="s">
        <v>152</v>
      </c>
      <c r="D2238" s="4" t="s">
        <v>14</v>
      </c>
      <c r="E2238" s="7">
        <v>42608</v>
      </c>
      <c r="F2238" s="4" t="s">
        <v>31</v>
      </c>
      <c r="G2238" s="4" t="s">
        <v>772</v>
      </c>
      <c r="H2238" s="4">
        <v>150</v>
      </c>
      <c r="I2238" s="4">
        <v>134</v>
      </c>
      <c r="J2238" s="5">
        <v>0.1067</v>
      </c>
      <c r="K2238" s="3">
        <v>11</v>
      </c>
      <c r="L2238" s="4">
        <f>tblSales[[#This Row],[Quantity]]*tblSales[[#This Row],[Actual Price]]</f>
        <v>1474</v>
      </c>
    </row>
    <row r="2239" spans="1:12" x14ac:dyDescent="0.35">
      <c r="A2239" s="3" t="s">
        <v>2854</v>
      </c>
      <c r="B2239" s="4" t="s">
        <v>225</v>
      </c>
      <c r="C2239" s="4" t="s">
        <v>51</v>
      </c>
      <c r="D2239" s="4" t="s">
        <v>25</v>
      </c>
      <c r="E2239" s="7">
        <v>41727</v>
      </c>
      <c r="F2239" s="4" t="s">
        <v>15</v>
      </c>
      <c r="G2239" s="4" t="s">
        <v>2855</v>
      </c>
      <c r="H2239" s="4">
        <v>80</v>
      </c>
      <c r="I2239" s="4">
        <v>75</v>
      </c>
      <c r="J2239" s="5">
        <v>6.25E-2</v>
      </c>
      <c r="K2239" s="3">
        <v>92</v>
      </c>
      <c r="L2239" s="4">
        <f>tblSales[[#This Row],[Quantity]]*tblSales[[#This Row],[Actual Price]]</f>
        <v>6900</v>
      </c>
    </row>
    <row r="2240" spans="1:12" x14ac:dyDescent="0.35">
      <c r="A2240" s="3" t="s">
        <v>2856</v>
      </c>
      <c r="B2240" s="4" t="s">
        <v>119</v>
      </c>
      <c r="C2240" s="4" t="s">
        <v>120</v>
      </c>
      <c r="D2240" s="4" t="s">
        <v>36</v>
      </c>
      <c r="E2240" s="7">
        <v>42483</v>
      </c>
      <c r="F2240" s="4" t="s">
        <v>26</v>
      </c>
      <c r="G2240" s="4" t="s">
        <v>541</v>
      </c>
      <c r="H2240" s="4">
        <v>700</v>
      </c>
      <c r="I2240" s="4">
        <v>693</v>
      </c>
      <c r="J2240" s="5">
        <v>0.01</v>
      </c>
      <c r="K2240" s="3">
        <v>89</v>
      </c>
      <c r="L2240" s="4">
        <f>tblSales[[#This Row],[Quantity]]*tblSales[[#This Row],[Actual Price]]</f>
        <v>61677</v>
      </c>
    </row>
    <row r="2241" spans="1:12" x14ac:dyDescent="0.35">
      <c r="A2241" s="3" t="s">
        <v>2857</v>
      </c>
      <c r="B2241" s="4" t="s">
        <v>112</v>
      </c>
      <c r="C2241" s="4" t="s">
        <v>83</v>
      </c>
      <c r="D2241" s="4" t="s">
        <v>14</v>
      </c>
      <c r="E2241" s="7">
        <v>41964</v>
      </c>
      <c r="F2241" s="4" t="s">
        <v>31</v>
      </c>
      <c r="G2241" s="4" t="s">
        <v>821</v>
      </c>
      <c r="H2241" s="4">
        <v>150</v>
      </c>
      <c r="I2241" s="4">
        <v>119</v>
      </c>
      <c r="J2241" s="5">
        <v>0.20669999999999999</v>
      </c>
      <c r="K2241" s="3">
        <v>93</v>
      </c>
      <c r="L2241" s="4">
        <f>tblSales[[#This Row],[Quantity]]*tblSales[[#This Row],[Actual Price]]</f>
        <v>11067</v>
      </c>
    </row>
    <row r="2242" spans="1:12" x14ac:dyDescent="0.35">
      <c r="A2242" s="3" t="s">
        <v>2858</v>
      </c>
      <c r="B2242" s="4" t="s">
        <v>60</v>
      </c>
      <c r="C2242" s="4" t="s">
        <v>61</v>
      </c>
      <c r="D2242" s="4" t="s">
        <v>14</v>
      </c>
      <c r="E2242" s="7">
        <v>42305</v>
      </c>
      <c r="F2242" s="4" t="s">
        <v>15</v>
      </c>
      <c r="G2242" s="4" t="s">
        <v>1843</v>
      </c>
      <c r="H2242" s="4">
        <v>80</v>
      </c>
      <c r="I2242" s="4">
        <v>48</v>
      </c>
      <c r="J2242" s="5">
        <v>0.4</v>
      </c>
      <c r="K2242" s="3">
        <v>30</v>
      </c>
      <c r="L2242" s="4">
        <f>tblSales[[#This Row],[Quantity]]*tblSales[[#This Row],[Actual Price]]</f>
        <v>1440</v>
      </c>
    </row>
    <row r="2243" spans="1:12" x14ac:dyDescent="0.35">
      <c r="A2243" s="3" t="s">
        <v>2859</v>
      </c>
      <c r="B2243" s="4" t="s">
        <v>18</v>
      </c>
      <c r="C2243" s="4" t="s">
        <v>19</v>
      </c>
      <c r="D2243" s="4" t="s">
        <v>20</v>
      </c>
      <c r="E2243" s="7">
        <v>41898</v>
      </c>
      <c r="F2243" s="4" t="s">
        <v>123</v>
      </c>
      <c r="G2243" s="4" t="s">
        <v>21</v>
      </c>
      <c r="H2243" s="4">
        <v>50</v>
      </c>
      <c r="I2243" s="4">
        <v>45</v>
      </c>
      <c r="J2243" s="5">
        <v>0.1</v>
      </c>
      <c r="K2243" s="3">
        <v>74</v>
      </c>
      <c r="L2243" s="4">
        <f>tblSales[[#This Row],[Quantity]]*tblSales[[#This Row],[Actual Price]]</f>
        <v>3330</v>
      </c>
    </row>
    <row r="2244" spans="1:12" x14ac:dyDescent="0.35">
      <c r="A2244" s="3" t="s">
        <v>2860</v>
      </c>
      <c r="B2244" s="4" t="s">
        <v>183</v>
      </c>
      <c r="C2244" s="4" t="s">
        <v>109</v>
      </c>
      <c r="D2244" s="4" t="s">
        <v>20</v>
      </c>
      <c r="E2244" s="7">
        <v>41818</v>
      </c>
      <c r="F2244" s="4" t="s">
        <v>116</v>
      </c>
      <c r="G2244" s="4" t="s">
        <v>503</v>
      </c>
      <c r="H2244" s="4">
        <v>250</v>
      </c>
      <c r="I2244" s="4">
        <v>250</v>
      </c>
      <c r="J2244" s="5">
        <v>0</v>
      </c>
      <c r="K2244" s="3">
        <v>23</v>
      </c>
      <c r="L2244" s="4">
        <f>tblSales[[#This Row],[Quantity]]*tblSales[[#This Row],[Actual Price]]</f>
        <v>5750</v>
      </c>
    </row>
    <row r="2245" spans="1:12" x14ac:dyDescent="0.35">
      <c r="A2245" s="3" t="s">
        <v>2861</v>
      </c>
      <c r="B2245" s="4" t="s">
        <v>128</v>
      </c>
      <c r="C2245" s="4" t="s">
        <v>129</v>
      </c>
      <c r="D2245" s="4" t="s">
        <v>14</v>
      </c>
      <c r="E2245" s="7">
        <v>41847</v>
      </c>
      <c r="F2245" s="4" t="s">
        <v>47</v>
      </c>
      <c r="G2245" s="4" t="s">
        <v>921</v>
      </c>
      <c r="H2245" s="4">
        <v>500</v>
      </c>
      <c r="I2245" s="4">
        <v>380</v>
      </c>
      <c r="J2245" s="5">
        <v>0.24</v>
      </c>
      <c r="K2245" s="3">
        <v>58</v>
      </c>
      <c r="L2245" s="4">
        <f>tblSales[[#This Row],[Quantity]]*tblSales[[#This Row],[Actual Price]]</f>
        <v>22040</v>
      </c>
    </row>
    <row r="2246" spans="1:12" x14ac:dyDescent="0.35">
      <c r="A2246" s="3" t="s">
        <v>2862</v>
      </c>
      <c r="B2246" s="4" t="s">
        <v>40</v>
      </c>
      <c r="C2246" s="4" t="s">
        <v>41</v>
      </c>
      <c r="D2246" s="4" t="s">
        <v>36</v>
      </c>
      <c r="E2246" s="7">
        <v>42922</v>
      </c>
      <c r="F2246" s="4" t="s">
        <v>73</v>
      </c>
      <c r="G2246" s="4" t="s">
        <v>1708</v>
      </c>
      <c r="H2246" s="4">
        <v>500</v>
      </c>
      <c r="I2246" s="4">
        <v>495</v>
      </c>
      <c r="J2246" s="5">
        <v>0.01</v>
      </c>
      <c r="K2246" s="3">
        <v>66</v>
      </c>
      <c r="L2246" s="4">
        <f>tblSales[[#This Row],[Quantity]]*tblSales[[#This Row],[Actual Price]]</f>
        <v>32670</v>
      </c>
    </row>
    <row r="2247" spans="1:12" x14ac:dyDescent="0.35">
      <c r="A2247" s="3" t="s">
        <v>2863</v>
      </c>
      <c r="B2247" s="4" t="s">
        <v>112</v>
      </c>
      <c r="C2247" s="4" t="s">
        <v>83</v>
      </c>
      <c r="D2247" s="4" t="s">
        <v>14</v>
      </c>
      <c r="E2247" s="7">
        <v>41667</v>
      </c>
      <c r="F2247" s="4" t="s">
        <v>26</v>
      </c>
      <c r="G2247" s="4" t="s">
        <v>113</v>
      </c>
      <c r="H2247" s="4">
        <v>700</v>
      </c>
      <c r="I2247" s="4">
        <v>623</v>
      </c>
      <c r="J2247" s="5">
        <v>0.11</v>
      </c>
      <c r="K2247" s="3">
        <v>70</v>
      </c>
      <c r="L2247" s="4">
        <f>tblSales[[#This Row],[Quantity]]*tblSales[[#This Row],[Actual Price]]</f>
        <v>43610</v>
      </c>
    </row>
    <row r="2248" spans="1:12" x14ac:dyDescent="0.35">
      <c r="A2248" s="3" t="s">
        <v>2864</v>
      </c>
      <c r="B2248" s="4" t="s">
        <v>100</v>
      </c>
      <c r="C2248" s="4" t="s">
        <v>101</v>
      </c>
      <c r="D2248" s="4" t="s">
        <v>14</v>
      </c>
      <c r="E2248" s="7">
        <v>42477</v>
      </c>
      <c r="F2248" s="4" t="s">
        <v>123</v>
      </c>
      <c r="G2248" s="4" t="s">
        <v>949</v>
      </c>
      <c r="H2248" s="4">
        <v>50</v>
      </c>
      <c r="I2248" s="4">
        <v>44</v>
      </c>
      <c r="J2248" s="5">
        <v>0.12</v>
      </c>
      <c r="K2248" s="3">
        <v>50</v>
      </c>
      <c r="L2248" s="4">
        <f>tblSales[[#This Row],[Quantity]]*tblSales[[#This Row],[Actual Price]]</f>
        <v>2200</v>
      </c>
    </row>
    <row r="2249" spans="1:12" x14ac:dyDescent="0.35">
      <c r="A2249" s="3" t="s">
        <v>2865</v>
      </c>
      <c r="B2249" s="4" t="s">
        <v>86</v>
      </c>
      <c r="C2249" s="4" t="s">
        <v>87</v>
      </c>
      <c r="D2249" s="4" t="s">
        <v>14</v>
      </c>
      <c r="E2249" s="7">
        <v>42998</v>
      </c>
      <c r="F2249" s="4" t="s">
        <v>42</v>
      </c>
      <c r="G2249" s="4" t="s">
        <v>364</v>
      </c>
      <c r="H2249" s="4">
        <v>30</v>
      </c>
      <c r="I2249" s="4">
        <v>30</v>
      </c>
      <c r="J2249" s="5">
        <v>0</v>
      </c>
      <c r="K2249" s="3">
        <v>69</v>
      </c>
      <c r="L2249" s="4">
        <f>tblSales[[#This Row],[Quantity]]*tblSales[[#This Row],[Actual Price]]</f>
        <v>2070</v>
      </c>
    </row>
    <row r="2250" spans="1:12" x14ac:dyDescent="0.35">
      <c r="A2250" s="3" t="s">
        <v>2866</v>
      </c>
      <c r="B2250" s="4" t="s">
        <v>325</v>
      </c>
      <c r="C2250" s="4" t="s">
        <v>326</v>
      </c>
      <c r="D2250" s="4" t="s">
        <v>14</v>
      </c>
      <c r="E2250" s="7">
        <v>41833</v>
      </c>
      <c r="F2250" s="4" t="s">
        <v>37</v>
      </c>
      <c r="G2250" s="4" t="s">
        <v>589</v>
      </c>
      <c r="H2250" s="4">
        <v>50</v>
      </c>
      <c r="I2250" s="4">
        <v>49</v>
      </c>
      <c r="J2250" s="5">
        <v>0.02</v>
      </c>
      <c r="K2250" s="3">
        <v>1</v>
      </c>
      <c r="L2250" s="4">
        <f>tblSales[[#This Row],[Quantity]]*tblSales[[#This Row],[Actual Price]]</f>
        <v>49</v>
      </c>
    </row>
    <row r="2251" spans="1:12" x14ac:dyDescent="0.35">
      <c r="A2251" s="3" t="s">
        <v>2867</v>
      </c>
      <c r="B2251" s="4" t="s">
        <v>155</v>
      </c>
      <c r="C2251" s="4" t="s">
        <v>109</v>
      </c>
      <c r="D2251" s="4" t="s">
        <v>20</v>
      </c>
      <c r="E2251" s="7">
        <v>42540</v>
      </c>
      <c r="F2251" s="4" t="s">
        <v>15</v>
      </c>
      <c r="G2251" s="4" t="s">
        <v>1005</v>
      </c>
      <c r="H2251" s="4">
        <v>80</v>
      </c>
      <c r="I2251" s="4">
        <v>72</v>
      </c>
      <c r="J2251" s="5">
        <v>0.1</v>
      </c>
      <c r="K2251" s="3">
        <v>29</v>
      </c>
      <c r="L2251" s="4">
        <f>tblSales[[#This Row],[Quantity]]*tblSales[[#This Row],[Actual Price]]</f>
        <v>2088</v>
      </c>
    </row>
    <row r="2252" spans="1:12" x14ac:dyDescent="0.35">
      <c r="A2252" s="3" t="s">
        <v>2868</v>
      </c>
      <c r="B2252" s="4" t="s">
        <v>40</v>
      </c>
      <c r="C2252" s="4" t="s">
        <v>41</v>
      </c>
      <c r="D2252" s="4" t="s">
        <v>36</v>
      </c>
      <c r="E2252" s="7">
        <v>42160</v>
      </c>
      <c r="F2252" s="4" t="s">
        <v>37</v>
      </c>
      <c r="G2252" s="4" t="s">
        <v>1527</v>
      </c>
      <c r="H2252" s="4">
        <v>50</v>
      </c>
      <c r="I2252" s="4">
        <v>45</v>
      </c>
      <c r="J2252" s="5">
        <v>0.1</v>
      </c>
      <c r="K2252" s="3">
        <v>12</v>
      </c>
      <c r="L2252" s="4">
        <f>tblSales[[#This Row],[Quantity]]*tblSales[[#This Row],[Actual Price]]</f>
        <v>540</v>
      </c>
    </row>
    <row r="2253" spans="1:12" x14ac:dyDescent="0.35">
      <c r="A2253" s="3" t="s">
        <v>2869</v>
      </c>
      <c r="B2253" s="4" t="s">
        <v>108</v>
      </c>
      <c r="C2253" s="4" t="s">
        <v>109</v>
      </c>
      <c r="D2253" s="4" t="s">
        <v>20</v>
      </c>
      <c r="E2253" s="7">
        <v>42612</v>
      </c>
      <c r="F2253" s="4" t="s">
        <v>31</v>
      </c>
      <c r="G2253" s="4" t="s">
        <v>1030</v>
      </c>
      <c r="H2253" s="4">
        <v>150</v>
      </c>
      <c r="I2253" s="4">
        <v>149</v>
      </c>
      <c r="J2253" s="5">
        <v>6.7000000000000002E-3</v>
      </c>
      <c r="K2253" s="3">
        <v>43</v>
      </c>
      <c r="L2253" s="4">
        <f>tblSales[[#This Row],[Quantity]]*tblSales[[#This Row],[Actual Price]]</f>
        <v>6407</v>
      </c>
    </row>
    <row r="2254" spans="1:12" x14ac:dyDescent="0.35">
      <c r="A2254" s="3" t="s">
        <v>2870</v>
      </c>
      <c r="B2254" s="4" t="s">
        <v>175</v>
      </c>
      <c r="C2254" s="4" t="s">
        <v>176</v>
      </c>
      <c r="D2254" s="4" t="s">
        <v>14</v>
      </c>
      <c r="E2254" s="7">
        <v>42693</v>
      </c>
      <c r="F2254" s="4" t="s">
        <v>105</v>
      </c>
      <c r="G2254" s="4" t="s">
        <v>177</v>
      </c>
      <c r="H2254" s="4">
        <v>70</v>
      </c>
      <c r="I2254" s="4">
        <v>61</v>
      </c>
      <c r="J2254" s="5">
        <v>0.12859999999999999</v>
      </c>
      <c r="K2254" s="3">
        <v>38</v>
      </c>
      <c r="L2254" s="4">
        <f>tblSales[[#This Row],[Quantity]]*tblSales[[#This Row],[Actual Price]]</f>
        <v>2318</v>
      </c>
    </row>
    <row r="2255" spans="1:12" x14ac:dyDescent="0.35">
      <c r="A2255" s="3" t="s">
        <v>2871</v>
      </c>
      <c r="B2255" s="4" t="s">
        <v>82</v>
      </c>
      <c r="C2255" s="4" t="s">
        <v>83</v>
      </c>
      <c r="D2255" s="4" t="s">
        <v>14</v>
      </c>
      <c r="E2255" s="7">
        <v>42610</v>
      </c>
      <c r="F2255" s="4" t="s">
        <v>73</v>
      </c>
      <c r="G2255" s="4" t="s">
        <v>388</v>
      </c>
      <c r="H2255" s="4">
        <v>500</v>
      </c>
      <c r="I2255" s="4">
        <v>500</v>
      </c>
      <c r="J2255" s="5">
        <v>0</v>
      </c>
      <c r="K2255" s="3">
        <v>5</v>
      </c>
      <c r="L2255" s="4">
        <f>tblSales[[#This Row],[Quantity]]*tblSales[[#This Row],[Actual Price]]</f>
        <v>2500</v>
      </c>
    </row>
    <row r="2256" spans="1:12" x14ac:dyDescent="0.35">
      <c r="A2256" s="3" t="s">
        <v>2872</v>
      </c>
      <c r="B2256" s="4" t="s">
        <v>96</v>
      </c>
      <c r="C2256" s="4" t="s">
        <v>97</v>
      </c>
      <c r="D2256" s="4" t="s">
        <v>14</v>
      </c>
      <c r="E2256" s="7">
        <v>41989</v>
      </c>
      <c r="F2256" s="4" t="s">
        <v>26</v>
      </c>
      <c r="G2256" s="4" t="s">
        <v>1409</v>
      </c>
      <c r="H2256" s="4">
        <v>700</v>
      </c>
      <c r="I2256" s="4">
        <v>672</v>
      </c>
      <c r="J2256" s="5">
        <v>0.04</v>
      </c>
      <c r="K2256" s="3">
        <v>19</v>
      </c>
      <c r="L2256" s="4">
        <f>tblSales[[#This Row],[Quantity]]*tblSales[[#This Row],[Actual Price]]</f>
        <v>12768</v>
      </c>
    </row>
    <row r="2257" spans="1:12" x14ac:dyDescent="0.35">
      <c r="A2257" s="3" t="s">
        <v>2873</v>
      </c>
      <c r="B2257" s="4" t="s">
        <v>435</v>
      </c>
      <c r="C2257" s="4" t="s">
        <v>436</v>
      </c>
      <c r="D2257" s="4" t="s">
        <v>25</v>
      </c>
      <c r="E2257" s="7">
        <v>43191</v>
      </c>
      <c r="F2257" s="4" t="s">
        <v>56</v>
      </c>
      <c r="G2257" s="4" t="s">
        <v>859</v>
      </c>
      <c r="H2257" s="4">
        <v>800</v>
      </c>
      <c r="I2257" s="4">
        <v>640</v>
      </c>
      <c r="J2257" s="5">
        <v>0.2</v>
      </c>
      <c r="K2257" s="3">
        <v>31</v>
      </c>
      <c r="L2257" s="4">
        <f>tblSales[[#This Row],[Quantity]]*tblSales[[#This Row],[Actual Price]]</f>
        <v>19840</v>
      </c>
    </row>
    <row r="2258" spans="1:12" x14ac:dyDescent="0.35">
      <c r="A2258" s="3" t="s">
        <v>2874</v>
      </c>
      <c r="B2258" s="4" t="s">
        <v>242</v>
      </c>
      <c r="C2258" s="4" t="s">
        <v>243</v>
      </c>
      <c r="D2258" s="4" t="s">
        <v>14</v>
      </c>
      <c r="E2258" s="7">
        <v>42946</v>
      </c>
      <c r="F2258" s="4" t="s">
        <v>62</v>
      </c>
      <c r="G2258" s="4" t="s">
        <v>381</v>
      </c>
      <c r="H2258" s="4">
        <v>1000</v>
      </c>
      <c r="I2258" s="4">
        <v>630</v>
      </c>
      <c r="J2258" s="5">
        <v>0.37</v>
      </c>
      <c r="K2258" s="3">
        <v>99</v>
      </c>
      <c r="L2258" s="4">
        <f>tblSales[[#This Row],[Quantity]]*tblSales[[#This Row],[Actual Price]]</f>
        <v>62370</v>
      </c>
    </row>
    <row r="2259" spans="1:12" x14ac:dyDescent="0.35">
      <c r="A2259" s="3" t="s">
        <v>2875</v>
      </c>
      <c r="B2259" s="4" t="s">
        <v>128</v>
      </c>
      <c r="C2259" s="4" t="s">
        <v>129</v>
      </c>
      <c r="D2259" s="4" t="s">
        <v>14</v>
      </c>
      <c r="E2259" s="7">
        <v>42856</v>
      </c>
      <c r="F2259" s="4" t="s">
        <v>37</v>
      </c>
      <c r="G2259" s="4" t="s">
        <v>211</v>
      </c>
      <c r="H2259" s="4">
        <v>50</v>
      </c>
      <c r="I2259" s="4">
        <v>46</v>
      </c>
      <c r="J2259" s="5">
        <v>0.08</v>
      </c>
      <c r="K2259" s="3">
        <v>44</v>
      </c>
      <c r="L2259" s="4">
        <f>tblSales[[#This Row],[Quantity]]*tblSales[[#This Row],[Actual Price]]</f>
        <v>2024</v>
      </c>
    </row>
    <row r="2260" spans="1:12" x14ac:dyDescent="0.35">
      <c r="A2260" s="3" t="s">
        <v>2876</v>
      </c>
      <c r="B2260" s="4" t="s">
        <v>2244</v>
      </c>
      <c r="C2260" s="4" t="s">
        <v>109</v>
      </c>
      <c r="D2260" s="4" t="s">
        <v>20</v>
      </c>
      <c r="E2260" s="7">
        <v>42016</v>
      </c>
      <c r="F2260" s="4" t="s">
        <v>37</v>
      </c>
      <c r="G2260" s="4" t="s">
        <v>2777</v>
      </c>
      <c r="H2260" s="4">
        <v>50</v>
      </c>
      <c r="I2260" s="4">
        <v>33</v>
      </c>
      <c r="J2260" s="5">
        <v>0.34</v>
      </c>
      <c r="K2260" s="3">
        <v>4</v>
      </c>
      <c r="L2260" s="4">
        <f>tblSales[[#This Row],[Quantity]]*tblSales[[#This Row],[Actual Price]]</f>
        <v>132</v>
      </c>
    </row>
    <row r="2261" spans="1:12" x14ac:dyDescent="0.35">
      <c r="A2261" s="3" t="s">
        <v>2877</v>
      </c>
      <c r="B2261" s="4" t="s">
        <v>96</v>
      </c>
      <c r="C2261" s="4" t="s">
        <v>97</v>
      </c>
      <c r="D2261" s="4" t="s">
        <v>14</v>
      </c>
      <c r="E2261" s="7">
        <v>42723</v>
      </c>
      <c r="F2261" s="4" t="s">
        <v>56</v>
      </c>
      <c r="G2261" s="4" t="s">
        <v>461</v>
      </c>
      <c r="H2261" s="4">
        <v>800</v>
      </c>
      <c r="I2261" s="4">
        <v>568</v>
      </c>
      <c r="J2261" s="5">
        <v>0.28999999999999998</v>
      </c>
      <c r="K2261" s="3">
        <v>57</v>
      </c>
      <c r="L2261" s="4">
        <f>tblSales[[#This Row],[Quantity]]*tblSales[[#This Row],[Actual Price]]</f>
        <v>32376</v>
      </c>
    </row>
    <row r="2262" spans="1:12" x14ac:dyDescent="0.35">
      <c r="A2262" s="3" t="s">
        <v>2878</v>
      </c>
      <c r="B2262" s="4" t="s">
        <v>92</v>
      </c>
      <c r="C2262" s="4" t="s">
        <v>93</v>
      </c>
      <c r="D2262" s="4" t="s">
        <v>36</v>
      </c>
      <c r="E2262" s="7">
        <v>42081</v>
      </c>
      <c r="F2262" s="4" t="s">
        <v>47</v>
      </c>
      <c r="G2262" s="4" t="s">
        <v>2352</v>
      </c>
      <c r="H2262" s="4">
        <v>500</v>
      </c>
      <c r="I2262" s="4">
        <v>490</v>
      </c>
      <c r="J2262" s="5">
        <v>0.02</v>
      </c>
      <c r="K2262" s="3">
        <v>96</v>
      </c>
      <c r="L2262" s="4">
        <f>tblSales[[#This Row],[Quantity]]*tblSales[[#This Row],[Actual Price]]</f>
        <v>47040</v>
      </c>
    </row>
    <row r="2263" spans="1:12" x14ac:dyDescent="0.35">
      <c r="A2263" s="3" t="s">
        <v>2879</v>
      </c>
      <c r="B2263" s="4" t="s">
        <v>147</v>
      </c>
      <c r="C2263" s="4" t="s">
        <v>148</v>
      </c>
      <c r="D2263" s="4" t="s">
        <v>14</v>
      </c>
      <c r="E2263" s="7">
        <v>42892</v>
      </c>
      <c r="F2263" s="4" t="s">
        <v>116</v>
      </c>
      <c r="G2263" s="4" t="s">
        <v>1007</v>
      </c>
      <c r="H2263" s="4">
        <v>250</v>
      </c>
      <c r="I2263" s="4">
        <v>238</v>
      </c>
      <c r="J2263" s="5">
        <v>4.8000000000000001E-2</v>
      </c>
      <c r="K2263" s="3">
        <v>96</v>
      </c>
      <c r="L2263" s="4">
        <f>tblSales[[#This Row],[Quantity]]*tblSales[[#This Row],[Actual Price]]</f>
        <v>22848</v>
      </c>
    </row>
    <row r="2264" spans="1:12" x14ac:dyDescent="0.35">
      <c r="A2264" s="3" t="s">
        <v>2880</v>
      </c>
      <c r="B2264" s="4" t="s">
        <v>100</v>
      </c>
      <c r="C2264" s="4" t="s">
        <v>101</v>
      </c>
      <c r="D2264" s="4" t="s">
        <v>14</v>
      </c>
      <c r="E2264" s="7">
        <v>42628</v>
      </c>
      <c r="F2264" s="4" t="s">
        <v>42</v>
      </c>
      <c r="G2264" s="4" t="s">
        <v>1091</v>
      </c>
      <c r="H2264" s="4">
        <v>30</v>
      </c>
      <c r="I2264" s="4">
        <v>26</v>
      </c>
      <c r="J2264" s="5">
        <v>0.1333</v>
      </c>
      <c r="K2264" s="3">
        <v>11</v>
      </c>
      <c r="L2264" s="4">
        <f>tblSales[[#This Row],[Quantity]]*tblSales[[#This Row],[Actual Price]]</f>
        <v>286</v>
      </c>
    </row>
    <row r="2265" spans="1:12" x14ac:dyDescent="0.35">
      <c r="A2265" s="3" t="s">
        <v>2881</v>
      </c>
      <c r="B2265" s="4" t="s">
        <v>225</v>
      </c>
      <c r="C2265" s="4" t="s">
        <v>51</v>
      </c>
      <c r="D2265" s="4" t="s">
        <v>25</v>
      </c>
      <c r="E2265" s="7">
        <v>42727</v>
      </c>
      <c r="F2265" s="4" t="s">
        <v>42</v>
      </c>
      <c r="G2265" s="4" t="s">
        <v>2662</v>
      </c>
      <c r="H2265" s="4">
        <v>30</v>
      </c>
      <c r="I2265" s="4">
        <v>30</v>
      </c>
      <c r="J2265" s="5">
        <v>0</v>
      </c>
      <c r="K2265" s="3">
        <v>27</v>
      </c>
      <c r="L2265" s="4">
        <f>tblSales[[#This Row],[Quantity]]*tblSales[[#This Row],[Actual Price]]</f>
        <v>810</v>
      </c>
    </row>
    <row r="2266" spans="1:12" x14ac:dyDescent="0.35">
      <c r="A2266" s="3" t="s">
        <v>2882</v>
      </c>
      <c r="B2266" s="4" t="s">
        <v>265</v>
      </c>
      <c r="C2266" s="4" t="s">
        <v>266</v>
      </c>
      <c r="D2266" s="4" t="s">
        <v>14</v>
      </c>
      <c r="E2266" s="7">
        <v>43069</v>
      </c>
      <c r="F2266" s="4" t="s">
        <v>62</v>
      </c>
      <c r="G2266" s="4" t="s">
        <v>600</v>
      </c>
      <c r="H2266" s="4">
        <v>1000</v>
      </c>
      <c r="I2266" s="4">
        <v>860</v>
      </c>
      <c r="J2266" s="5">
        <v>0.14000000000000001</v>
      </c>
      <c r="K2266" s="3">
        <v>90</v>
      </c>
      <c r="L2266" s="4">
        <f>tblSales[[#This Row],[Quantity]]*tblSales[[#This Row],[Actual Price]]</f>
        <v>77400</v>
      </c>
    </row>
    <row r="2267" spans="1:12" x14ac:dyDescent="0.35">
      <c r="A2267" s="3" t="s">
        <v>2883</v>
      </c>
      <c r="B2267" s="4" t="s">
        <v>271</v>
      </c>
      <c r="C2267" s="4" t="s">
        <v>272</v>
      </c>
      <c r="D2267" s="4" t="s">
        <v>36</v>
      </c>
      <c r="E2267" s="7">
        <v>41843</v>
      </c>
      <c r="F2267" s="4" t="s">
        <v>62</v>
      </c>
      <c r="G2267" s="4" t="s">
        <v>2884</v>
      </c>
      <c r="H2267" s="4">
        <v>1000</v>
      </c>
      <c r="I2267" s="4">
        <v>800</v>
      </c>
      <c r="J2267" s="5">
        <v>0.2</v>
      </c>
      <c r="K2267" s="3">
        <v>98</v>
      </c>
      <c r="L2267" s="4">
        <f>tblSales[[#This Row],[Quantity]]*tblSales[[#This Row],[Actual Price]]</f>
        <v>78400</v>
      </c>
    </row>
    <row r="2268" spans="1:12" x14ac:dyDescent="0.35">
      <c r="A2268" s="3" t="s">
        <v>2885</v>
      </c>
      <c r="B2268" s="4" t="s">
        <v>183</v>
      </c>
      <c r="C2268" s="4" t="s">
        <v>109</v>
      </c>
      <c r="D2268" s="4" t="s">
        <v>20</v>
      </c>
      <c r="E2268" s="7">
        <v>42168</v>
      </c>
      <c r="F2268" s="4" t="s">
        <v>15</v>
      </c>
      <c r="G2268" s="4" t="s">
        <v>674</v>
      </c>
      <c r="H2268" s="4">
        <v>80</v>
      </c>
      <c r="I2268" s="4">
        <v>79</v>
      </c>
      <c r="J2268" s="5">
        <v>1.2500000000000001E-2</v>
      </c>
      <c r="K2268" s="3">
        <v>59</v>
      </c>
      <c r="L2268" s="4">
        <f>tblSales[[#This Row],[Quantity]]*tblSales[[#This Row],[Actual Price]]</f>
        <v>4661</v>
      </c>
    </row>
    <row r="2269" spans="1:12" x14ac:dyDescent="0.35">
      <c r="A2269" s="3" t="s">
        <v>2886</v>
      </c>
      <c r="B2269" s="4" t="s">
        <v>175</v>
      </c>
      <c r="C2269" s="4" t="s">
        <v>176</v>
      </c>
      <c r="D2269" s="4" t="s">
        <v>14</v>
      </c>
      <c r="E2269" s="7">
        <v>42963</v>
      </c>
      <c r="F2269" s="4" t="s">
        <v>37</v>
      </c>
      <c r="G2269" s="4" t="s">
        <v>320</v>
      </c>
      <c r="H2269" s="4">
        <v>50</v>
      </c>
      <c r="I2269" s="4">
        <v>49</v>
      </c>
      <c r="J2269" s="5">
        <v>0.02</v>
      </c>
      <c r="K2269" s="3">
        <v>28</v>
      </c>
      <c r="L2269" s="4">
        <f>tblSales[[#This Row],[Quantity]]*tblSales[[#This Row],[Actual Price]]</f>
        <v>1372</v>
      </c>
    </row>
    <row r="2270" spans="1:12" x14ac:dyDescent="0.35">
      <c r="A2270" s="3" t="s">
        <v>2887</v>
      </c>
      <c r="B2270" s="4" t="s">
        <v>104</v>
      </c>
      <c r="C2270" s="4" t="s">
        <v>72</v>
      </c>
      <c r="D2270" s="4" t="s">
        <v>36</v>
      </c>
      <c r="E2270" s="7">
        <v>42146</v>
      </c>
      <c r="F2270" s="4" t="s">
        <v>42</v>
      </c>
      <c r="G2270" s="4" t="s">
        <v>593</v>
      </c>
      <c r="H2270" s="4">
        <v>30</v>
      </c>
      <c r="I2270" s="4">
        <v>28</v>
      </c>
      <c r="J2270" s="5">
        <v>6.6699999999999995E-2</v>
      </c>
      <c r="K2270" s="3">
        <v>71</v>
      </c>
      <c r="L2270" s="4">
        <f>tblSales[[#This Row],[Quantity]]*tblSales[[#This Row],[Actual Price]]</f>
        <v>1988</v>
      </c>
    </row>
    <row r="2271" spans="1:12" x14ac:dyDescent="0.35">
      <c r="A2271" s="3" t="s">
        <v>2888</v>
      </c>
      <c r="B2271" s="4" t="s">
        <v>171</v>
      </c>
      <c r="C2271" s="4" t="s">
        <v>172</v>
      </c>
      <c r="D2271" s="4" t="s">
        <v>14</v>
      </c>
      <c r="E2271" s="7">
        <v>42288</v>
      </c>
      <c r="F2271" s="4" t="s">
        <v>26</v>
      </c>
      <c r="G2271" s="4" t="s">
        <v>173</v>
      </c>
      <c r="H2271" s="4">
        <v>700</v>
      </c>
      <c r="I2271" s="4">
        <v>623</v>
      </c>
      <c r="J2271" s="5">
        <v>0.11</v>
      </c>
      <c r="K2271" s="3">
        <v>55</v>
      </c>
      <c r="L2271" s="4">
        <f>tblSales[[#This Row],[Quantity]]*tblSales[[#This Row],[Actual Price]]</f>
        <v>34265</v>
      </c>
    </row>
    <row r="2272" spans="1:12" x14ac:dyDescent="0.35">
      <c r="A2272" s="3" t="s">
        <v>2889</v>
      </c>
      <c r="B2272" s="4" t="s">
        <v>228</v>
      </c>
      <c r="C2272" s="4" t="s">
        <v>229</v>
      </c>
      <c r="D2272" s="4" t="s">
        <v>25</v>
      </c>
      <c r="E2272" s="7">
        <v>42378</v>
      </c>
      <c r="F2272" s="4" t="s">
        <v>47</v>
      </c>
      <c r="G2272" s="4" t="s">
        <v>622</v>
      </c>
      <c r="H2272" s="4">
        <v>500</v>
      </c>
      <c r="I2272" s="4">
        <v>435</v>
      </c>
      <c r="J2272" s="5">
        <v>0.13</v>
      </c>
      <c r="K2272" s="3">
        <v>47</v>
      </c>
      <c r="L2272" s="4">
        <f>tblSales[[#This Row],[Quantity]]*tblSales[[#This Row],[Actual Price]]</f>
        <v>20445</v>
      </c>
    </row>
    <row r="2273" spans="1:12" x14ac:dyDescent="0.35">
      <c r="A2273" s="3" t="s">
        <v>2890</v>
      </c>
      <c r="B2273" s="4" t="s">
        <v>271</v>
      </c>
      <c r="C2273" s="4" t="s">
        <v>272</v>
      </c>
      <c r="D2273" s="4" t="s">
        <v>36</v>
      </c>
      <c r="E2273" s="7">
        <v>41985</v>
      </c>
      <c r="F2273" s="4" t="s">
        <v>26</v>
      </c>
      <c r="G2273" s="4" t="s">
        <v>1828</v>
      </c>
      <c r="H2273" s="4">
        <v>700</v>
      </c>
      <c r="I2273" s="4">
        <v>693</v>
      </c>
      <c r="J2273" s="5">
        <v>0.01</v>
      </c>
      <c r="K2273" s="3">
        <v>74</v>
      </c>
      <c r="L2273" s="4">
        <f>tblSales[[#This Row],[Quantity]]*tblSales[[#This Row],[Actual Price]]</f>
        <v>51282</v>
      </c>
    </row>
    <row r="2274" spans="1:12" x14ac:dyDescent="0.35">
      <c r="A2274" s="3" t="s">
        <v>2891</v>
      </c>
      <c r="B2274" s="4" t="s">
        <v>132</v>
      </c>
      <c r="C2274" s="4" t="s">
        <v>109</v>
      </c>
      <c r="D2274" s="4" t="s">
        <v>20</v>
      </c>
      <c r="E2274" s="7">
        <v>42859</v>
      </c>
      <c r="F2274" s="4" t="s">
        <v>31</v>
      </c>
      <c r="G2274" s="4" t="s">
        <v>1551</v>
      </c>
      <c r="H2274" s="4">
        <v>150</v>
      </c>
      <c r="I2274" s="4">
        <v>150</v>
      </c>
      <c r="J2274" s="5">
        <v>0</v>
      </c>
      <c r="K2274" s="3">
        <v>61</v>
      </c>
      <c r="L2274" s="4">
        <f>tblSales[[#This Row],[Quantity]]*tblSales[[#This Row],[Actual Price]]</f>
        <v>9150</v>
      </c>
    </row>
    <row r="2275" spans="1:12" x14ac:dyDescent="0.35">
      <c r="A2275" s="3" t="s">
        <v>2892</v>
      </c>
      <c r="B2275" s="4" t="s">
        <v>290</v>
      </c>
      <c r="C2275" s="4" t="s">
        <v>109</v>
      </c>
      <c r="D2275" s="4" t="s">
        <v>20</v>
      </c>
      <c r="E2275" s="7">
        <v>42164</v>
      </c>
      <c r="F2275" s="4" t="s">
        <v>56</v>
      </c>
      <c r="G2275" s="4" t="s">
        <v>1042</v>
      </c>
      <c r="H2275" s="4">
        <v>800</v>
      </c>
      <c r="I2275" s="4">
        <v>696</v>
      </c>
      <c r="J2275" s="5">
        <v>0.13</v>
      </c>
      <c r="K2275" s="3">
        <v>57</v>
      </c>
      <c r="L2275" s="4">
        <f>tblSales[[#This Row],[Quantity]]*tblSales[[#This Row],[Actual Price]]</f>
        <v>39672</v>
      </c>
    </row>
    <row r="2276" spans="1:12" x14ac:dyDescent="0.35">
      <c r="A2276" s="3" t="s">
        <v>2893</v>
      </c>
      <c r="B2276" s="4" t="s">
        <v>188</v>
      </c>
      <c r="C2276" s="4" t="s">
        <v>189</v>
      </c>
      <c r="D2276" s="4" t="s">
        <v>14</v>
      </c>
      <c r="E2276" s="7">
        <v>41755</v>
      </c>
      <c r="F2276" s="4" t="s">
        <v>42</v>
      </c>
      <c r="G2276" s="4" t="s">
        <v>742</v>
      </c>
      <c r="H2276" s="4">
        <v>30</v>
      </c>
      <c r="I2276" s="4">
        <v>26</v>
      </c>
      <c r="J2276" s="5">
        <v>0.1333</v>
      </c>
      <c r="K2276" s="3">
        <v>89</v>
      </c>
      <c r="L2276" s="4">
        <f>tblSales[[#This Row],[Quantity]]*tblSales[[#This Row],[Actual Price]]</f>
        <v>2314</v>
      </c>
    </row>
    <row r="2277" spans="1:12" x14ac:dyDescent="0.35">
      <c r="A2277" s="3" t="s">
        <v>2894</v>
      </c>
      <c r="B2277" s="4" t="s">
        <v>45</v>
      </c>
      <c r="C2277" s="4" t="s">
        <v>46</v>
      </c>
      <c r="D2277" s="4" t="s">
        <v>25</v>
      </c>
      <c r="E2277" s="7">
        <v>42550</v>
      </c>
      <c r="F2277" s="4" t="s">
        <v>26</v>
      </c>
      <c r="G2277" s="4" t="s">
        <v>1103</v>
      </c>
      <c r="H2277" s="4">
        <v>700</v>
      </c>
      <c r="I2277" s="4">
        <v>623</v>
      </c>
      <c r="J2277" s="5">
        <v>0.11</v>
      </c>
      <c r="K2277" s="3">
        <v>7</v>
      </c>
      <c r="L2277" s="4">
        <f>tblSales[[#This Row],[Quantity]]*tblSales[[#This Row],[Actual Price]]</f>
        <v>4361</v>
      </c>
    </row>
    <row r="2278" spans="1:12" x14ac:dyDescent="0.35">
      <c r="A2278" s="3" t="s">
        <v>2895</v>
      </c>
      <c r="B2278" s="4" t="s">
        <v>242</v>
      </c>
      <c r="C2278" s="4" t="s">
        <v>243</v>
      </c>
      <c r="D2278" s="4" t="s">
        <v>14</v>
      </c>
      <c r="E2278" s="7">
        <v>42478</v>
      </c>
      <c r="F2278" s="4" t="s">
        <v>15</v>
      </c>
      <c r="G2278" s="4" t="s">
        <v>288</v>
      </c>
      <c r="H2278" s="4">
        <v>80</v>
      </c>
      <c r="I2278" s="4">
        <v>74</v>
      </c>
      <c r="J2278" s="5">
        <v>7.4999999999999997E-2</v>
      </c>
      <c r="K2278" s="3">
        <v>36</v>
      </c>
      <c r="L2278" s="4">
        <f>tblSales[[#This Row],[Quantity]]*tblSales[[#This Row],[Actual Price]]</f>
        <v>2664</v>
      </c>
    </row>
    <row r="2279" spans="1:12" x14ac:dyDescent="0.35">
      <c r="A2279" s="3" t="s">
        <v>2896</v>
      </c>
      <c r="B2279" s="4" t="s">
        <v>60</v>
      </c>
      <c r="C2279" s="4" t="s">
        <v>61</v>
      </c>
      <c r="D2279" s="4" t="s">
        <v>14</v>
      </c>
      <c r="E2279" s="7">
        <v>41958</v>
      </c>
      <c r="F2279" s="4" t="s">
        <v>42</v>
      </c>
      <c r="G2279" s="4" t="s">
        <v>1843</v>
      </c>
      <c r="H2279" s="4">
        <v>30</v>
      </c>
      <c r="I2279" s="4">
        <v>21</v>
      </c>
      <c r="J2279" s="5">
        <v>0.3</v>
      </c>
      <c r="K2279" s="3">
        <v>39</v>
      </c>
      <c r="L2279" s="4">
        <f>tblSales[[#This Row],[Quantity]]*tblSales[[#This Row],[Actual Price]]</f>
        <v>819</v>
      </c>
    </row>
    <row r="2280" spans="1:12" x14ac:dyDescent="0.35">
      <c r="A2280" s="3" t="s">
        <v>2897</v>
      </c>
      <c r="B2280" s="4" t="s">
        <v>132</v>
      </c>
      <c r="C2280" s="4" t="s">
        <v>109</v>
      </c>
      <c r="D2280" s="4" t="s">
        <v>20</v>
      </c>
      <c r="E2280" s="7">
        <v>42576</v>
      </c>
      <c r="F2280" s="4" t="s">
        <v>15</v>
      </c>
      <c r="G2280" s="4" t="s">
        <v>475</v>
      </c>
      <c r="H2280" s="4">
        <v>80</v>
      </c>
      <c r="I2280" s="4">
        <v>68</v>
      </c>
      <c r="J2280" s="5">
        <v>0.15</v>
      </c>
      <c r="K2280" s="3">
        <v>85</v>
      </c>
      <c r="L2280" s="4">
        <f>tblSales[[#This Row],[Quantity]]*tblSales[[#This Row],[Actual Price]]</f>
        <v>5780</v>
      </c>
    </row>
    <row r="2281" spans="1:12" x14ac:dyDescent="0.35">
      <c r="A2281" s="3" t="s">
        <v>2898</v>
      </c>
      <c r="B2281" s="4" t="s">
        <v>92</v>
      </c>
      <c r="C2281" s="4" t="s">
        <v>93</v>
      </c>
      <c r="D2281" s="4" t="s">
        <v>36</v>
      </c>
      <c r="E2281" s="7">
        <v>41661</v>
      </c>
      <c r="F2281" s="4" t="s">
        <v>123</v>
      </c>
      <c r="G2281" s="4" t="s">
        <v>1156</v>
      </c>
      <c r="H2281" s="4">
        <v>50</v>
      </c>
      <c r="I2281" s="4">
        <v>48</v>
      </c>
      <c r="J2281" s="5">
        <v>0.04</v>
      </c>
      <c r="K2281" s="3">
        <v>36</v>
      </c>
      <c r="L2281" s="4">
        <f>tblSales[[#This Row],[Quantity]]*tblSales[[#This Row],[Actual Price]]</f>
        <v>1728</v>
      </c>
    </row>
    <row r="2282" spans="1:12" x14ac:dyDescent="0.35">
      <c r="A2282" s="3" t="s">
        <v>2899</v>
      </c>
      <c r="B2282" s="4" t="s">
        <v>40</v>
      </c>
      <c r="C2282" s="4" t="s">
        <v>41</v>
      </c>
      <c r="D2282" s="4" t="s">
        <v>36</v>
      </c>
      <c r="E2282" s="7">
        <v>42917</v>
      </c>
      <c r="F2282" s="4" t="s">
        <v>42</v>
      </c>
      <c r="G2282" s="4" t="s">
        <v>1305</v>
      </c>
      <c r="H2282" s="4">
        <v>30</v>
      </c>
      <c r="I2282" s="4">
        <v>29</v>
      </c>
      <c r="J2282" s="5">
        <v>3.3300000000000003E-2</v>
      </c>
      <c r="K2282" s="3">
        <v>68</v>
      </c>
      <c r="L2282" s="4">
        <f>tblSales[[#This Row],[Quantity]]*tblSales[[#This Row],[Actual Price]]</f>
        <v>1972</v>
      </c>
    </row>
    <row r="2283" spans="1:12" x14ac:dyDescent="0.35">
      <c r="A2283" s="3" t="s">
        <v>2900</v>
      </c>
      <c r="B2283" s="4" t="s">
        <v>100</v>
      </c>
      <c r="C2283" s="4" t="s">
        <v>101</v>
      </c>
      <c r="D2283" s="4" t="s">
        <v>14</v>
      </c>
      <c r="E2283" s="7">
        <v>42450</v>
      </c>
      <c r="F2283" s="4" t="s">
        <v>42</v>
      </c>
      <c r="G2283" s="4" t="s">
        <v>949</v>
      </c>
      <c r="H2283" s="4">
        <v>30</v>
      </c>
      <c r="I2283" s="4">
        <v>29</v>
      </c>
      <c r="J2283" s="5">
        <v>3.3300000000000003E-2</v>
      </c>
      <c r="K2283" s="3">
        <v>14</v>
      </c>
      <c r="L2283" s="4">
        <f>tblSales[[#This Row],[Quantity]]*tblSales[[#This Row],[Actual Price]]</f>
        <v>406</v>
      </c>
    </row>
    <row r="2284" spans="1:12" x14ac:dyDescent="0.35">
      <c r="A2284" s="3" t="s">
        <v>2901</v>
      </c>
      <c r="B2284" s="4" t="s">
        <v>104</v>
      </c>
      <c r="C2284" s="4" t="s">
        <v>72</v>
      </c>
      <c r="D2284" s="4" t="s">
        <v>36</v>
      </c>
      <c r="E2284" s="7">
        <v>42439</v>
      </c>
      <c r="F2284" s="4" t="s">
        <v>62</v>
      </c>
      <c r="G2284" s="4" t="s">
        <v>106</v>
      </c>
      <c r="H2284" s="4">
        <v>1000</v>
      </c>
      <c r="I2284" s="4">
        <v>510</v>
      </c>
      <c r="J2284" s="5">
        <v>0.49</v>
      </c>
      <c r="K2284" s="3">
        <v>42</v>
      </c>
      <c r="L2284" s="4">
        <f>tblSales[[#This Row],[Quantity]]*tblSales[[#This Row],[Actual Price]]</f>
        <v>21420</v>
      </c>
    </row>
    <row r="2285" spans="1:12" x14ac:dyDescent="0.35">
      <c r="A2285" s="3" t="s">
        <v>2902</v>
      </c>
      <c r="B2285" s="4" t="s">
        <v>65</v>
      </c>
      <c r="C2285" s="4" t="s">
        <v>66</v>
      </c>
      <c r="D2285" s="4" t="s">
        <v>36</v>
      </c>
      <c r="E2285" s="7">
        <v>42721</v>
      </c>
      <c r="F2285" s="4" t="s">
        <v>42</v>
      </c>
      <c r="G2285" s="4" t="s">
        <v>1537</v>
      </c>
      <c r="H2285" s="4">
        <v>30</v>
      </c>
      <c r="I2285" s="4">
        <v>29</v>
      </c>
      <c r="J2285" s="5">
        <v>3.3300000000000003E-2</v>
      </c>
      <c r="K2285" s="3">
        <v>16</v>
      </c>
      <c r="L2285" s="4">
        <f>tblSales[[#This Row],[Quantity]]*tblSales[[#This Row],[Actual Price]]</f>
        <v>464</v>
      </c>
    </row>
    <row r="2286" spans="1:12" x14ac:dyDescent="0.35">
      <c r="A2286" s="3" t="s">
        <v>2903</v>
      </c>
      <c r="B2286" s="4" t="s">
        <v>82</v>
      </c>
      <c r="C2286" s="4" t="s">
        <v>83</v>
      </c>
      <c r="D2286" s="4" t="s">
        <v>14</v>
      </c>
      <c r="E2286" s="7">
        <v>41853</v>
      </c>
      <c r="F2286" s="4" t="s">
        <v>62</v>
      </c>
      <c r="G2286" s="4" t="s">
        <v>283</v>
      </c>
      <c r="H2286" s="4">
        <v>1000</v>
      </c>
      <c r="I2286" s="4">
        <v>840</v>
      </c>
      <c r="J2286" s="5">
        <v>0.16</v>
      </c>
      <c r="K2286" s="3">
        <v>99</v>
      </c>
      <c r="L2286" s="4">
        <f>tblSales[[#This Row],[Quantity]]*tblSales[[#This Row],[Actual Price]]</f>
        <v>83160</v>
      </c>
    </row>
    <row r="2287" spans="1:12" x14ac:dyDescent="0.35">
      <c r="A2287" s="3" t="s">
        <v>2904</v>
      </c>
      <c r="B2287" s="4" t="s">
        <v>29</v>
      </c>
      <c r="C2287" s="4" t="s">
        <v>30</v>
      </c>
      <c r="D2287" s="4" t="s">
        <v>14</v>
      </c>
      <c r="E2287" s="7">
        <v>42391</v>
      </c>
      <c r="F2287" s="4" t="s">
        <v>116</v>
      </c>
      <c r="G2287" s="4" t="s">
        <v>425</v>
      </c>
      <c r="H2287" s="4">
        <v>250</v>
      </c>
      <c r="I2287" s="4">
        <v>225</v>
      </c>
      <c r="J2287" s="5">
        <v>0.1</v>
      </c>
      <c r="K2287" s="3">
        <v>42</v>
      </c>
      <c r="L2287" s="4">
        <f>tblSales[[#This Row],[Quantity]]*tblSales[[#This Row],[Actual Price]]</f>
        <v>9450</v>
      </c>
    </row>
    <row r="2288" spans="1:12" x14ac:dyDescent="0.35">
      <c r="A2288" s="3" t="s">
        <v>2905</v>
      </c>
      <c r="B2288" s="4" t="s">
        <v>228</v>
      </c>
      <c r="C2288" s="4" t="s">
        <v>229</v>
      </c>
      <c r="D2288" s="4" t="s">
        <v>25</v>
      </c>
      <c r="E2288" s="7">
        <v>42637</v>
      </c>
      <c r="F2288" s="4" t="s">
        <v>42</v>
      </c>
      <c r="G2288" s="4" t="s">
        <v>837</v>
      </c>
      <c r="H2288" s="4">
        <v>30</v>
      </c>
      <c r="I2288" s="4">
        <v>26</v>
      </c>
      <c r="J2288" s="5">
        <v>0.1333</v>
      </c>
      <c r="K2288" s="3">
        <v>67</v>
      </c>
      <c r="L2288" s="4">
        <f>tblSales[[#This Row],[Quantity]]*tblSales[[#This Row],[Actual Price]]</f>
        <v>1742</v>
      </c>
    </row>
    <row r="2289" spans="1:12" x14ac:dyDescent="0.35">
      <c r="A2289" s="3" t="s">
        <v>2906</v>
      </c>
      <c r="B2289" s="4" t="s">
        <v>175</v>
      </c>
      <c r="C2289" s="4" t="s">
        <v>176</v>
      </c>
      <c r="D2289" s="4" t="s">
        <v>14</v>
      </c>
      <c r="E2289" s="7">
        <v>42336</v>
      </c>
      <c r="F2289" s="4" t="s">
        <v>26</v>
      </c>
      <c r="G2289" s="4" t="s">
        <v>1457</v>
      </c>
      <c r="H2289" s="4">
        <v>700</v>
      </c>
      <c r="I2289" s="4">
        <v>539</v>
      </c>
      <c r="J2289" s="5">
        <v>0.23</v>
      </c>
      <c r="K2289" s="3">
        <v>22</v>
      </c>
      <c r="L2289" s="4">
        <f>tblSales[[#This Row],[Quantity]]*tblSales[[#This Row],[Actual Price]]</f>
        <v>11858</v>
      </c>
    </row>
    <row r="2290" spans="1:12" x14ac:dyDescent="0.35">
      <c r="A2290" s="3" t="s">
        <v>2907</v>
      </c>
      <c r="B2290" s="4" t="s">
        <v>29</v>
      </c>
      <c r="C2290" s="4" t="s">
        <v>30</v>
      </c>
      <c r="D2290" s="4" t="s">
        <v>14</v>
      </c>
      <c r="E2290" s="7">
        <v>42453</v>
      </c>
      <c r="F2290" s="4" t="s">
        <v>123</v>
      </c>
      <c r="G2290" s="4" t="s">
        <v>1109</v>
      </c>
      <c r="H2290" s="4">
        <v>50</v>
      </c>
      <c r="I2290" s="4">
        <v>49</v>
      </c>
      <c r="J2290" s="5">
        <v>0.02</v>
      </c>
      <c r="K2290" s="3">
        <v>79</v>
      </c>
      <c r="L2290" s="4">
        <f>tblSales[[#This Row],[Quantity]]*tblSales[[#This Row],[Actual Price]]</f>
        <v>3871</v>
      </c>
    </row>
    <row r="2291" spans="1:12" x14ac:dyDescent="0.35">
      <c r="A2291" s="3" t="s">
        <v>2908</v>
      </c>
      <c r="B2291" s="4" t="s">
        <v>115</v>
      </c>
      <c r="C2291" s="4" t="s">
        <v>55</v>
      </c>
      <c r="D2291" s="4" t="s">
        <v>14</v>
      </c>
      <c r="E2291" s="7">
        <v>43325</v>
      </c>
      <c r="F2291" s="4" t="s">
        <v>15</v>
      </c>
      <c r="G2291" s="4" t="s">
        <v>1962</v>
      </c>
      <c r="H2291" s="4">
        <v>80</v>
      </c>
      <c r="I2291" s="4">
        <v>70</v>
      </c>
      <c r="J2291" s="5">
        <v>0.125</v>
      </c>
      <c r="K2291" s="3">
        <v>40</v>
      </c>
      <c r="L2291" s="4">
        <f>tblSales[[#This Row],[Quantity]]*tblSales[[#This Row],[Actual Price]]</f>
        <v>2800</v>
      </c>
    </row>
    <row r="2292" spans="1:12" x14ac:dyDescent="0.35">
      <c r="A2292" s="3" t="s">
        <v>2909</v>
      </c>
      <c r="B2292" s="4" t="s">
        <v>290</v>
      </c>
      <c r="C2292" s="4" t="s">
        <v>109</v>
      </c>
      <c r="D2292" s="4" t="s">
        <v>20</v>
      </c>
      <c r="E2292" s="7">
        <v>41807</v>
      </c>
      <c r="F2292" s="4" t="s">
        <v>37</v>
      </c>
      <c r="G2292" s="4" t="s">
        <v>291</v>
      </c>
      <c r="H2292" s="4">
        <v>50</v>
      </c>
      <c r="I2292" s="4">
        <v>48</v>
      </c>
      <c r="J2292" s="5">
        <v>0.04</v>
      </c>
      <c r="K2292" s="3">
        <v>41</v>
      </c>
      <c r="L2292" s="4">
        <f>tblSales[[#This Row],[Quantity]]*tblSales[[#This Row],[Actual Price]]</f>
        <v>1968</v>
      </c>
    </row>
    <row r="2293" spans="1:12" x14ac:dyDescent="0.35">
      <c r="A2293" s="3" t="s">
        <v>2910</v>
      </c>
      <c r="B2293" s="4" t="s">
        <v>2244</v>
      </c>
      <c r="C2293" s="4" t="s">
        <v>109</v>
      </c>
      <c r="D2293" s="4" t="s">
        <v>20</v>
      </c>
      <c r="E2293" s="7">
        <v>42926</v>
      </c>
      <c r="F2293" s="4" t="s">
        <v>56</v>
      </c>
      <c r="G2293" s="4" t="s">
        <v>2443</v>
      </c>
      <c r="H2293" s="4">
        <v>800</v>
      </c>
      <c r="I2293" s="4">
        <v>544</v>
      </c>
      <c r="J2293" s="5">
        <v>0.32</v>
      </c>
      <c r="K2293" s="3">
        <v>73</v>
      </c>
      <c r="L2293" s="4">
        <f>tblSales[[#This Row],[Quantity]]*tblSales[[#This Row],[Actual Price]]</f>
        <v>39712</v>
      </c>
    </row>
    <row r="2294" spans="1:12" x14ac:dyDescent="0.35">
      <c r="A2294" s="3" t="s">
        <v>2911</v>
      </c>
      <c r="B2294" s="4" t="s">
        <v>112</v>
      </c>
      <c r="C2294" s="4" t="s">
        <v>83</v>
      </c>
      <c r="D2294" s="4" t="s">
        <v>14</v>
      </c>
      <c r="E2294" s="7">
        <v>43311</v>
      </c>
      <c r="F2294" s="4" t="s">
        <v>37</v>
      </c>
      <c r="G2294" s="4" t="s">
        <v>827</v>
      </c>
      <c r="H2294" s="4">
        <v>50</v>
      </c>
      <c r="I2294" s="4">
        <v>44</v>
      </c>
      <c r="J2294" s="5">
        <v>0.12</v>
      </c>
      <c r="K2294" s="3">
        <v>13</v>
      </c>
      <c r="L2294" s="4">
        <f>tblSales[[#This Row],[Quantity]]*tblSales[[#This Row],[Actual Price]]</f>
        <v>572</v>
      </c>
    </row>
    <row r="2295" spans="1:12" x14ac:dyDescent="0.35">
      <c r="A2295" s="3" t="s">
        <v>2912</v>
      </c>
      <c r="B2295" s="4" t="s">
        <v>71</v>
      </c>
      <c r="C2295" s="4" t="s">
        <v>72</v>
      </c>
      <c r="D2295" s="4" t="s">
        <v>36</v>
      </c>
      <c r="E2295" s="7">
        <v>42571</v>
      </c>
      <c r="F2295" s="4" t="s">
        <v>56</v>
      </c>
      <c r="G2295" s="4" t="s">
        <v>392</v>
      </c>
      <c r="H2295" s="4">
        <v>800</v>
      </c>
      <c r="I2295" s="4">
        <v>648</v>
      </c>
      <c r="J2295" s="5">
        <v>0.19</v>
      </c>
      <c r="K2295" s="3">
        <v>9</v>
      </c>
      <c r="L2295" s="4">
        <f>tblSales[[#This Row],[Quantity]]*tblSales[[#This Row],[Actual Price]]</f>
        <v>5832</v>
      </c>
    </row>
    <row r="2296" spans="1:12" x14ac:dyDescent="0.35">
      <c r="A2296" s="3" t="s">
        <v>2913</v>
      </c>
      <c r="B2296" s="4" t="s">
        <v>2171</v>
      </c>
      <c r="C2296" s="4" t="s">
        <v>19</v>
      </c>
      <c r="D2296" s="4" t="s">
        <v>20</v>
      </c>
      <c r="E2296" s="7">
        <v>42952</v>
      </c>
      <c r="F2296" s="4" t="s">
        <v>105</v>
      </c>
      <c r="G2296" s="4" t="s">
        <v>2222</v>
      </c>
      <c r="H2296" s="4">
        <v>70</v>
      </c>
      <c r="I2296" s="4">
        <v>67</v>
      </c>
      <c r="J2296" s="5">
        <v>4.2900000000000001E-2</v>
      </c>
      <c r="K2296" s="3">
        <v>30</v>
      </c>
      <c r="L2296" s="4">
        <f>tblSales[[#This Row],[Quantity]]*tblSales[[#This Row],[Actual Price]]</f>
        <v>2010</v>
      </c>
    </row>
    <row r="2297" spans="1:12" x14ac:dyDescent="0.35">
      <c r="A2297" s="3" t="s">
        <v>2914</v>
      </c>
      <c r="B2297" s="4" t="s">
        <v>50</v>
      </c>
      <c r="C2297" s="4" t="s">
        <v>51</v>
      </c>
      <c r="D2297" s="4" t="s">
        <v>25</v>
      </c>
      <c r="E2297" s="7">
        <v>42135</v>
      </c>
      <c r="F2297" s="4" t="s">
        <v>123</v>
      </c>
      <c r="G2297" s="4" t="s">
        <v>730</v>
      </c>
      <c r="H2297" s="4">
        <v>50</v>
      </c>
      <c r="I2297" s="4">
        <v>38</v>
      </c>
      <c r="J2297" s="5">
        <v>0.24</v>
      </c>
      <c r="K2297" s="3">
        <v>97</v>
      </c>
      <c r="L2297" s="4">
        <f>tblSales[[#This Row],[Quantity]]*tblSales[[#This Row],[Actual Price]]</f>
        <v>3686</v>
      </c>
    </row>
    <row r="2298" spans="1:12" x14ac:dyDescent="0.35">
      <c r="A2298" s="3" t="s">
        <v>2915</v>
      </c>
      <c r="B2298" s="4" t="s">
        <v>112</v>
      </c>
      <c r="C2298" s="4" t="s">
        <v>83</v>
      </c>
      <c r="D2298" s="4" t="s">
        <v>14</v>
      </c>
      <c r="E2298" s="7">
        <v>43125</v>
      </c>
      <c r="F2298" s="4" t="s">
        <v>62</v>
      </c>
      <c r="G2298" s="4" t="s">
        <v>827</v>
      </c>
      <c r="H2298" s="4">
        <v>1000</v>
      </c>
      <c r="I2298" s="4">
        <v>690</v>
      </c>
      <c r="J2298" s="5">
        <v>0.31</v>
      </c>
      <c r="K2298" s="3">
        <v>2</v>
      </c>
      <c r="L2298" s="4">
        <f>tblSales[[#This Row],[Quantity]]*tblSales[[#This Row],[Actual Price]]</f>
        <v>1380</v>
      </c>
    </row>
    <row r="2299" spans="1:12" x14ac:dyDescent="0.35">
      <c r="A2299" s="3" t="s">
        <v>2916</v>
      </c>
      <c r="B2299" s="4" t="s">
        <v>50</v>
      </c>
      <c r="C2299" s="4" t="s">
        <v>51</v>
      </c>
      <c r="D2299" s="4" t="s">
        <v>25</v>
      </c>
      <c r="E2299" s="7">
        <v>43425</v>
      </c>
      <c r="F2299" s="4" t="s">
        <v>42</v>
      </c>
      <c r="G2299" s="4" t="s">
        <v>379</v>
      </c>
      <c r="H2299" s="4">
        <v>30</v>
      </c>
      <c r="I2299" s="4">
        <v>27</v>
      </c>
      <c r="J2299" s="5">
        <v>0.1</v>
      </c>
      <c r="K2299" s="3">
        <v>6</v>
      </c>
      <c r="L2299" s="4">
        <f>tblSales[[#This Row],[Quantity]]*tblSales[[#This Row],[Actual Price]]</f>
        <v>162</v>
      </c>
    </row>
    <row r="2300" spans="1:12" x14ac:dyDescent="0.35">
      <c r="A2300" s="3" t="s">
        <v>2917</v>
      </c>
      <c r="B2300" s="4" t="s">
        <v>175</v>
      </c>
      <c r="C2300" s="4" t="s">
        <v>176</v>
      </c>
      <c r="D2300" s="4" t="s">
        <v>14</v>
      </c>
      <c r="E2300" s="7">
        <v>41978</v>
      </c>
      <c r="F2300" s="4" t="s">
        <v>123</v>
      </c>
      <c r="G2300" s="4" t="s">
        <v>608</v>
      </c>
      <c r="H2300" s="4">
        <v>50</v>
      </c>
      <c r="I2300" s="4">
        <v>38</v>
      </c>
      <c r="J2300" s="5">
        <v>0.24</v>
      </c>
      <c r="K2300" s="3">
        <v>47</v>
      </c>
      <c r="L2300" s="4">
        <f>tblSales[[#This Row],[Quantity]]*tblSales[[#This Row],[Actual Price]]</f>
        <v>1786</v>
      </c>
    </row>
    <row r="2301" spans="1:12" x14ac:dyDescent="0.35">
      <c r="A2301" s="3" t="s">
        <v>2918</v>
      </c>
      <c r="B2301" s="4" t="s">
        <v>171</v>
      </c>
      <c r="C2301" s="4" t="s">
        <v>172</v>
      </c>
      <c r="D2301" s="4" t="s">
        <v>14</v>
      </c>
      <c r="E2301" s="7">
        <v>41817</v>
      </c>
      <c r="F2301" s="4" t="s">
        <v>47</v>
      </c>
      <c r="G2301" s="4" t="s">
        <v>441</v>
      </c>
      <c r="H2301" s="4">
        <v>500</v>
      </c>
      <c r="I2301" s="4">
        <v>415</v>
      </c>
      <c r="J2301" s="5">
        <v>0.17</v>
      </c>
      <c r="K2301" s="3">
        <v>17</v>
      </c>
      <c r="L2301" s="4">
        <f>tblSales[[#This Row],[Quantity]]*tblSales[[#This Row],[Actual Price]]</f>
        <v>7055</v>
      </c>
    </row>
    <row r="2302" spans="1:12" x14ac:dyDescent="0.35">
      <c r="A2302" s="3" t="s">
        <v>2919</v>
      </c>
      <c r="B2302" s="4" t="s">
        <v>188</v>
      </c>
      <c r="C2302" s="4" t="s">
        <v>189</v>
      </c>
      <c r="D2302" s="4" t="s">
        <v>14</v>
      </c>
      <c r="E2302" s="7">
        <v>41674</v>
      </c>
      <c r="F2302" s="4" t="s">
        <v>37</v>
      </c>
      <c r="G2302" s="4" t="s">
        <v>798</v>
      </c>
      <c r="H2302" s="4">
        <v>50</v>
      </c>
      <c r="I2302" s="4">
        <v>43</v>
      </c>
      <c r="J2302" s="5">
        <v>0.14000000000000001</v>
      </c>
      <c r="K2302" s="3">
        <v>90</v>
      </c>
      <c r="L2302" s="4">
        <f>tblSales[[#This Row],[Quantity]]*tblSales[[#This Row],[Actual Price]]</f>
        <v>3870</v>
      </c>
    </row>
    <row r="2303" spans="1:12" x14ac:dyDescent="0.35">
      <c r="A2303" s="3" t="s">
        <v>2920</v>
      </c>
      <c r="B2303" s="4" t="s">
        <v>125</v>
      </c>
      <c r="C2303" s="4" t="s">
        <v>41</v>
      </c>
      <c r="D2303" s="4" t="s">
        <v>36</v>
      </c>
      <c r="E2303" s="7">
        <v>43176</v>
      </c>
      <c r="F2303" s="4" t="s">
        <v>47</v>
      </c>
      <c r="G2303" s="4" t="s">
        <v>864</v>
      </c>
      <c r="H2303" s="4">
        <v>500</v>
      </c>
      <c r="I2303" s="4">
        <v>435</v>
      </c>
      <c r="J2303" s="5">
        <v>0.13</v>
      </c>
      <c r="K2303" s="3">
        <v>52</v>
      </c>
      <c r="L2303" s="4">
        <f>tblSales[[#This Row],[Quantity]]*tblSales[[#This Row],[Actual Price]]</f>
        <v>22620</v>
      </c>
    </row>
    <row r="2304" spans="1:12" x14ac:dyDescent="0.35">
      <c r="A2304" s="3" t="s">
        <v>2921</v>
      </c>
      <c r="B2304" s="4" t="s">
        <v>54</v>
      </c>
      <c r="C2304" s="4" t="s">
        <v>55</v>
      </c>
      <c r="D2304" s="4" t="s">
        <v>14</v>
      </c>
      <c r="E2304" s="7">
        <v>42138</v>
      </c>
      <c r="F2304" s="4" t="s">
        <v>31</v>
      </c>
      <c r="G2304" s="4" t="s">
        <v>815</v>
      </c>
      <c r="H2304" s="4">
        <v>150</v>
      </c>
      <c r="I2304" s="4">
        <v>149</v>
      </c>
      <c r="J2304" s="5">
        <v>6.7000000000000002E-3</v>
      </c>
      <c r="K2304" s="3">
        <v>23</v>
      </c>
      <c r="L2304" s="4">
        <f>tblSales[[#This Row],[Quantity]]*tblSales[[#This Row],[Actual Price]]</f>
        <v>3427</v>
      </c>
    </row>
    <row r="2305" spans="1:12" x14ac:dyDescent="0.35">
      <c r="A2305" s="3" t="s">
        <v>2922</v>
      </c>
      <c r="B2305" s="4" t="s">
        <v>71</v>
      </c>
      <c r="C2305" s="4" t="s">
        <v>72</v>
      </c>
      <c r="D2305" s="4" t="s">
        <v>36</v>
      </c>
      <c r="E2305" s="7">
        <v>41794</v>
      </c>
      <c r="F2305" s="4" t="s">
        <v>26</v>
      </c>
      <c r="G2305" s="4" t="s">
        <v>329</v>
      </c>
      <c r="H2305" s="4">
        <v>700</v>
      </c>
      <c r="I2305" s="4">
        <v>644</v>
      </c>
      <c r="J2305" s="5">
        <v>0.08</v>
      </c>
      <c r="K2305" s="3">
        <v>44</v>
      </c>
      <c r="L2305" s="4">
        <f>tblSales[[#This Row],[Quantity]]*tblSales[[#This Row],[Actual Price]]</f>
        <v>28336</v>
      </c>
    </row>
    <row r="2306" spans="1:12" x14ac:dyDescent="0.35">
      <c r="A2306" s="3" t="s">
        <v>2923</v>
      </c>
      <c r="B2306" s="4" t="s">
        <v>401</v>
      </c>
      <c r="C2306" s="4" t="s">
        <v>402</v>
      </c>
      <c r="D2306" s="4" t="s">
        <v>14</v>
      </c>
      <c r="E2306" s="7">
        <v>42580</v>
      </c>
      <c r="F2306" s="4" t="s">
        <v>105</v>
      </c>
      <c r="G2306" s="4" t="s">
        <v>1282</v>
      </c>
      <c r="H2306" s="4">
        <v>70</v>
      </c>
      <c r="I2306" s="4">
        <v>67</v>
      </c>
      <c r="J2306" s="5">
        <v>4.2900000000000001E-2</v>
      </c>
      <c r="K2306" s="3">
        <v>81</v>
      </c>
      <c r="L2306" s="4">
        <f>tblSales[[#This Row],[Quantity]]*tblSales[[#This Row],[Actual Price]]</f>
        <v>5427</v>
      </c>
    </row>
    <row r="2307" spans="1:12" x14ac:dyDescent="0.35">
      <c r="A2307" s="3" t="s">
        <v>2924</v>
      </c>
      <c r="B2307" s="4" t="s">
        <v>2171</v>
      </c>
      <c r="C2307" s="4" t="s">
        <v>19</v>
      </c>
      <c r="D2307" s="4" t="s">
        <v>20</v>
      </c>
      <c r="E2307" s="7">
        <v>41906</v>
      </c>
      <c r="F2307" s="4" t="s">
        <v>116</v>
      </c>
      <c r="G2307" s="4" t="s">
        <v>2925</v>
      </c>
      <c r="H2307" s="4">
        <v>250</v>
      </c>
      <c r="I2307" s="4">
        <v>198</v>
      </c>
      <c r="J2307" s="5">
        <v>0.20799999999999999</v>
      </c>
      <c r="K2307" s="3">
        <v>49</v>
      </c>
      <c r="L2307" s="4">
        <f>tblSales[[#This Row],[Quantity]]*tblSales[[#This Row],[Actual Price]]</f>
        <v>9702</v>
      </c>
    </row>
    <row r="2308" spans="1:12" x14ac:dyDescent="0.35">
      <c r="A2308" s="3" t="s">
        <v>2926</v>
      </c>
      <c r="B2308" s="4" t="s">
        <v>60</v>
      </c>
      <c r="C2308" s="4" t="s">
        <v>61</v>
      </c>
      <c r="D2308" s="4" t="s">
        <v>14</v>
      </c>
      <c r="E2308" s="7">
        <v>41986</v>
      </c>
      <c r="F2308" s="4" t="s">
        <v>42</v>
      </c>
      <c r="G2308" s="4" t="s">
        <v>782</v>
      </c>
      <c r="H2308" s="4">
        <v>30</v>
      </c>
      <c r="I2308" s="4">
        <v>30</v>
      </c>
      <c r="J2308" s="5">
        <v>0</v>
      </c>
      <c r="K2308" s="3">
        <v>70</v>
      </c>
      <c r="L2308" s="4">
        <f>tblSales[[#This Row],[Quantity]]*tblSales[[#This Row],[Actual Price]]</f>
        <v>2100</v>
      </c>
    </row>
    <row r="2309" spans="1:12" x14ac:dyDescent="0.35">
      <c r="A2309" s="3" t="s">
        <v>2927</v>
      </c>
      <c r="B2309" s="4" t="s">
        <v>2192</v>
      </c>
      <c r="C2309" s="4" t="s">
        <v>109</v>
      </c>
      <c r="D2309" s="4" t="s">
        <v>20</v>
      </c>
      <c r="E2309" s="7">
        <v>41647</v>
      </c>
      <c r="F2309" s="4" t="s">
        <v>47</v>
      </c>
      <c r="G2309" s="4" t="s">
        <v>2928</v>
      </c>
      <c r="H2309" s="4">
        <v>500</v>
      </c>
      <c r="I2309" s="4">
        <v>360</v>
      </c>
      <c r="J2309" s="5">
        <v>0.28000000000000003</v>
      </c>
      <c r="K2309" s="3">
        <v>57</v>
      </c>
      <c r="L2309" s="4">
        <f>tblSales[[#This Row],[Quantity]]*tblSales[[#This Row],[Actual Price]]</f>
        <v>20520</v>
      </c>
    </row>
    <row r="2310" spans="1:12" x14ac:dyDescent="0.35">
      <c r="A2310" s="3" t="s">
        <v>2929</v>
      </c>
      <c r="B2310" s="4" t="s">
        <v>188</v>
      </c>
      <c r="C2310" s="4" t="s">
        <v>189</v>
      </c>
      <c r="D2310" s="4" t="s">
        <v>14</v>
      </c>
      <c r="E2310" s="7">
        <v>43287</v>
      </c>
      <c r="F2310" s="4" t="s">
        <v>123</v>
      </c>
      <c r="G2310" s="4" t="s">
        <v>190</v>
      </c>
      <c r="H2310" s="4">
        <v>50</v>
      </c>
      <c r="I2310" s="4">
        <v>44</v>
      </c>
      <c r="J2310" s="5">
        <v>0.12</v>
      </c>
      <c r="K2310" s="3">
        <v>93</v>
      </c>
      <c r="L2310" s="4">
        <f>tblSales[[#This Row],[Quantity]]*tblSales[[#This Row],[Actual Price]]</f>
        <v>4092</v>
      </c>
    </row>
    <row r="2311" spans="1:12" x14ac:dyDescent="0.35">
      <c r="A2311" s="3" t="s">
        <v>2930</v>
      </c>
      <c r="B2311" s="4" t="s">
        <v>92</v>
      </c>
      <c r="C2311" s="4" t="s">
        <v>93</v>
      </c>
      <c r="D2311" s="4" t="s">
        <v>36</v>
      </c>
      <c r="E2311" s="7">
        <v>43266</v>
      </c>
      <c r="F2311" s="4" t="s">
        <v>56</v>
      </c>
      <c r="G2311" s="4" t="s">
        <v>1344</v>
      </c>
      <c r="H2311" s="4">
        <v>800</v>
      </c>
      <c r="I2311" s="4">
        <v>744</v>
      </c>
      <c r="J2311" s="5">
        <v>7.0000000000000007E-2</v>
      </c>
      <c r="K2311" s="3">
        <v>66</v>
      </c>
      <c r="L2311" s="4">
        <f>tblSales[[#This Row],[Quantity]]*tblSales[[#This Row],[Actual Price]]</f>
        <v>49104</v>
      </c>
    </row>
    <row r="2312" spans="1:12" x14ac:dyDescent="0.35">
      <c r="A2312" s="3" t="s">
        <v>2931</v>
      </c>
      <c r="B2312" s="4" t="s">
        <v>171</v>
      </c>
      <c r="C2312" s="4" t="s">
        <v>172</v>
      </c>
      <c r="D2312" s="4" t="s">
        <v>14</v>
      </c>
      <c r="E2312" s="7">
        <v>42925</v>
      </c>
      <c r="F2312" s="4" t="s">
        <v>62</v>
      </c>
      <c r="G2312" s="4" t="s">
        <v>1422</v>
      </c>
      <c r="H2312" s="4">
        <v>1000</v>
      </c>
      <c r="I2312" s="4">
        <v>810</v>
      </c>
      <c r="J2312" s="5">
        <v>0.19</v>
      </c>
      <c r="K2312" s="3">
        <v>71</v>
      </c>
      <c r="L2312" s="4">
        <f>tblSales[[#This Row],[Quantity]]*tblSales[[#This Row],[Actual Price]]</f>
        <v>57510</v>
      </c>
    </row>
    <row r="2313" spans="1:12" x14ac:dyDescent="0.35">
      <c r="A2313" s="3" t="s">
        <v>2932</v>
      </c>
      <c r="B2313" s="4" t="s">
        <v>2171</v>
      </c>
      <c r="C2313" s="4" t="s">
        <v>19</v>
      </c>
      <c r="D2313" s="4" t="s">
        <v>20</v>
      </c>
      <c r="E2313" s="7">
        <v>42838</v>
      </c>
      <c r="F2313" s="4" t="s">
        <v>42</v>
      </c>
      <c r="G2313" s="4" t="s">
        <v>2239</v>
      </c>
      <c r="H2313" s="4">
        <v>30</v>
      </c>
      <c r="I2313" s="4">
        <v>28</v>
      </c>
      <c r="J2313" s="5">
        <v>6.6699999999999995E-2</v>
      </c>
      <c r="K2313" s="3">
        <v>35</v>
      </c>
      <c r="L2313" s="4">
        <f>tblSales[[#This Row],[Quantity]]*tblSales[[#This Row],[Actual Price]]</f>
        <v>980</v>
      </c>
    </row>
    <row r="2314" spans="1:12" x14ac:dyDescent="0.35">
      <c r="A2314" s="3" t="s">
        <v>2933</v>
      </c>
      <c r="B2314" s="4" t="s">
        <v>86</v>
      </c>
      <c r="C2314" s="4" t="s">
        <v>87</v>
      </c>
      <c r="D2314" s="4" t="s">
        <v>14</v>
      </c>
      <c r="E2314" s="7">
        <v>42193</v>
      </c>
      <c r="F2314" s="4" t="s">
        <v>15</v>
      </c>
      <c r="G2314" s="4" t="s">
        <v>364</v>
      </c>
      <c r="H2314" s="4">
        <v>80</v>
      </c>
      <c r="I2314" s="4">
        <v>70</v>
      </c>
      <c r="J2314" s="5">
        <v>0.125</v>
      </c>
      <c r="K2314" s="3">
        <v>44</v>
      </c>
      <c r="L2314" s="4">
        <f>tblSales[[#This Row],[Quantity]]*tblSales[[#This Row],[Actual Price]]</f>
        <v>3080</v>
      </c>
    </row>
    <row r="2315" spans="1:12" x14ac:dyDescent="0.35">
      <c r="A2315" s="3" t="s">
        <v>2934</v>
      </c>
      <c r="B2315" s="4" t="s">
        <v>108</v>
      </c>
      <c r="C2315" s="4" t="s">
        <v>109</v>
      </c>
      <c r="D2315" s="4" t="s">
        <v>20</v>
      </c>
      <c r="E2315" s="7">
        <v>41720</v>
      </c>
      <c r="F2315" s="4" t="s">
        <v>73</v>
      </c>
      <c r="G2315" s="4" t="s">
        <v>532</v>
      </c>
      <c r="H2315" s="4">
        <v>500</v>
      </c>
      <c r="I2315" s="4">
        <v>495</v>
      </c>
      <c r="J2315" s="5">
        <v>0.01</v>
      </c>
      <c r="K2315" s="3">
        <v>57</v>
      </c>
      <c r="L2315" s="4">
        <f>tblSales[[#This Row],[Quantity]]*tblSales[[#This Row],[Actual Price]]</f>
        <v>28215</v>
      </c>
    </row>
    <row r="2316" spans="1:12" x14ac:dyDescent="0.35">
      <c r="A2316" s="3" t="s">
        <v>2935</v>
      </c>
      <c r="B2316" s="4" t="s">
        <v>271</v>
      </c>
      <c r="C2316" s="4" t="s">
        <v>272</v>
      </c>
      <c r="D2316" s="4" t="s">
        <v>36</v>
      </c>
      <c r="E2316" s="7">
        <v>41681</v>
      </c>
      <c r="F2316" s="4" t="s">
        <v>15</v>
      </c>
      <c r="G2316" s="4" t="s">
        <v>338</v>
      </c>
      <c r="H2316" s="4">
        <v>80</v>
      </c>
      <c r="I2316" s="4">
        <v>73</v>
      </c>
      <c r="J2316" s="5">
        <v>8.7499999999999994E-2</v>
      </c>
      <c r="K2316" s="3">
        <v>33</v>
      </c>
      <c r="L2316" s="4">
        <f>tblSales[[#This Row],[Quantity]]*tblSales[[#This Row],[Actual Price]]</f>
        <v>2409</v>
      </c>
    </row>
    <row r="2317" spans="1:12" x14ac:dyDescent="0.35">
      <c r="A2317" s="3" t="s">
        <v>2936</v>
      </c>
      <c r="B2317" s="4" t="s">
        <v>155</v>
      </c>
      <c r="C2317" s="4" t="s">
        <v>109</v>
      </c>
      <c r="D2317" s="4" t="s">
        <v>20</v>
      </c>
      <c r="E2317" s="7">
        <v>43144</v>
      </c>
      <c r="F2317" s="4" t="s">
        <v>26</v>
      </c>
      <c r="G2317" s="4" t="s">
        <v>2937</v>
      </c>
      <c r="H2317" s="4">
        <v>700</v>
      </c>
      <c r="I2317" s="4">
        <v>602</v>
      </c>
      <c r="J2317" s="5">
        <v>0.14000000000000001</v>
      </c>
      <c r="K2317" s="3">
        <v>1</v>
      </c>
      <c r="L2317" s="4">
        <f>tblSales[[#This Row],[Quantity]]*tblSales[[#This Row],[Actual Price]]</f>
        <v>602</v>
      </c>
    </row>
    <row r="2318" spans="1:12" x14ac:dyDescent="0.35">
      <c r="A2318" s="3" t="s">
        <v>2938</v>
      </c>
      <c r="B2318" s="4" t="s">
        <v>171</v>
      </c>
      <c r="C2318" s="4" t="s">
        <v>172</v>
      </c>
      <c r="D2318" s="4" t="s">
        <v>14</v>
      </c>
      <c r="E2318" s="7">
        <v>43241</v>
      </c>
      <c r="F2318" s="4" t="s">
        <v>116</v>
      </c>
      <c r="G2318" s="4" t="s">
        <v>275</v>
      </c>
      <c r="H2318" s="4">
        <v>250</v>
      </c>
      <c r="I2318" s="4">
        <v>50</v>
      </c>
      <c r="J2318" s="5">
        <v>0.8</v>
      </c>
      <c r="K2318" s="3">
        <v>34</v>
      </c>
      <c r="L2318" s="4">
        <f>tblSales[[#This Row],[Quantity]]*tblSales[[#This Row],[Actual Price]]</f>
        <v>1700</v>
      </c>
    </row>
    <row r="2319" spans="1:12" x14ac:dyDescent="0.35">
      <c r="A2319" s="3" t="s">
        <v>2939</v>
      </c>
      <c r="B2319" s="4" t="s">
        <v>290</v>
      </c>
      <c r="C2319" s="4" t="s">
        <v>109</v>
      </c>
      <c r="D2319" s="4" t="s">
        <v>20</v>
      </c>
      <c r="E2319" s="7">
        <v>43034</v>
      </c>
      <c r="F2319" s="4" t="s">
        <v>26</v>
      </c>
      <c r="G2319" s="4" t="s">
        <v>1546</v>
      </c>
      <c r="H2319" s="4">
        <v>700</v>
      </c>
      <c r="I2319" s="4">
        <v>700</v>
      </c>
      <c r="J2319" s="5">
        <v>0</v>
      </c>
      <c r="K2319" s="3">
        <v>30</v>
      </c>
      <c r="L2319" s="4">
        <f>tblSales[[#This Row],[Quantity]]*tblSales[[#This Row],[Actual Price]]</f>
        <v>21000</v>
      </c>
    </row>
    <row r="2320" spans="1:12" x14ac:dyDescent="0.35">
      <c r="A2320" s="3" t="s">
        <v>2940</v>
      </c>
      <c r="B2320" s="4" t="s">
        <v>435</v>
      </c>
      <c r="C2320" s="4" t="s">
        <v>436</v>
      </c>
      <c r="D2320" s="4" t="s">
        <v>25</v>
      </c>
      <c r="E2320" s="7">
        <v>42119</v>
      </c>
      <c r="F2320" s="4" t="s">
        <v>15</v>
      </c>
      <c r="G2320" s="4" t="s">
        <v>829</v>
      </c>
      <c r="H2320" s="4">
        <v>80</v>
      </c>
      <c r="I2320" s="4">
        <v>58</v>
      </c>
      <c r="J2320" s="5">
        <v>0.27500000000000002</v>
      </c>
      <c r="K2320" s="3">
        <v>25</v>
      </c>
      <c r="L2320" s="4">
        <f>tblSales[[#This Row],[Quantity]]*tblSales[[#This Row],[Actual Price]]</f>
        <v>1450</v>
      </c>
    </row>
    <row r="2321" spans="1:12" x14ac:dyDescent="0.35">
      <c r="A2321" s="3" t="s">
        <v>2941</v>
      </c>
      <c r="B2321" s="4" t="s">
        <v>112</v>
      </c>
      <c r="C2321" s="4" t="s">
        <v>83</v>
      </c>
      <c r="D2321" s="4" t="s">
        <v>14</v>
      </c>
      <c r="E2321" s="7">
        <v>41677</v>
      </c>
      <c r="F2321" s="4" t="s">
        <v>42</v>
      </c>
      <c r="G2321" s="4" t="s">
        <v>611</v>
      </c>
      <c r="H2321" s="4">
        <v>30</v>
      </c>
      <c r="I2321" s="4">
        <v>22</v>
      </c>
      <c r="J2321" s="5">
        <v>0.26669999999999999</v>
      </c>
      <c r="K2321" s="3">
        <v>29</v>
      </c>
      <c r="L2321" s="4">
        <f>tblSales[[#This Row],[Quantity]]*tblSales[[#This Row],[Actual Price]]</f>
        <v>638</v>
      </c>
    </row>
    <row r="2322" spans="1:12" x14ac:dyDescent="0.35">
      <c r="A2322" s="3" t="s">
        <v>2942</v>
      </c>
      <c r="B2322" s="4" t="s">
        <v>128</v>
      </c>
      <c r="C2322" s="4" t="s">
        <v>129</v>
      </c>
      <c r="D2322" s="4" t="s">
        <v>14</v>
      </c>
      <c r="E2322" s="7">
        <v>43088</v>
      </c>
      <c r="F2322" s="4" t="s">
        <v>73</v>
      </c>
      <c r="G2322" s="4" t="s">
        <v>1262</v>
      </c>
      <c r="H2322" s="4">
        <v>500</v>
      </c>
      <c r="I2322" s="4">
        <v>495</v>
      </c>
      <c r="J2322" s="5">
        <v>0.01</v>
      </c>
      <c r="K2322" s="3">
        <v>56</v>
      </c>
      <c r="L2322" s="4">
        <f>tblSales[[#This Row],[Quantity]]*tblSales[[#This Row],[Actual Price]]</f>
        <v>27720</v>
      </c>
    </row>
    <row r="2323" spans="1:12" x14ac:dyDescent="0.35">
      <c r="A2323" s="3" t="s">
        <v>2943</v>
      </c>
      <c r="B2323" s="4" t="s">
        <v>54</v>
      </c>
      <c r="C2323" s="4" t="s">
        <v>55</v>
      </c>
      <c r="D2323" s="4" t="s">
        <v>14</v>
      </c>
      <c r="E2323" s="7">
        <v>42221</v>
      </c>
      <c r="F2323" s="4" t="s">
        <v>37</v>
      </c>
      <c r="G2323" s="4" t="s">
        <v>405</v>
      </c>
      <c r="H2323" s="4">
        <v>50</v>
      </c>
      <c r="I2323" s="4">
        <v>49</v>
      </c>
      <c r="J2323" s="5">
        <v>0.02</v>
      </c>
      <c r="K2323" s="3">
        <v>33</v>
      </c>
      <c r="L2323" s="4">
        <f>tblSales[[#This Row],[Quantity]]*tblSales[[#This Row],[Actual Price]]</f>
        <v>1617</v>
      </c>
    </row>
    <row r="2324" spans="1:12" x14ac:dyDescent="0.35">
      <c r="A2324" s="3" t="s">
        <v>2944</v>
      </c>
      <c r="B2324" s="4" t="s">
        <v>135</v>
      </c>
      <c r="C2324" s="4" t="s">
        <v>93</v>
      </c>
      <c r="D2324" s="4" t="s">
        <v>36</v>
      </c>
      <c r="E2324" s="7">
        <v>42746</v>
      </c>
      <c r="F2324" s="4" t="s">
        <v>116</v>
      </c>
      <c r="G2324" s="4" t="s">
        <v>375</v>
      </c>
      <c r="H2324" s="4">
        <v>250</v>
      </c>
      <c r="I2324" s="4">
        <v>230</v>
      </c>
      <c r="J2324" s="5">
        <v>0.08</v>
      </c>
      <c r="K2324" s="3">
        <v>46</v>
      </c>
      <c r="L2324" s="4">
        <f>tblSales[[#This Row],[Quantity]]*tblSales[[#This Row],[Actual Price]]</f>
        <v>10580</v>
      </c>
    </row>
    <row r="2325" spans="1:12" x14ac:dyDescent="0.35">
      <c r="A2325" s="3" t="s">
        <v>2945</v>
      </c>
      <c r="B2325" s="4" t="s">
        <v>128</v>
      </c>
      <c r="C2325" s="4" t="s">
        <v>129</v>
      </c>
      <c r="D2325" s="4" t="s">
        <v>14</v>
      </c>
      <c r="E2325" s="7">
        <v>42921</v>
      </c>
      <c r="F2325" s="4" t="s">
        <v>15</v>
      </c>
      <c r="G2325" s="4" t="s">
        <v>234</v>
      </c>
      <c r="H2325" s="4">
        <v>80</v>
      </c>
      <c r="I2325" s="4">
        <v>73</v>
      </c>
      <c r="J2325" s="5">
        <v>8.7499999999999994E-2</v>
      </c>
      <c r="K2325" s="3">
        <v>10</v>
      </c>
      <c r="L2325" s="4">
        <f>tblSales[[#This Row],[Quantity]]*tblSales[[#This Row],[Actual Price]]</f>
        <v>730</v>
      </c>
    </row>
    <row r="2326" spans="1:12" x14ac:dyDescent="0.35">
      <c r="A2326" s="3" t="s">
        <v>2946</v>
      </c>
      <c r="B2326" s="4" t="s">
        <v>222</v>
      </c>
      <c r="C2326" s="4" t="s">
        <v>41</v>
      </c>
      <c r="D2326" s="4" t="s">
        <v>36</v>
      </c>
      <c r="E2326" s="7">
        <v>42746</v>
      </c>
      <c r="F2326" s="4" t="s">
        <v>47</v>
      </c>
      <c r="G2326" s="4" t="s">
        <v>223</v>
      </c>
      <c r="H2326" s="4">
        <v>500</v>
      </c>
      <c r="I2326" s="4">
        <v>475</v>
      </c>
      <c r="J2326" s="5">
        <v>0.05</v>
      </c>
      <c r="K2326" s="3">
        <v>56</v>
      </c>
      <c r="L2326" s="4">
        <f>tblSales[[#This Row],[Quantity]]*tblSales[[#This Row],[Actual Price]]</f>
        <v>26600</v>
      </c>
    </row>
    <row r="2327" spans="1:12" x14ac:dyDescent="0.35">
      <c r="A2327" s="3" t="s">
        <v>2947</v>
      </c>
      <c r="B2327" s="4" t="s">
        <v>158</v>
      </c>
      <c r="C2327" s="4" t="s">
        <v>109</v>
      </c>
      <c r="D2327" s="4" t="s">
        <v>20</v>
      </c>
      <c r="E2327" s="7">
        <v>43132</v>
      </c>
      <c r="F2327" s="4" t="s">
        <v>37</v>
      </c>
      <c r="G2327" s="4" t="s">
        <v>1287</v>
      </c>
      <c r="H2327" s="4">
        <v>50</v>
      </c>
      <c r="I2327" s="4">
        <v>50</v>
      </c>
      <c r="J2327" s="5">
        <v>0</v>
      </c>
      <c r="K2327" s="3">
        <v>4</v>
      </c>
      <c r="L2327" s="4">
        <f>tblSales[[#This Row],[Quantity]]*tblSales[[#This Row],[Actual Price]]</f>
        <v>200</v>
      </c>
    </row>
    <row r="2328" spans="1:12" x14ac:dyDescent="0.35">
      <c r="A2328" s="3" t="s">
        <v>2948</v>
      </c>
      <c r="B2328" s="4" t="s">
        <v>183</v>
      </c>
      <c r="C2328" s="4" t="s">
        <v>109</v>
      </c>
      <c r="D2328" s="4" t="s">
        <v>20</v>
      </c>
      <c r="E2328" s="7">
        <v>42862</v>
      </c>
      <c r="F2328" s="4" t="s">
        <v>116</v>
      </c>
      <c r="G2328" s="4" t="s">
        <v>1044</v>
      </c>
      <c r="H2328" s="4">
        <v>250</v>
      </c>
      <c r="I2328" s="4">
        <v>238</v>
      </c>
      <c r="J2328" s="5">
        <v>4.8000000000000001E-2</v>
      </c>
      <c r="K2328" s="3">
        <v>89</v>
      </c>
      <c r="L2328" s="4">
        <f>tblSales[[#This Row],[Quantity]]*tblSales[[#This Row],[Actual Price]]</f>
        <v>21182</v>
      </c>
    </row>
    <row r="2329" spans="1:12" x14ac:dyDescent="0.35">
      <c r="A2329" s="3" t="s">
        <v>2949</v>
      </c>
      <c r="B2329" s="4" t="s">
        <v>50</v>
      </c>
      <c r="C2329" s="4" t="s">
        <v>51</v>
      </c>
      <c r="D2329" s="4" t="s">
        <v>25</v>
      </c>
      <c r="E2329" s="7">
        <v>41781</v>
      </c>
      <c r="F2329" s="4" t="s">
        <v>15</v>
      </c>
      <c r="G2329" s="4" t="s">
        <v>379</v>
      </c>
      <c r="H2329" s="4">
        <v>80</v>
      </c>
      <c r="I2329" s="4">
        <v>77</v>
      </c>
      <c r="J2329" s="5">
        <v>3.7499999999999999E-2</v>
      </c>
      <c r="K2329" s="3">
        <v>67</v>
      </c>
      <c r="L2329" s="4">
        <f>tblSales[[#This Row],[Quantity]]*tblSales[[#This Row],[Actual Price]]</f>
        <v>5159</v>
      </c>
    </row>
    <row r="2330" spans="1:12" x14ac:dyDescent="0.35">
      <c r="A2330" s="3" t="s">
        <v>2950</v>
      </c>
      <c r="B2330" s="4" t="s">
        <v>112</v>
      </c>
      <c r="C2330" s="4" t="s">
        <v>83</v>
      </c>
      <c r="D2330" s="4" t="s">
        <v>14</v>
      </c>
      <c r="E2330" s="7">
        <v>42033</v>
      </c>
      <c r="F2330" s="4" t="s">
        <v>37</v>
      </c>
      <c r="G2330" s="4" t="s">
        <v>1689</v>
      </c>
      <c r="H2330" s="4">
        <v>50</v>
      </c>
      <c r="I2330" s="4">
        <v>38</v>
      </c>
      <c r="J2330" s="5">
        <v>0.24</v>
      </c>
      <c r="K2330" s="3">
        <v>21</v>
      </c>
      <c r="L2330" s="4">
        <f>tblSales[[#This Row],[Quantity]]*tblSales[[#This Row],[Actual Price]]</f>
        <v>798</v>
      </c>
    </row>
    <row r="2331" spans="1:12" x14ac:dyDescent="0.35">
      <c r="A2331" s="3" t="s">
        <v>2951</v>
      </c>
      <c r="B2331" s="4" t="s">
        <v>151</v>
      </c>
      <c r="C2331" s="4" t="s">
        <v>152</v>
      </c>
      <c r="D2331" s="4" t="s">
        <v>14</v>
      </c>
      <c r="E2331" s="7">
        <v>42069</v>
      </c>
      <c r="F2331" s="4" t="s">
        <v>62</v>
      </c>
      <c r="G2331" s="4" t="s">
        <v>772</v>
      </c>
      <c r="H2331" s="4">
        <v>1000</v>
      </c>
      <c r="I2331" s="4">
        <v>650</v>
      </c>
      <c r="J2331" s="5">
        <v>0.35</v>
      </c>
      <c r="K2331" s="3">
        <v>72</v>
      </c>
      <c r="L2331" s="4">
        <f>tblSales[[#This Row],[Quantity]]*tblSales[[#This Row],[Actual Price]]</f>
        <v>46800</v>
      </c>
    </row>
    <row r="2332" spans="1:12" x14ac:dyDescent="0.35">
      <c r="A2332" s="3" t="s">
        <v>2952</v>
      </c>
      <c r="B2332" s="4" t="s">
        <v>112</v>
      </c>
      <c r="C2332" s="4" t="s">
        <v>83</v>
      </c>
      <c r="D2332" s="4" t="s">
        <v>14</v>
      </c>
      <c r="E2332" s="7">
        <v>42467</v>
      </c>
      <c r="F2332" s="4" t="s">
        <v>15</v>
      </c>
      <c r="G2332" s="4" t="s">
        <v>1219</v>
      </c>
      <c r="H2332" s="4">
        <v>80</v>
      </c>
      <c r="I2332" s="4">
        <v>79</v>
      </c>
      <c r="J2332" s="5">
        <v>1.2500000000000001E-2</v>
      </c>
      <c r="K2332" s="3">
        <v>23</v>
      </c>
      <c r="L2332" s="4">
        <f>tblSales[[#This Row],[Quantity]]*tblSales[[#This Row],[Actual Price]]</f>
        <v>1817</v>
      </c>
    </row>
    <row r="2333" spans="1:12" x14ac:dyDescent="0.35">
      <c r="A2333" s="3" t="s">
        <v>2953</v>
      </c>
      <c r="B2333" s="4" t="s">
        <v>401</v>
      </c>
      <c r="C2333" s="4" t="s">
        <v>402</v>
      </c>
      <c r="D2333" s="4" t="s">
        <v>14</v>
      </c>
      <c r="E2333" s="7">
        <v>41673</v>
      </c>
      <c r="F2333" s="4" t="s">
        <v>37</v>
      </c>
      <c r="G2333" s="4" t="s">
        <v>2189</v>
      </c>
      <c r="H2333" s="4">
        <v>50</v>
      </c>
      <c r="I2333" s="4">
        <v>46</v>
      </c>
      <c r="J2333" s="5">
        <v>0.08</v>
      </c>
      <c r="K2333" s="3">
        <v>72</v>
      </c>
      <c r="L2333" s="4">
        <f>tblSales[[#This Row],[Quantity]]*tblSales[[#This Row],[Actual Price]]</f>
        <v>3312</v>
      </c>
    </row>
    <row r="2334" spans="1:12" x14ac:dyDescent="0.35">
      <c r="A2334" s="3" t="s">
        <v>2954</v>
      </c>
      <c r="B2334" s="4" t="s">
        <v>175</v>
      </c>
      <c r="C2334" s="4" t="s">
        <v>176</v>
      </c>
      <c r="D2334" s="4" t="s">
        <v>14</v>
      </c>
      <c r="E2334" s="7">
        <v>42986</v>
      </c>
      <c r="F2334" s="4" t="s">
        <v>26</v>
      </c>
      <c r="G2334" s="4" t="s">
        <v>1559</v>
      </c>
      <c r="H2334" s="4">
        <v>700</v>
      </c>
      <c r="I2334" s="4">
        <v>644</v>
      </c>
      <c r="J2334" s="5">
        <v>0.08</v>
      </c>
      <c r="K2334" s="3">
        <v>50</v>
      </c>
      <c r="L2334" s="4">
        <f>tblSales[[#This Row],[Quantity]]*tblSales[[#This Row],[Actual Price]]</f>
        <v>32200</v>
      </c>
    </row>
    <row r="2335" spans="1:12" x14ac:dyDescent="0.35">
      <c r="A2335" s="3" t="s">
        <v>2955</v>
      </c>
      <c r="B2335" s="4" t="s">
        <v>29</v>
      </c>
      <c r="C2335" s="4" t="s">
        <v>30</v>
      </c>
      <c r="D2335" s="4" t="s">
        <v>14</v>
      </c>
      <c r="E2335" s="7">
        <v>42165</v>
      </c>
      <c r="F2335" s="4" t="s">
        <v>26</v>
      </c>
      <c r="G2335" s="4" t="s">
        <v>397</v>
      </c>
      <c r="H2335" s="4">
        <v>700</v>
      </c>
      <c r="I2335" s="4">
        <v>686</v>
      </c>
      <c r="J2335" s="5">
        <v>0.02</v>
      </c>
      <c r="K2335" s="3">
        <v>10</v>
      </c>
      <c r="L2335" s="4">
        <f>tblSales[[#This Row],[Quantity]]*tblSales[[#This Row],[Actual Price]]</f>
        <v>6860</v>
      </c>
    </row>
    <row r="2336" spans="1:12" x14ac:dyDescent="0.35">
      <c r="A2336" s="3" t="s">
        <v>2956</v>
      </c>
      <c r="B2336" s="4" t="s">
        <v>256</v>
      </c>
      <c r="C2336" s="4" t="s">
        <v>257</v>
      </c>
      <c r="D2336" s="4" t="s">
        <v>14</v>
      </c>
      <c r="E2336" s="7">
        <v>43088</v>
      </c>
      <c r="F2336" s="4" t="s">
        <v>15</v>
      </c>
      <c r="G2336" s="4" t="s">
        <v>801</v>
      </c>
      <c r="H2336" s="4">
        <v>80</v>
      </c>
      <c r="I2336" s="4">
        <v>78</v>
      </c>
      <c r="J2336" s="5">
        <v>2.5000000000000001E-2</v>
      </c>
      <c r="K2336" s="3">
        <v>62</v>
      </c>
      <c r="L2336" s="4">
        <f>tblSales[[#This Row],[Quantity]]*tblSales[[#This Row],[Actual Price]]</f>
        <v>4836</v>
      </c>
    </row>
    <row r="2337" spans="1:12" x14ac:dyDescent="0.35">
      <c r="A2337" s="3" t="s">
        <v>2957</v>
      </c>
      <c r="B2337" s="4" t="s">
        <v>40</v>
      </c>
      <c r="C2337" s="4" t="s">
        <v>41</v>
      </c>
      <c r="D2337" s="4" t="s">
        <v>36</v>
      </c>
      <c r="E2337" s="7">
        <v>42052</v>
      </c>
      <c r="F2337" s="4" t="s">
        <v>15</v>
      </c>
      <c r="G2337" s="4" t="s">
        <v>1285</v>
      </c>
      <c r="H2337" s="4">
        <v>80</v>
      </c>
      <c r="I2337" s="4">
        <v>78</v>
      </c>
      <c r="J2337" s="5">
        <v>2.5000000000000001E-2</v>
      </c>
      <c r="K2337" s="3">
        <v>70</v>
      </c>
      <c r="L2337" s="4">
        <f>tblSales[[#This Row],[Quantity]]*tblSales[[#This Row],[Actual Price]]</f>
        <v>5460</v>
      </c>
    </row>
    <row r="2338" spans="1:12" x14ac:dyDescent="0.35">
      <c r="A2338" s="3" t="s">
        <v>2958</v>
      </c>
      <c r="B2338" s="4" t="s">
        <v>29</v>
      </c>
      <c r="C2338" s="4" t="s">
        <v>30</v>
      </c>
      <c r="D2338" s="4" t="s">
        <v>14</v>
      </c>
      <c r="E2338" s="7">
        <v>42151</v>
      </c>
      <c r="F2338" s="4" t="s">
        <v>56</v>
      </c>
      <c r="G2338" s="4" t="s">
        <v>425</v>
      </c>
      <c r="H2338" s="4">
        <v>800</v>
      </c>
      <c r="I2338" s="4">
        <v>480</v>
      </c>
      <c r="J2338" s="5">
        <v>0.4</v>
      </c>
      <c r="K2338" s="3">
        <v>96</v>
      </c>
      <c r="L2338" s="4">
        <f>tblSales[[#This Row],[Quantity]]*tblSales[[#This Row],[Actual Price]]</f>
        <v>46080</v>
      </c>
    </row>
    <row r="2339" spans="1:12" x14ac:dyDescent="0.35">
      <c r="A2339" s="3" t="s">
        <v>2959</v>
      </c>
      <c r="B2339" s="4" t="s">
        <v>86</v>
      </c>
      <c r="C2339" s="4" t="s">
        <v>87</v>
      </c>
      <c r="D2339" s="4" t="s">
        <v>14</v>
      </c>
      <c r="E2339" s="7">
        <v>42650</v>
      </c>
      <c r="F2339" s="4" t="s">
        <v>105</v>
      </c>
      <c r="G2339" s="4" t="s">
        <v>167</v>
      </c>
      <c r="H2339" s="4">
        <v>70</v>
      </c>
      <c r="I2339" s="4">
        <v>64</v>
      </c>
      <c r="J2339" s="5">
        <v>8.5699999999999998E-2</v>
      </c>
      <c r="K2339" s="3">
        <v>95</v>
      </c>
      <c r="L2339" s="4">
        <f>tblSales[[#This Row],[Quantity]]*tblSales[[#This Row],[Actual Price]]</f>
        <v>6080</v>
      </c>
    </row>
    <row r="2340" spans="1:12" x14ac:dyDescent="0.35">
      <c r="A2340" s="3" t="s">
        <v>2960</v>
      </c>
      <c r="B2340" s="4" t="s">
        <v>222</v>
      </c>
      <c r="C2340" s="4" t="s">
        <v>41</v>
      </c>
      <c r="D2340" s="4" t="s">
        <v>36</v>
      </c>
      <c r="E2340" s="7">
        <v>42980</v>
      </c>
      <c r="F2340" s="4" t="s">
        <v>15</v>
      </c>
      <c r="G2340" s="4" t="s">
        <v>1180</v>
      </c>
      <c r="H2340" s="4">
        <v>80</v>
      </c>
      <c r="I2340" s="4">
        <v>77</v>
      </c>
      <c r="J2340" s="5">
        <v>3.7499999999999999E-2</v>
      </c>
      <c r="K2340" s="3">
        <v>23</v>
      </c>
      <c r="L2340" s="4">
        <f>tblSales[[#This Row],[Quantity]]*tblSales[[#This Row],[Actual Price]]</f>
        <v>1771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FD63-665C-4498-B2FB-23359B73094F}">
  <dimension ref="A1:F2340"/>
  <sheetViews>
    <sheetView workbookViewId="0">
      <selection activeCell="C3" sqref="C3"/>
    </sheetView>
  </sheetViews>
  <sheetFormatPr defaultRowHeight="14.5" x14ac:dyDescent="0.35"/>
  <cols>
    <col min="1" max="1" width="9.1640625" style="3" customWidth="1"/>
    <col min="2" max="2" width="14.9140625" bestFit="1" customWidth="1"/>
    <col min="3" max="3" width="13.25" bestFit="1" customWidth="1"/>
    <col min="4" max="4" width="8.4140625" style="3" bestFit="1" customWidth="1"/>
    <col min="5" max="5" width="8.5" style="3" bestFit="1" customWidth="1"/>
  </cols>
  <sheetData>
    <row r="1" spans="1:6" x14ac:dyDescent="0.35">
      <c r="A1" s="1" t="s">
        <v>0</v>
      </c>
      <c r="B1" s="9" t="str">
        <f>VLOOKUP(A1,Raw_Data!A:L,6,FALSE)</f>
        <v>Item</v>
      </c>
      <c r="C1" s="9" t="str">
        <f>VLOOKUP(A1,Raw_Data!A:L,3,FALSE)</f>
        <v>Country</v>
      </c>
      <c r="D1" s="1" t="str">
        <f>VLOOKUP(A1,Raw_Data!A:L,12,FALSE)</f>
        <v>Revenue</v>
      </c>
      <c r="E1" s="1" t="str">
        <f>VLOOKUP(A1,Raw_Data!A:L,11,FALSE)</f>
        <v>Quantity</v>
      </c>
      <c r="F1" s="9" t="str">
        <f>TEXT(VLOOKUP(A1,Raw_Data!A:L,5,FALSE),"mmm")</f>
        <v>Date</v>
      </c>
    </row>
    <row r="2" spans="1:6" x14ac:dyDescent="0.35">
      <c r="A2" s="3" t="s">
        <v>11</v>
      </c>
      <c r="B2" t="str">
        <f>VLOOKUP(A2,Raw_Data!A:L,6,FALSE)</f>
        <v>Microwave</v>
      </c>
      <c r="C2" t="str">
        <f>VLOOKUP(A2,Raw_Data!A:L,3,FALSE)</f>
        <v>Russia</v>
      </c>
      <c r="D2" s="3">
        <f>VLOOKUP(A2,Raw_Data!A:L,12,FALSE)</f>
        <v>6557</v>
      </c>
      <c r="E2" s="3">
        <f>VLOOKUP(A2,Raw_Data!A:L,11,FALSE)</f>
        <v>83</v>
      </c>
      <c r="F2" t="str">
        <f>TEXT(VLOOKUP(A2,Raw_Data!A:L,5,FALSE),"mmm")</f>
        <v>Jun</v>
      </c>
    </row>
    <row r="3" spans="1:6" x14ac:dyDescent="0.35">
      <c r="A3" s="3" t="s">
        <v>17</v>
      </c>
      <c r="B3" t="str">
        <f>VLOOKUP(A3,Raw_Data!A:L,6,FALSE)</f>
        <v>Microwave</v>
      </c>
      <c r="C3" t="str">
        <f>VLOOKUP(A3,Raw_Data!A:L,3,FALSE)</f>
        <v>Canada</v>
      </c>
      <c r="D3" s="3">
        <f>VLOOKUP(A3,Raw_Data!A:L,12,FALSE)</f>
        <v>432</v>
      </c>
      <c r="E3" s="3">
        <f>VLOOKUP(A3,Raw_Data!A:L,11,FALSE)</f>
        <v>8</v>
      </c>
      <c r="F3" t="str">
        <f>TEXT(VLOOKUP(A3,Raw_Data!A:L,5,FALSE),"mmm")</f>
        <v>Apr</v>
      </c>
    </row>
    <row r="4" spans="1:6" x14ac:dyDescent="0.35">
      <c r="A4" s="3" t="s">
        <v>22</v>
      </c>
      <c r="B4" t="str">
        <f>VLOOKUP(A4,Raw_Data!A:L,6,FALSE)</f>
        <v>Air conditioner</v>
      </c>
      <c r="C4" t="str">
        <f>VLOOKUP(A4,Raw_Data!A:L,3,FALSE)</f>
        <v>Brazil</v>
      </c>
      <c r="D4" s="3">
        <f>VLOOKUP(A4,Raw_Data!A:L,12,FALSE)</f>
        <v>62426</v>
      </c>
      <c r="E4" s="3">
        <f>VLOOKUP(A4,Raw_Data!A:L,11,FALSE)</f>
        <v>91</v>
      </c>
      <c r="F4" t="str">
        <f>TEXT(VLOOKUP(A4,Raw_Data!A:L,5,FALSE),"mmm")</f>
        <v>Mar</v>
      </c>
    </row>
    <row r="5" spans="1:6" x14ac:dyDescent="0.35">
      <c r="A5" s="3" t="s">
        <v>28</v>
      </c>
      <c r="B5" t="str">
        <f>VLOOKUP(A5,Raw_Data!A:L,6,FALSE)</f>
        <v>Ceiling fan</v>
      </c>
      <c r="C5" t="str">
        <f>VLOOKUP(A5,Raw_Data!A:L,3,FALSE)</f>
        <v>Turkey</v>
      </c>
      <c r="D5" s="3">
        <f>VLOOKUP(A5,Raw_Data!A:L,12,FALSE)</f>
        <v>274</v>
      </c>
      <c r="E5" s="3">
        <f>VLOOKUP(A5,Raw_Data!A:L,11,FALSE)</f>
        <v>2</v>
      </c>
      <c r="F5" t="str">
        <f>TEXT(VLOOKUP(A5,Raw_Data!A:L,5,FALSE),"mmm")</f>
        <v>Aug</v>
      </c>
    </row>
    <row r="6" spans="1:6" x14ac:dyDescent="0.35">
      <c r="A6" s="3" t="s">
        <v>33</v>
      </c>
      <c r="B6" t="str">
        <f>VLOOKUP(A6,Raw_Data!A:L,6,FALSE)</f>
        <v>Toaster</v>
      </c>
      <c r="C6" t="str">
        <f>VLOOKUP(A6,Raw_Data!A:L,3,FALSE)</f>
        <v>Australia</v>
      </c>
      <c r="D6" s="3">
        <f>VLOOKUP(A6,Raw_Data!A:L,12,FALSE)</f>
        <v>1480</v>
      </c>
      <c r="E6" s="3">
        <f>VLOOKUP(A6,Raw_Data!A:L,11,FALSE)</f>
        <v>40</v>
      </c>
      <c r="F6" t="str">
        <f>TEXT(VLOOKUP(A6,Raw_Data!A:L,5,FALSE),"mmm")</f>
        <v>Mar</v>
      </c>
    </row>
    <row r="7" spans="1:6" x14ac:dyDescent="0.35">
      <c r="A7" s="3" t="s">
        <v>39</v>
      </c>
      <c r="B7" t="str">
        <f>VLOOKUP(A7,Raw_Data!A:L,6,FALSE)</f>
        <v>Iron</v>
      </c>
      <c r="C7" t="str">
        <f>VLOOKUP(A7,Raw_Data!A:L,3,FALSE)</f>
        <v>China</v>
      </c>
      <c r="D7" s="3">
        <f>VLOOKUP(A7,Raw_Data!A:L,12,FALSE)</f>
        <v>783</v>
      </c>
      <c r="E7" s="3">
        <f>VLOOKUP(A7,Raw_Data!A:L,11,FALSE)</f>
        <v>27</v>
      </c>
      <c r="F7" t="str">
        <f>TEXT(VLOOKUP(A7,Raw_Data!A:L,5,FALSE),"mmm")</f>
        <v>Apr</v>
      </c>
    </row>
    <row r="8" spans="1:6" x14ac:dyDescent="0.35">
      <c r="A8" s="3" t="s">
        <v>44</v>
      </c>
      <c r="B8" t="str">
        <f>VLOOKUP(A8,Raw_Data!A:L,6,FALSE)</f>
        <v>Dishwasher</v>
      </c>
      <c r="C8" t="str">
        <f>VLOOKUP(A8,Raw_Data!A:L,3,FALSE)</f>
        <v>Peru</v>
      </c>
      <c r="D8" s="3">
        <f>VLOOKUP(A8,Raw_Data!A:L,12,FALSE)</f>
        <v>0</v>
      </c>
      <c r="E8" s="3">
        <f>VLOOKUP(A8,Raw_Data!A:L,11,FALSE)</f>
        <v>70</v>
      </c>
      <c r="F8" t="str">
        <f>TEXT(VLOOKUP(A8,Raw_Data!A:L,5,FALSE),"mmm")</f>
        <v>Jun</v>
      </c>
    </row>
    <row r="9" spans="1:6" x14ac:dyDescent="0.35">
      <c r="A9" s="3" t="s">
        <v>49</v>
      </c>
      <c r="B9" t="str">
        <f>VLOOKUP(A9,Raw_Data!A:L,6,FALSE)</f>
        <v>Iron</v>
      </c>
      <c r="C9" t="str">
        <f>VLOOKUP(A9,Raw_Data!A:L,3,FALSE)</f>
        <v>Mexico</v>
      </c>
      <c r="D9" s="3">
        <f>VLOOKUP(A9,Raw_Data!A:L,12,FALSE)</f>
        <v>1176</v>
      </c>
      <c r="E9" s="3">
        <f>VLOOKUP(A9,Raw_Data!A:L,11,FALSE)</f>
        <v>42</v>
      </c>
      <c r="F9" t="str">
        <f>TEXT(VLOOKUP(A9,Raw_Data!A:L,5,FALSE),"mmm")</f>
        <v>Jul</v>
      </c>
    </row>
    <row r="10" spans="1:6" x14ac:dyDescent="0.35">
      <c r="A10" s="3" t="s">
        <v>53</v>
      </c>
      <c r="B10" t="str">
        <f>VLOOKUP(A10,Raw_Data!A:L,6,FALSE)</f>
        <v>Washing Machine</v>
      </c>
      <c r="C10" t="str">
        <f>VLOOKUP(A10,Raw_Data!A:L,3,FALSE)</f>
        <v>UK</v>
      </c>
      <c r="D10" s="3">
        <f>VLOOKUP(A10,Raw_Data!A:L,12,FALSE)</f>
        <v>57760</v>
      </c>
      <c r="E10" s="3">
        <f>VLOOKUP(A10,Raw_Data!A:L,11,FALSE)</f>
        <v>76</v>
      </c>
      <c r="F10" t="str">
        <f>TEXT(VLOOKUP(A10,Raw_Data!A:L,5,FALSE),"mmm")</f>
        <v>Nov</v>
      </c>
    </row>
    <row r="11" spans="1:6" x14ac:dyDescent="0.35">
      <c r="A11" s="3" t="s">
        <v>58</v>
      </c>
      <c r="B11" t="str">
        <f>VLOOKUP(A11,Raw_Data!A:L,6,FALSE)</f>
        <v>Iron</v>
      </c>
      <c r="C11" t="str">
        <f>VLOOKUP(A11,Raw_Data!A:L,3,FALSE)</f>
        <v>Peru</v>
      </c>
      <c r="D11" s="3">
        <f>VLOOKUP(A11,Raw_Data!A:L,12,FALSE)</f>
        <v>1904</v>
      </c>
      <c r="E11" s="3">
        <f>VLOOKUP(A11,Raw_Data!A:L,11,FALSE)</f>
        <v>68</v>
      </c>
      <c r="F11" t="str">
        <f>TEXT(VLOOKUP(A11,Raw_Data!A:L,5,FALSE),"mmm")</f>
        <v>Jul</v>
      </c>
    </row>
    <row r="12" spans="1:6" x14ac:dyDescent="0.35">
      <c r="A12" s="3" t="s">
        <v>59</v>
      </c>
      <c r="B12" t="str">
        <f>VLOOKUP(A12,Raw_Data!A:L,6,FALSE)</f>
        <v>Refrigerator</v>
      </c>
      <c r="C12" t="str">
        <f>VLOOKUP(A12,Raw_Data!A:L,3,FALSE)</f>
        <v>Saudi Arabia</v>
      </c>
      <c r="D12" s="3">
        <f>VLOOKUP(A12,Raw_Data!A:L,12,FALSE)</f>
        <v>26000</v>
      </c>
      <c r="E12" s="3">
        <f>VLOOKUP(A12,Raw_Data!A:L,11,FALSE)</f>
        <v>52</v>
      </c>
      <c r="F12" t="str">
        <f>TEXT(VLOOKUP(A12,Raw_Data!A:L,5,FALSE),"mmm")</f>
        <v>Jul</v>
      </c>
    </row>
    <row r="13" spans="1:6" x14ac:dyDescent="0.35">
      <c r="A13" s="3" t="s">
        <v>64</v>
      </c>
      <c r="B13" t="str">
        <f>VLOOKUP(A13,Raw_Data!A:L,6,FALSE)</f>
        <v>Air conditioner</v>
      </c>
      <c r="C13" t="str">
        <f>VLOOKUP(A13,Raw_Data!A:L,3,FALSE)</f>
        <v>Thailand</v>
      </c>
      <c r="D13" s="3">
        <f>VLOOKUP(A13,Raw_Data!A:L,12,FALSE)</f>
        <v>48209</v>
      </c>
      <c r="E13" s="3">
        <f>VLOOKUP(A13,Raw_Data!A:L,11,FALSE)</f>
        <v>71</v>
      </c>
      <c r="F13" t="str">
        <f>TEXT(VLOOKUP(A13,Raw_Data!A:L,5,FALSE),"mmm")</f>
        <v>Aug</v>
      </c>
    </row>
    <row r="14" spans="1:6" x14ac:dyDescent="0.35">
      <c r="A14" s="3" t="s">
        <v>68</v>
      </c>
      <c r="B14" t="str">
        <f>VLOOKUP(A14,Raw_Data!A:L,6,FALSE)</f>
        <v>Iron</v>
      </c>
      <c r="C14" t="str">
        <f>VLOOKUP(A14,Raw_Data!A:L,3,FALSE)</f>
        <v>Mexico</v>
      </c>
      <c r="D14" s="3">
        <f>VLOOKUP(A14,Raw_Data!A:L,12,FALSE)</f>
        <v>140</v>
      </c>
      <c r="E14" s="3">
        <f>VLOOKUP(A14,Raw_Data!A:L,11,FALSE)</f>
        <v>5</v>
      </c>
      <c r="F14" t="str">
        <f>TEXT(VLOOKUP(A14,Raw_Data!A:L,5,FALSE),"mmm")</f>
        <v>Sep</v>
      </c>
    </row>
    <row r="15" spans="1:6" x14ac:dyDescent="0.35">
      <c r="A15" s="3" t="s">
        <v>70</v>
      </c>
      <c r="B15" t="str">
        <f>VLOOKUP(A15,Raw_Data!A:L,6,FALSE)</f>
        <v>Oven</v>
      </c>
      <c r="C15" t="str">
        <f>VLOOKUP(A15,Raw_Data!A:L,3,FALSE)</f>
        <v>India</v>
      </c>
      <c r="D15" s="3">
        <f>VLOOKUP(A15,Raw_Data!A:L,12,FALSE)</f>
        <v>27930</v>
      </c>
      <c r="E15" s="3">
        <f>VLOOKUP(A15,Raw_Data!A:L,11,FALSE)</f>
        <v>57</v>
      </c>
      <c r="F15" t="str">
        <f>TEXT(VLOOKUP(A15,Raw_Data!A:L,5,FALSE),"mmm")</f>
        <v>May</v>
      </c>
    </row>
    <row r="16" spans="1:6" x14ac:dyDescent="0.35">
      <c r="A16" s="3" t="s">
        <v>75</v>
      </c>
      <c r="B16" t="str">
        <f>VLOOKUP(A16,Raw_Data!A:L,6,FALSE)</f>
        <v>Washing Machine</v>
      </c>
      <c r="C16" t="str">
        <f>VLOOKUP(A16,Raw_Data!A:L,3,FALSE)</f>
        <v>Australia</v>
      </c>
      <c r="D16" s="3">
        <f>VLOOKUP(A16,Raw_Data!A:L,12,FALSE)</f>
        <v>672</v>
      </c>
      <c r="E16" s="3">
        <f>VLOOKUP(A16,Raw_Data!A:L,11,FALSE)</f>
        <v>1</v>
      </c>
      <c r="F16" t="str">
        <f>TEXT(VLOOKUP(A16,Raw_Data!A:L,5,FALSE),"mmm")</f>
        <v>Dec</v>
      </c>
    </row>
    <row r="17" spans="1:6" x14ac:dyDescent="0.35">
      <c r="A17" s="3" t="s">
        <v>77</v>
      </c>
      <c r="B17" t="str">
        <f>VLOOKUP(A17,Raw_Data!A:L,6,FALSE)</f>
        <v>Microwave</v>
      </c>
      <c r="C17" t="str">
        <f>VLOOKUP(A17,Raw_Data!A:L,3,FALSE)</f>
        <v>Vietnam</v>
      </c>
      <c r="D17" s="3">
        <f>VLOOKUP(A17,Raw_Data!A:L,12,FALSE)</f>
        <v>858</v>
      </c>
      <c r="E17" s="3">
        <f>VLOOKUP(A17,Raw_Data!A:L,11,FALSE)</f>
        <v>11</v>
      </c>
      <c r="F17" t="str">
        <f>TEXT(VLOOKUP(A17,Raw_Data!A:L,5,FALSE),"mmm")</f>
        <v>May</v>
      </c>
    </row>
    <row r="18" spans="1:6" x14ac:dyDescent="0.35">
      <c r="A18" s="3" t="s">
        <v>81</v>
      </c>
      <c r="B18" t="str">
        <f>VLOOKUP(A18,Raw_Data!A:L,6,FALSE)</f>
        <v>Refrigerator</v>
      </c>
      <c r="C18" t="str">
        <f>VLOOKUP(A18,Raw_Data!A:L,3,FALSE)</f>
        <v>Israel</v>
      </c>
      <c r="D18" s="3">
        <f>VLOOKUP(A18,Raw_Data!A:L,12,FALSE)</f>
        <v>27900</v>
      </c>
      <c r="E18" s="3">
        <f>VLOOKUP(A18,Raw_Data!A:L,11,FALSE)</f>
        <v>45</v>
      </c>
      <c r="F18" t="str">
        <f>TEXT(VLOOKUP(A18,Raw_Data!A:L,5,FALSE),"mmm")</f>
        <v>Jun</v>
      </c>
    </row>
    <row r="19" spans="1:6" x14ac:dyDescent="0.35">
      <c r="A19" s="3" t="s">
        <v>85</v>
      </c>
      <c r="B19" t="str">
        <f>VLOOKUP(A19,Raw_Data!A:L,6,FALSE)</f>
        <v>Oven</v>
      </c>
      <c r="C19" t="str">
        <f>VLOOKUP(A19,Raw_Data!A:L,3,FALSE)</f>
        <v>Greece</v>
      </c>
      <c r="D19" s="3">
        <f>VLOOKUP(A19,Raw_Data!A:L,12,FALSE)</f>
        <v>29500</v>
      </c>
      <c r="E19" s="3">
        <f>VLOOKUP(A19,Raw_Data!A:L,11,FALSE)</f>
        <v>59</v>
      </c>
      <c r="F19" t="str">
        <f>TEXT(VLOOKUP(A19,Raw_Data!A:L,5,FALSE),"mmm")</f>
        <v>Nov</v>
      </c>
    </row>
    <row r="20" spans="1:6" x14ac:dyDescent="0.35">
      <c r="A20" s="3" t="s">
        <v>89</v>
      </c>
      <c r="B20" t="str">
        <f>VLOOKUP(A20,Raw_Data!A:L,6,FALSE)</f>
        <v>Ceiling fan</v>
      </c>
      <c r="C20" t="str">
        <f>VLOOKUP(A20,Raw_Data!A:L,3,FALSE)</f>
        <v>Canada</v>
      </c>
      <c r="D20" s="3">
        <f>VLOOKUP(A20,Raw_Data!A:L,12,FALSE)</f>
        <v>750</v>
      </c>
      <c r="E20" s="3">
        <f>VLOOKUP(A20,Raw_Data!A:L,11,FALSE)</f>
        <v>5</v>
      </c>
      <c r="F20" t="str">
        <f>TEXT(VLOOKUP(A20,Raw_Data!A:L,5,FALSE),"mmm")</f>
        <v>Nov</v>
      </c>
    </row>
    <row r="21" spans="1:6" x14ac:dyDescent="0.35">
      <c r="A21" s="3" t="s">
        <v>91</v>
      </c>
      <c r="B21" t="str">
        <f>VLOOKUP(A21,Raw_Data!A:L,6,FALSE)</f>
        <v>Refrigerator</v>
      </c>
      <c r="C21" t="str">
        <f>VLOOKUP(A21,Raw_Data!A:L,3,FALSE)</f>
        <v>Japan</v>
      </c>
      <c r="D21" s="3">
        <f>VLOOKUP(A21,Raw_Data!A:L,12,FALSE)</f>
        <v>84550</v>
      </c>
      <c r="E21" s="3">
        <f>VLOOKUP(A21,Raw_Data!A:L,11,FALSE)</f>
        <v>89</v>
      </c>
      <c r="F21" t="str">
        <f>TEXT(VLOOKUP(A21,Raw_Data!A:L,5,FALSE),"mmm")</f>
        <v>Jul</v>
      </c>
    </row>
    <row r="22" spans="1:6" x14ac:dyDescent="0.35">
      <c r="A22" s="3" t="s">
        <v>95</v>
      </c>
      <c r="B22" t="str">
        <f>VLOOKUP(A22,Raw_Data!A:L,6,FALSE)</f>
        <v>Washing Machine</v>
      </c>
      <c r="C22" t="str">
        <f>VLOOKUP(A22,Raw_Data!A:L,3,FALSE)</f>
        <v>Czech Republic</v>
      </c>
      <c r="D22" s="3">
        <f>VLOOKUP(A22,Raw_Data!A:L,12,FALSE)</f>
        <v>25024</v>
      </c>
      <c r="E22" s="3">
        <f>VLOOKUP(A22,Raw_Data!A:L,11,FALSE)</f>
        <v>34</v>
      </c>
      <c r="F22" t="str">
        <f>TEXT(VLOOKUP(A22,Raw_Data!A:L,5,FALSE),"mmm")</f>
        <v>Sep</v>
      </c>
    </row>
    <row r="23" spans="1:6" x14ac:dyDescent="0.35">
      <c r="A23" s="3" t="s">
        <v>99</v>
      </c>
      <c r="B23" t="str">
        <f>VLOOKUP(A23,Raw_Data!A:L,6,FALSE)</f>
        <v>Iron</v>
      </c>
      <c r="C23" t="str">
        <f>VLOOKUP(A23,Raw_Data!A:L,3,FALSE)</f>
        <v>South Africa</v>
      </c>
      <c r="D23" s="3">
        <f>VLOOKUP(A23,Raw_Data!A:L,12,FALSE)</f>
        <v>1100</v>
      </c>
      <c r="E23" s="3">
        <f>VLOOKUP(A23,Raw_Data!A:L,11,FALSE)</f>
        <v>50</v>
      </c>
      <c r="F23" t="str">
        <f>TEXT(VLOOKUP(A23,Raw_Data!A:L,5,FALSE),"mmm")</f>
        <v>Apr</v>
      </c>
    </row>
    <row r="24" spans="1:6" x14ac:dyDescent="0.35">
      <c r="A24" s="3" t="s">
        <v>103</v>
      </c>
      <c r="B24" t="str">
        <f>VLOOKUP(A24,Raw_Data!A:L,6,FALSE)</f>
        <v>Coffee grinder</v>
      </c>
      <c r="C24" t="str">
        <f>VLOOKUP(A24,Raw_Data!A:L,3,FALSE)</f>
        <v>India</v>
      </c>
      <c r="D24" s="3">
        <f>VLOOKUP(A24,Raw_Data!A:L,12,FALSE)</f>
        <v>2077</v>
      </c>
      <c r="E24" s="3">
        <f>VLOOKUP(A24,Raw_Data!A:L,11,FALSE)</f>
        <v>31</v>
      </c>
      <c r="F24" t="str">
        <f>TEXT(VLOOKUP(A24,Raw_Data!A:L,5,FALSE),"mmm")</f>
        <v>Nov</v>
      </c>
    </row>
    <row r="25" spans="1:6" x14ac:dyDescent="0.35">
      <c r="A25" s="3" t="s">
        <v>107</v>
      </c>
      <c r="B25" t="str">
        <f>VLOOKUP(A25,Raw_Data!A:L,6,FALSE)</f>
        <v>Iron</v>
      </c>
      <c r="C25" t="str">
        <f>VLOOKUP(A25,Raw_Data!A:L,3,FALSE)</f>
        <v>USA</v>
      </c>
      <c r="D25" s="3">
        <f>VLOOKUP(A25,Raw_Data!A:L,12,FALSE)</f>
        <v>324</v>
      </c>
      <c r="E25" s="3">
        <f>VLOOKUP(A25,Raw_Data!A:L,11,FALSE)</f>
        <v>12</v>
      </c>
      <c r="F25" t="str">
        <f>TEXT(VLOOKUP(A25,Raw_Data!A:L,5,FALSE),"mmm")</f>
        <v>Feb</v>
      </c>
    </row>
    <row r="26" spans="1:6" x14ac:dyDescent="0.35">
      <c r="A26" s="3" t="s">
        <v>111</v>
      </c>
      <c r="B26" t="str">
        <f>VLOOKUP(A26,Raw_Data!A:L,6,FALSE)</f>
        <v>Oven</v>
      </c>
      <c r="C26" t="str">
        <f>VLOOKUP(A26,Raw_Data!A:L,3,FALSE)</f>
        <v>Israel</v>
      </c>
      <c r="D26" s="3">
        <f>VLOOKUP(A26,Raw_Data!A:L,12,FALSE)</f>
        <v>12870</v>
      </c>
      <c r="E26" s="3">
        <f>VLOOKUP(A26,Raw_Data!A:L,11,FALSE)</f>
        <v>26</v>
      </c>
      <c r="F26" t="str">
        <f>TEXT(VLOOKUP(A26,Raw_Data!A:L,5,FALSE),"mmm")</f>
        <v>Feb</v>
      </c>
    </row>
    <row r="27" spans="1:6" x14ac:dyDescent="0.35">
      <c r="A27" s="3" t="s">
        <v>114</v>
      </c>
      <c r="B27" t="str">
        <f>VLOOKUP(A27,Raw_Data!A:L,6,FALSE)</f>
        <v>Vacuum Cleaner</v>
      </c>
      <c r="C27" t="str">
        <f>VLOOKUP(A27,Raw_Data!A:L,3,FALSE)</f>
        <v>UK</v>
      </c>
      <c r="D27" s="3">
        <f>VLOOKUP(A27,Raw_Data!A:L,12,FALSE)</f>
        <v>19754</v>
      </c>
      <c r="E27" s="3">
        <f>VLOOKUP(A27,Raw_Data!A:L,11,FALSE)</f>
        <v>83</v>
      </c>
      <c r="F27" t="str">
        <f>TEXT(VLOOKUP(A27,Raw_Data!A:L,5,FALSE),"mmm")</f>
        <v>Mar</v>
      </c>
    </row>
    <row r="28" spans="1:6" x14ac:dyDescent="0.35">
      <c r="A28" s="3" t="s">
        <v>118</v>
      </c>
      <c r="B28" t="str">
        <f>VLOOKUP(A28,Raw_Data!A:L,6,FALSE)</f>
        <v>Vacuum Cleaner</v>
      </c>
      <c r="C28" t="str">
        <f>VLOOKUP(A28,Raw_Data!A:L,3,FALSE)</f>
        <v>South Korea</v>
      </c>
      <c r="D28" s="3">
        <f>VLOOKUP(A28,Raw_Data!A:L,12,FALSE)</f>
        <v>16320</v>
      </c>
      <c r="E28" s="3">
        <f>VLOOKUP(A28,Raw_Data!A:L,11,FALSE)</f>
        <v>68</v>
      </c>
      <c r="F28" t="str">
        <f>TEXT(VLOOKUP(A28,Raw_Data!A:L,5,FALSE),"mmm")</f>
        <v>Feb</v>
      </c>
    </row>
    <row r="29" spans="1:6" x14ac:dyDescent="0.35">
      <c r="A29" s="3" t="s">
        <v>122</v>
      </c>
      <c r="B29" t="str">
        <f>VLOOKUP(A29,Raw_Data!A:L,6,FALSE)</f>
        <v>Blender</v>
      </c>
      <c r="C29" t="str">
        <f>VLOOKUP(A29,Raw_Data!A:L,3,FALSE)</f>
        <v>Canada</v>
      </c>
      <c r="D29" s="3">
        <f>VLOOKUP(A29,Raw_Data!A:L,12,FALSE)</f>
        <v>3741</v>
      </c>
      <c r="E29" s="3">
        <f>VLOOKUP(A29,Raw_Data!A:L,11,FALSE)</f>
        <v>87</v>
      </c>
      <c r="F29" t="str">
        <f>TEXT(VLOOKUP(A29,Raw_Data!A:L,5,FALSE),"mmm")</f>
        <v>Jan</v>
      </c>
    </row>
    <row r="30" spans="1:6" x14ac:dyDescent="0.35">
      <c r="A30" s="3" t="s">
        <v>124</v>
      </c>
      <c r="B30" t="str">
        <f>VLOOKUP(A30,Raw_Data!A:L,6,FALSE)</f>
        <v>Oven</v>
      </c>
      <c r="C30" t="str">
        <f>VLOOKUP(A30,Raw_Data!A:L,3,FALSE)</f>
        <v>China</v>
      </c>
      <c r="D30" s="3">
        <f>VLOOKUP(A30,Raw_Data!A:L,12,FALSE)</f>
        <v>28710</v>
      </c>
      <c r="E30" s="3">
        <f>VLOOKUP(A30,Raw_Data!A:L,11,FALSE)</f>
        <v>58</v>
      </c>
      <c r="F30" t="str">
        <f>TEXT(VLOOKUP(A30,Raw_Data!A:L,5,FALSE),"mmm")</f>
        <v>Oct</v>
      </c>
    </row>
    <row r="31" spans="1:6" x14ac:dyDescent="0.35">
      <c r="A31" s="3" t="s">
        <v>127</v>
      </c>
      <c r="B31" t="str">
        <f>VLOOKUP(A31,Raw_Data!A:L,6,FALSE)</f>
        <v>Coffee grinder</v>
      </c>
      <c r="C31" t="str">
        <f>VLOOKUP(A31,Raw_Data!A:L,3,FALSE)</f>
        <v>Germany</v>
      </c>
      <c r="D31" s="3">
        <f>VLOOKUP(A31,Raw_Data!A:L,12,FALSE)</f>
        <v>5888</v>
      </c>
      <c r="E31" s="3">
        <f>VLOOKUP(A31,Raw_Data!A:L,11,FALSE)</f>
        <v>92</v>
      </c>
      <c r="F31" t="str">
        <f>TEXT(VLOOKUP(A31,Raw_Data!A:L,5,FALSE),"mmm")</f>
        <v>Dec</v>
      </c>
    </row>
    <row r="32" spans="1:6" x14ac:dyDescent="0.35">
      <c r="A32" s="3" t="s">
        <v>131</v>
      </c>
      <c r="B32" t="str">
        <f>VLOOKUP(A32,Raw_Data!A:L,6,FALSE)</f>
        <v>Ceiling fan</v>
      </c>
      <c r="C32" t="str">
        <f>VLOOKUP(A32,Raw_Data!A:L,3,FALSE)</f>
        <v>USA</v>
      </c>
      <c r="D32" s="3">
        <f>VLOOKUP(A32,Raw_Data!A:L,12,FALSE)</f>
        <v>11178</v>
      </c>
      <c r="E32" s="3">
        <f>VLOOKUP(A32,Raw_Data!A:L,11,FALSE)</f>
        <v>81</v>
      </c>
      <c r="F32" t="str">
        <f>TEXT(VLOOKUP(A32,Raw_Data!A:L,5,FALSE),"mmm")</f>
        <v>Jul</v>
      </c>
    </row>
    <row r="33" spans="1:6" x14ac:dyDescent="0.35">
      <c r="A33" s="3" t="s">
        <v>134</v>
      </c>
      <c r="B33" t="str">
        <f>VLOOKUP(A33,Raw_Data!A:L,6,FALSE)</f>
        <v>Ceiling fan</v>
      </c>
      <c r="C33" t="str">
        <f>VLOOKUP(A33,Raw_Data!A:L,3,FALSE)</f>
        <v>Japan</v>
      </c>
      <c r="D33" s="3">
        <f>VLOOKUP(A33,Raw_Data!A:L,12,FALSE)</f>
        <v>2106</v>
      </c>
      <c r="E33" s="3">
        <f>VLOOKUP(A33,Raw_Data!A:L,11,FALSE)</f>
        <v>18</v>
      </c>
      <c r="F33" t="str">
        <f>TEXT(VLOOKUP(A33,Raw_Data!A:L,5,FALSE),"mmm")</f>
        <v>Oct</v>
      </c>
    </row>
    <row r="34" spans="1:6" x14ac:dyDescent="0.35">
      <c r="A34" s="3" t="s">
        <v>137</v>
      </c>
      <c r="B34" t="str">
        <f>VLOOKUP(A34,Raw_Data!A:L,6,FALSE)</f>
        <v>Refrigerator</v>
      </c>
      <c r="C34" t="str">
        <f>VLOOKUP(A34,Raw_Data!A:L,3,FALSE)</f>
        <v>Russia</v>
      </c>
      <c r="D34" s="3">
        <f>VLOOKUP(A34,Raw_Data!A:L,12,FALSE)</f>
        <v>61880</v>
      </c>
      <c r="E34" s="3">
        <f>VLOOKUP(A34,Raw_Data!A:L,11,FALSE)</f>
        <v>68</v>
      </c>
      <c r="F34" t="str">
        <f>TEXT(VLOOKUP(A34,Raw_Data!A:L,5,FALSE),"mmm")</f>
        <v>Oct</v>
      </c>
    </row>
    <row r="35" spans="1:6" x14ac:dyDescent="0.35">
      <c r="A35" s="3" t="s">
        <v>139</v>
      </c>
      <c r="B35" t="str">
        <f>VLOOKUP(A35,Raw_Data!A:L,6,FALSE)</f>
        <v>Washing Machine</v>
      </c>
      <c r="C35" t="str">
        <f>VLOOKUP(A35,Raw_Data!A:L,3,FALSE)</f>
        <v>South Africa</v>
      </c>
      <c r="D35" s="3">
        <f>VLOOKUP(A35,Raw_Data!A:L,12,FALSE)</f>
        <v>12264</v>
      </c>
      <c r="E35" s="3">
        <f>VLOOKUP(A35,Raw_Data!A:L,11,FALSE)</f>
        <v>21</v>
      </c>
      <c r="F35" t="str">
        <f>TEXT(VLOOKUP(A35,Raw_Data!A:L,5,FALSE),"mmm")</f>
        <v>Dec</v>
      </c>
    </row>
    <row r="36" spans="1:6" x14ac:dyDescent="0.35">
      <c r="A36" s="3" t="s">
        <v>140</v>
      </c>
      <c r="B36" t="str">
        <f>VLOOKUP(A36,Raw_Data!A:L,6,FALSE)</f>
        <v>Microwave</v>
      </c>
      <c r="C36" t="str">
        <f>VLOOKUP(A36,Raw_Data!A:L,3,FALSE)</f>
        <v>Thailand</v>
      </c>
      <c r="D36" s="3">
        <f>VLOOKUP(A36,Raw_Data!A:L,12,FALSE)</f>
        <v>5544</v>
      </c>
      <c r="E36" s="3">
        <f>VLOOKUP(A36,Raw_Data!A:L,11,FALSE)</f>
        <v>72</v>
      </c>
      <c r="F36" t="str">
        <f>TEXT(VLOOKUP(A36,Raw_Data!A:L,5,FALSE),"mmm")</f>
        <v>Oct</v>
      </c>
    </row>
    <row r="37" spans="1:6" x14ac:dyDescent="0.35">
      <c r="A37" s="3" t="s">
        <v>142</v>
      </c>
      <c r="B37" t="str">
        <f>VLOOKUP(A37,Raw_Data!A:L,6,FALSE)</f>
        <v>Oven</v>
      </c>
      <c r="C37" t="str">
        <f>VLOOKUP(A37,Raw_Data!A:L,3,FALSE)</f>
        <v>India</v>
      </c>
      <c r="D37" s="3">
        <f>VLOOKUP(A37,Raw_Data!A:L,12,FALSE)</f>
        <v>45000</v>
      </c>
      <c r="E37" s="3">
        <f>VLOOKUP(A37,Raw_Data!A:L,11,FALSE)</f>
        <v>90</v>
      </c>
      <c r="F37" t="str">
        <f>TEXT(VLOOKUP(A37,Raw_Data!A:L,5,FALSE),"mmm")</f>
        <v>Nov</v>
      </c>
    </row>
    <row r="38" spans="1:6" x14ac:dyDescent="0.35">
      <c r="A38" s="3" t="s">
        <v>144</v>
      </c>
      <c r="B38" t="str">
        <f>VLOOKUP(A38,Raw_Data!A:L,6,FALSE)</f>
        <v>Ceiling fan</v>
      </c>
      <c r="C38" t="str">
        <f>VLOOKUP(A38,Raw_Data!A:L,3,FALSE)</f>
        <v>Brazil</v>
      </c>
      <c r="D38" s="3">
        <f>VLOOKUP(A38,Raw_Data!A:L,12,FALSE)</f>
        <v>3796</v>
      </c>
      <c r="E38" s="3">
        <f>VLOOKUP(A38,Raw_Data!A:L,11,FALSE)</f>
        <v>26</v>
      </c>
      <c r="F38" t="str">
        <f>TEXT(VLOOKUP(A38,Raw_Data!A:L,5,FALSE),"mmm")</f>
        <v>Jul</v>
      </c>
    </row>
    <row r="39" spans="1:6" x14ac:dyDescent="0.35">
      <c r="A39" s="3" t="s">
        <v>146</v>
      </c>
      <c r="B39" t="str">
        <f>VLOOKUP(A39,Raw_Data!A:L,6,FALSE)</f>
        <v>Dishwasher</v>
      </c>
      <c r="C39" t="str">
        <f>VLOOKUP(A39,Raw_Data!A:L,3,FALSE)</f>
        <v>France</v>
      </c>
      <c r="D39" s="3">
        <f>VLOOKUP(A39,Raw_Data!A:L,12,FALSE)</f>
        <v>24840</v>
      </c>
      <c r="E39" s="3">
        <f>VLOOKUP(A39,Raw_Data!A:L,11,FALSE)</f>
        <v>54</v>
      </c>
      <c r="F39" t="str">
        <f>TEXT(VLOOKUP(A39,Raw_Data!A:L,5,FALSE),"mmm")</f>
        <v>Nov</v>
      </c>
    </row>
    <row r="40" spans="1:6" x14ac:dyDescent="0.35">
      <c r="A40" s="3" t="s">
        <v>150</v>
      </c>
      <c r="B40" t="str">
        <f>VLOOKUP(A40,Raw_Data!A:L,6,FALSE)</f>
        <v>Blender</v>
      </c>
      <c r="C40" t="str">
        <f>VLOOKUP(A40,Raw_Data!A:L,3,FALSE)</f>
        <v>Italy</v>
      </c>
      <c r="D40" s="3">
        <f>VLOOKUP(A40,Raw_Data!A:L,12,FALSE)</f>
        <v>3182</v>
      </c>
      <c r="E40" s="3">
        <f>VLOOKUP(A40,Raw_Data!A:L,11,FALSE)</f>
        <v>74</v>
      </c>
      <c r="F40" t="str">
        <f>TEXT(VLOOKUP(A40,Raw_Data!A:L,5,FALSE),"mmm")</f>
        <v>Aug</v>
      </c>
    </row>
    <row r="41" spans="1:6" x14ac:dyDescent="0.35">
      <c r="A41" s="3" t="s">
        <v>154</v>
      </c>
      <c r="B41" t="str">
        <f>VLOOKUP(A41,Raw_Data!A:L,6,FALSE)</f>
        <v>Microwave</v>
      </c>
      <c r="C41" t="str">
        <f>VLOOKUP(A41,Raw_Data!A:L,3,FALSE)</f>
        <v>USA</v>
      </c>
      <c r="D41" s="3">
        <f>VLOOKUP(A41,Raw_Data!A:L,12,FALSE)</f>
        <v>4536</v>
      </c>
      <c r="E41" s="3">
        <f>VLOOKUP(A41,Raw_Data!A:L,11,FALSE)</f>
        <v>63</v>
      </c>
      <c r="F41" t="str">
        <f>TEXT(VLOOKUP(A41,Raw_Data!A:L,5,FALSE),"mmm")</f>
        <v>Sep</v>
      </c>
    </row>
    <row r="42" spans="1:6" x14ac:dyDescent="0.35">
      <c r="A42" s="3" t="s">
        <v>157</v>
      </c>
      <c r="B42" t="str">
        <f>VLOOKUP(A42,Raw_Data!A:L,6,FALSE)</f>
        <v>Microwave</v>
      </c>
      <c r="C42" t="str">
        <f>VLOOKUP(A42,Raw_Data!A:L,3,FALSE)</f>
        <v>USA</v>
      </c>
      <c r="D42" s="3">
        <f>VLOOKUP(A42,Raw_Data!A:L,12,FALSE)</f>
        <v>6375</v>
      </c>
      <c r="E42" s="3">
        <f>VLOOKUP(A42,Raw_Data!A:L,11,FALSE)</f>
        <v>85</v>
      </c>
      <c r="F42" t="str">
        <f>TEXT(VLOOKUP(A42,Raw_Data!A:L,5,FALSE),"mmm")</f>
        <v>Jul</v>
      </c>
    </row>
    <row r="43" spans="1:6" x14ac:dyDescent="0.35">
      <c r="A43" s="3" t="s">
        <v>160</v>
      </c>
      <c r="B43" t="str">
        <f>VLOOKUP(A43,Raw_Data!A:L,6,FALSE)</f>
        <v>Iron</v>
      </c>
      <c r="C43" t="str">
        <f>VLOOKUP(A43,Raw_Data!A:L,3,FALSE)</f>
        <v>Australia</v>
      </c>
      <c r="D43" s="3">
        <f>VLOOKUP(A43,Raw_Data!A:L,12,FALSE)</f>
        <v>1404</v>
      </c>
      <c r="E43" s="3">
        <f>VLOOKUP(A43,Raw_Data!A:L,11,FALSE)</f>
        <v>54</v>
      </c>
      <c r="F43" t="str">
        <f>TEXT(VLOOKUP(A43,Raw_Data!A:L,5,FALSE),"mmm")</f>
        <v>Oct</v>
      </c>
    </row>
    <row r="44" spans="1:6" x14ac:dyDescent="0.35">
      <c r="A44" s="3" t="s">
        <v>162</v>
      </c>
      <c r="B44" t="str">
        <f>VLOOKUP(A44,Raw_Data!A:L,6,FALSE)</f>
        <v>Iron</v>
      </c>
      <c r="C44" t="str">
        <f>VLOOKUP(A44,Raw_Data!A:L,3,FALSE)</f>
        <v>Vietnam</v>
      </c>
      <c r="D44" s="3">
        <f>VLOOKUP(A44,Raw_Data!A:L,12,FALSE)</f>
        <v>1950</v>
      </c>
      <c r="E44" s="3">
        <f>VLOOKUP(A44,Raw_Data!A:L,11,FALSE)</f>
        <v>75</v>
      </c>
      <c r="F44" t="str">
        <f>TEXT(VLOOKUP(A44,Raw_Data!A:L,5,FALSE),"mmm")</f>
        <v>Mar</v>
      </c>
    </row>
    <row r="45" spans="1:6" x14ac:dyDescent="0.35">
      <c r="A45" s="3" t="s">
        <v>164</v>
      </c>
      <c r="B45" t="str">
        <f>VLOOKUP(A45,Raw_Data!A:L,6,FALSE)</f>
        <v>Washing Machine</v>
      </c>
      <c r="C45" t="str">
        <f>VLOOKUP(A45,Raw_Data!A:L,3,FALSE)</f>
        <v>China</v>
      </c>
      <c r="D45" s="3">
        <f>VLOOKUP(A45,Raw_Data!A:L,12,FALSE)</f>
        <v>54400</v>
      </c>
      <c r="E45" s="3">
        <f>VLOOKUP(A45,Raw_Data!A:L,11,FALSE)</f>
        <v>85</v>
      </c>
      <c r="F45" t="str">
        <f>TEXT(VLOOKUP(A45,Raw_Data!A:L,5,FALSE),"mmm")</f>
        <v>Jul</v>
      </c>
    </row>
    <row r="46" spans="1:6" x14ac:dyDescent="0.35">
      <c r="A46" s="3" t="s">
        <v>166</v>
      </c>
      <c r="B46" t="str">
        <f>VLOOKUP(A46,Raw_Data!A:L,6,FALSE)</f>
        <v>Washing Machine</v>
      </c>
      <c r="C46" t="str">
        <f>VLOOKUP(A46,Raw_Data!A:L,3,FALSE)</f>
        <v>Greece</v>
      </c>
      <c r="D46" s="3">
        <f>VLOOKUP(A46,Raw_Data!A:L,12,FALSE)</f>
        <v>43160</v>
      </c>
      <c r="E46" s="3">
        <f>VLOOKUP(A46,Raw_Data!A:L,11,FALSE)</f>
        <v>83</v>
      </c>
      <c r="F46" t="str">
        <f>TEXT(VLOOKUP(A46,Raw_Data!A:L,5,FALSE),"mmm")</f>
        <v>Nov</v>
      </c>
    </row>
    <row r="47" spans="1:6" x14ac:dyDescent="0.35">
      <c r="A47" s="3" t="s">
        <v>168</v>
      </c>
      <c r="B47" t="str">
        <f>VLOOKUP(A47,Raw_Data!A:L,6,FALSE)</f>
        <v>Vacuum Cleaner</v>
      </c>
      <c r="C47" t="str">
        <f>VLOOKUP(A47,Raw_Data!A:L,3,FALSE)</f>
        <v>UK</v>
      </c>
      <c r="D47" s="3">
        <f>VLOOKUP(A47,Raw_Data!A:L,12,FALSE)</f>
        <v>18920</v>
      </c>
      <c r="E47" s="3">
        <f>VLOOKUP(A47,Raw_Data!A:L,11,FALSE)</f>
        <v>86</v>
      </c>
      <c r="F47" t="str">
        <f>TEXT(VLOOKUP(A47,Raw_Data!A:L,5,FALSE),"mmm")</f>
        <v>Jan</v>
      </c>
    </row>
    <row r="48" spans="1:6" x14ac:dyDescent="0.35">
      <c r="A48" s="3" t="s">
        <v>170</v>
      </c>
      <c r="B48" t="str">
        <f>VLOOKUP(A48,Raw_Data!A:L,6,FALSE)</f>
        <v>Air conditioner</v>
      </c>
      <c r="C48" t="str">
        <f>VLOOKUP(A48,Raw_Data!A:L,3,FALSE)</f>
        <v>Poland</v>
      </c>
      <c r="D48" s="3">
        <f>VLOOKUP(A48,Raw_Data!A:L,12,FALSE)</f>
        <v>31682</v>
      </c>
      <c r="E48" s="3">
        <f>VLOOKUP(A48,Raw_Data!A:L,11,FALSE)</f>
        <v>73</v>
      </c>
      <c r="F48" t="str">
        <f>TEXT(VLOOKUP(A48,Raw_Data!A:L,5,FALSE),"mmm")</f>
        <v>Mar</v>
      </c>
    </row>
    <row r="49" spans="1:6" x14ac:dyDescent="0.35">
      <c r="A49" s="3" t="s">
        <v>174</v>
      </c>
      <c r="B49" t="str">
        <f>VLOOKUP(A49,Raw_Data!A:L,6,FALSE)</f>
        <v>Microwave</v>
      </c>
      <c r="C49" t="str">
        <f>VLOOKUP(A49,Raw_Data!A:L,3,FALSE)</f>
        <v>Netherlands</v>
      </c>
      <c r="D49" s="3">
        <f>VLOOKUP(A49,Raw_Data!A:L,12,FALSE)</f>
        <v>1300</v>
      </c>
      <c r="E49" s="3">
        <f>VLOOKUP(A49,Raw_Data!A:L,11,FALSE)</f>
        <v>26</v>
      </c>
      <c r="F49" t="str">
        <f>TEXT(VLOOKUP(A49,Raw_Data!A:L,5,FALSE),"mmm")</f>
        <v>Feb</v>
      </c>
    </row>
    <row r="50" spans="1:6" x14ac:dyDescent="0.35">
      <c r="A50" s="3" t="s">
        <v>178</v>
      </c>
      <c r="B50" t="str">
        <f>VLOOKUP(A50,Raw_Data!A:L,6,FALSE)</f>
        <v>Vacuum Cleaner</v>
      </c>
      <c r="C50" t="str">
        <f>VLOOKUP(A50,Raw_Data!A:L,3,FALSE)</f>
        <v>Canada</v>
      </c>
      <c r="D50" s="3">
        <f>VLOOKUP(A50,Raw_Data!A:L,12,FALSE)</f>
        <v>5474</v>
      </c>
      <c r="E50" s="3">
        <f>VLOOKUP(A50,Raw_Data!A:L,11,FALSE)</f>
        <v>23</v>
      </c>
      <c r="F50" t="str">
        <f>TEXT(VLOOKUP(A50,Raw_Data!A:L,5,FALSE),"mmm")</f>
        <v>Sep</v>
      </c>
    </row>
    <row r="51" spans="1:6" x14ac:dyDescent="0.35">
      <c r="A51" s="3" t="s">
        <v>180</v>
      </c>
      <c r="B51" t="str">
        <f>VLOOKUP(A51,Raw_Data!A:L,6,FALSE)</f>
        <v>Ceiling fan</v>
      </c>
      <c r="C51" t="str">
        <f>VLOOKUP(A51,Raw_Data!A:L,3,FALSE)</f>
        <v>Czech Republic</v>
      </c>
      <c r="D51" s="3">
        <f>VLOOKUP(A51,Raw_Data!A:L,12,FALSE)</f>
        <v>1960</v>
      </c>
      <c r="E51" s="3">
        <f>VLOOKUP(A51,Raw_Data!A:L,11,FALSE)</f>
        <v>14</v>
      </c>
      <c r="F51" t="str">
        <f>TEXT(VLOOKUP(A51,Raw_Data!A:L,5,FALSE),"mmm")</f>
        <v>Oct</v>
      </c>
    </row>
    <row r="52" spans="1:6" x14ac:dyDescent="0.35">
      <c r="A52" s="3" t="s">
        <v>182</v>
      </c>
      <c r="B52" t="str">
        <f>VLOOKUP(A52,Raw_Data!A:L,6,FALSE)</f>
        <v>Refrigerator</v>
      </c>
      <c r="C52" t="str">
        <f>VLOOKUP(A52,Raw_Data!A:L,3,FALSE)</f>
        <v>USA</v>
      </c>
      <c r="D52" s="3">
        <f>VLOOKUP(A52,Raw_Data!A:L,12,FALSE)</f>
        <v>48840</v>
      </c>
      <c r="E52" s="3">
        <f>VLOOKUP(A52,Raw_Data!A:L,11,FALSE)</f>
        <v>66</v>
      </c>
      <c r="F52" t="str">
        <f>TEXT(VLOOKUP(A52,Raw_Data!A:L,5,FALSE),"mmm")</f>
        <v>Nov</v>
      </c>
    </row>
    <row r="53" spans="1:6" x14ac:dyDescent="0.35">
      <c r="A53" s="3" t="s">
        <v>185</v>
      </c>
      <c r="B53" t="str">
        <f>VLOOKUP(A53,Raw_Data!A:L,6,FALSE)</f>
        <v>Iron</v>
      </c>
      <c r="C53" t="str">
        <f>VLOOKUP(A53,Raw_Data!A:L,3,FALSE)</f>
        <v>Italy</v>
      </c>
      <c r="D53" s="3">
        <f>VLOOKUP(A53,Raw_Data!A:L,12,FALSE)</f>
        <v>1500</v>
      </c>
      <c r="E53" s="3">
        <f>VLOOKUP(A53,Raw_Data!A:L,11,FALSE)</f>
        <v>60</v>
      </c>
      <c r="F53" t="str">
        <f>TEXT(VLOOKUP(A53,Raw_Data!A:L,5,FALSE),"mmm")</f>
        <v>Jun</v>
      </c>
    </row>
    <row r="54" spans="1:6" x14ac:dyDescent="0.35">
      <c r="A54" s="3" t="s">
        <v>187</v>
      </c>
      <c r="B54" t="str">
        <f>VLOOKUP(A54,Raw_Data!A:L,6,FALSE)</f>
        <v>Air conditioner</v>
      </c>
      <c r="C54" t="str">
        <f>VLOOKUP(A54,Raw_Data!A:L,3,FALSE)</f>
        <v>Ireland</v>
      </c>
      <c r="D54" s="3">
        <f>VLOOKUP(A54,Raw_Data!A:L,12,FALSE)</f>
        <v>59185</v>
      </c>
      <c r="E54" s="3">
        <f>VLOOKUP(A54,Raw_Data!A:L,11,FALSE)</f>
        <v>89</v>
      </c>
      <c r="F54" t="str">
        <f>TEXT(VLOOKUP(A54,Raw_Data!A:L,5,FALSE),"mmm")</f>
        <v>Oct</v>
      </c>
    </row>
    <row r="55" spans="1:6" x14ac:dyDescent="0.35">
      <c r="A55" s="3" t="s">
        <v>191</v>
      </c>
      <c r="B55" t="str">
        <f>VLOOKUP(A55,Raw_Data!A:L,6,FALSE)</f>
        <v>Dishwasher</v>
      </c>
      <c r="C55" t="str">
        <f>VLOOKUP(A55,Raw_Data!A:L,3,FALSE)</f>
        <v>India</v>
      </c>
      <c r="D55" s="3">
        <f>VLOOKUP(A55,Raw_Data!A:L,12,FALSE)</f>
        <v>4675</v>
      </c>
      <c r="E55" s="3">
        <f>VLOOKUP(A55,Raw_Data!A:L,11,FALSE)</f>
        <v>11</v>
      </c>
      <c r="F55" t="str">
        <f>TEXT(VLOOKUP(A55,Raw_Data!A:L,5,FALSE),"mmm")</f>
        <v>Jul</v>
      </c>
    </row>
    <row r="56" spans="1:6" x14ac:dyDescent="0.35">
      <c r="A56" s="3" t="s">
        <v>193</v>
      </c>
      <c r="B56" t="str">
        <f>VLOOKUP(A56,Raw_Data!A:L,6,FALSE)</f>
        <v>Microwave</v>
      </c>
      <c r="C56" t="str">
        <f>VLOOKUP(A56,Raw_Data!A:L,3,FALSE)</f>
        <v>Russia</v>
      </c>
      <c r="D56" s="3">
        <f>VLOOKUP(A56,Raw_Data!A:L,12,FALSE)</f>
        <v>468</v>
      </c>
      <c r="E56" s="3">
        <f>VLOOKUP(A56,Raw_Data!A:L,11,FALSE)</f>
        <v>6</v>
      </c>
      <c r="F56" t="str">
        <f>TEXT(VLOOKUP(A56,Raw_Data!A:L,5,FALSE),"mmm")</f>
        <v>Sep</v>
      </c>
    </row>
    <row r="57" spans="1:6" x14ac:dyDescent="0.35">
      <c r="A57" s="3" t="s">
        <v>195</v>
      </c>
      <c r="B57" t="str">
        <f>VLOOKUP(A57,Raw_Data!A:L,6,FALSE)</f>
        <v>Blender</v>
      </c>
      <c r="C57" t="str">
        <f>VLOOKUP(A57,Raw_Data!A:L,3,FALSE)</f>
        <v>Israel</v>
      </c>
      <c r="D57" s="3">
        <f>VLOOKUP(A57,Raw_Data!A:L,12,FALSE)</f>
        <v>2925</v>
      </c>
      <c r="E57" s="3">
        <f>VLOOKUP(A57,Raw_Data!A:L,11,FALSE)</f>
        <v>75</v>
      </c>
      <c r="F57" t="str">
        <f>TEXT(VLOOKUP(A57,Raw_Data!A:L,5,FALSE),"mmm")</f>
        <v>May</v>
      </c>
    </row>
    <row r="58" spans="1:6" x14ac:dyDescent="0.35">
      <c r="A58" s="3" t="s">
        <v>197</v>
      </c>
      <c r="B58" t="str">
        <f>VLOOKUP(A58,Raw_Data!A:L,6,FALSE)</f>
        <v>Iron</v>
      </c>
      <c r="C58" t="str">
        <f>VLOOKUP(A58,Raw_Data!A:L,3,FALSE)</f>
        <v>Australia</v>
      </c>
      <c r="D58" s="3">
        <f>VLOOKUP(A58,Raw_Data!A:L,12,FALSE)</f>
        <v>1350</v>
      </c>
      <c r="E58" s="3">
        <f>VLOOKUP(A58,Raw_Data!A:L,11,FALSE)</f>
        <v>50</v>
      </c>
      <c r="F58" t="str">
        <f>TEXT(VLOOKUP(A58,Raw_Data!A:L,5,FALSE),"mmm")</f>
        <v>Jul</v>
      </c>
    </row>
    <row r="59" spans="1:6" x14ac:dyDescent="0.35">
      <c r="A59" s="3" t="s">
        <v>199</v>
      </c>
      <c r="B59" t="str">
        <f>VLOOKUP(A59,Raw_Data!A:L,6,FALSE)</f>
        <v>Coffee grinder</v>
      </c>
      <c r="C59" t="str">
        <f>VLOOKUP(A59,Raw_Data!A:L,3,FALSE)</f>
        <v>Japan</v>
      </c>
      <c r="D59" s="3">
        <f>VLOOKUP(A59,Raw_Data!A:L,12,FALSE)</f>
        <v>2496</v>
      </c>
      <c r="E59" s="3">
        <f>VLOOKUP(A59,Raw_Data!A:L,11,FALSE)</f>
        <v>39</v>
      </c>
      <c r="F59" t="str">
        <f>TEXT(VLOOKUP(A59,Raw_Data!A:L,5,FALSE),"mmm")</f>
        <v>Mar</v>
      </c>
    </row>
    <row r="60" spans="1:6" x14ac:dyDescent="0.35">
      <c r="A60" s="3" t="s">
        <v>201</v>
      </c>
      <c r="B60" t="str">
        <f>VLOOKUP(A60,Raw_Data!A:L,6,FALSE)</f>
        <v>Toaster</v>
      </c>
      <c r="C60" t="str">
        <f>VLOOKUP(A60,Raw_Data!A:L,3,FALSE)</f>
        <v>Peru</v>
      </c>
      <c r="D60" s="3">
        <f>VLOOKUP(A60,Raw_Data!A:L,12,FALSE)</f>
        <v>936</v>
      </c>
      <c r="E60" s="3">
        <f>VLOOKUP(A60,Raw_Data!A:L,11,FALSE)</f>
        <v>26</v>
      </c>
      <c r="F60" t="str">
        <f>TEXT(VLOOKUP(A60,Raw_Data!A:L,5,FALSE),"mmm")</f>
        <v>Jun</v>
      </c>
    </row>
    <row r="61" spans="1:6" x14ac:dyDescent="0.35">
      <c r="A61" s="3" t="s">
        <v>203</v>
      </c>
      <c r="B61" t="str">
        <f>VLOOKUP(A61,Raw_Data!A:L,6,FALSE)</f>
        <v>Blender</v>
      </c>
      <c r="C61" t="str">
        <f>VLOOKUP(A61,Raw_Data!A:L,3,FALSE)</f>
        <v>USA</v>
      </c>
      <c r="D61" s="3">
        <f>VLOOKUP(A61,Raw_Data!A:L,12,FALSE)</f>
        <v>1161</v>
      </c>
      <c r="E61" s="3">
        <f>VLOOKUP(A61,Raw_Data!A:L,11,FALSE)</f>
        <v>27</v>
      </c>
      <c r="F61" t="str">
        <f>TEXT(VLOOKUP(A61,Raw_Data!A:L,5,FALSE),"mmm")</f>
        <v>Aug</v>
      </c>
    </row>
    <row r="62" spans="1:6" x14ac:dyDescent="0.35">
      <c r="A62" s="3" t="s">
        <v>205</v>
      </c>
      <c r="B62" t="str">
        <f>VLOOKUP(A62,Raw_Data!A:L,6,FALSE)</f>
        <v>Air conditioner</v>
      </c>
      <c r="C62" t="str">
        <f>VLOOKUP(A62,Raw_Data!A:L,3,FALSE)</f>
        <v>Colombia</v>
      </c>
      <c r="D62" s="3">
        <f>VLOOKUP(A62,Raw_Data!A:L,12,FALSE)</f>
        <v>51975</v>
      </c>
      <c r="E62" s="3">
        <f>VLOOKUP(A62,Raw_Data!A:L,11,FALSE)</f>
        <v>75</v>
      </c>
      <c r="F62" t="str">
        <f>TEXT(VLOOKUP(A62,Raw_Data!A:L,5,FALSE),"mmm")</f>
        <v>Apr</v>
      </c>
    </row>
    <row r="63" spans="1:6" x14ac:dyDescent="0.35">
      <c r="A63" s="3" t="s">
        <v>209</v>
      </c>
      <c r="B63" t="str">
        <f>VLOOKUP(A63,Raw_Data!A:L,6,FALSE)</f>
        <v>Refrigerator</v>
      </c>
      <c r="C63" t="str">
        <f>VLOOKUP(A63,Raw_Data!A:L,3,FALSE)</f>
        <v>Poland</v>
      </c>
      <c r="D63" s="3">
        <f>VLOOKUP(A63,Raw_Data!A:L,12,FALSE)</f>
        <v>9720</v>
      </c>
      <c r="E63" s="3">
        <f>VLOOKUP(A63,Raw_Data!A:L,11,FALSE)</f>
        <v>12</v>
      </c>
      <c r="F63" t="str">
        <f>TEXT(VLOOKUP(A63,Raw_Data!A:L,5,FALSE),"mmm")</f>
        <v>May</v>
      </c>
    </row>
    <row r="64" spans="1:6" x14ac:dyDescent="0.35">
      <c r="A64" s="3" t="s">
        <v>210</v>
      </c>
      <c r="B64" t="str">
        <f>VLOOKUP(A64,Raw_Data!A:L,6,FALSE)</f>
        <v>Iron</v>
      </c>
      <c r="C64" t="str">
        <f>VLOOKUP(A64,Raw_Data!A:L,3,FALSE)</f>
        <v>Germany</v>
      </c>
      <c r="D64" s="3">
        <f>VLOOKUP(A64,Raw_Data!A:L,12,FALSE)</f>
        <v>672</v>
      </c>
      <c r="E64" s="3">
        <f>VLOOKUP(A64,Raw_Data!A:L,11,FALSE)</f>
        <v>28</v>
      </c>
      <c r="F64" t="str">
        <f>TEXT(VLOOKUP(A64,Raw_Data!A:L,5,FALSE),"mmm")</f>
        <v>Jul</v>
      </c>
    </row>
    <row r="65" spans="1:6" x14ac:dyDescent="0.35">
      <c r="A65" s="3" t="s">
        <v>212</v>
      </c>
      <c r="B65" t="str">
        <f>VLOOKUP(A65,Raw_Data!A:L,6,FALSE)</f>
        <v>Washing Machine</v>
      </c>
      <c r="C65" t="str">
        <f>VLOOKUP(A65,Raw_Data!A:L,3,FALSE)</f>
        <v>USA</v>
      </c>
      <c r="D65" s="3">
        <f>VLOOKUP(A65,Raw_Data!A:L,12,FALSE)</f>
        <v>64800</v>
      </c>
      <c r="E65" s="3">
        <f>VLOOKUP(A65,Raw_Data!A:L,11,FALSE)</f>
        <v>100</v>
      </c>
      <c r="F65" t="str">
        <f>TEXT(VLOOKUP(A65,Raw_Data!A:L,5,FALSE),"mmm")</f>
        <v>Feb</v>
      </c>
    </row>
    <row r="66" spans="1:6" x14ac:dyDescent="0.35">
      <c r="A66" s="3" t="s">
        <v>214</v>
      </c>
      <c r="B66" t="str">
        <f>VLOOKUP(A66,Raw_Data!A:L,6,FALSE)</f>
        <v>Refrigerator</v>
      </c>
      <c r="C66" t="str">
        <f>VLOOKUP(A66,Raw_Data!A:L,3,FALSE)</f>
        <v>China</v>
      </c>
      <c r="D66" s="3">
        <f>VLOOKUP(A66,Raw_Data!A:L,12,FALSE)</f>
        <v>28710</v>
      </c>
      <c r="E66" s="3">
        <f>VLOOKUP(A66,Raw_Data!A:L,11,FALSE)</f>
        <v>29</v>
      </c>
      <c r="F66" t="str">
        <f>TEXT(VLOOKUP(A66,Raw_Data!A:L,5,FALSE),"mmm")</f>
        <v>Mar</v>
      </c>
    </row>
    <row r="67" spans="1:6" x14ac:dyDescent="0.35">
      <c r="A67" s="3" t="s">
        <v>216</v>
      </c>
      <c r="B67" t="str">
        <f>VLOOKUP(A67,Raw_Data!A:L,6,FALSE)</f>
        <v>Washing Machine</v>
      </c>
      <c r="C67" t="str">
        <f>VLOOKUP(A67,Raw_Data!A:L,3,FALSE)</f>
        <v>Czech Republic</v>
      </c>
      <c r="D67" s="3">
        <f>VLOOKUP(A67,Raw_Data!A:L,12,FALSE)</f>
        <v>16560</v>
      </c>
      <c r="E67" s="3">
        <f>VLOOKUP(A67,Raw_Data!A:L,11,FALSE)</f>
        <v>23</v>
      </c>
      <c r="F67" t="str">
        <f>TEXT(VLOOKUP(A67,Raw_Data!A:L,5,FALSE),"mmm")</f>
        <v>Apr</v>
      </c>
    </row>
    <row r="68" spans="1:6" x14ac:dyDescent="0.35">
      <c r="A68" s="3" t="s">
        <v>218</v>
      </c>
      <c r="B68" t="str">
        <f>VLOOKUP(A68,Raw_Data!A:L,6,FALSE)</f>
        <v>Toaster</v>
      </c>
      <c r="C68" t="str">
        <f>VLOOKUP(A68,Raw_Data!A:L,3,FALSE)</f>
        <v>China</v>
      </c>
      <c r="D68" s="3">
        <f>VLOOKUP(A68,Raw_Data!A:L,12,FALSE)</f>
        <v>2067</v>
      </c>
      <c r="E68" s="3">
        <f>VLOOKUP(A68,Raw_Data!A:L,11,FALSE)</f>
        <v>53</v>
      </c>
      <c r="F68" t="str">
        <f>TEXT(VLOOKUP(A68,Raw_Data!A:L,5,FALSE),"mmm")</f>
        <v>Dec</v>
      </c>
    </row>
    <row r="69" spans="1:6" x14ac:dyDescent="0.35">
      <c r="A69" s="3" t="s">
        <v>219</v>
      </c>
      <c r="B69" t="str">
        <f>VLOOKUP(A69,Raw_Data!A:L,6,FALSE)</f>
        <v>Ceiling fan</v>
      </c>
      <c r="C69" t="str">
        <f>VLOOKUP(A69,Raw_Data!A:L,3,FALSE)</f>
        <v>Netherlands</v>
      </c>
      <c r="D69" s="3">
        <f>VLOOKUP(A69,Raw_Data!A:L,12,FALSE)</f>
        <v>13968</v>
      </c>
      <c r="E69" s="3">
        <f>VLOOKUP(A69,Raw_Data!A:L,11,FALSE)</f>
        <v>97</v>
      </c>
      <c r="F69" t="str">
        <f>TEXT(VLOOKUP(A69,Raw_Data!A:L,5,FALSE),"mmm")</f>
        <v>Dec</v>
      </c>
    </row>
    <row r="70" spans="1:6" x14ac:dyDescent="0.35">
      <c r="A70" s="3" t="s">
        <v>221</v>
      </c>
      <c r="B70" t="str">
        <f>VLOOKUP(A70,Raw_Data!A:L,6,FALSE)</f>
        <v>Air conditioner</v>
      </c>
      <c r="C70" t="str">
        <f>VLOOKUP(A70,Raw_Data!A:L,3,FALSE)</f>
        <v>China</v>
      </c>
      <c r="D70" s="3">
        <f>VLOOKUP(A70,Raw_Data!A:L,12,FALSE)</f>
        <v>45738</v>
      </c>
      <c r="E70" s="3">
        <f>VLOOKUP(A70,Raw_Data!A:L,11,FALSE)</f>
        <v>66</v>
      </c>
      <c r="F70" t="str">
        <f>TEXT(VLOOKUP(A70,Raw_Data!A:L,5,FALSE),"mmm")</f>
        <v>Sep</v>
      </c>
    </row>
    <row r="71" spans="1:6" x14ac:dyDescent="0.35">
      <c r="A71" s="3" t="s">
        <v>224</v>
      </c>
      <c r="B71" t="str">
        <f>VLOOKUP(A71,Raw_Data!A:L,6,FALSE)</f>
        <v>Toaster</v>
      </c>
      <c r="C71" t="str">
        <f>VLOOKUP(A71,Raw_Data!A:L,3,FALSE)</f>
        <v>Mexico</v>
      </c>
      <c r="D71" s="3">
        <f>VLOOKUP(A71,Raw_Data!A:L,12,FALSE)</f>
        <v>3465</v>
      </c>
      <c r="E71" s="3">
        <f>VLOOKUP(A71,Raw_Data!A:L,11,FALSE)</f>
        <v>77</v>
      </c>
      <c r="F71" t="str">
        <f>TEXT(VLOOKUP(A71,Raw_Data!A:L,5,FALSE),"mmm")</f>
        <v>Jul</v>
      </c>
    </row>
    <row r="72" spans="1:6" x14ac:dyDescent="0.35">
      <c r="A72" s="3" t="s">
        <v>227</v>
      </c>
      <c r="B72" t="str">
        <f>VLOOKUP(A72,Raw_Data!A:L,6,FALSE)</f>
        <v>Refrigerator</v>
      </c>
      <c r="C72" t="str">
        <f>VLOOKUP(A72,Raw_Data!A:L,3,FALSE)</f>
        <v>Argentina</v>
      </c>
      <c r="D72" s="3">
        <f>VLOOKUP(A72,Raw_Data!A:L,12,FALSE)</f>
        <v>50730</v>
      </c>
      <c r="E72" s="3">
        <f>VLOOKUP(A72,Raw_Data!A:L,11,FALSE)</f>
        <v>89</v>
      </c>
      <c r="F72" t="str">
        <f>TEXT(VLOOKUP(A72,Raw_Data!A:L,5,FALSE),"mmm")</f>
        <v>Oct</v>
      </c>
    </row>
    <row r="73" spans="1:6" x14ac:dyDescent="0.35">
      <c r="A73" s="3" t="s">
        <v>231</v>
      </c>
      <c r="B73" t="str">
        <f>VLOOKUP(A73,Raw_Data!A:L,6,FALSE)</f>
        <v>Blender</v>
      </c>
      <c r="C73" t="str">
        <f>VLOOKUP(A73,Raw_Data!A:L,3,FALSE)</f>
        <v>China</v>
      </c>
      <c r="D73" s="3">
        <f>VLOOKUP(A73,Raw_Data!A:L,12,FALSE)</f>
        <v>2280</v>
      </c>
      <c r="E73" s="3">
        <f>VLOOKUP(A73,Raw_Data!A:L,11,FALSE)</f>
        <v>57</v>
      </c>
      <c r="F73" t="str">
        <f>TEXT(VLOOKUP(A73,Raw_Data!A:L,5,FALSE),"mmm")</f>
        <v>Feb</v>
      </c>
    </row>
    <row r="74" spans="1:6" x14ac:dyDescent="0.35">
      <c r="A74" s="3" t="s">
        <v>233</v>
      </c>
      <c r="B74" t="str">
        <f>VLOOKUP(A74,Raw_Data!A:L,6,FALSE)</f>
        <v>Washing Machine</v>
      </c>
      <c r="C74" t="str">
        <f>VLOOKUP(A74,Raw_Data!A:L,3,FALSE)</f>
        <v>Germany</v>
      </c>
      <c r="D74" s="3">
        <f>VLOOKUP(A74,Raw_Data!A:L,12,FALSE)</f>
        <v>38912</v>
      </c>
      <c r="E74" s="3">
        <f>VLOOKUP(A74,Raw_Data!A:L,11,FALSE)</f>
        <v>64</v>
      </c>
      <c r="F74" t="str">
        <f>TEXT(VLOOKUP(A74,Raw_Data!A:L,5,FALSE),"mmm")</f>
        <v>Nov</v>
      </c>
    </row>
    <row r="75" spans="1:6" x14ac:dyDescent="0.35">
      <c r="A75" s="3" t="s">
        <v>235</v>
      </c>
      <c r="B75" t="str">
        <f>VLOOKUP(A75,Raw_Data!A:L,6,FALSE)</f>
        <v>Microwave</v>
      </c>
      <c r="C75" t="str">
        <f>VLOOKUP(A75,Raw_Data!A:L,3,FALSE)</f>
        <v>UK</v>
      </c>
      <c r="D75" s="3">
        <f>VLOOKUP(A75,Raw_Data!A:L,12,FALSE)</f>
        <v>2660</v>
      </c>
      <c r="E75" s="3">
        <f>VLOOKUP(A75,Raw_Data!A:L,11,FALSE)</f>
        <v>35</v>
      </c>
      <c r="F75" t="str">
        <f>TEXT(VLOOKUP(A75,Raw_Data!A:L,5,FALSE),"mmm")</f>
        <v>Jul</v>
      </c>
    </row>
    <row r="76" spans="1:6" x14ac:dyDescent="0.35">
      <c r="A76" s="3" t="s">
        <v>237</v>
      </c>
      <c r="B76" t="str">
        <f>VLOOKUP(A76,Raw_Data!A:L,6,FALSE)</f>
        <v>Air conditioner</v>
      </c>
      <c r="C76" t="str">
        <f>VLOOKUP(A76,Raw_Data!A:L,3,FALSE)</f>
        <v>Ireland</v>
      </c>
      <c r="D76" s="3">
        <f>VLOOKUP(A76,Raw_Data!A:L,12,FALSE)</f>
        <v>29197</v>
      </c>
      <c r="E76" s="3">
        <f>VLOOKUP(A76,Raw_Data!A:L,11,FALSE)</f>
        <v>43</v>
      </c>
      <c r="F76" t="str">
        <f>TEXT(VLOOKUP(A76,Raw_Data!A:L,5,FALSE),"mmm")</f>
        <v>Apr</v>
      </c>
    </row>
    <row r="77" spans="1:6" x14ac:dyDescent="0.35">
      <c r="A77" s="3" t="s">
        <v>239</v>
      </c>
      <c r="B77" t="str">
        <f>VLOOKUP(A77,Raw_Data!A:L,6,FALSE)</f>
        <v>Microwave</v>
      </c>
      <c r="C77" t="str">
        <f>VLOOKUP(A77,Raw_Data!A:L,3,FALSE)</f>
        <v>USA</v>
      </c>
      <c r="D77" s="3">
        <f>VLOOKUP(A77,Raw_Data!A:L,12,FALSE)</f>
        <v>2958</v>
      </c>
      <c r="E77" s="3">
        <f>VLOOKUP(A77,Raw_Data!A:L,11,FALSE)</f>
        <v>51</v>
      </c>
      <c r="F77" t="str">
        <f>TEXT(VLOOKUP(A77,Raw_Data!A:L,5,FALSE),"mmm")</f>
        <v>Aug</v>
      </c>
    </row>
    <row r="78" spans="1:6" x14ac:dyDescent="0.35">
      <c r="A78" s="3" t="s">
        <v>241</v>
      </c>
      <c r="B78" t="str">
        <f>VLOOKUP(A78,Raw_Data!A:L,6,FALSE)</f>
        <v>Iron</v>
      </c>
      <c r="C78" t="str">
        <f>VLOOKUP(A78,Raw_Data!A:L,3,FALSE)</f>
        <v>Spain</v>
      </c>
      <c r="D78" s="3">
        <f>VLOOKUP(A78,Raw_Data!A:L,12,FALSE)</f>
        <v>702</v>
      </c>
      <c r="E78" s="3">
        <f>VLOOKUP(A78,Raw_Data!A:L,11,FALSE)</f>
        <v>27</v>
      </c>
      <c r="F78" t="str">
        <f>TEXT(VLOOKUP(A78,Raw_Data!A:L,5,FALSE),"mmm")</f>
        <v>Mar</v>
      </c>
    </row>
    <row r="79" spans="1:6" x14ac:dyDescent="0.35">
      <c r="A79" s="3" t="s">
        <v>245</v>
      </c>
      <c r="B79" t="str">
        <f>VLOOKUP(A79,Raw_Data!A:L,6,FALSE)</f>
        <v>Ceiling fan</v>
      </c>
      <c r="C79" t="str">
        <f>VLOOKUP(A79,Raw_Data!A:L,3,FALSE)</f>
        <v>China</v>
      </c>
      <c r="D79" s="3">
        <f>VLOOKUP(A79,Raw_Data!A:L,12,FALSE)</f>
        <v>6020</v>
      </c>
      <c r="E79" s="3">
        <f>VLOOKUP(A79,Raw_Data!A:L,11,FALSE)</f>
        <v>43</v>
      </c>
      <c r="F79" t="str">
        <f>TEXT(VLOOKUP(A79,Raw_Data!A:L,5,FALSE),"mmm")</f>
        <v>Oct</v>
      </c>
    </row>
    <row r="80" spans="1:6" x14ac:dyDescent="0.35">
      <c r="A80" s="3" t="s">
        <v>247</v>
      </c>
      <c r="B80" t="str">
        <f>VLOOKUP(A80,Raw_Data!A:L,6,FALSE)</f>
        <v>Oven</v>
      </c>
      <c r="C80" t="str">
        <f>VLOOKUP(A80,Raw_Data!A:L,3,FALSE)</f>
        <v>India</v>
      </c>
      <c r="D80" s="3">
        <f>VLOOKUP(A80,Raw_Data!A:L,12,FALSE)</f>
        <v>20580</v>
      </c>
      <c r="E80" s="3">
        <f>VLOOKUP(A80,Raw_Data!A:L,11,FALSE)</f>
        <v>42</v>
      </c>
      <c r="F80" t="str">
        <f>TEXT(VLOOKUP(A80,Raw_Data!A:L,5,FALSE),"mmm")</f>
        <v>Aug</v>
      </c>
    </row>
    <row r="81" spans="1:6" x14ac:dyDescent="0.35">
      <c r="A81" s="3" t="s">
        <v>249</v>
      </c>
      <c r="B81" t="str">
        <f>VLOOKUP(A81,Raw_Data!A:L,6,FALSE)</f>
        <v>Vacuum Cleaner</v>
      </c>
      <c r="C81" t="str">
        <f>VLOOKUP(A81,Raw_Data!A:L,3,FALSE)</f>
        <v>Turkey</v>
      </c>
      <c r="D81" s="3">
        <f>VLOOKUP(A81,Raw_Data!A:L,12,FALSE)</f>
        <v>5425</v>
      </c>
      <c r="E81" s="3">
        <f>VLOOKUP(A81,Raw_Data!A:L,11,FALSE)</f>
        <v>35</v>
      </c>
      <c r="F81" t="str">
        <f>TEXT(VLOOKUP(A81,Raw_Data!A:L,5,FALSE),"mmm")</f>
        <v>Aug</v>
      </c>
    </row>
    <row r="82" spans="1:6" x14ac:dyDescent="0.35">
      <c r="A82" s="3" t="s">
        <v>251</v>
      </c>
      <c r="B82" t="str">
        <f>VLOOKUP(A82,Raw_Data!A:L,6,FALSE)</f>
        <v>Coffee grinder</v>
      </c>
      <c r="C82" t="str">
        <f>VLOOKUP(A82,Raw_Data!A:L,3,FALSE)</f>
        <v>Colombia</v>
      </c>
      <c r="D82" s="3">
        <f>VLOOKUP(A82,Raw_Data!A:L,12,FALSE)</f>
        <v>2640</v>
      </c>
      <c r="E82" s="3">
        <f>VLOOKUP(A82,Raw_Data!A:L,11,FALSE)</f>
        <v>55</v>
      </c>
      <c r="F82" t="str">
        <f>TEXT(VLOOKUP(A82,Raw_Data!A:L,5,FALSE),"mmm")</f>
        <v>Aug</v>
      </c>
    </row>
    <row r="83" spans="1:6" x14ac:dyDescent="0.35">
      <c r="A83" s="3" t="s">
        <v>253</v>
      </c>
      <c r="B83" t="str">
        <f>VLOOKUP(A83,Raw_Data!A:L,6,FALSE)</f>
        <v>Coffee grinder</v>
      </c>
      <c r="C83" t="str">
        <f>VLOOKUP(A83,Raw_Data!A:L,3,FALSE)</f>
        <v>Peru</v>
      </c>
      <c r="D83" s="3">
        <f>VLOOKUP(A83,Raw_Data!A:L,12,FALSE)</f>
        <v>5796</v>
      </c>
      <c r="E83" s="3">
        <f>VLOOKUP(A83,Raw_Data!A:L,11,FALSE)</f>
        <v>84</v>
      </c>
      <c r="F83" t="str">
        <f>TEXT(VLOOKUP(A83,Raw_Data!A:L,5,FALSE),"mmm")</f>
        <v>Apr</v>
      </c>
    </row>
    <row r="84" spans="1:6" x14ac:dyDescent="0.35">
      <c r="A84" s="3" t="s">
        <v>255</v>
      </c>
      <c r="B84" t="str">
        <f>VLOOKUP(A84,Raw_Data!A:L,6,FALSE)</f>
        <v>Toaster</v>
      </c>
      <c r="C84" t="str">
        <f>VLOOKUP(A84,Raw_Data!A:L,3,FALSE)</f>
        <v>Austria</v>
      </c>
      <c r="D84" s="3">
        <f>VLOOKUP(A84,Raw_Data!A:L,12,FALSE)</f>
        <v>4606</v>
      </c>
      <c r="E84" s="3">
        <f>VLOOKUP(A84,Raw_Data!A:L,11,FALSE)</f>
        <v>98</v>
      </c>
      <c r="F84" t="str">
        <f>TEXT(VLOOKUP(A84,Raw_Data!A:L,5,FALSE),"mmm")</f>
        <v>Dec</v>
      </c>
    </row>
    <row r="85" spans="1:6" x14ac:dyDescent="0.35">
      <c r="A85" s="3" t="s">
        <v>259</v>
      </c>
      <c r="B85" t="str">
        <f>VLOOKUP(A85,Raw_Data!A:L,6,FALSE)</f>
        <v>Vacuum Cleaner</v>
      </c>
      <c r="C85" t="str">
        <f>VLOOKUP(A85,Raw_Data!A:L,3,FALSE)</f>
        <v>Brazil</v>
      </c>
      <c r="D85" s="3">
        <f>VLOOKUP(A85,Raw_Data!A:L,12,FALSE)</f>
        <v>5850</v>
      </c>
      <c r="E85" s="3">
        <f>VLOOKUP(A85,Raw_Data!A:L,11,FALSE)</f>
        <v>30</v>
      </c>
      <c r="F85" t="str">
        <f>TEXT(VLOOKUP(A85,Raw_Data!A:L,5,FALSE),"mmm")</f>
        <v>Nov</v>
      </c>
    </row>
    <row r="86" spans="1:6" x14ac:dyDescent="0.35">
      <c r="A86" s="3" t="s">
        <v>260</v>
      </c>
      <c r="B86" t="str">
        <f>VLOOKUP(A86,Raw_Data!A:L,6,FALSE)</f>
        <v>Washing Machine</v>
      </c>
      <c r="C86" t="str">
        <f>VLOOKUP(A86,Raw_Data!A:L,3,FALSE)</f>
        <v>China</v>
      </c>
      <c r="D86" s="3">
        <f>VLOOKUP(A86,Raw_Data!A:L,12,FALSE)</f>
        <v>10240</v>
      </c>
      <c r="E86" s="3">
        <f>VLOOKUP(A86,Raw_Data!A:L,11,FALSE)</f>
        <v>20</v>
      </c>
      <c r="F86" t="str">
        <f>TEXT(VLOOKUP(A86,Raw_Data!A:L,5,FALSE),"mmm")</f>
        <v>Dec</v>
      </c>
    </row>
    <row r="87" spans="1:6" x14ac:dyDescent="0.35">
      <c r="A87" s="3" t="s">
        <v>262</v>
      </c>
      <c r="B87" t="str">
        <f>VLOOKUP(A87,Raw_Data!A:L,6,FALSE)</f>
        <v>Microwave</v>
      </c>
      <c r="C87" t="str">
        <f>VLOOKUP(A87,Raw_Data!A:L,3,FALSE)</f>
        <v>China</v>
      </c>
      <c r="D87" s="3">
        <f>VLOOKUP(A87,Raw_Data!A:L,12,FALSE)</f>
        <v>4108</v>
      </c>
      <c r="E87" s="3">
        <f>VLOOKUP(A87,Raw_Data!A:L,11,FALSE)</f>
        <v>52</v>
      </c>
      <c r="F87" t="str">
        <f>TEXT(VLOOKUP(A87,Raw_Data!A:L,5,FALSE),"mmm")</f>
        <v>Mar</v>
      </c>
    </row>
    <row r="88" spans="1:6" x14ac:dyDescent="0.35">
      <c r="A88" s="3" t="s">
        <v>264</v>
      </c>
      <c r="B88" t="str">
        <f>VLOOKUP(A88,Raw_Data!A:L,6,FALSE)</f>
        <v>Coffee grinder</v>
      </c>
      <c r="C88" t="str">
        <f>VLOOKUP(A88,Raw_Data!A:L,3,FALSE)</f>
        <v>Egypt</v>
      </c>
      <c r="D88" s="3">
        <f>VLOOKUP(A88,Raw_Data!A:L,12,FALSE)</f>
        <v>3100</v>
      </c>
      <c r="E88" s="3">
        <f>VLOOKUP(A88,Raw_Data!A:L,11,FALSE)</f>
        <v>62</v>
      </c>
      <c r="F88" t="str">
        <f>TEXT(VLOOKUP(A88,Raw_Data!A:L,5,FALSE),"mmm")</f>
        <v>Jun</v>
      </c>
    </row>
    <row r="89" spans="1:6" x14ac:dyDescent="0.35">
      <c r="A89" s="3" t="s">
        <v>268</v>
      </c>
      <c r="B89" t="str">
        <f>VLOOKUP(A89,Raw_Data!A:L,6,FALSE)</f>
        <v>Ceiling fan</v>
      </c>
      <c r="C89" t="str">
        <f>VLOOKUP(A89,Raw_Data!A:L,3,FALSE)</f>
        <v>USA</v>
      </c>
      <c r="D89" s="3">
        <f>VLOOKUP(A89,Raw_Data!A:L,12,FALSE)</f>
        <v>14550</v>
      </c>
      <c r="E89" s="3">
        <f>VLOOKUP(A89,Raw_Data!A:L,11,FALSE)</f>
        <v>97</v>
      </c>
      <c r="F89" t="str">
        <f>TEXT(VLOOKUP(A89,Raw_Data!A:L,5,FALSE),"mmm")</f>
        <v>Jul</v>
      </c>
    </row>
    <row r="90" spans="1:6" x14ac:dyDescent="0.35">
      <c r="A90" s="3" t="s">
        <v>270</v>
      </c>
      <c r="B90" t="str">
        <f>VLOOKUP(A90,Raw_Data!A:L,6,FALSE)</f>
        <v>Coffee grinder</v>
      </c>
      <c r="C90" t="str">
        <f>VLOOKUP(A90,Raw_Data!A:L,3,FALSE)</f>
        <v>Malaysia</v>
      </c>
      <c r="D90" s="3">
        <f>VLOOKUP(A90,Raw_Data!A:L,12,FALSE)</f>
        <v>5440</v>
      </c>
      <c r="E90" s="3">
        <f>VLOOKUP(A90,Raw_Data!A:L,11,FALSE)</f>
        <v>85</v>
      </c>
      <c r="F90" t="str">
        <f>TEXT(VLOOKUP(A90,Raw_Data!A:L,5,FALSE),"mmm")</f>
        <v>Apr</v>
      </c>
    </row>
    <row r="91" spans="1:6" x14ac:dyDescent="0.35">
      <c r="A91" s="3" t="s">
        <v>274</v>
      </c>
      <c r="B91" t="str">
        <f>VLOOKUP(A91,Raw_Data!A:L,6,FALSE)</f>
        <v>Toaster</v>
      </c>
      <c r="C91" t="str">
        <f>VLOOKUP(A91,Raw_Data!A:L,3,FALSE)</f>
        <v>Poland</v>
      </c>
      <c r="D91" s="3">
        <f>VLOOKUP(A91,Raw_Data!A:L,12,FALSE)</f>
        <v>3634</v>
      </c>
      <c r="E91" s="3">
        <f>VLOOKUP(A91,Raw_Data!A:L,11,FALSE)</f>
        <v>79</v>
      </c>
      <c r="F91" t="str">
        <f>TEXT(VLOOKUP(A91,Raw_Data!A:L,5,FALSE),"mmm")</f>
        <v>Mar</v>
      </c>
    </row>
    <row r="92" spans="1:6" x14ac:dyDescent="0.35">
      <c r="A92" s="3" t="s">
        <v>276</v>
      </c>
      <c r="B92" t="str">
        <f>VLOOKUP(A92,Raw_Data!A:L,6,FALSE)</f>
        <v>Refrigerator</v>
      </c>
      <c r="C92" t="str">
        <f>VLOOKUP(A92,Raw_Data!A:L,3,FALSE)</f>
        <v>Russia</v>
      </c>
      <c r="D92" s="3">
        <f>VLOOKUP(A92,Raw_Data!A:L,12,FALSE)</f>
        <v>83600</v>
      </c>
      <c r="E92" s="3">
        <f>VLOOKUP(A92,Raw_Data!A:L,11,FALSE)</f>
        <v>95</v>
      </c>
      <c r="F92" t="str">
        <f>TEXT(VLOOKUP(A92,Raw_Data!A:L,5,FALSE),"mmm")</f>
        <v>Nov</v>
      </c>
    </row>
    <row r="93" spans="1:6" x14ac:dyDescent="0.35">
      <c r="A93" s="3" t="s">
        <v>278</v>
      </c>
      <c r="B93" t="str">
        <f>VLOOKUP(A93,Raw_Data!A:L,6,FALSE)</f>
        <v>Washing Machine</v>
      </c>
      <c r="C93" t="str">
        <f>VLOOKUP(A93,Raw_Data!A:L,3,FALSE)</f>
        <v>Argentina</v>
      </c>
      <c r="D93" s="3">
        <f>VLOOKUP(A93,Raw_Data!A:L,12,FALSE)</f>
        <v>56248</v>
      </c>
      <c r="E93" s="3">
        <f>VLOOKUP(A93,Raw_Data!A:L,11,FALSE)</f>
        <v>79</v>
      </c>
      <c r="F93" t="str">
        <f>TEXT(VLOOKUP(A93,Raw_Data!A:L,5,FALSE),"mmm")</f>
        <v>Mar</v>
      </c>
    </row>
    <row r="94" spans="1:6" x14ac:dyDescent="0.35">
      <c r="A94" s="3" t="s">
        <v>280</v>
      </c>
      <c r="B94" t="str">
        <f>VLOOKUP(A94,Raw_Data!A:L,6,FALSE)</f>
        <v>Refrigerator</v>
      </c>
      <c r="C94" t="str">
        <f>VLOOKUP(A94,Raw_Data!A:L,3,FALSE)</f>
        <v>Thailand</v>
      </c>
      <c r="D94" s="3">
        <f>VLOOKUP(A94,Raw_Data!A:L,12,FALSE)</f>
        <v>61420</v>
      </c>
      <c r="E94" s="3">
        <f>VLOOKUP(A94,Raw_Data!A:L,11,FALSE)</f>
        <v>83</v>
      </c>
      <c r="F94" t="str">
        <f>TEXT(VLOOKUP(A94,Raw_Data!A:L,5,FALSE),"mmm")</f>
        <v>Jul</v>
      </c>
    </row>
    <row r="95" spans="1:6" x14ac:dyDescent="0.35">
      <c r="A95" s="3" t="s">
        <v>282</v>
      </c>
      <c r="B95" t="str">
        <f>VLOOKUP(A95,Raw_Data!A:L,6,FALSE)</f>
        <v>Blender</v>
      </c>
      <c r="C95" t="str">
        <f>VLOOKUP(A95,Raw_Data!A:L,3,FALSE)</f>
        <v>Israel</v>
      </c>
      <c r="D95" s="3">
        <f>VLOOKUP(A95,Raw_Data!A:L,12,FALSE)</f>
        <v>2555</v>
      </c>
      <c r="E95" s="3">
        <f>VLOOKUP(A95,Raw_Data!A:L,11,FALSE)</f>
        <v>73</v>
      </c>
      <c r="F95" t="str">
        <f>TEXT(VLOOKUP(A95,Raw_Data!A:L,5,FALSE),"mmm")</f>
        <v>Feb</v>
      </c>
    </row>
    <row r="96" spans="1:6" x14ac:dyDescent="0.35">
      <c r="A96" s="3" t="s">
        <v>284</v>
      </c>
      <c r="B96" t="str">
        <f>VLOOKUP(A96,Raw_Data!A:L,6,FALSE)</f>
        <v>Washing Machine</v>
      </c>
      <c r="C96" t="str">
        <f>VLOOKUP(A96,Raw_Data!A:L,3,FALSE)</f>
        <v>Czech Republic</v>
      </c>
      <c r="D96" s="3">
        <f>VLOOKUP(A96,Raw_Data!A:L,12,FALSE)</f>
        <v>28160</v>
      </c>
      <c r="E96" s="3">
        <f>VLOOKUP(A96,Raw_Data!A:L,11,FALSE)</f>
        <v>40</v>
      </c>
      <c r="F96" t="str">
        <f>TEXT(VLOOKUP(A96,Raw_Data!A:L,5,FALSE),"mmm")</f>
        <v>Nov</v>
      </c>
    </row>
    <row r="97" spans="1:6" x14ac:dyDescent="0.35">
      <c r="A97" s="3" t="s">
        <v>285</v>
      </c>
      <c r="B97" t="str">
        <f>VLOOKUP(A97,Raw_Data!A:L,6,FALSE)</f>
        <v>Refrigerator</v>
      </c>
      <c r="C97" t="str">
        <f>VLOOKUP(A97,Raw_Data!A:L,3,FALSE)</f>
        <v>Japan</v>
      </c>
      <c r="D97" s="3">
        <f>VLOOKUP(A97,Raw_Data!A:L,12,FALSE)</f>
        <v>87420</v>
      </c>
      <c r="E97" s="3">
        <f>VLOOKUP(A97,Raw_Data!A:L,11,FALSE)</f>
        <v>94</v>
      </c>
      <c r="F97" t="str">
        <f>TEXT(VLOOKUP(A97,Raw_Data!A:L,5,FALSE),"mmm")</f>
        <v>Apr</v>
      </c>
    </row>
    <row r="98" spans="1:6" x14ac:dyDescent="0.35">
      <c r="A98" s="3" t="s">
        <v>287</v>
      </c>
      <c r="B98" t="str">
        <f>VLOOKUP(A98,Raw_Data!A:L,6,FALSE)</f>
        <v>Dishwasher</v>
      </c>
      <c r="C98" t="str">
        <f>VLOOKUP(A98,Raw_Data!A:L,3,FALSE)</f>
        <v>Spain</v>
      </c>
      <c r="D98" s="3">
        <f>VLOOKUP(A98,Raw_Data!A:L,12,FALSE)</f>
        <v>455</v>
      </c>
      <c r="E98" s="3">
        <f>VLOOKUP(A98,Raw_Data!A:L,11,FALSE)</f>
        <v>1</v>
      </c>
      <c r="F98" t="str">
        <f>TEXT(VLOOKUP(A98,Raw_Data!A:L,5,FALSE),"mmm")</f>
        <v>Jun</v>
      </c>
    </row>
    <row r="99" spans="1:6" x14ac:dyDescent="0.35">
      <c r="A99" s="3" t="s">
        <v>289</v>
      </c>
      <c r="B99" t="str">
        <f>VLOOKUP(A99,Raw_Data!A:L,6,FALSE)</f>
        <v>Air conditioner</v>
      </c>
      <c r="C99" t="str">
        <f>VLOOKUP(A99,Raw_Data!A:L,3,FALSE)</f>
        <v>USA</v>
      </c>
      <c r="D99" s="3">
        <f>VLOOKUP(A99,Raw_Data!A:L,12,FALSE)</f>
        <v>67900</v>
      </c>
      <c r="E99" s="3">
        <f>VLOOKUP(A99,Raw_Data!A:L,11,FALSE)</f>
        <v>97</v>
      </c>
      <c r="F99" t="str">
        <f>TEXT(VLOOKUP(A99,Raw_Data!A:L,5,FALSE),"mmm")</f>
        <v>Oct</v>
      </c>
    </row>
    <row r="100" spans="1:6" x14ac:dyDescent="0.35">
      <c r="A100" s="3" t="s">
        <v>292</v>
      </c>
      <c r="B100" t="str">
        <f>VLOOKUP(A100,Raw_Data!A:L,6,FALSE)</f>
        <v>Microwave</v>
      </c>
      <c r="C100" t="str">
        <f>VLOOKUP(A100,Raw_Data!A:L,3,FALSE)</f>
        <v>Malaysia</v>
      </c>
      <c r="D100" s="3">
        <f>VLOOKUP(A100,Raw_Data!A:L,12,FALSE)</f>
        <v>7238</v>
      </c>
      <c r="E100" s="3">
        <f>VLOOKUP(A100,Raw_Data!A:L,11,FALSE)</f>
        <v>94</v>
      </c>
      <c r="F100" t="str">
        <f>TEXT(VLOOKUP(A100,Raw_Data!A:L,5,FALSE),"mmm")</f>
        <v>Dec</v>
      </c>
    </row>
    <row r="101" spans="1:6" x14ac:dyDescent="0.35">
      <c r="A101" s="3" t="s">
        <v>293</v>
      </c>
      <c r="B101" t="str">
        <f>VLOOKUP(A101,Raw_Data!A:L,6,FALSE)</f>
        <v>Iron</v>
      </c>
      <c r="C101" t="str">
        <f>VLOOKUP(A101,Raw_Data!A:L,3,FALSE)</f>
        <v>Russia</v>
      </c>
      <c r="D101" s="3">
        <f>VLOOKUP(A101,Raw_Data!A:L,12,FALSE)</f>
        <v>1914</v>
      </c>
      <c r="E101" s="3">
        <f>VLOOKUP(A101,Raw_Data!A:L,11,FALSE)</f>
        <v>66</v>
      </c>
      <c r="F101" t="str">
        <f>TEXT(VLOOKUP(A101,Raw_Data!A:L,5,FALSE),"mmm")</f>
        <v>Apr</v>
      </c>
    </row>
    <row r="102" spans="1:6" x14ac:dyDescent="0.35">
      <c r="A102" s="3" t="s">
        <v>295</v>
      </c>
      <c r="B102" t="str">
        <f>VLOOKUP(A102,Raw_Data!A:L,6,FALSE)</f>
        <v>Blender</v>
      </c>
      <c r="C102" t="str">
        <f>VLOOKUP(A102,Raw_Data!A:L,3,FALSE)</f>
        <v>Israel</v>
      </c>
      <c r="D102" s="3">
        <f>VLOOKUP(A102,Raw_Data!A:L,12,FALSE)</f>
        <v>4500</v>
      </c>
      <c r="E102" s="3">
        <f>VLOOKUP(A102,Raw_Data!A:L,11,FALSE)</f>
        <v>90</v>
      </c>
      <c r="F102" t="str">
        <f>TEXT(VLOOKUP(A102,Raw_Data!A:L,5,FALSE),"mmm")</f>
        <v>Apr</v>
      </c>
    </row>
    <row r="103" spans="1:6" x14ac:dyDescent="0.35">
      <c r="A103" s="3" t="s">
        <v>297</v>
      </c>
      <c r="B103" t="str">
        <f>VLOOKUP(A103,Raw_Data!A:L,6,FALSE)</f>
        <v>Air conditioner</v>
      </c>
      <c r="C103" t="str">
        <f>VLOOKUP(A103,Raw_Data!A:L,3,FALSE)</f>
        <v>Russia</v>
      </c>
      <c r="D103" s="3">
        <f>VLOOKUP(A103,Raw_Data!A:L,12,FALSE)</f>
        <v>35987</v>
      </c>
      <c r="E103" s="3">
        <f>VLOOKUP(A103,Raw_Data!A:L,11,FALSE)</f>
        <v>53</v>
      </c>
      <c r="F103" t="str">
        <f>TEXT(VLOOKUP(A103,Raw_Data!A:L,5,FALSE),"mmm")</f>
        <v>Apr</v>
      </c>
    </row>
    <row r="104" spans="1:6" x14ac:dyDescent="0.35">
      <c r="A104" s="3" t="s">
        <v>298</v>
      </c>
      <c r="B104" t="str">
        <f>VLOOKUP(A104,Raw_Data!A:L,6,FALSE)</f>
        <v>Blender</v>
      </c>
      <c r="C104" t="str">
        <f>VLOOKUP(A104,Raw_Data!A:L,3,FALSE)</f>
        <v>China</v>
      </c>
      <c r="D104" s="3">
        <f>VLOOKUP(A104,Raw_Data!A:L,12,FALSE)</f>
        <v>2925</v>
      </c>
      <c r="E104" s="3">
        <f>VLOOKUP(A104,Raw_Data!A:L,11,FALSE)</f>
        <v>65</v>
      </c>
      <c r="F104" t="str">
        <f>TEXT(VLOOKUP(A104,Raw_Data!A:L,5,FALSE),"mmm")</f>
        <v>Jul</v>
      </c>
    </row>
    <row r="105" spans="1:6" x14ac:dyDescent="0.35">
      <c r="A105" s="3" t="s">
        <v>299</v>
      </c>
      <c r="B105" t="str">
        <f>VLOOKUP(A105,Raw_Data!A:L,6,FALSE)</f>
        <v>Iron</v>
      </c>
      <c r="C105" t="str">
        <f>VLOOKUP(A105,Raw_Data!A:L,3,FALSE)</f>
        <v>Thailand</v>
      </c>
      <c r="D105" s="3">
        <f>VLOOKUP(A105,Raw_Data!A:L,12,FALSE)</f>
        <v>1230</v>
      </c>
      <c r="E105" s="3">
        <f>VLOOKUP(A105,Raw_Data!A:L,11,FALSE)</f>
        <v>41</v>
      </c>
      <c r="F105" t="str">
        <f>TEXT(VLOOKUP(A105,Raw_Data!A:L,5,FALSE),"mmm")</f>
        <v>Mar</v>
      </c>
    </row>
    <row r="106" spans="1:6" x14ac:dyDescent="0.35">
      <c r="A106" s="3" t="s">
        <v>301</v>
      </c>
      <c r="B106" t="str">
        <f>VLOOKUP(A106,Raw_Data!A:L,6,FALSE)</f>
        <v>Iron</v>
      </c>
      <c r="C106" t="str">
        <f>VLOOKUP(A106,Raw_Data!A:L,3,FALSE)</f>
        <v>Peru</v>
      </c>
      <c r="D106" s="3">
        <f>VLOOKUP(A106,Raw_Data!A:L,12,FALSE)</f>
        <v>600</v>
      </c>
      <c r="E106" s="3">
        <f>VLOOKUP(A106,Raw_Data!A:L,11,FALSE)</f>
        <v>20</v>
      </c>
      <c r="F106" t="str">
        <f>TEXT(VLOOKUP(A106,Raw_Data!A:L,5,FALSE),"mmm")</f>
        <v>Jul</v>
      </c>
    </row>
    <row r="107" spans="1:6" x14ac:dyDescent="0.35">
      <c r="A107" s="3" t="s">
        <v>303</v>
      </c>
      <c r="B107" t="str">
        <f>VLOOKUP(A107,Raw_Data!A:L,6,FALSE)</f>
        <v>Microwave</v>
      </c>
      <c r="C107" t="str">
        <f>VLOOKUP(A107,Raw_Data!A:L,3,FALSE)</f>
        <v>Germany</v>
      </c>
      <c r="D107" s="3">
        <f>VLOOKUP(A107,Raw_Data!A:L,12,FALSE)</f>
        <v>1054</v>
      </c>
      <c r="E107" s="3">
        <f>VLOOKUP(A107,Raw_Data!A:L,11,FALSE)</f>
        <v>17</v>
      </c>
      <c r="F107" t="str">
        <f>TEXT(VLOOKUP(A107,Raw_Data!A:L,5,FALSE),"mmm")</f>
        <v>Nov</v>
      </c>
    </row>
    <row r="108" spans="1:6" x14ac:dyDescent="0.35">
      <c r="A108" s="3" t="s">
        <v>304</v>
      </c>
      <c r="B108" t="str">
        <f>VLOOKUP(A108,Raw_Data!A:L,6,FALSE)</f>
        <v>Microwave</v>
      </c>
      <c r="C108" t="str">
        <f>VLOOKUP(A108,Raw_Data!A:L,3,FALSE)</f>
        <v>USA</v>
      </c>
      <c r="D108" s="3">
        <f>VLOOKUP(A108,Raw_Data!A:L,12,FALSE)</f>
        <v>5244</v>
      </c>
      <c r="E108" s="3">
        <f>VLOOKUP(A108,Raw_Data!A:L,11,FALSE)</f>
        <v>69</v>
      </c>
      <c r="F108" t="str">
        <f>TEXT(VLOOKUP(A108,Raw_Data!A:L,5,FALSE),"mmm")</f>
        <v>Sep</v>
      </c>
    </row>
    <row r="109" spans="1:6" x14ac:dyDescent="0.35">
      <c r="A109" s="3" t="s">
        <v>306</v>
      </c>
      <c r="B109" t="str">
        <f>VLOOKUP(A109,Raw_Data!A:L,6,FALSE)</f>
        <v>Toaster</v>
      </c>
      <c r="C109" t="str">
        <f>VLOOKUP(A109,Raw_Data!A:L,3,FALSE)</f>
        <v>Italy</v>
      </c>
      <c r="D109" s="3">
        <f>VLOOKUP(A109,Raw_Data!A:L,12,FALSE)</f>
        <v>4230</v>
      </c>
      <c r="E109" s="3">
        <f>VLOOKUP(A109,Raw_Data!A:L,11,FALSE)</f>
        <v>94</v>
      </c>
      <c r="F109" t="str">
        <f>TEXT(VLOOKUP(A109,Raw_Data!A:L,5,FALSE),"mmm")</f>
        <v>Jan</v>
      </c>
    </row>
    <row r="110" spans="1:6" x14ac:dyDescent="0.35">
      <c r="A110" s="3" t="s">
        <v>308</v>
      </c>
      <c r="B110" t="str">
        <f>VLOOKUP(A110,Raw_Data!A:L,6,FALSE)</f>
        <v>Refrigerator</v>
      </c>
      <c r="C110" t="str">
        <f>VLOOKUP(A110,Raw_Data!A:L,3,FALSE)</f>
        <v>Egypt</v>
      </c>
      <c r="D110" s="3">
        <f>VLOOKUP(A110,Raw_Data!A:L,12,FALSE)</f>
        <v>26840</v>
      </c>
      <c r="E110" s="3">
        <f>VLOOKUP(A110,Raw_Data!A:L,11,FALSE)</f>
        <v>44</v>
      </c>
      <c r="F110" t="str">
        <f>TEXT(VLOOKUP(A110,Raw_Data!A:L,5,FALSE),"mmm")</f>
        <v>May</v>
      </c>
    </row>
    <row r="111" spans="1:6" x14ac:dyDescent="0.35">
      <c r="A111" s="3" t="s">
        <v>310</v>
      </c>
      <c r="B111" t="str">
        <f>VLOOKUP(A111,Raw_Data!A:L,6,FALSE)</f>
        <v>Coffee grinder</v>
      </c>
      <c r="C111" t="str">
        <f>VLOOKUP(A111,Raw_Data!A:L,3,FALSE)</f>
        <v>Brazil</v>
      </c>
      <c r="D111" s="3">
        <f>VLOOKUP(A111,Raw_Data!A:L,12,FALSE)</f>
        <v>6097</v>
      </c>
      <c r="E111" s="3">
        <f>VLOOKUP(A111,Raw_Data!A:L,11,FALSE)</f>
        <v>91</v>
      </c>
      <c r="F111" t="str">
        <f>TEXT(VLOOKUP(A111,Raw_Data!A:L,5,FALSE),"mmm")</f>
        <v>Oct</v>
      </c>
    </row>
    <row r="112" spans="1:6" x14ac:dyDescent="0.35">
      <c r="A112" s="3" t="s">
        <v>312</v>
      </c>
      <c r="B112" t="str">
        <f>VLOOKUP(A112,Raw_Data!A:L,6,FALSE)</f>
        <v>Coffee grinder</v>
      </c>
      <c r="C112" t="str">
        <f>VLOOKUP(A112,Raw_Data!A:L,3,FALSE)</f>
        <v>Saudi Arabia</v>
      </c>
      <c r="D112" s="3">
        <f>VLOOKUP(A112,Raw_Data!A:L,12,FALSE)</f>
        <v>6324</v>
      </c>
      <c r="E112" s="3">
        <f>VLOOKUP(A112,Raw_Data!A:L,11,FALSE)</f>
        <v>93</v>
      </c>
      <c r="F112" t="str">
        <f>TEXT(VLOOKUP(A112,Raw_Data!A:L,5,FALSE),"mmm")</f>
        <v>Apr</v>
      </c>
    </row>
    <row r="113" spans="1:6" x14ac:dyDescent="0.35">
      <c r="A113" s="3" t="s">
        <v>314</v>
      </c>
      <c r="B113" t="str">
        <f>VLOOKUP(A113,Raw_Data!A:L,6,FALSE)</f>
        <v>Toaster</v>
      </c>
      <c r="C113" t="str">
        <f>VLOOKUP(A113,Raw_Data!A:L,3,FALSE)</f>
        <v>Egypt</v>
      </c>
      <c r="D113" s="3">
        <f>VLOOKUP(A113,Raw_Data!A:L,12,FALSE)</f>
        <v>2750</v>
      </c>
      <c r="E113" s="3">
        <f>VLOOKUP(A113,Raw_Data!A:L,11,FALSE)</f>
        <v>55</v>
      </c>
      <c r="F113" t="str">
        <f>TEXT(VLOOKUP(A113,Raw_Data!A:L,5,FALSE),"mmm")</f>
        <v>Oct</v>
      </c>
    </row>
    <row r="114" spans="1:6" x14ac:dyDescent="0.35">
      <c r="A114" s="3" t="s">
        <v>316</v>
      </c>
      <c r="B114" t="str">
        <f>VLOOKUP(A114,Raw_Data!A:L,6,FALSE)</f>
        <v>Oven</v>
      </c>
      <c r="C114" t="str">
        <f>VLOOKUP(A114,Raw_Data!A:L,3,FALSE)</f>
        <v>Germany</v>
      </c>
      <c r="D114" s="3">
        <f>VLOOKUP(A114,Raw_Data!A:L,12,FALSE)</f>
        <v>2475</v>
      </c>
      <c r="E114" s="3">
        <f>VLOOKUP(A114,Raw_Data!A:L,11,FALSE)</f>
        <v>5</v>
      </c>
      <c r="F114" t="str">
        <f>TEXT(VLOOKUP(A114,Raw_Data!A:L,5,FALSE),"mmm")</f>
        <v>Jul</v>
      </c>
    </row>
    <row r="115" spans="1:6" x14ac:dyDescent="0.35">
      <c r="A115" s="3" t="s">
        <v>317</v>
      </c>
      <c r="B115" t="str">
        <f>VLOOKUP(A115,Raw_Data!A:L,6,FALSE)</f>
        <v>Coffee grinder</v>
      </c>
      <c r="C115" t="str">
        <f>VLOOKUP(A115,Raw_Data!A:L,3,FALSE)</f>
        <v>Vietnam</v>
      </c>
      <c r="D115" s="3">
        <f>VLOOKUP(A115,Raw_Data!A:L,12,FALSE)</f>
        <v>5766</v>
      </c>
      <c r="E115" s="3">
        <f>VLOOKUP(A115,Raw_Data!A:L,11,FALSE)</f>
        <v>93</v>
      </c>
      <c r="F115" t="str">
        <f>TEXT(VLOOKUP(A115,Raw_Data!A:L,5,FALSE),"mmm")</f>
        <v>Sep</v>
      </c>
    </row>
    <row r="116" spans="1:6" x14ac:dyDescent="0.35">
      <c r="A116" s="3" t="s">
        <v>319</v>
      </c>
      <c r="B116" t="str">
        <f>VLOOKUP(A116,Raw_Data!A:L,6,FALSE)</f>
        <v>Oven</v>
      </c>
      <c r="C116" t="str">
        <f>VLOOKUP(A116,Raw_Data!A:L,3,FALSE)</f>
        <v>Netherlands</v>
      </c>
      <c r="D116" s="3">
        <f>VLOOKUP(A116,Raw_Data!A:L,12,FALSE)</f>
        <v>48510</v>
      </c>
      <c r="E116" s="3">
        <f>VLOOKUP(A116,Raw_Data!A:L,11,FALSE)</f>
        <v>99</v>
      </c>
      <c r="F116" t="str">
        <f>TEXT(VLOOKUP(A116,Raw_Data!A:L,5,FALSE),"mmm")</f>
        <v>Nov</v>
      </c>
    </row>
    <row r="117" spans="1:6" x14ac:dyDescent="0.35">
      <c r="A117" s="3" t="s">
        <v>321</v>
      </c>
      <c r="B117" t="str">
        <f>VLOOKUP(A117,Raw_Data!A:L,6,FALSE)</f>
        <v>Microwave</v>
      </c>
      <c r="C117" t="str">
        <f>VLOOKUP(A117,Raw_Data!A:L,3,FALSE)</f>
        <v>Peru</v>
      </c>
      <c r="D117" s="3">
        <f>VLOOKUP(A117,Raw_Data!A:L,12,FALSE)</f>
        <v>1460</v>
      </c>
      <c r="E117" s="3">
        <f>VLOOKUP(A117,Raw_Data!A:L,11,FALSE)</f>
        <v>20</v>
      </c>
      <c r="F117" t="str">
        <f>TEXT(VLOOKUP(A117,Raw_Data!A:L,5,FALSE),"mmm")</f>
        <v>Mar</v>
      </c>
    </row>
    <row r="118" spans="1:6" x14ac:dyDescent="0.35">
      <c r="A118" s="3" t="s">
        <v>323</v>
      </c>
      <c r="B118" t="str">
        <f>VLOOKUP(A118,Raw_Data!A:L,6,FALSE)</f>
        <v>Air conditioner</v>
      </c>
      <c r="C118" t="str">
        <f>VLOOKUP(A118,Raw_Data!A:L,3,FALSE)</f>
        <v>Turkey</v>
      </c>
      <c r="D118" s="3">
        <f>VLOOKUP(A118,Raw_Data!A:L,12,FALSE)</f>
        <v>45584</v>
      </c>
      <c r="E118" s="3">
        <f>VLOOKUP(A118,Raw_Data!A:L,11,FALSE)</f>
        <v>74</v>
      </c>
      <c r="F118" t="str">
        <f>TEXT(VLOOKUP(A118,Raw_Data!A:L,5,FALSE),"mmm")</f>
        <v>Jan</v>
      </c>
    </row>
    <row r="119" spans="1:6" x14ac:dyDescent="0.35">
      <c r="A119" s="3" t="s">
        <v>324</v>
      </c>
      <c r="B119" t="str">
        <f>VLOOKUP(A119,Raw_Data!A:L,6,FALSE)</f>
        <v>Iron</v>
      </c>
      <c r="C119" t="str">
        <f>VLOOKUP(A119,Raw_Data!A:L,3,FALSE)</f>
        <v>Romania</v>
      </c>
      <c r="D119" s="3">
        <f>VLOOKUP(A119,Raw_Data!A:L,12,FALSE)</f>
        <v>1050</v>
      </c>
      <c r="E119" s="3">
        <f>VLOOKUP(A119,Raw_Data!A:L,11,FALSE)</f>
        <v>35</v>
      </c>
      <c r="F119" t="str">
        <f>TEXT(VLOOKUP(A119,Raw_Data!A:L,5,FALSE),"mmm")</f>
        <v>Dec</v>
      </c>
    </row>
    <row r="120" spans="1:6" x14ac:dyDescent="0.35">
      <c r="A120" s="3" t="s">
        <v>328</v>
      </c>
      <c r="B120" t="str">
        <f>VLOOKUP(A120,Raw_Data!A:L,6,FALSE)</f>
        <v>Iron</v>
      </c>
      <c r="C120" t="str">
        <f>VLOOKUP(A120,Raw_Data!A:L,3,FALSE)</f>
        <v>India</v>
      </c>
      <c r="D120" s="3">
        <f>VLOOKUP(A120,Raw_Data!A:L,12,FALSE)</f>
        <v>1633</v>
      </c>
      <c r="E120" s="3">
        <f>VLOOKUP(A120,Raw_Data!A:L,11,FALSE)</f>
        <v>71</v>
      </c>
      <c r="F120" t="str">
        <f>TEXT(VLOOKUP(A120,Raw_Data!A:L,5,FALSE),"mmm")</f>
        <v>Nov</v>
      </c>
    </row>
    <row r="121" spans="1:6" x14ac:dyDescent="0.35">
      <c r="A121" s="3" t="s">
        <v>330</v>
      </c>
      <c r="B121" t="str">
        <f>VLOOKUP(A121,Raw_Data!A:L,6,FALSE)</f>
        <v>Toaster</v>
      </c>
      <c r="C121" t="str">
        <f>VLOOKUP(A121,Raw_Data!A:L,3,FALSE)</f>
        <v>USA</v>
      </c>
      <c r="D121" s="3">
        <f>VLOOKUP(A121,Raw_Data!A:L,12,FALSE)</f>
        <v>1836</v>
      </c>
      <c r="E121" s="3">
        <f>VLOOKUP(A121,Raw_Data!A:L,11,FALSE)</f>
        <v>51</v>
      </c>
      <c r="F121" t="str">
        <f>TEXT(VLOOKUP(A121,Raw_Data!A:L,5,FALSE),"mmm")</f>
        <v>Sep</v>
      </c>
    </row>
    <row r="122" spans="1:6" x14ac:dyDescent="0.35">
      <c r="A122" s="3" t="s">
        <v>331</v>
      </c>
      <c r="B122" t="str">
        <f>VLOOKUP(A122,Raw_Data!A:L,6,FALSE)</f>
        <v>Oven</v>
      </c>
      <c r="C122" t="str">
        <f>VLOOKUP(A122,Raw_Data!A:L,3,FALSE)</f>
        <v>Spain</v>
      </c>
      <c r="D122" s="3">
        <f>VLOOKUP(A122,Raw_Data!A:L,12,FALSE)</f>
        <v>48510</v>
      </c>
      <c r="E122" s="3">
        <f>VLOOKUP(A122,Raw_Data!A:L,11,FALSE)</f>
        <v>99</v>
      </c>
      <c r="F122" t="str">
        <f>TEXT(VLOOKUP(A122,Raw_Data!A:L,5,FALSE),"mmm")</f>
        <v>Apr</v>
      </c>
    </row>
    <row r="123" spans="1:6" x14ac:dyDescent="0.35">
      <c r="A123" s="3" t="s">
        <v>333</v>
      </c>
      <c r="B123" t="str">
        <f>VLOOKUP(A123,Raw_Data!A:L,6,FALSE)</f>
        <v>Washing Machine</v>
      </c>
      <c r="C123" t="str">
        <f>VLOOKUP(A123,Raw_Data!A:L,3,FALSE)</f>
        <v>Czech Republic</v>
      </c>
      <c r="D123" s="3">
        <f>VLOOKUP(A123,Raw_Data!A:L,12,FALSE)</f>
        <v>33600</v>
      </c>
      <c r="E123" s="3">
        <f>VLOOKUP(A123,Raw_Data!A:L,11,FALSE)</f>
        <v>50</v>
      </c>
      <c r="F123" t="str">
        <f>TEXT(VLOOKUP(A123,Raw_Data!A:L,5,FALSE),"mmm")</f>
        <v>Sep</v>
      </c>
    </row>
    <row r="124" spans="1:6" x14ac:dyDescent="0.35">
      <c r="A124" s="3" t="s">
        <v>335</v>
      </c>
      <c r="B124" t="str">
        <f>VLOOKUP(A124,Raw_Data!A:L,6,FALSE)</f>
        <v>Oven</v>
      </c>
      <c r="C124" t="str">
        <f>VLOOKUP(A124,Raw_Data!A:L,3,FALSE)</f>
        <v>Turkey</v>
      </c>
      <c r="D124" s="3">
        <f>VLOOKUP(A124,Raw_Data!A:L,12,FALSE)</f>
        <v>46060</v>
      </c>
      <c r="E124" s="3">
        <f>VLOOKUP(A124,Raw_Data!A:L,11,FALSE)</f>
        <v>94</v>
      </c>
      <c r="F124" t="str">
        <f>TEXT(VLOOKUP(A124,Raw_Data!A:L,5,FALSE),"mmm")</f>
        <v>Nov</v>
      </c>
    </row>
    <row r="125" spans="1:6" x14ac:dyDescent="0.35">
      <c r="A125" s="3" t="s">
        <v>337</v>
      </c>
      <c r="B125" t="str">
        <f>VLOOKUP(A125,Raw_Data!A:L,6,FALSE)</f>
        <v>Ceiling fan</v>
      </c>
      <c r="C125" t="str">
        <f>VLOOKUP(A125,Raw_Data!A:L,3,FALSE)</f>
        <v>Malaysia</v>
      </c>
      <c r="D125" s="3">
        <f>VLOOKUP(A125,Raw_Data!A:L,12,FALSE)</f>
        <v>10500</v>
      </c>
      <c r="E125" s="3">
        <f>VLOOKUP(A125,Raw_Data!A:L,11,FALSE)</f>
        <v>75</v>
      </c>
      <c r="F125" t="str">
        <f>TEXT(VLOOKUP(A125,Raw_Data!A:L,5,FALSE),"mmm")</f>
        <v>Mar</v>
      </c>
    </row>
    <row r="126" spans="1:6" x14ac:dyDescent="0.35">
      <c r="A126" s="3" t="s">
        <v>339</v>
      </c>
      <c r="B126" t="str">
        <f>VLOOKUP(A126,Raw_Data!A:L,6,FALSE)</f>
        <v>Oven</v>
      </c>
      <c r="C126" t="str">
        <f>VLOOKUP(A126,Raw_Data!A:L,3,FALSE)</f>
        <v>USA</v>
      </c>
      <c r="D126" s="3">
        <f>VLOOKUP(A126,Raw_Data!A:L,12,FALSE)</f>
        <v>47520</v>
      </c>
      <c r="E126" s="3">
        <f>VLOOKUP(A126,Raw_Data!A:L,11,FALSE)</f>
        <v>96</v>
      </c>
      <c r="F126" t="str">
        <f>TEXT(VLOOKUP(A126,Raw_Data!A:L,5,FALSE),"mmm")</f>
        <v>Jan</v>
      </c>
    </row>
    <row r="127" spans="1:6" x14ac:dyDescent="0.35">
      <c r="A127" s="3" t="s">
        <v>340</v>
      </c>
      <c r="B127" t="str">
        <f>VLOOKUP(A127,Raw_Data!A:L,6,FALSE)</f>
        <v>Ceiling fan</v>
      </c>
      <c r="C127" t="str">
        <f>VLOOKUP(A127,Raw_Data!A:L,3,FALSE)</f>
        <v>Greece</v>
      </c>
      <c r="D127" s="3">
        <f>VLOOKUP(A127,Raw_Data!A:L,12,FALSE)</f>
        <v>11850</v>
      </c>
      <c r="E127" s="3">
        <f>VLOOKUP(A127,Raw_Data!A:L,11,FALSE)</f>
        <v>79</v>
      </c>
      <c r="F127" t="str">
        <f>TEXT(VLOOKUP(A127,Raw_Data!A:L,5,FALSE),"mmm")</f>
        <v>Apr</v>
      </c>
    </row>
    <row r="128" spans="1:6" x14ac:dyDescent="0.35">
      <c r="A128" s="3" t="s">
        <v>342</v>
      </c>
      <c r="B128" t="str">
        <f>VLOOKUP(A128,Raw_Data!A:L,6,FALSE)</f>
        <v>Iron</v>
      </c>
      <c r="C128" t="str">
        <f>VLOOKUP(A128,Raw_Data!A:L,3,FALSE)</f>
        <v>UK</v>
      </c>
      <c r="D128" s="3">
        <f>VLOOKUP(A128,Raw_Data!A:L,12,FALSE)</f>
        <v>1769</v>
      </c>
      <c r="E128" s="3">
        <f>VLOOKUP(A128,Raw_Data!A:L,11,FALSE)</f>
        <v>61</v>
      </c>
      <c r="F128" t="str">
        <f>TEXT(VLOOKUP(A128,Raw_Data!A:L,5,FALSE),"mmm")</f>
        <v>Mar</v>
      </c>
    </row>
    <row r="129" spans="1:6" x14ac:dyDescent="0.35">
      <c r="A129" s="3" t="s">
        <v>343</v>
      </c>
      <c r="B129" t="str">
        <f>VLOOKUP(A129,Raw_Data!A:L,6,FALSE)</f>
        <v>Oven</v>
      </c>
      <c r="C129" t="str">
        <f>VLOOKUP(A129,Raw_Data!A:L,3,FALSE)</f>
        <v>USA</v>
      </c>
      <c r="D129" s="3">
        <f>VLOOKUP(A129,Raw_Data!A:L,12,FALSE)</f>
        <v>23500</v>
      </c>
      <c r="E129" s="3">
        <f>VLOOKUP(A129,Raw_Data!A:L,11,FALSE)</f>
        <v>47</v>
      </c>
      <c r="F129" t="str">
        <f>TEXT(VLOOKUP(A129,Raw_Data!A:L,5,FALSE),"mmm")</f>
        <v>Aug</v>
      </c>
    </row>
    <row r="130" spans="1:6" x14ac:dyDescent="0.35">
      <c r="A130" s="3" t="s">
        <v>344</v>
      </c>
      <c r="B130" t="str">
        <f>VLOOKUP(A130,Raw_Data!A:L,6,FALSE)</f>
        <v>Refrigerator</v>
      </c>
      <c r="C130" t="str">
        <f>VLOOKUP(A130,Raw_Data!A:L,3,FALSE)</f>
        <v>Japan</v>
      </c>
      <c r="D130" s="3">
        <f>VLOOKUP(A130,Raw_Data!A:L,12,FALSE)</f>
        <v>9180</v>
      </c>
      <c r="E130" s="3">
        <f>VLOOKUP(A130,Raw_Data!A:L,11,FALSE)</f>
        <v>18</v>
      </c>
      <c r="F130" t="str">
        <f>TEXT(VLOOKUP(A130,Raw_Data!A:L,5,FALSE),"mmm")</f>
        <v>Jul</v>
      </c>
    </row>
    <row r="131" spans="1:6" x14ac:dyDescent="0.35">
      <c r="A131" s="3" t="s">
        <v>346</v>
      </c>
      <c r="B131" t="str">
        <f>VLOOKUP(A131,Raw_Data!A:L,6,FALSE)</f>
        <v>Oven</v>
      </c>
      <c r="C131" t="str">
        <f>VLOOKUP(A131,Raw_Data!A:L,3,FALSE)</f>
        <v>USA</v>
      </c>
      <c r="D131" s="3">
        <f>VLOOKUP(A131,Raw_Data!A:L,12,FALSE)</f>
        <v>5390</v>
      </c>
      <c r="E131" s="3">
        <f>VLOOKUP(A131,Raw_Data!A:L,11,FALSE)</f>
        <v>11</v>
      </c>
      <c r="F131" t="str">
        <f>TEXT(VLOOKUP(A131,Raw_Data!A:L,5,FALSE),"mmm")</f>
        <v>Feb</v>
      </c>
    </row>
    <row r="132" spans="1:6" x14ac:dyDescent="0.35">
      <c r="A132" s="3" t="s">
        <v>348</v>
      </c>
      <c r="B132" t="str">
        <f>VLOOKUP(A132,Raw_Data!A:L,6,FALSE)</f>
        <v>Toaster</v>
      </c>
      <c r="C132" t="str">
        <f>VLOOKUP(A132,Raw_Data!A:L,3,FALSE)</f>
        <v>Russia</v>
      </c>
      <c r="D132" s="3">
        <f>VLOOKUP(A132,Raw_Data!A:L,12,FALSE)</f>
        <v>2650</v>
      </c>
      <c r="E132" s="3">
        <f>VLOOKUP(A132,Raw_Data!A:L,11,FALSE)</f>
        <v>53</v>
      </c>
      <c r="F132" t="str">
        <f>TEXT(VLOOKUP(A132,Raw_Data!A:L,5,FALSE),"mmm")</f>
        <v>Dec</v>
      </c>
    </row>
    <row r="133" spans="1:6" x14ac:dyDescent="0.35">
      <c r="A133" s="3" t="s">
        <v>350</v>
      </c>
      <c r="B133" t="str">
        <f>VLOOKUP(A133,Raw_Data!A:L,6,FALSE)</f>
        <v>Air conditioner</v>
      </c>
      <c r="C133" t="str">
        <f>VLOOKUP(A133,Raw_Data!A:L,3,FALSE)</f>
        <v>Spain</v>
      </c>
      <c r="D133" s="3">
        <f>VLOOKUP(A133,Raw_Data!A:L,12,FALSE)</f>
        <v>13300</v>
      </c>
      <c r="E133" s="3">
        <f>VLOOKUP(A133,Raw_Data!A:L,11,FALSE)</f>
        <v>20</v>
      </c>
      <c r="F133" t="str">
        <f>TEXT(VLOOKUP(A133,Raw_Data!A:L,5,FALSE),"mmm")</f>
        <v>Jul</v>
      </c>
    </row>
    <row r="134" spans="1:6" x14ac:dyDescent="0.35">
      <c r="A134" s="3" t="s">
        <v>352</v>
      </c>
      <c r="B134" t="str">
        <f>VLOOKUP(A134,Raw_Data!A:L,6,FALSE)</f>
        <v>Vacuum Cleaner</v>
      </c>
      <c r="C134" t="str">
        <f>VLOOKUP(A134,Raw_Data!A:L,3,FALSE)</f>
        <v>USA</v>
      </c>
      <c r="D134" s="3">
        <f>VLOOKUP(A134,Raw_Data!A:L,12,FALSE)</f>
        <v>12775</v>
      </c>
      <c r="E134" s="3">
        <f>VLOOKUP(A134,Raw_Data!A:L,11,FALSE)</f>
        <v>73</v>
      </c>
      <c r="F134" t="str">
        <f>TEXT(VLOOKUP(A134,Raw_Data!A:L,5,FALSE),"mmm")</f>
        <v>Aug</v>
      </c>
    </row>
    <row r="135" spans="1:6" x14ac:dyDescent="0.35">
      <c r="A135" s="3" t="s">
        <v>354</v>
      </c>
      <c r="B135" t="str">
        <f>VLOOKUP(A135,Raw_Data!A:L,6,FALSE)</f>
        <v>Blender</v>
      </c>
      <c r="C135" t="str">
        <f>VLOOKUP(A135,Raw_Data!A:L,3,FALSE)</f>
        <v>USA</v>
      </c>
      <c r="D135" s="3">
        <f>VLOOKUP(A135,Raw_Data!A:L,12,FALSE)</f>
        <v>3264</v>
      </c>
      <c r="E135" s="3">
        <f>VLOOKUP(A135,Raw_Data!A:L,11,FALSE)</f>
        <v>68</v>
      </c>
      <c r="F135" t="str">
        <f>TEXT(VLOOKUP(A135,Raw_Data!A:L,5,FALSE),"mmm")</f>
        <v>Oct</v>
      </c>
    </row>
    <row r="136" spans="1:6" x14ac:dyDescent="0.35">
      <c r="A136" s="3" t="s">
        <v>356</v>
      </c>
      <c r="B136" t="str">
        <f>VLOOKUP(A136,Raw_Data!A:L,6,FALSE)</f>
        <v>Ceiling fan</v>
      </c>
      <c r="C136" t="str">
        <f>VLOOKUP(A136,Raw_Data!A:L,3,FALSE)</f>
        <v>Spain</v>
      </c>
      <c r="D136" s="3">
        <f>VLOOKUP(A136,Raw_Data!A:L,12,FALSE)</f>
        <v>730</v>
      </c>
      <c r="E136" s="3">
        <f>VLOOKUP(A136,Raw_Data!A:L,11,FALSE)</f>
        <v>5</v>
      </c>
      <c r="F136" t="str">
        <f>TEXT(VLOOKUP(A136,Raw_Data!A:L,5,FALSE),"mmm")</f>
        <v>Apr</v>
      </c>
    </row>
    <row r="137" spans="1:6" x14ac:dyDescent="0.35">
      <c r="A137" s="3" t="s">
        <v>357</v>
      </c>
      <c r="B137" t="str">
        <f>VLOOKUP(A137,Raw_Data!A:L,6,FALSE)</f>
        <v>Ceiling fan</v>
      </c>
      <c r="C137" t="str">
        <f>VLOOKUP(A137,Raw_Data!A:L,3,FALSE)</f>
        <v>Thailand</v>
      </c>
      <c r="D137" s="3">
        <f>VLOOKUP(A137,Raw_Data!A:L,12,FALSE)</f>
        <v>429</v>
      </c>
      <c r="E137" s="3">
        <f>VLOOKUP(A137,Raw_Data!A:L,11,FALSE)</f>
        <v>3</v>
      </c>
      <c r="F137" t="str">
        <f>TEXT(VLOOKUP(A137,Raw_Data!A:L,5,FALSE),"mmm")</f>
        <v>May</v>
      </c>
    </row>
    <row r="138" spans="1:6" x14ac:dyDescent="0.35">
      <c r="A138" s="3" t="s">
        <v>358</v>
      </c>
      <c r="B138" t="str">
        <f>VLOOKUP(A138,Raw_Data!A:L,6,FALSE)</f>
        <v>Coffee grinder</v>
      </c>
      <c r="C138" t="str">
        <f>VLOOKUP(A138,Raw_Data!A:L,3,FALSE)</f>
        <v>France</v>
      </c>
      <c r="D138" s="3">
        <f>VLOOKUP(A138,Raw_Data!A:L,12,FALSE)</f>
        <v>4161</v>
      </c>
      <c r="E138" s="3">
        <f>VLOOKUP(A138,Raw_Data!A:L,11,FALSE)</f>
        <v>73</v>
      </c>
      <c r="F138" t="str">
        <f>TEXT(VLOOKUP(A138,Raw_Data!A:L,5,FALSE),"mmm")</f>
        <v>Oct</v>
      </c>
    </row>
    <row r="139" spans="1:6" x14ac:dyDescent="0.35">
      <c r="A139" s="3" t="s">
        <v>360</v>
      </c>
      <c r="B139" t="str">
        <f>VLOOKUP(A139,Raw_Data!A:L,6,FALSE)</f>
        <v>Blender</v>
      </c>
      <c r="C139" t="str">
        <f>VLOOKUP(A139,Raw_Data!A:L,3,FALSE)</f>
        <v>Saudi Arabia</v>
      </c>
      <c r="D139" s="3">
        <f>VLOOKUP(A139,Raw_Data!A:L,12,FALSE)</f>
        <v>3680</v>
      </c>
      <c r="E139" s="3">
        <f>VLOOKUP(A139,Raw_Data!A:L,11,FALSE)</f>
        <v>80</v>
      </c>
      <c r="F139" t="str">
        <f>TEXT(VLOOKUP(A139,Raw_Data!A:L,5,FALSE),"mmm")</f>
        <v>Nov</v>
      </c>
    </row>
    <row r="140" spans="1:6" x14ac:dyDescent="0.35">
      <c r="A140" s="3" t="s">
        <v>361</v>
      </c>
      <c r="B140" t="str">
        <f>VLOOKUP(A140,Raw_Data!A:L,6,FALSE)</f>
        <v>Iron</v>
      </c>
      <c r="C140" t="str">
        <f>VLOOKUP(A140,Raw_Data!A:L,3,FALSE)</f>
        <v>Colombia</v>
      </c>
      <c r="D140" s="3">
        <f>VLOOKUP(A140,Raw_Data!A:L,12,FALSE)</f>
        <v>1323</v>
      </c>
      <c r="E140" s="3">
        <f>VLOOKUP(A140,Raw_Data!A:L,11,FALSE)</f>
        <v>49</v>
      </c>
      <c r="F140" t="str">
        <f>TEXT(VLOOKUP(A140,Raw_Data!A:L,5,FALSE),"mmm")</f>
        <v>Dec</v>
      </c>
    </row>
    <row r="141" spans="1:6" x14ac:dyDescent="0.35">
      <c r="A141" s="3" t="s">
        <v>363</v>
      </c>
      <c r="B141" t="str">
        <f>VLOOKUP(A141,Raw_Data!A:L,6,FALSE)</f>
        <v>Dishwasher</v>
      </c>
      <c r="C141" t="str">
        <f>VLOOKUP(A141,Raw_Data!A:L,3,FALSE)</f>
        <v>Greece</v>
      </c>
      <c r="D141" s="3">
        <f>VLOOKUP(A141,Raw_Data!A:L,12,FALSE)</f>
        <v>35500</v>
      </c>
      <c r="E141" s="3">
        <f>VLOOKUP(A141,Raw_Data!A:L,11,FALSE)</f>
        <v>71</v>
      </c>
      <c r="F141" t="str">
        <f>TEXT(VLOOKUP(A141,Raw_Data!A:L,5,FALSE),"mmm")</f>
        <v>Apr</v>
      </c>
    </row>
    <row r="142" spans="1:6" x14ac:dyDescent="0.35">
      <c r="A142" s="3" t="s">
        <v>365</v>
      </c>
      <c r="B142" t="str">
        <f>VLOOKUP(A142,Raw_Data!A:L,6,FALSE)</f>
        <v>Dishwasher</v>
      </c>
      <c r="C142" t="str">
        <f>VLOOKUP(A142,Raw_Data!A:L,3,FALSE)</f>
        <v>Romania</v>
      </c>
      <c r="D142" s="3">
        <f>VLOOKUP(A142,Raw_Data!A:L,12,FALSE)</f>
        <v>44000</v>
      </c>
      <c r="E142" s="3">
        <f>VLOOKUP(A142,Raw_Data!A:L,11,FALSE)</f>
        <v>88</v>
      </c>
      <c r="F142" t="str">
        <f>TEXT(VLOOKUP(A142,Raw_Data!A:L,5,FALSE),"mmm")</f>
        <v>Jul</v>
      </c>
    </row>
    <row r="143" spans="1:6" x14ac:dyDescent="0.35">
      <c r="A143" s="3" t="s">
        <v>367</v>
      </c>
      <c r="B143" t="str">
        <f>VLOOKUP(A143,Raw_Data!A:L,6,FALSE)</f>
        <v>Vacuum Cleaner</v>
      </c>
      <c r="C143" t="str">
        <f>VLOOKUP(A143,Raw_Data!A:L,3,FALSE)</f>
        <v>UK</v>
      </c>
      <c r="D143" s="3">
        <f>VLOOKUP(A143,Raw_Data!A:L,12,FALSE)</f>
        <v>8100</v>
      </c>
      <c r="E143" s="3">
        <f>VLOOKUP(A143,Raw_Data!A:L,11,FALSE)</f>
        <v>36</v>
      </c>
      <c r="F143" t="str">
        <f>TEXT(VLOOKUP(A143,Raw_Data!A:L,5,FALSE),"mmm")</f>
        <v>Nov</v>
      </c>
    </row>
    <row r="144" spans="1:6" x14ac:dyDescent="0.35">
      <c r="A144" s="3" t="s">
        <v>369</v>
      </c>
      <c r="B144" t="str">
        <f>VLOOKUP(A144,Raw_Data!A:L,6,FALSE)</f>
        <v>Iron</v>
      </c>
      <c r="C144" t="str">
        <f>VLOOKUP(A144,Raw_Data!A:L,3,FALSE)</f>
        <v>Egypt</v>
      </c>
      <c r="D144" s="3">
        <f>VLOOKUP(A144,Raw_Data!A:L,12,FALSE)</f>
        <v>2002</v>
      </c>
      <c r="E144" s="3">
        <f>VLOOKUP(A144,Raw_Data!A:L,11,FALSE)</f>
        <v>77</v>
      </c>
      <c r="F144" t="str">
        <f>TEXT(VLOOKUP(A144,Raw_Data!A:L,5,FALSE),"mmm")</f>
        <v>Oct</v>
      </c>
    </row>
    <row r="145" spans="1:6" x14ac:dyDescent="0.35">
      <c r="A145" s="3" t="s">
        <v>371</v>
      </c>
      <c r="B145" t="str">
        <f>VLOOKUP(A145,Raw_Data!A:L,6,FALSE)</f>
        <v>Iron</v>
      </c>
      <c r="C145" t="str">
        <f>VLOOKUP(A145,Raw_Data!A:L,3,FALSE)</f>
        <v>Colombia</v>
      </c>
      <c r="D145" s="3">
        <f>VLOOKUP(A145,Raw_Data!A:L,12,FALSE)</f>
        <v>945</v>
      </c>
      <c r="E145" s="3">
        <f>VLOOKUP(A145,Raw_Data!A:L,11,FALSE)</f>
        <v>35</v>
      </c>
      <c r="F145" t="str">
        <f>TEXT(VLOOKUP(A145,Raw_Data!A:L,5,FALSE),"mmm")</f>
        <v>Jan</v>
      </c>
    </row>
    <row r="146" spans="1:6" x14ac:dyDescent="0.35">
      <c r="A146" s="3" t="s">
        <v>372</v>
      </c>
      <c r="B146" t="str">
        <f>VLOOKUP(A146,Raw_Data!A:L,6,FALSE)</f>
        <v>Blender</v>
      </c>
      <c r="C146" t="str">
        <f>VLOOKUP(A146,Raw_Data!A:L,3,FALSE)</f>
        <v>Israel</v>
      </c>
      <c r="D146" s="3">
        <f>VLOOKUP(A146,Raw_Data!A:L,12,FALSE)</f>
        <v>1394</v>
      </c>
      <c r="E146" s="3">
        <f>VLOOKUP(A146,Raw_Data!A:L,11,FALSE)</f>
        <v>41</v>
      </c>
      <c r="F146" t="str">
        <f>TEXT(VLOOKUP(A146,Raw_Data!A:L,5,FALSE),"mmm")</f>
        <v>Dec</v>
      </c>
    </row>
    <row r="147" spans="1:6" x14ac:dyDescent="0.35">
      <c r="A147" s="3" t="s">
        <v>374</v>
      </c>
      <c r="B147" t="str">
        <f>VLOOKUP(A147,Raw_Data!A:L,6,FALSE)</f>
        <v>Oven</v>
      </c>
      <c r="C147" t="str">
        <f>VLOOKUP(A147,Raw_Data!A:L,3,FALSE)</f>
        <v>Japan</v>
      </c>
      <c r="D147" s="3">
        <f>VLOOKUP(A147,Raw_Data!A:L,12,FALSE)</f>
        <v>12000</v>
      </c>
      <c r="E147" s="3">
        <f>VLOOKUP(A147,Raw_Data!A:L,11,FALSE)</f>
        <v>24</v>
      </c>
      <c r="F147" t="str">
        <f>TEXT(VLOOKUP(A147,Raw_Data!A:L,5,FALSE),"mmm")</f>
        <v>Nov</v>
      </c>
    </row>
    <row r="148" spans="1:6" x14ac:dyDescent="0.35">
      <c r="A148" s="3" t="s">
        <v>376</v>
      </c>
      <c r="B148" t="str">
        <f>VLOOKUP(A148,Raw_Data!A:L,6,FALSE)</f>
        <v>Refrigerator</v>
      </c>
      <c r="C148" t="str">
        <f>VLOOKUP(A148,Raw_Data!A:L,3,FALSE)</f>
        <v>Austria</v>
      </c>
      <c r="D148" s="3">
        <f>VLOOKUP(A148,Raw_Data!A:L,12,FALSE)</f>
        <v>53040</v>
      </c>
      <c r="E148" s="3">
        <f>VLOOKUP(A148,Raw_Data!A:L,11,FALSE)</f>
        <v>68</v>
      </c>
      <c r="F148" t="str">
        <f>TEXT(VLOOKUP(A148,Raw_Data!A:L,5,FALSE),"mmm")</f>
        <v>Apr</v>
      </c>
    </row>
    <row r="149" spans="1:6" x14ac:dyDescent="0.35">
      <c r="A149" s="3" t="s">
        <v>378</v>
      </c>
      <c r="B149" t="str">
        <f>VLOOKUP(A149,Raw_Data!A:L,6,FALSE)</f>
        <v>Vacuum Cleaner</v>
      </c>
      <c r="C149" t="str">
        <f>VLOOKUP(A149,Raw_Data!A:L,3,FALSE)</f>
        <v>Mexico</v>
      </c>
      <c r="D149" s="3">
        <f>VLOOKUP(A149,Raw_Data!A:L,12,FALSE)</f>
        <v>2450</v>
      </c>
      <c r="E149" s="3">
        <f>VLOOKUP(A149,Raw_Data!A:L,11,FALSE)</f>
        <v>10</v>
      </c>
      <c r="F149" t="str">
        <f>TEXT(VLOOKUP(A149,Raw_Data!A:L,5,FALSE),"mmm")</f>
        <v>Mar</v>
      </c>
    </row>
    <row r="150" spans="1:6" x14ac:dyDescent="0.35">
      <c r="A150" s="3" t="s">
        <v>380</v>
      </c>
      <c r="B150" t="str">
        <f>VLOOKUP(A150,Raw_Data!A:L,6,FALSE)</f>
        <v>Washing Machine</v>
      </c>
      <c r="C150" t="str">
        <f>VLOOKUP(A150,Raw_Data!A:L,3,FALSE)</f>
        <v>Spain</v>
      </c>
      <c r="D150" s="3">
        <f>VLOOKUP(A150,Raw_Data!A:L,12,FALSE)</f>
        <v>72128</v>
      </c>
      <c r="E150" s="3">
        <f>VLOOKUP(A150,Raw_Data!A:L,11,FALSE)</f>
        <v>92</v>
      </c>
      <c r="F150" t="str">
        <f>TEXT(VLOOKUP(A150,Raw_Data!A:L,5,FALSE),"mmm")</f>
        <v>Jan</v>
      </c>
    </row>
    <row r="151" spans="1:6" x14ac:dyDescent="0.35">
      <c r="A151" s="3" t="s">
        <v>382</v>
      </c>
      <c r="B151" t="str">
        <f>VLOOKUP(A151,Raw_Data!A:L,6,FALSE)</f>
        <v>Coffee grinder</v>
      </c>
      <c r="C151" t="str">
        <f>VLOOKUP(A151,Raw_Data!A:L,3,FALSE)</f>
        <v>USA</v>
      </c>
      <c r="D151" s="3">
        <f>VLOOKUP(A151,Raw_Data!A:L,12,FALSE)</f>
        <v>4140</v>
      </c>
      <c r="E151" s="3">
        <f>VLOOKUP(A151,Raw_Data!A:L,11,FALSE)</f>
        <v>69</v>
      </c>
      <c r="F151" t="str">
        <f>TEXT(VLOOKUP(A151,Raw_Data!A:L,5,FALSE),"mmm")</f>
        <v>May</v>
      </c>
    </row>
    <row r="152" spans="1:6" x14ac:dyDescent="0.35">
      <c r="A152" s="3" t="s">
        <v>384</v>
      </c>
      <c r="B152" t="str">
        <f>VLOOKUP(A152,Raw_Data!A:L,6,FALSE)</f>
        <v>Oven</v>
      </c>
      <c r="C152" t="str">
        <f>VLOOKUP(A152,Raw_Data!A:L,3,FALSE)</f>
        <v>Canada</v>
      </c>
      <c r="D152" s="3">
        <f>VLOOKUP(A152,Raw_Data!A:L,12,FALSE)</f>
        <v>29000</v>
      </c>
      <c r="E152" s="3">
        <f>VLOOKUP(A152,Raw_Data!A:L,11,FALSE)</f>
        <v>58</v>
      </c>
      <c r="F152" t="str">
        <f>TEXT(VLOOKUP(A152,Raw_Data!A:L,5,FALSE),"mmm")</f>
        <v>Oct</v>
      </c>
    </row>
    <row r="153" spans="1:6" x14ac:dyDescent="0.35">
      <c r="A153" s="3" t="s">
        <v>385</v>
      </c>
      <c r="B153" t="str">
        <f>VLOOKUP(A153,Raw_Data!A:L,6,FALSE)</f>
        <v>Washing Machine</v>
      </c>
      <c r="C153" t="str">
        <f>VLOOKUP(A153,Raw_Data!A:L,3,FALSE)</f>
        <v>Germany</v>
      </c>
      <c r="D153" s="3">
        <f>VLOOKUP(A153,Raw_Data!A:L,12,FALSE)</f>
        <v>49104</v>
      </c>
      <c r="E153" s="3">
        <f>VLOOKUP(A153,Raw_Data!A:L,11,FALSE)</f>
        <v>99</v>
      </c>
      <c r="F153" t="str">
        <f>TEXT(VLOOKUP(A153,Raw_Data!A:L,5,FALSE),"mmm")</f>
        <v>Sep</v>
      </c>
    </row>
    <row r="154" spans="1:6" x14ac:dyDescent="0.35">
      <c r="A154" s="3" t="s">
        <v>387</v>
      </c>
      <c r="B154" t="str">
        <f>VLOOKUP(A154,Raw_Data!A:L,6,FALSE)</f>
        <v>Coffee grinder</v>
      </c>
      <c r="C154" t="str">
        <f>VLOOKUP(A154,Raw_Data!A:L,3,FALSE)</f>
        <v>Israel</v>
      </c>
      <c r="D154" s="3">
        <f>VLOOKUP(A154,Raw_Data!A:L,12,FALSE)</f>
        <v>5796</v>
      </c>
      <c r="E154" s="3">
        <f>VLOOKUP(A154,Raw_Data!A:L,11,FALSE)</f>
        <v>84</v>
      </c>
      <c r="F154" t="str">
        <f>TEXT(VLOOKUP(A154,Raw_Data!A:L,5,FALSE),"mmm")</f>
        <v>Aug</v>
      </c>
    </row>
    <row r="155" spans="1:6" x14ac:dyDescent="0.35">
      <c r="A155" s="3" t="s">
        <v>389</v>
      </c>
      <c r="B155" t="str">
        <f>VLOOKUP(A155,Raw_Data!A:L,6,FALSE)</f>
        <v>Iron</v>
      </c>
      <c r="C155" t="str">
        <f>VLOOKUP(A155,Raw_Data!A:L,3,FALSE)</f>
        <v>India</v>
      </c>
      <c r="D155" s="3">
        <f>VLOOKUP(A155,Raw_Data!A:L,12,FALSE)</f>
        <v>1276</v>
      </c>
      <c r="E155" s="3">
        <f>VLOOKUP(A155,Raw_Data!A:L,11,FALSE)</f>
        <v>44</v>
      </c>
      <c r="F155" t="str">
        <f>TEXT(VLOOKUP(A155,Raw_Data!A:L,5,FALSE),"mmm")</f>
        <v>Aug</v>
      </c>
    </row>
    <row r="156" spans="1:6" x14ac:dyDescent="0.35">
      <c r="A156" s="3" t="s">
        <v>390</v>
      </c>
      <c r="B156" t="str">
        <f>VLOOKUP(A156,Raw_Data!A:L,6,FALSE)</f>
        <v>Coffee grinder</v>
      </c>
      <c r="C156" t="str">
        <f>VLOOKUP(A156,Raw_Data!A:L,3,FALSE)</f>
        <v>Italy</v>
      </c>
      <c r="D156" s="3">
        <f>VLOOKUP(A156,Raw_Data!A:L,12,FALSE)</f>
        <v>845</v>
      </c>
      <c r="E156" s="3">
        <f>VLOOKUP(A156,Raw_Data!A:L,11,FALSE)</f>
        <v>13</v>
      </c>
      <c r="F156" t="str">
        <f>TEXT(VLOOKUP(A156,Raw_Data!A:L,5,FALSE),"mmm")</f>
        <v>Jun</v>
      </c>
    </row>
    <row r="157" spans="1:6" x14ac:dyDescent="0.35">
      <c r="A157" s="3" t="s">
        <v>391</v>
      </c>
      <c r="B157" t="str">
        <f>VLOOKUP(A157,Raw_Data!A:L,6,FALSE)</f>
        <v>Microwave</v>
      </c>
      <c r="C157" t="str">
        <f>VLOOKUP(A157,Raw_Data!A:L,3,FALSE)</f>
        <v>India</v>
      </c>
      <c r="D157" s="3">
        <f>VLOOKUP(A157,Raw_Data!A:L,12,FALSE)</f>
        <v>6474</v>
      </c>
      <c r="E157" s="3">
        <f>VLOOKUP(A157,Raw_Data!A:L,11,FALSE)</f>
        <v>83</v>
      </c>
      <c r="F157" t="str">
        <f>TEXT(VLOOKUP(A157,Raw_Data!A:L,5,FALSE),"mmm")</f>
        <v>Apr</v>
      </c>
    </row>
    <row r="158" spans="1:6" x14ac:dyDescent="0.35">
      <c r="A158" s="3" t="s">
        <v>393</v>
      </c>
      <c r="B158" t="str">
        <f>VLOOKUP(A158,Raw_Data!A:L,6,FALSE)</f>
        <v>Blender</v>
      </c>
      <c r="C158" t="str">
        <f>VLOOKUP(A158,Raw_Data!A:L,3,FALSE)</f>
        <v>China</v>
      </c>
      <c r="D158" s="3">
        <f>VLOOKUP(A158,Raw_Data!A:L,12,FALSE)</f>
        <v>780</v>
      </c>
      <c r="E158" s="3">
        <f>VLOOKUP(A158,Raw_Data!A:L,11,FALSE)</f>
        <v>20</v>
      </c>
      <c r="F158" t="str">
        <f>TEXT(VLOOKUP(A158,Raw_Data!A:L,5,FALSE),"mmm")</f>
        <v>Jun</v>
      </c>
    </row>
    <row r="159" spans="1:6" x14ac:dyDescent="0.35">
      <c r="A159" s="3" t="s">
        <v>394</v>
      </c>
      <c r="B159" t="str">
        <f>VLOOKUP(A159,Raw_Data!A:L,6,FALSE)</f>
        <v>Iron</v>
      </c>
      <c r="C159" t="str">
        <f>VLOOKUP(A159,Raw_Data!A:L,3,FALSE)</f>
        <v>Vietnam</v>
      </c>
      <c r="D159" s="3">
        <f>VLOOKUP(A159,Raw_Data!A:L,12,FALSE)</f>
        <v>1652</v>
      </c>
      <c r="E159" s="3">
        <f>VLOOKUP(A159,Raw_Data!A:L,11,FALSE)</f>
        <v>59</v>
      </c>
      <c r="F159" t="str">
        <f>TEXT(VLOOKUP(A159,Raw_Data!A:L,5,FALSE),"mmm")</f>
        <v>Apr</v>
      </c>
    </row>
    <row r="160" spans="1:6" x14ac:dyDescent="0.35">
      <c r="A160" s="3" t="s">
        <v>396</v>
      </c>
      <c r="B160" t="str">
        <f>VLOOKUP(A160,Raw_Data!A:L,6,FALSE)</f>
        <v>Dishwasher</v>
      </c>
      <c r="C160" t="str">
        <f>VLOOKUP(A160,Raw_Data!A:L,3,FALSE)</f>
        <v>Turkey</v>
      </c>
      <c r="D160" s="3">
        <f>VLOOKUP(A160,Raw_Data!A:L,12,FALSE)</f>
        <v>19845</v>
      </c>
      <c r="E160" s="3">
        <f>VLOOKUP(A160,Raw_Data!A:L,11,FALSE)</f>
        <v>63</v>
      </c>
      <c r="F160" t="str">
        <f>TEXT(VLOOKUP(A160,Raw_Data!A:L,5,FALSE),"mmm")</f>
        <v>Jun</v>
      </c>
    </row>
    <row r="161" spans="1:6" x14ac:dyDescent="0.35">
      <c r="A161" s="3" t="s">
        <v>398</v>
      </c>
      <c r="B161" t="str">
        <f>VLOOKUP(A161,Raw_Data!A:L,6,FALSE)</f>
        <v>Iron</v>
      </c>
      <c r="C161" t="str">
        <f>VLOOKUP(A161,Raw_Data!A:L,3,FALSE)</f>
        <v>Mexico</v>
      </c>
      <c r="D161" s="3">
        <f>VLOOKUP(A161,Raw_Data!A:L,12,FALSE)</f>
        <v>1363</v>
      </c>
      <c r="E161" s="3">
        <f>VLOOKUP(A161,Raw_Data!A:L,11,FALSE)</f>
        <v>47</v>
      </c>
      <c r="F161" t="str">
        <f>TEXT(VLOOKUP(A161,Raw_Data!A:L,5,FALSE),"mmm")</f>
        <v>May</v>
      </c>
    </row>
    <row r="162" spans="1:6" x14ac:dyDescent="0.35">
      <c r="A162" s="3" t="s">
        <v>400</v>
      </c>
      <c r="B162" t="str">
        <f>VLOOKUP(A162,Raw_Data!A:L,6,FALSE)</f>
        <v>Air conditioner</v>
      </c>
      <c r="C162" t="str">
        <f>VLOOKUP(A162,Raw_Data!A:L,3,FALSE)</f>
        <v>UAE</v>
      </c>
      <c r="D162" s="3">
        <f>VLOOKUP(A162,Raw_Data!A:L,12,FALSE)</f>
        <v>2975</v>
      </c>
      <c r="E162" s="3">
        <f>VLOOKUP(A162,Raw_Data!A:L,11,FALSE)</f>
        <v>5</v>
      </c>
      <c r="F162" t="str">
        <f>TEXT(VLOOKUP(A162,Raw_Data!A:L,5,FALSE),"mmm")</f>
        <v>May</v>
      </c>
    </row>
    <row r="163" spans="1:6" x14ac:dyDescent="0.35">
      <c r="A163" s="3" t="s">
        <v>404</v>
      </c>
      <c r="B163" t="str">
        <f>VLOOKUP(A163,Raw_Data!A:L,6,FALSE)</f>
        <v>Oven</v>
      </c>
      <c r="C163" t="str">
        <f>VLOOKUP(A163,Raw_Data!A:L,3,FALSE)</f>
        <v>UK</v>
      </c>
      <c r="D163" s="3">
        <f>VLOOKUP(A163,Raw_Data!A:L,12,FALSE)</f>
        <v>13500</v>
      </c>
      <c r="E163" s="3">
        <f>VLOOKUP(A163,Raw_Data!A:L,11,FALSE)</f>
        <v>27</v>
      </c>
      <c r="F163" t="str">
        <f>TEXT(VLOOKUP(A163,Raw_Data!A:L,5,FALSE),"mmm")</f>
        <v>Feb</v>
      </c>
    </row>
    <row r="164" spans="1:6" x14ac:dyDescent="0.35">
      <c r="A164" s="3" t="s">
        <v>406</v>
      </c>
      <c r="B164" t="str">
        <f>VLOOKUP(A164,Raw_Data!A:L,6,FALSE)</f>
        <v>Vacuum Cleaner</v>
      </c>
      <c r="C164" t="str">
        <f>VLOOKUP(A164,Raw_Data!A:L,3,FALSE)</f>
        <v>Mexico</v>
      </c>
      <c r="D164" s="3">
        <f>VLOOKUP(A164,Raw_Data!A:L,12,FALSE)</f>
        <v>15066</v>
      </c>
      <c r="E164" s="3">
        <f>VLOOKUP(A164,Raw_Data!A:L,11,FALSE)</f>
        <v>62</v>
      </c>
      <c r="F164" t="str">
        <f>TEXT(VLOOKUP(A164,Raw_Data!A:L,5,FALSE),"mmm")</f>
        <v>Nov</v>
      </c>
    </row>
    <row r="165" spans="1:6" x14ac:dyDescent="0.35">
      <c r="A165" s="3" t="s">
        <v>407</v>
      </c>
      <c r="B165" t="str">
        <f>VLOOKUP(A165,Raw_Data!A:L,6,FALSE)</f>
        <v>Toaster</v>
      </c>
      <c r="C165" t="str">
        <f>VLOOKUP(A165,Raw_Data!A:L,3,FALSE)</f>
        <v>USA</v>
      </c>
      <c r="D165" s="3">
        <f>VLOOKUP(A165,Raw_Data!A:L,12,FALSE)</f>
        <v>960</v>
      </c>
      <c r="E165" s="3">
        <f>VLOOKUP(A165,Raw_Data!A:L,11,FALSE)</f>
        <v>24</v>
      </c>
      <c r="F165" t="str">
        <f>TEXT(VLOOKUP(A165,Raw_Data!A:L,5,FALSE),"mmm")</f>
        <v>Jan</v>
      </c>
    </row>
    <row r="166" spans="1:6" x14ac:dyDescent="0.35">
      <c r="A166" s="3" t="s">
        <v>408</v>
      </c>
      <c r="B166" t="str">
        <f>VLOOKUP(A166,Raw_Data!A:L,6,FALSE)</f>
        <v>Coffee grinder</v>
      </c>
      <c r="C166" t="str">
        <f>VLOOKUP(A166,Raw_Data!A:L,3,FALSE)</f>
        <v>Japan</v>
      </c>
      <c r="D166" s="3">
        <f>VLOOKUP(A166,Raw_Data!A:L,12,FALSE)</f>
        <v>470</v>
      </c>
      <c r="E166" s="3">
        <f>VLOOKUP(A166,Raw_Data!A:L,11,FALSE)</f>
        <v>10</v>
      </c>
      <c r="F166" t="str">
        <f>TEXT(VLOOKUP(A166,Raw_Data!A:L,5,FALSE),"mmm")</f>
        <v>Apr</v>
      </c>
    </row>
    <row r="167" spans="1:6" x14ac:dyDescent="0.35">
      <c r="A167" s="3" t="s">
        <v>409</v>
      </c>
      <c r="B167" t="str">
        <f>VLOOKUP(A167,Raw_Data!A:L,6,FALSE)</f>
        <v>Blender</v>
      </c>
      <c r="C167" t="str">
        <f>VLOOKUP(A167,Raw_Data!A:L,3,FALSE)</f>
        <v>Italy</v>
      </c>
      <c r="D167" s="3">
        <f>VLOOKUP(A167,Raw_Data!A:L,12,FALSE)</f>
        <v>3496</v>
      </c>
      <c r="E167" s="3">
        <f>VLOOKUP(A167,Raw_Data!A:L,11,FALSE)</f>
        <v>76</v>
      </c>
      <c r="F167" t="str">
        <f>TEXT(VLOOKUP(A167,Raw_Data!A:L,5,FALSE),"mmm")</f>
        <v>Apr</v>
      </c>
    </row>
    <row r="168" spans="1:6" x14ac:dyDescent="0.35">
      <c r="A168" s="3" t="s">
        <v>411</v>
      </c>
      <c r="B168" t="str">
        <f>VLOOKUP(A168,Raw_Data!A:L,6,FALSE)</f>
        <v>Oven</v>
      </c>
      <c r="C168" t="str">
        <f>VLOOKUP(A168,Raw_Data!A:L,3,FALSE)</f>
        <v>Poland</v>
      </c>
      <c r="D168" s="3">
        <f>VLOOKUP(A168,Raw_Data!A:L,12,FALSE)</f>
        <v>10500</v>
      </c>
      <c r="E168" s="3">
        <f>VLOOKUP(A168,Raw_Data!A:L,11,FALSE)</f>
        <v>21</v>
      </c>
      <c r="F168" t="str">
        <f>TEXT(VLOOKUP(A168,Raw_Data!A:L,5,FALSE),"mmm")</f>
        <v>Jun</v>
      </c>
    </row>
    <row r="169" spans="1:6" x14ac:dyDescent="0.35">
      <c r="A169" s="3" t="s">
        <v>413</v>
      </c>
      <c r="B169" t="str">
        <f>VLOOKUP(A169,Raw_Data!A:L,6,FALSE)</f>
        <v>Microwave</v>
      </c>
      <c r="C169" t="str">
        <f>VLOOKUP(A169,Raw_Data!A:L,3,FALSE)</f>
        <v>Mexico</v>
      </c>
      <c r="D169" s="3">
        <f>VLOOKUP(A169,Raw_Data!A:L,12,FALSE)</f>
        <v>2541</v>
      </c>
      <c r="E169" s="3">
        <f>VLOOKUP(A169,Raw_Data!A:L,11,FALSE)</f>
        <v>33</v>
      </c>
      <c r="F169" t="str">
        <f>TEXT(VLOOKUP(A169,Raw_Data!A:L,5,FALSE),"mmm")</f>
        <v>Mar</v>
      </c>
    </row>
    <row r="170" spans="1:6" x14ac:dyDescent="0.35">
      <c r="A170" s="3" t="s">
        <v>415</v>
      </c>
      <c r="B170" t="str">
        <f>VLOOKUP(A170,Raw_Data!A:L,6,FALSE)</f>
        <v>Blender</v>
      </c>
      <c r="C170" t="str">
        <f>VLOOKUP(A170,Raw_Data!A:L,3,FALSE)</f>
        <v>Ireland</v>
      </c>
      <c r="D170" s="3">
        <f>VLOOKUP(A170,Raw_Data!A:L,12,FALSE)</f>
        <v>129</v>
      </c>
      <c r="E170" s="3">
        <f>VLOOKUP(A170,Raw_Data!A:L,11,FALSE)</f>
        <v>3</v>
      </c>
      <c r="F170" t="str">
        <f>TEXT(VLOOKUP(A170,Raw_Data!A:L,5,FALSE),"mmm")</f>
        <v>Jan</v>
      </c>
    </row>
    <row r="171" spans="1:6" x14ac:dyDescent="0.35">
      <c r="A171" s="3" t="s">
        <v>417</v>
      </c>
      <c r="B171" t="str">
        <f>VLOOKUP(A171,Raw_Data!A:L,6,FALSE)</f>
        <v>Ceiling fan</v>
      </c>
      <c r="C171" t="str">
        <f>VLOOKUP(A171,Raw_Data!A:L,3,FALSE)</f>
        <v>India</v>
      </c>
      <c r="D171" s="3">
        <f>VLOOKUP(A171,Raw_Data!A:L,12,FALSE)</f>
        <v>13585</v>
      </c>
      <c r="E171" s="3">
        <f>VLOOKUP(A171,Raw_Data!A:L,11,FALSE)</f>
        <v>95</v>
      </c>
      <c r="F171" t="str">
        <f>TEXT(VLOOKUP(A171,Raw_Data!A:L,5,FALSE),"mmm")</f>
        <v>Aug</v>
      </c>
    </row>
    <row r="172" spans="1:6" x14ac:dyDescent="0.35">
      <c r="A172" s="3" t="s">
        <v>419</v>
      </c>
      <c r="B172" t="str">
        <f>VLOOKUP(A172,Raw_Data!A:L,6,FALSE)</f>
        <v>Refrigerator</v>
      </c>
      <c r="C172" t="str">
        <f>VLOOKUP(A172,Raw_Data!A:L,3,FALSE)</f>
        <v>Thailand</v>
      </c>
      <c r="D172" s="3">
        <f>VLOOKUP(A172,Raw_Data!A:L,12,FALSE)</f>
        <v>32330</v>
      </c>
      <c r="E172" s="3">
        <f>VLOOKUP(A172,Raw_Data!A:L,11,FALSE)</f>
        <v>53</v>
      </c>
      <c r="F172" t="str">
        <f>TEXT(VLOOKUP(A172,Raw_Data!A:L,5,FALSE),"mmm")</f>
        <v>Jun</v>
      </c>
    </row>
    <row r="173" spans="1:6" x14ac:dyDescent="0.35">
      <c r="A173" s="3" t="s">
        <v>420</v>
      </c>
      <c r="B173" t="str">
        <f>VLOOKUP(A173,Raw_Data!A:L,6,FALSE)</f>
        <v>Toaster</v>
      </c>
      <c r="C173" t="str">
        <f>VLOOKUP(A173,Raw_Data!A:L,3,FALSE)</f>
        <v>Israel</v>
      </c>
      <c r="D173" s="3">
        <f>VLOOKUP(A173,Raw_Data!A:L,12,FALSE)</f>
        <v>2829</v>
      </c>
      <c r="E173" s="3">
        <f>VLOOKUP(A173,Raw_Data!A:L,11,FALSE)</f>
        <v>69</v>
      </c>
      <c r="F173" t="str">
        <f>TEXT(VLOOKUP(A173,Raw_Data!A:L,5,FALSE),"mmm")</f>
        <v>Jun</v>
      </c>
    </row>
    <row r="174" spans="1:6" x14ac:dyDescent="0.35">
      <c r="A174" s="3" t="s">
        <v>421</v>
      </c>
      <c r="B174" t="str">
        <f>VLOOKUP(A174,Raw_Data!A:L,6,FALSE)</f>
        <v>Iron</v>
      </c>
      <c r="C174" t="str">
        <f>VLOOKUP(A174,Raw_Data!A:L,3,FALSE)</f>
        <v>USA</v>
      </c>
      <c r="D174" s="3">
        <f>VLOOKUP(A174,Raw_Data!A:L,12,FALSE)</f>
        <v>1044</v>
      </c>
      <c r="E174" s="3">
        <f>VLOOKUP(A174,Raw_Data!A:L,11,FALSE)</f>
        <v>36</v>
      </c>
      <c r="F174" t="str">
        <f>TEXT(VLOOKUP(A174,Raw_Data!A:L,5,FALSE),"mmm")</f>
        <v>Jun</v>
      </c>
    </row>
    <row r="175" spans="1:6" x14ac:dyDescent="0.35">
      <c r="A175" s="3" t="s">
        <v>423</v>
      </c>
      <c r="B175" t="str">
        <f>VLOOKUP(A175,Raw_Data!A:L,6,FALSE)</f>
        <v>Microwave</v>
      </c>
      <c r="C175" t="str">
        <f>VLOOKUP(A175,Raw_Data!A:L,3,FALSE)</f>
        <v>Germany</v>
      </c>
      <c r="D175" s="3">
        <f>VLOOKUP(A175,Raw_Data!A:L,12,FALSE)</f>
        <v>3220</v>
      </c>
      <c r="E175" s="3">
        <f>VLOOKUP(A175,Raw_Data!A:L,11,FALSE)</f>
        <v>46</v>
      </c>
      <c r="F175" t="str">
        <f>TEXT(VLOOKUP(A175,Raw_Data!A:L,5,FALSE),"mmm")</f>
        <v>Oct</v>
      </c>
    </row>
    <row r="176" spans="1:6" x14ac:dyDescent="0.35">
      <c r="A176" s="3" t="s">
        <v>424</v>
      </c>
      <c r="B176" t="str">
        <f>VLOOKUP(A176,Raw_Data!A:L,6,FALSE)</f>
        <v>Vacuum Cleaner</v>
      </c>
      <c r="C176" t="str">
        <f>VLOOKUP(A176,Raw_Data!A:L,3,FALSE)</f>
        <v>Turkey</v>
      </c>
      <c r="D176" s="3">
        <f>VLOOKUP(A176,Raw_Data!A:L,12,FALSE)</f>
        <v>17520</v>
      </c>
      <c r="E176" s="3">
        <f>VLOOKUP(A176,Raw_Data!A:L,11,FALSE)</f>
        <v>73</v>
      </c>
      <c r="F176" t="str">
        <f>TEXT(VLOOKUP(A176,Raw_Data!A:L,5,FALSE),"mmm")</f>
        <v>Dec</v>
      </c>
    </row>
    <row r="177" spans="1:6" x14ac:dyDescent="0.35">
      <c r="A177" s="3" t="s">
        <v>426</v>
      </c>
      <c r="B177" t="str">
        <f>VLOOKUP(A177,Raw_Data!A:L,6,FALSE)</f>
        <v>Iron</v>
      </c>
      <c r="C177" t="str">
        <f>VLOOKUP(A177,Raw_Data!A:L,3,FALSE)</f>
        <v>Spain</v>
      </c>
      <c r="D177" s="3">
        <f>VLOOKUP(A177,Raw_Data!A:L,12,FALSE)</f>
        <v>2408</v>
      </c>
      <c r="E177" s="3">
        <f>VLOOKUP(A177,Raw_Data!A:L,11,FALSE)</f>
        <v>86</v>
      </c>
      <c r="F177" t="str">
        <f>TEXT(VLOOKUP(A177,Raw_Data!A:L,5,FALSE),"mmm")</f>
        <v>May</v>
      </c>
    </row>
    <row r="178" spans="1:6" x14ac:dyDescent="0.35">
      <c r="A178" s="3" t="s">
        <v>428</v>
      </c>
      <c r="B178" t="str">
        <f>VLOOKUP(A178,Raw_Data!A:L,6,FALSE)</f>
        <v>Coffee grinder</v>
      </c>
      <c r="C178" t="str">
        <f>VLOOKUP(A178,Raw_Data!A:L,3,FALSE)</f>
        <v>India</v>
      </c>
      <c r="D178" s="3">
        <f>VLOOKUP(A178,Raw_Data!A:L,12,FALSE)</f>
        <v>960</v>
      </c>
      <c r="E178" s="3">
        <f>VLOOKUP(A178,Raw_Data!A:L,11,FALSE)</f>
        <v>15</v>
      </c>
      <c r="F178" t="str">
        <f>TEXT(VLOOKUP(A178,Raw_Data!A:L,5,FALSE),"mmm")</f>
        <v>Jan</v>
      </c>
    </row>
    <row r="179" spans="1:6" x14ac:dyDescent="0.35">
      <c r="A179" s="3" t="s">
        <v>429</v>
      </c>
      <c r="B179" t="str">
        <f>VLOOKUP(A179,Raw_Data!A:L,6,FALSE)</f>
        <v>Coffee grinder</v>
      </c>
      <c r="C179" t="str">
        <f>VLOOKUP(A179,Raw_Data!A:L,3,FALSE)</f>
        <v>USA</v>
      </c>
      <c r="D179" s="3">
        <f>VLOOKUP(A179,Raw_Data!A:L,12,FALSE)</f>
        <v>1734</v>
      </c>
      <c r="E179" s="3">
        <f>VLOOKUP(A179,Raw_Data!A:L,11,FALSE)</f>
        <v>34</v>
      </c>
      <c r="F179" t="str">
        <f>TEXT(VLOOKUP(A179,Raw_Data!A:L,5,FALSE),"mmm")</f>
        <v>Jul</v>
      </c>
    </row>
    <row r="180" spans="1:6" x14ac:dyDescent="0.35">
      <c r="A180" s="3" t="s">
        <v>430</v>
      </c>
      <c r="B180" t="str">
        <f>VLOOKUP(A180,Raw_Data!A:L,6,FALSE)</f>
        <v>Toaster</v>
      </c>
      <c r="C180" t="str">
        <f>VLOOKUP(A180,Raw_Data!A:L,3,FALSE)</f>
        <v>Brazil</v>
      </c>
      <c r="D180" s="3">
        <f>VLOOKUP(A180,Raw_Data!A:L,12,FALSE)</f>
        <v>2624</v>
      </c>
      <c r="E180" s="3">
        <f>VLOOKUP(A180,Raw_Data!A:L,11,FALSE)</f>
        <v>64</v>
      </c>
      <c r="F180" t="str">
        <f>TEXT(VLOOKUP(A180,Raw_Data!A:L,5,FALSE),"mmm")</f>
        <v>Jul</v>
      </c>
    </row>
    <row r="181" spans="1:6" x14ac:dyDescent="0.35">
      <c r="A181" s="3" t="s">
        <v>431</v>
      </c>
      <c r="B181" t="str">
        <f>VLOOKUP(A181,Raw_Data!A:L,6,FALSE)</f>
        <v>Oven</v>
      </c>
      <c r="C181" t="str">
        <f>VLOOKUP(A181,Raw_Data!A:L,3,FALSE)</f>
        <v>Peru</v>
      </c>
      <c r="D181" s="3">
        <f>VLOOKUP(A181,Raw_Data!A:L,12,FALSE)</f>
        <v>7840</v>
      </c>
      <c r="E181" s="3">
        <f>VLOOKUP(A181,Raw_Data!A:L,11,FALSE)</f>
        <v>16</v>
      </c>
      <c r="F181" t="str">
        <f>TEXT(VLOOKUP(A181,Raw_Data!A:L,5,FALSE),"mmm")</f>
        <v>Jul</v>
      </c>
    </row>
    <row r="182" spans="1:6" x14ac:dyDescent="0.35">
      <c r="A182" s="3" t="s">
        <v>433</v>
      </c>
      <c r="B182" t="str">
        <f>VLOOKUP(A182,Raw_Data!A:L,6,FALSE)</f>
        <v>Oven</v>
      </c>
      <c r="C182" t="str">
        <f>VLOOKUP(A182,Raw_Data!A:L,3,FALSE)</f>
        <v>Peru</v>
      </c>
      <c r="D182" s="3">
        <f>VLOOKUP(A182,Raw_Data!A:L,12,FALSE)</f>
        <v>37730</v>
      </c>
      <c r="E182" s="3">
        <f>VLOOKUP(A182,Raw_Data!A:L,11,FALSE)</f>
        <v>77</v>
      </c>
      <c r="F182" t="str">
        <f>TEXT(VLOOKUP(A182,Raw_Data!A:L,5,FALSE),"mmm")</f>
        <v>Jun</v>
      </c>
    </row>
    <row r="183" spans="1:6" x14ac:dyDescent="0.35">
      <c r="A183" s="3" t="s">
        <v>434</v>
      </c>
      <c r="B183" t="str">
        <f>VLOOKUP(A183,Raw_Data!A:L,6,FALSE)</f>
        <v>Refrigerator</v>
      </c>
      <c r="C183" t="str">
        <f>VLOOKUP(A183,Raw_Data!A:L,3,FALSE)</f>
        <v>Chile</v>
      </c>
      <c r="D183" s="3">
        <f>VLOOKUP(A183,Raw_Data!A:L,12,FALSE)</f>
        <v>15470</v>
      </c>
      <c r="E183" s="3">
        <f>VLOOKUP(A183,Raw_Data!A:L,11,FALSE)</f>
        <v>17</v>
      </c>
      <c r="F183" t="str">
        <f>TEXT(VLOOKUP(A183,Raw_Data!A:L,5,FALSE),"mmm")</f>
        <v>Jul</v>
      </c>
    </row>
    <row r="184" spans="1:6" x14ac:dyDescent="0.35">
      <c r="A184" s="3" t="s">
        <v>438</v>
      </c>
      <c r="B184" t="str">
        <f>VLOOKUP(A184,Raw_Data!A:L,6,FALSE)</f>
        <v>Iron</v>
      </c>
      <c r="C184" t="str">
        <f>VLOOKUP(A184,Raw_Data!A:L,3,FALSE)</f>
        <v>Argentina</v>
      </c>
      <c r="D184" s="3">
        <f>VLOOKUP(A184,Raw_Data!A:L,12,FALSE)</f>
        <v>672</v>
      </c>
      <c r="E184" s="3">
        <f>VLOOKUP(A184,Raw_Data!A:L,11,FALSE)</f>
        <v>24</v>
      </c>
      <c r="F184" t="str">
        <f>TEXT(VLOOKUP(A184,Raw_Data!A:L,5,FALSE),"mmm")</f>
        <v>Aug</v>
      </c>
    </row>
    <row r="185" spans="1:6" x14ac:dyDescent="0.35">
      <c r="A185" s="3" t="s">
        <v>440</v>
      </c>
      <c r="B185" t="str">
        <f>VLOOKUP(A185,Raw_Data!A:L,6,FALSE)</f>
        <v>Toaster</v>
      </c>
      <c r="C185" t="str">
        <f>VLOOKUP(A185,Raw_Data!A:L,3,FALSE)</f>
        <v>Poland</v>
      </c>
      <c r="D185" s="3">
        <f>VLOOKUP(A185,Raw_Data!A:L,12,FALSE)</f>
        <v>3300</v>
      </c>
      <c r="E185" s="3">
        <f>VLOOKUP(A185,Raw_Data!A:L,11,FALSE)</f>
        <v>75</v>
      </c>
      <c r="F185" t="str">
        <f>TEXT(VLOOKUP(A185,Raw_Data!A:L,5,FALSE),"mmm")</f>
        <v>Feb</v>
      </c>
    </row>
    <row r="186" spans="1:6" x14ac:dyDescent="0.35">
      <c r="A186" s="3" t="s">
        <v>442</v>
      </c>
      <c r="B186" t="str">
        <f>VLOOKUP(A186,Raw_Data!A:L,6,FALSE)</f>
        <v>Microwave</v>
      </c>
      <c r="C186" t="str">
        <f>VLOOKUP(A186,Raw_Data!A:L,3,FALSE)</f>
        <v>Spain</v>
      </c>
      <c r="D186" s="3">
        <f>VLOOKUP(A186,Raw_Data!A:L,12,FALSE)</f>
        <v>450</v>
      </c>
      <c r="E186" s="3">
        <f>VLOOKUP(A186,Raw_Data!A:L,11,FALSE)</f>
        <v>6</v>
      </c>
      <c r="F186" t="str">
        <f>TEXT(VLOOKUP(A186,Raw_Data!A:L,5,FALSE),"mmm")</f>
        <v>May</v>
      </c>
    </row>
    <row r="187" spans="1:6" x14ac:dyDescent="0.35">
      <c r="A187" s="3" t="s">
        <v>443</v>
      </c>
      <c r="B187" t="str">
        <f>VLOOKUP(A187,Raw_Data!A:L,6,FALSE)</f>
        <v>Vacuum Cleaner</v>
      </c>
      <c r="C187" t="str">
        <f>VLOOKUP(A187,Raw_Data!A:L,3,FALSE)</f>
        <v>UAE</v>
      </c>
      <c r="D187" s="3">
        <f>VLOOKUP(A187,Raw_Data!A:L,12,FALSE)</f>
        <v>1575</v>
      </c>
      <c r="E187" s="3">
        <f>VLOOKUP(A187,Raw_Data!A:L,11,FALSE)</f>
        <v>7</v>
      </c>
      <c r="F187" t="str">
        <f>TEXT(VLOOKUP(A187,Raw_Data!A:L,5,FALSE),"mmm")</f>
        <v>Jun</v>
      </c>
    </row>
    <row r="188" spans="1:6" x14ac:dyDescent="0.35">
      <c r="A188" s="3" t="s">
        <v>445</v>
      </c>
      <c r="B188" t="str">
        <f>VLOOKUP(A188,Raw_Data!A:L,6,FALSE)</f>
        <v>Iron</v>
      </c>
      <c r="C188" t="str">
        <f>VLOOKUP(A188,Raw_Data!A:L,3,FALSE)</f>
        <v>Turkey</v>
      </c>
      <c r="D188" s="3">
        <f>VLOOKUP(A188,Raw_Data!A:L,12,FALSE)</f>
        <v>1770</v>
      </c>
      <c r="E188" s="3">
        <f>VLOOKUP(A188,Raw_Data!A:L,11,FALSE)</f>
        <v>59</v>
      </c>
      <c r="F188" t="str">
        <f>TEXT(VLOOKUP(A188,Raw_Data!A:L,5,FALSE),"mmm")</f>
        <v>Sep</v>
      </c>
    </row>
    <row r="189" spans="1:6" x14ac:dyDescent="0.35">
      <c r="A189" s="3" t="s">
        <v>447</v>
      </c>
      <c r="B189" t="str">
        <f>VLOOKUP(A189,Raw_Data!A:L,6,FALSE)</f>
        <v>Vacuum Cleaner</v>
      </c>
      <c r="C189" t="str">
        <f>VLOOKUP(A189,Raw_Data!A:L,3,FALSE)</f>
        <v>Argentina</v>
      </c>
      <c r="D189" s="3">
        <f>VLOOKUP(A189,Raw_Data!A:L,12,FALSE)</f>
        <v>16380</v>
      </c>
      <c r="E189" s="3">
        <f>VLOOKUP(A189,Raw_Data!A:L,11,FALSE)</f>
        <v>78</v>
      </c>
      <c r="F189" t="str">
        <f>TEXT(VLOOKUP(A189,Raw_Data!A:L,5,FALSE),"mmm")</f>
        <v>Sep</v>
      </c>
    </row>
    <row r="190" spans="1:6" x14ac:dyDescent="0.35">
      <c r="A190" s="3" t="s">
        <v>448</v>
      </c>
      <c r="B190" t="str">
        <f>VLOOKUP(A190,Raw_Data!A:L,6,FALSE)</f>
        <v>Vacuum Cleaner</v>
      </c>
      <c r="C190" t="str">
        <f>VLOOKUP(A190,Raw_Data!A:L,3,FALSE)</f>
        <v>Russia</v>
      </c>
      <c r="D190" s="3">
        <f>VLOOKUP(A190,Raw_Data!A:L,12,FALSE)</f>
        <v>3500</v>
      </c>
      <c r="E190" s="3">
        <f>VLOOKUP(A190,Raw_Data!A:L,11,FALSE)</f>
        <v>14</v>
      </c>
      <c r="F190" t="str">
        <f>TEXT(VLOOKUP(A190,Raw_Data!A:L,5,FALSE),"mmm")</f>
        <v>Apr</v>
      </c>
    </row>
    <row r="191" spans="1:6" x14ac:dyDescent="0.35">
      <c r="A191" s="3" t="s">
        <v>449</v>
      </c>
      <c r="B191" t="str">
        <f>VLOOKUP(A191,Raw_Data!A:L,6,FALSE)</f>
        <v>Dishwasher</v>
      </c>
      <c r="C191" t="str">
        <f>VLOOKUP(A191,Raw_Data!A:L,3,FALSE)</f>
        <v>Poland</v>
      </c>
      <c r="D191" s="3">
        <f>VLOOKUP(A191,Raw_Data!A:L,12,FALSE)</f>
        <v>18240</v>
      </c>
      <c r="E191" s="3">
        <f>VLOOKUP(A191,Raw_Data!A:L,11,FALSE)</f>
        <v>38</v>
      </c>
      <c r="F191" t="str">
        <f>TEXT(VLOOKUP(A191,Raw_Data!A:L,5,FALSE),"mmm")</f>
        <v>Dec</v>
      </c>
    </row>
    <row r="192" spans="1:6" x14ac:dyDescent="0.35">
      <c r="A192" s="3" t="s">
        <v>451</v>
      </c>
      <c r="B192" t="str">
        <f>VLOOKUP(A192,Raw_Data!A:L,6,FALSE)</f>
        <v>Refrigerator</v>
      </c>
      <c r="C192" t="str">
        <f>VLOOKUP(A192,Raw_Data!A:L,3,FALSE)</f>
        <v>Australia</v>
      </c>
      <c r="D192" s="3">
        <f>VLOOKUP(A192,Raw_Data!A:L,12,FALSE)</f>
        <v>31040</v>
      </c>
      <c r="E192" s="3">
        <f>VLOOKUP(A192,Raw_Data!A:L,11,FALSE)</f>
        <v>32</v>
      </c>
      <c r="F192" t="str">
        <f>TEXT(VLOOKUP(A192,Raw_Data!A:L,5,FALSE),"mmm")</f>
        <v>Mar</v>
      </c>
    </row>
    <row r="193" spans="1:6" x14ac:dyDescent="0.35">
      <c r="A193" s="3" t="s">
        <v>453</v>
      </c>
      <c r="B193" t="str">
        <f>VLOOKUP(A193,Raw_Data!A:L,6,FALSE)</f>
        <v>Ceiling fan</v>
      </c>
      <c r="C193" t="str">
        <f>VLOOKUP(A193,Raw_Data!A:L,3,FALSE)</f>
        <v>Romania</v>
      </c>
      <c r="D193" s="3">
        <f>VLOOKUP(A193,Raw_Data!A:L,12,FALSE)</f>
        <v>11664</v>
      </c>
      <c r="E193" s="3">
        <f>VLOOKUP(A193,Raw_Data!A:L,11,FALSE)</f>
        <v>81</v>
      </c>
      <c r="F193" t="str">
        <f>TEXT(VLOOKUP(A193,Raw_Data!A:L,5,FALSE),"mmm")</f>
        <v>Jul</v>
      </c>
    </row>
    <row r="194" spans="1:6" x14ac:dyDescent="0.35">
      <c r="A194" s="3" t="s">
        <v>455</v>
      </c>
      <c r="B194" t="str">
        <f>VLOOKUP(A194,Raw_Data!A:L,6,FALSE)</f>
        <v>Air conditioner</v>
      </c>
      <c r="C194" t="str">
        <f>VLOOKUP(A194,Raw_Data!A:L,3,FALSE)</f>
        <v>USA</v>
      </c>
      <c r="D194" s="3">
        <f>VLOOKUP(A194,Raw_Data!A:L,12,FALSE)</f>
        <v>9555</v>
      </c>
      <c r="E194" s="3">
        <f>VLOOKUP(A194,Raw_Data!A:L,11,FALSE)</f>
        <v>15</v>
      </c>
      <c r="F194" t="str">
        <f>TEXT(VLOOKUP(A194,Raw_Data!A:L,5,FALSE),"mmm")</f>
        <v>Mar</v>
      </c>
    </row>
    <row r="195" spans="1:6" x14ac:dyDescent="0.35">
      <c r="A195" s="3" t="s">
        <v>456</v>
      </c>
      <c r="B195" t="str">
        <f>VLOOKUP(A195,Raw_Data!A:L,6,FALSE)</f>
        <v>Coffee grinder</v>
      </c>
      <c r="C195" t="str">
        <f>VLOOKUP(A195,Raw_Data!A:L,3,FALSE)</f>
        <v>Israel</v>
      </c>
      <c r="D195" s="3">
        <f>VLOOKUP(A195,Raw_Data!A:L,12,FALSE)</f>
        <v>6237</v>
      </c>
      <c r="E195" s="3">
        <f>VLOOKUP(A195,Raw_Data!A:L,11,FALSE)</f>
        <v>99</v>
      </c>
      <c r="F195" t="str">
        <f>TEXT(VLOOKUP(A195,Raw_Data!A:L,5,FALSE),"mmm")</f>
        <v>Apr</v>
      </c>
    </row>
    <row r="196" spans="1:6" x14ac:dyDescent="0.35">
      <c r="A196" s="3" t="s">
        <v>458</v>
      </c>
      <c r="B196" t="str">
        <f>VLOOKUP(A196,Raw_Data!A:L,6,FALSE)</f>
        <v>Air conditioner</v>
      </c>
      <c r="C196" t="str">
        <f>VLOOKUP(A196,Raw_Data!A:L,3,FALSE)</f>
        <v>Israel</v>
      </c>
      <c r="D196" s="3">
        <f>VLOOKUP(A196,Raw_Data!A:L,12,FALSE)</f>
        <v>7392</v>
      </c>
      <c r="E196" s="3">
        <f>VLOOKUP(A196,Raw_Data!A:L,11,FALSE)</f>
        <v>11</v>
      </c>
      <c r="F196" t="str">
        <f>TEXT(VLOOKUP(A196,Raw_Data!A:L,5,FALSE),"mmm")</f>
        <v>Jul</v>
      </c>
    </row>
    <row r="197" spans="1:6" x14ac:dyDescent="0.35">
      <c r="A197" s="3" t="s">
        <v>459</v>
      </c>
      <c r="B197" t="str">
        <f>VLOOKUP(A197,Raw_Data!A:L,6,FALSE)</f>
        <v>Blender</v>
      </c>
      <c r="C197" t="str">
        <f>VLOOKUP(A197,Raw_Data!A:L,3,FALSE)</f>
        <v>China</v>
      </c>
      <c r="D197" s="3">
        <f>VLOOKUP(A197,Raw_Data!A:L,12,FALSE)</f>
        <v>3150</v>
      </c>
      <c r="E197" s="3">
        <f>VLOOKUP(A197,Raw_Data!A:L,11,FALSE)</f>
        <v>75</v>
      </c>
      <c r="F197" t="str">
        <f>TEXT(VLOOKUP(A197,Raw_Data!A:L,5,FALSE),"mmm")</f>
        <v>Jan</v>
      </c>
    </row>
    <row r="198" spans="1:6" x14ac:dyDescent="0.35">
      <c r="A198" s="3" t="s">
        <v>460</v>
      </c>
      <c r="B198" t="str">
        <f>VLOOKUP(A198,Raw_Data!A:L,6,FALSE)</f>
        <v>Microwave</v>
      </c>
      <c r="C198" t="str">
        <f>VLOOKUP(A198,Raw_Data!A:L,3,FALSE)</f>
        <v>Czech Republic</v>
      </c>
      <c r="D198" s="3">
        <f>VLOOKUP(A198,Raw_Data!A:L,12,FALSE)</f>
        <v>7254</v>
      </c>
      <c r="E198" s="3">
        <f>VLOOKUP(A198,Raw_Data!A:L,11,FALSE)</f>
        <v>93</v>
      </c>
      <c r="F198" t="str">
        <f>TEXT(VLOOKUP(A198,Raw_Data!A:L,5,FALSE),"mmm")</f>
        <v>Nov</v>
      </c>
    </row>
    <row r="199" spans="1:6" x14ac:dyDescent="0.35">
      <c r="A199" s="3" t="s">
        <v>462</v>
      </c>
      <c r="B199" t="str">
        <f>VLOOKUP(A199,Raw_Data!A:L,6,FALSE)</f>
        <v>Toaster</v>
      </c>
      <c r="C199" t="str">
        <f>VLOOKUP(A199,Raw_Data!A:L,3,FALSE)</f>
        <v>Chile</v>
      </c>
      <c r="D199" s="3">
        <f>VLOOKUP(A199,Raw_Data!A:L,12,FALSE)</f>
        <v>4116</v>
      </c>
      <c r="E199" s="3">
        <f>VLOOKUP(A199,Raw_Data!A:L,11,FALSE)</f>
        <v>84</v>
      </c>
      <c r="F199" t="str">
        <f>TEXT(VLOOKUP(A199,Raw_Data!A:L,5,FALSE),"mmm")</f>
        <v>Nov</v>
      </c>
    </row>
    <row r="200" spans="1:6" x14ac:dyDescent="0.35">
      <c r="A200" s="3" t="s">
        <v>464</v>
      </c>
      <c r="B200" t="str">
        <f>VLOOKUP(A200,Raw_Data!A:L,6,FALSE)</f>
        <v>Vacuum Cleaner</v>
      </c>
      <c r="C200" t="str">
        <f>VLOOKUP(A200,Raw_Data!A:L,3,FALSE)</f>
        <v>USA</v>
      </c>
      <c r="D200" s="3">
        <f>VLOOKUP(A200,Raw_Data!A:L,12,FALSE)</f>
        <v>10229</v>
      </c>
      <c r="E200" s="3">
        <f>VLOOKUP(A200,Raw_Data!A:L,11,FALSE)</f>
        <v>53</v>
      </c>
      <c r="F200" t="str">
        <f>TEXT(VLOOKUP(A200,Raw_Data!A:L,5,FALSE),"mmm")</f>
        <v>Jan</v>
      </c>
    </row>
    <row r="201" spans="1:6" x14ac:dyDescent="0.35">
      <c r="A201" s="3" t="s">
        <v>466</v>
      </c>
      <c r="B201" t="str">
        <f>VLOOKUP(A201,Raw_Data!A:L,6,FALSE)</f>
        <v>Microwave</v>
      </c>
      <c r="C201" t="str">
        <f>VLOOKUP(A201,Raw_Data!A:L,3,FALSE)</f>
        <v>Russia</v>
      </c>
      <c r="D201" s="3">
        <f>VLOOKUP(A201,Raw_Data!A:L,12,FALSE)</f>
        <v>4332</v>
      </c>
      <c r="E201" s="3">
        <f>VLOOKUP(A201,Raw_Data!A:L,11,FALSE)</f>
        <v>57</v>
      </c>
      <c r="F201" t="str">
        <f>TEXT(VLOOKUP(A201,Raw_Data!A:L,5,FALSE),"mmm")</f>
        <v>Feb</v>
      </c>
    </row>
    <row r="202" spans="1:6" x14ac:dyDescent="0.35">
      <c r="A202" s="3" t="s">
        <v>467</v>
      </c>
      <c r="B202" t="str">
        <f>VLOOKUP(A202,Raw_Data!A:L,6,FALSE)</f>
        <v>Air conditioner</v>
      </c>
      <c r="C202" t="str">
        <f>VLOOKUP(A202,Raw_Data!A:L,3,FALSE)</f>
        <v>USA</v>
      </c>
      <c r="D202" s="3">
        <f>VLOOKUP(A202,Raw_Data!A:L,12,FALSE)</f>
        <v>44352</v>
      </c>
      <c r="E202" s="3">
        <f>VLOOKUP(A202,Raw_Data!A:L,11,FALSE)</f>
        <v>66</v>
      </c>
      <c r="F202" t="str">
        <f>TEXT(VLOOKUP(A202,Raw_Data!A:L,5,FALSE),"mmm")</f>
        <v>Oct</v>
      </c>
    </row>
    <row r="203" spans="1:6" x14ac:dyDescent="0.35">
      <c r="A203" s="3" t="s">
        <v>468</v>
      </c>
      <c r="B203" t="str">
        <f>VLOOKUP(A203,Raw_Data!A:L,6,FALSE)</f>
        <v>Iron</v>
      </c>
      <c r="C203" t="str">
        <f>VLOOKUP(A203,Raw_Data!A:L,3,FALSE)</f>
        <v>Netherlands</v>
      </c>
      <c r="D203" s="3">
        <f>VLOOKUP(A203,Raw_Data!A:L,12,FALSE)</f>
        <v>2212</v>
      </c>
      <c r="E203" s="3">
        <f>VLOOKUP(A203,Raw_Data!A:L,11,FALSE)</f>
        <v>79</v>
      </c>
      <c r="F203" t="str">
        <f>TEXT(VLOOKUP(A203,Raw_Data!A:L,5,FALSE),"mmm")</f>
        <v>Dec</v>
      </c>
    </row>
    <row r="204" spans="1:6" x14ac:dyDescent="0.35">
      <c r="A204" s="3" t="s">
        <v>469</v>
      </c>
      <c r="B204" t="str">
        <f>VLOOKUP(A204,Raw_Data!A:L,6,FALSE)</f>
        <v>Microwave</v>
      </c>
      <c r="C204" t="str">
        <f>VLOOKUP(A204,Raw_Data!A:L,3,FALSE)</f>
        <v>Turkey</v>
      </c>
      <c r="D204" s="3">
        <f>VLOOKUP(A204,Raw_Data!A:L,12,FALSE)</f>
        <v>1320</v>
      </c>
      <c r="E204" s="3">
        <f>VLOOKUP(A204,Raw_Data!A:L,11,FALSE)</f>
        <v>20</v>
      </c>
      <c r="F204" t="str">
        <f>TEXT(VLOOKUP(A204,Raw_Data!A:L,5,FALSE),"mmm")</f>
        <v>Nov</v>
      </c>
    </row>
    <row r="205" spans="1:6" x14ac:dyDescent="0.35">
      <c r="A205" s="3" t="s">
        <v>471</v>
      </c>
      <c r="B205" t="str">
        <f>VLOOKUP(A205,Raw_Data!A:L,6,FALSE)</f>
        <v>Blender</v>
      </c>
      <c r="C205" t="str">
        <f>VLOOKUP(A205,Raw_Data!A:L,3,FALSE)</f>
        <v>UAE</v>
      </c>
      <c r="D205" s="3">
        <f>VLOOKUP(A205,Raw_Data!A:L,12,FALSE)</f>
        <v>4272</v>
      </c>
      <c r="E205" s="3">
        <f>VLOOKUP(A205,Raw_Data!A:L,11,FALSE)</f>
        <v>89</v>
      </c>
      <c r="F205" t="str">
        <f>TEXT(VLOOKUP(A205,Raw_Data!A:L,5,FALSE),"mmm")</f>
        <v>Jun</v>
      </c>
    </row>
    <row r="206" spans="1:6" x14ac:dyDescent="0.35">
      <c r="A206" s="3" t="s">
        <v>472</v>
      </c>
      <c r="B206" t="str">
        <f>VLOOKUP(A206,Raw_Data!A:L,6,FALSE)</f>
        <v>Dishwasher</v>
      </c>
      <c r="C206" t="str">
        <f>VLOOKUP(A206,Raw_Data!A:L,3,FALSE)</f>
        <v>Netherlands</v>
      </c>
      <c r="D206" s="3">
        <f>VLOOKUP(A206,Raw_Data!A:L,12,FALSE)</f>
        <v>36260</v>
      </c>
      <c r="E206" s="3">
        <f>VLOOKUP(A206,Raw_Data!A:L,11,FALSE)</f>
        <v>98</v>
      </c>
      <c r="F206" t="str">
        <f>TEXT(VLOOKUP(A206,Raw_Data!A:L,5,FALSE),"mmm")</f>
        <v>Feb</v>
      </c>
    </row>
    <row r="207" spans="1:6" x14ac:dyDescent="0.35">
      <c r="A207" s="3" t="s">
        <v>474</v>
      </c>
      <c r="B207" t="str">
        <f>VLOOKUP(A207,Raw_Data!A:L,6,FALSE)</f>
        <v>Microwave</v>
      </c>
      <c r="C207" t="str">
        <f>VLOOKUP(A207,Raw_Data!A:L,3,FALSE)</f>
        <v>USA</v>
      </c>
      <c r="D207" s="3">
        <f>VLOOKUP(A207,Raw_Data!A:L,12,FALSE)</f>
        <v>2880</v>
      </c>
      <c r="E207" s="3">
        <f>VLOOKUP(A207,Raw_Data!A:L,11,FALSE)</f>
        <v>40</v>
      </c>
      <c r="F207" t="str">
        <f>TEXT(VLOOKUP(A207,Raw_Data!A:L,5,FALSE),"mmm")</f>
        <v>Jan</v>
      </c>
    </row>
    <row r="208" spans="1:6" x14ac:dyDescent="0.35">
      <c r="A208" s="3" t="s">
        <v>476</v>
      </c>
      <c r="B208" t="str">
        <f>VLOOKUP(A208,Raw_Data!A:L,6,FALSE)</f>
        <v>Microwave</v>
      </c>
      <c r="C208" t="str">
        <f>VLOOKUP(A208,Raw_Data!A:L,3,FALSE)</f>
        <v>UK</v>
      </c>
      <c r="D208" s="3">
        <f>VLOOKUP(A208,Raw_Data!A:L,12,FALSE)</f>
        <v>2436</v>
      </c>
      <c r="E208" s="3">
        <f>VLOOKUP(A208,Raw_Data!A:L,11,FALSE)</f>
        <v>42</v>
      </c>
      <c r="F208" t="str">
        <f>TEXT(VLOOKUP(A208,Raw_Data!A:L,5,FALSE),"mmm")</f>
        <v>Jan</v>
      </c>
    </row>
    <row r="209" spans="1:6" x14ac:dyDescent="0.35">
      <c r="A209" s="3" t="s">
        <v>478</v>
      </c>
      <c r="B209" t="str">
        <f>VLOOKUP(A209,Raw_Data!A:L,6,FALSE)</f>
        <v>Microwave</v>
      </c>
      <c r="C209" t="str">
        <f>VLOOKUP(A209,Raw_Data!A:L,3,FALSE)</f>
        <v>Canada</v>
      </c>
      <c r="D209" s="3">
        <f>VLOOKUP(A209,Raw_Data!A:L,12,FALSE)</f>
        <v>3869</v>
      </c>
      <c r="E209" s="3">
        <f>VLOOKUP(A209,Raw_Data!A:L,11,FALSE)</f>
        <v>53</v>
      </c>
      <c r="F209" t="str">
        <f>TEXT(VLOOKUP(A209,Raw_Data!A:L,5,FALSE),"mmm")</f>
        <v>Oct</v>
      </c>
    </row>
    <row r="210" spans="1:6" x14ac:dyDescent="0.35">
      <c r="A210" s="3" t="s">
        <v>480</v>
      </c>
      <c r="B210" t="str">
        <f>VLOOKUP(A210,Raw_Data!A:L,6,FALSE)</f>
        <v>Washing Machine</v>
      </c>
      <c r="C210" t="str">
        <f>VLOOKUP(A210,Raw_Data!A:L,3,FALSE)</f>
        <v>USA</v>
      </c>
      <c r="D210" s="3">
        <f>VLOOKUP(A210,Raw_Data!A:L,12,FALSE)</f>
        <v>58976</v>
      </c>
      <c r="E210" s="3">
        <f>VLOOKUP(A210,Raw_Data!A:L,11,FALSE)</f>
        <v>76</v>
      </c>
      <c r="F210" t="str">
        <f>TEXT(VLOOKUP(A210,Raw_Data!A:L,5,FALSE),"mmm")</f>
        <v>Mar</v>
      </c>
    </row>
    <row r="211" spans="1:6" x14ac:dyDescent="0.35">
      <c r="A211" s="3" t="s">
        <v>481</v>
      </c>
      <c r="B211" t="str">
        <f>VLOOKUP(A211,Raw_Data!A:L,6,FALSE)</f>
        <v>Ceiling fan</v>
      </c>
      <c r="C211" t="str">
        <f>VLOOKUP(A211,Raw_Data!A:L,3,FALSE)</f>
        <v>USA</v>
      </c>
      <c r="D211" s="3">
        <f>VLOOKUP(A211,Raw_Data!A:L,12,FALSE)</f>
        <v>6909</v>
      </c>
      <c r="E211" s="3">
        <f>VLOOKUP(A211,Raw_Data!A:L,11,FALSE)</f>
        <v>47</v>
      </c>
      <c r="F211" t="str">
        <f>TEXT(VLOOKUP(A211,Raw_Data!A:L,5,FALSE),"mmm")</f>
        <v>Aug</v>
      </c>
    </row>
    <row r="212" spans="1:6" x14ac:dyDescent="0.35">
      <c r="A212" s="3" t="s">
        <v>483</v>
      </c>
      <c r="B212" t="str">
        <f>VLOOKUP(A212,Raw_Data!A:L,6,FALSE)</f>
        <v>Ceiling fan</v>
      </c>
      <c r="C212" t="str">
        <f>VLOOKUP(A212,Raw_Data!A:L,3,FALSE)</f>
        <v>Brazil</v>
      </c>
      <c r="D212" s="3">
        <f>VLOOKUP(A212,Raw_Data!A:L,12,FALSE)</f>
        <v>2546</v>
      </c>
      <c r="E212" s="3">
        <f>VLOOKUP(A212,Raw_Data!A:L,11,FALSE)</f>
        <v>19</v>
      </c>
      <c r="F212" t="str">
        <f>TEXT(VLOOKUP(A212,Raw_Data!A:L,5,FALSE),"mmm")</f>
        <v>Jan</v>
      </c>
    </row>
    <row r="213" spans="1:6" x14ac:dyDescent="0.35">
      <c r="A213" s="3" t="s">
        <v>485</v>
      </c>
      <c r="B213" t="str">
        <f>VLOOKUP(A213,Raw_Data!A:L,6,FALSE)</f>
        <v>Iron</v>
      </c>
      <c r="C213" t="str">
        <f>VLOOKUP(A213,Raw_Data!A:L,3,FALSE)</f>
        <v>Poland</v>
      </c>
      <c r="D213" s="3">
        <f>VLOOKUP(A213,Raw_Data!A:L,12,FALSE)</f>
        <v>512</v>
      </c>
      <c r="E213" s="3">
        <f>VLOOKUP(A213,Raw_Data!A:L,11,FALSE)</f>
        <v>64</v>
      </c>
      <c r="F213" t="str">
        <f>TEXT(VLOOKUP(A213,Raw_Data!A:L,5,FALSE),"mmm")</f>
        <v>Jul</v>
      </c>
    </row>
    <row r="214" spans="1:6" x14ac:dyDescent="0.35">
      <c r="A214" s="3" t="s">
        <v>486</v>
      </c>
      <c r="B214" t="str">
        <f>VLOOKUP(A214,Raw_Data!A:L,6,FALSE)</f>
        <v>Ceiling fan</v>
      </c>
      <c r="C214" t="str">
        <f>VLOOKUP(A214,Raw_Data!A:L,3,FALSE)</f>
        <v>UAE</v>
      </c>
      <c r="D214" s="3">
        <f>VLOOKUP(A214,Raw_Data!A:L,12,FALSE)</f>
        <v>8910</v>
      </c>
      <c r="E214" s="3">
        <f>VLOOKUP(A214,Raw_Data!A:L,11,FALSE)</f>
        <v>66</v>
      </c>
      <c r="F214" t="str">
        <f>TEXT(VLOOKUP(A214,Raw_Data!A:L,5,FALSE),"mmm")</f>
        <v>Nov</v>
      </c>
    </row>
    <row r="215" spans="1:6" x14ac:dyDescent="0.35">
      <c r="A215" s="3" t="s">
        <v>488</v>
      </c>
      <c r="B215" t="str">
        <f>VLOOKUP(A215,Raw_Data!A:L,6,FALSE)</f>
        <v>Coffee grinder</v>
      </c>
      <c r="C215" t="str">
        <f>VLOOKUP(A215,Raw_Data!A:L,3,FALSE)</f>
        <v>Chile</v>
      </c>
      <c r="D215" s="3">
        <f>VLOOKUP(A215,Raw_Data!A:L,12,FALSE)</f>
        <v>4071</v>
      </c>
      <c r="E215" s="3">
        <f>VLOOKUP(A215,Raw_Data!A:L,11,FALSE)</f>
        <v>69</v>
      </c>
      <c r="F215" t="str">
        <f>TEXT(VLOOKUP(A215,Raw_Data!A:L,5,FALSE),"mmm")</f>
        <v>Sep</v>
      </c>
    </row>
    <row r="216" spans="1:6" x14ac:dyDescent="0.35">
      <c r="A216" s="3" t="s">
        <v>489</v>
      </c>
      <c r="B216" t="str">
        <f>VLOOKUP(A216,Raw_Data!A:L,6,FALSE)</f>
        <v>Refrigerator</v>
      </c>
      <c r="C216" t="str">
        <f>VLOOKUP(A216,Raw_Data!A:L,3,FALSE)</f>
        <v>India</v>
      </c>
      <c r="D216" s="3">
        <f>VLOOKUP(A216,Raw_Data!A:L,12,FALSE)</f>
        <v>41500</v>
      </c>
      <c r="E216" s="3">
        <f>VLOOKUP(A216,Raw_Data!A:L,11,FALSE)</f>
        <v>83</v>
      </c>
      <c r="F216" t="str">
        <f>TEXT(VLOOKUP(A216,Raw_Data!A:L,5,FALSE),"mmm")</f>
        <v>Dec</v>
      </c>
    </row>
    <row r="217" spans="1:6" x14ac:dyDescent="0.35">
      <c r="A217" s="3" t="s">
        <v>490</v>
      </c>
      <c r="B217" t="str">
        <f>VLOOKUP(A217,Raw_Data!A:L,6,FALSE)</f>
        <v>Dishwasher</v>
      </c>
      <c r="C217" t="str">
        <f>VLOOKUP(A217,Raw_Data!A:L,3,FALSE)</f>
        <v>USA</v>
      </c>
      <c r="D217" s="3">
        <f>VLOOKUP(A217,Raw_Data!A:L,12,FALSE)</f>
        <v>35145</v>
      </c>
      <c r="E217" s="3">
        <f>VLOOKUP(A217,Raw_Data!A:L,11,FALSE)</f>
        <v>71</v>
      </c>
      <c r="F217" t="str">
        <f>TEXT(VLOOKUP(A217,Raw_Data!A:L,5,FALSE),"mmm")</f>
        <v>Feb</v>
      </c>
    </row>
    <row r="218" spans="1:6" x14ac:dyDescent="0.35">
      <c r="A218" s="3" t="s">
        <v>492</v>
      </c>
      <c r="B218" t="str">
        <f>VLOOKUP(A218,Raw_Data!A:L,6,FALSE)</f>
        <v>Toaster</v>
      </c>
      <c r="C218" t="str">
        <f>VLOOKUP(A218,Raw_Data!A:L,3,FALSE)</f>
        <v>Romania</v>
      </c>
      <c r="D218" s="3">
        <f>VLOOKUP(A218,Raw_Data!A:L,12,FALSE)</f>
        <v>1078</v>
      </c>
      <c r="E218" s="3">
        <f>VLOOKUP(A218,Raw_Data!A:L,11,FALSE)</f>
        <v>22</v>
      </c>
      <c r="F218" t="str">
        <f>TEXT(VLOOKUP(A218,Raw_Data!A:L,5,FALSE),"mmm")</f>
        <v>Feb</v>
      </c>
    </row>
    <row r="219" spans="1:6" x14ac:dyDescent="0.35">
      <c r="A219" s="3" t="s">
        <v>493</v>
      </c>
      <c r="B219" t="str">
        <f>VLOOKUP(A219,Raw_Data!A:L,6,FALSE)</f>
        <v>Blender</v>
      </c>
      <c r="C219" t="str">
        <f>VLOOKUP(A219,Raw_Data!A:L,3,FALSE)</f>
        <v>Canada</v>
      </c>
      <c r="D219" s="3">
        <f>VLOOKUP(A219,Raw_Data!A:L,12,FALSE)</f>
        <v>672</v>
      </c>
      <c r="E219" s="3">
        <f>VLOOKUP(A219,Raw_Data!A:L,11,FALSE)</f>
        <v>14</v>
      </c>
      <c r="F219" t="str">
        <f>TEXT(VLOOKUP(A219,Raw_Data!A:L,5,FALSE),"mmm")</f>
        <v>Jan</v>
      </c>
    </row>
    <row r="220" spans="1:6" x14ac:dyDescent="0.35">
      <c r="A220" s="3" t="s">
        <v>495</v>
      </c>
      <c r="B220" t="str">
        <f>VLOOKUP(A220,Raw_Data!A:L,6,FALSE)</f>
        <v>Air conditioner</v>
      </c>
      <c r="C220" t="str">
        <f>VLOOKUP(A220,Raw_Data!A:L,3,FALSE)</f>
        <v>Japan</v>
      </c>
      <c r="D220" s="3">
        <f>VLOOKUP(A220,Raw_Data!A:L,12,FALSE)</f>
        <v>54320</v>
      </c>
      <c r="E220" s="3">
        <f>VLOOKUP(A220,Raw_Data!A:L,11,FALSE)</f>
        <v>97</v>
      </c>
      <c r="F220" t="str">
        <f>TEXT(VLOOKUP(A220,Raw_Data!A:L,5,FALSE),"mmm")</f>
        <v>Sep</v>
      </c>
    </row>
    <row r="221" spans="1:6" x14ac:dyDescent="0.35">
      <c r="A221" s="3" t="s">
        <v>497</v>
      </c>
      <c r="B221" t="str">
        <f>VLOOKUP(A221,Raw_Data!A:L,6,FALSE)</f>
        <v>Refrigerator</v>
      </c>
      <c r="C221" t="str">
        <f>VLOOKUP(A221,Raw_Data!A:L,3,FALSE)</f>
        <v>India</v>
      </c>
      <c r="D221" s="3">
        <f>VLOOKUP(A221,Raw_Data!A:L,12,FALSE)</f>
        <v>17500</v>
      </c>
      <c r="E221" s="3">
        <f>VLOOKUP(A221,Raw_Data!A:L,11,FALSE)</f>
        <v>35</v>
      </c>
      <c r="F221" t="str">
        <f>TEXT(VLOOKUP(A221,Raw_Data!A:L,5,FALSE),"mmm")</f>
        <v>Aug</v>
      </c>
    </row>
    <row r="222" spans="1:6" x14ac:dyDescent="0.35">
      <c r="A222" s="3" t="s">
        <v>499</v>
      </c>
      <c r="B222" t="str">
        <f>VLOOKUP(A222,Raw_Data!A:L,6,FALSE)</f>
        <v>Oven</v>
      </c>
      <c r="C222" t="str">
        <f>VLOOKUP(A222,Raw_Data!A:L,3,FALSE)</f>
        <v>USA</v>
      </c>
      <c r="D222" s="3">
        <f>VLOOKUP(A222,Raw_Data!A:L,12,FALSE)</f>
        <v>31680</v>
      </c>
      <c r="E222" s="3">
        <f>VLOOKUP(A222,Raw_Data!A:L,11,FALSE)</f>
        <v>64</v>
      </c>
      <c r="F222" t="str">
        <f>TEXT(VLOOKUP(A222,Raw_Data!A:L,5,FALSE),"mmm")</f>
        <v>Aug</v>
      </c>
    </row>
    <row r="223" spans="1:6" x14ac:dyDescent="0.35">
      <c r="A223" s="3" t="s">
        <v>500</v>
      </c>
      <c r="B223" t="str">
        <f>VLOOKUP(A223,Raw_Data!A:L,6,FALSE)</f>
        <v>Iron</v>
      </c>
      <c r="C223" t="str">
        <f>VLOOKUP(A223,Raw_Data!A:L,3,FALSE)</f>
        <v>USA</v>
      </c>
      <c r="D223" s="3">
        <f>VLOOKUP(A223,Raw_Data!A:L,12,FALSE)</f>
        <v>2436</v>
      </c>
      <c r="E223" s="3">
        <f>VLOOKUP(A223,Raw_Data!A:L,11,FALSE)</f>
        <v>84</v>
      </c>
      <c r="F223" t="str">
        <f>TEXT(VLOOKUP(A223,Raw_Data!A:L,5,FALSE),"mmm")</f>
        <v>Oct</v>
      </c>
    </row>
    <row r="224" spans="1:6" x14ac:dyDescent="0.35">
      <c r="A224" s="3" t="s">
        <v>502</v>
      </c>
      <c r="B224" t="str">
        <f>VLOOKUP(A224,Raw_Data!A:L,6,FALSE)</f>
        <v>Blender</v>
      </c>
      <c r="C224" t="str">
        <f>VLOOKUP(A224,Raw_Data!A:L,3,FALSE)</f>
        <v>USA</v>
      </c>
      <c r="D224" s="3">
        <f>VLOOKUP(A224,Raw_Data!A:L,12,FALSE)</f>
        <v>2992</v>
      </c>
      <c r="E224" s="3">
        <f>VLOOKUP(A224,Raw_Data!A:L,11,FALSE)</f>
        <v>68</v>
      </c>
      <c r="F224" t="str">
        <f>TEXT(VLOOKUP(A224,Raw_Data!A:L,5,FALSE),"mmm")</f>
        <v>Jul</v>
      </c>
    </row>
    <row r="225" spans="1:6" x14ac:dyDescent="0.35">
      <c r="A225" s="3" t="s">
        <v>504</v>
      </c>
      <c r="B225" t="str">
        <f>VLOOKUP(A225,Raw_Data!A:L,6,FALSE)</f>
        <v>Refrigerator</v>
      </c>
      <c r="C225" t="str">
        <f>VLOOKUP(A225,Raw_Data!A:L,3,FALSE)</f>
        <v>Israel</v>
      </c>
      <c r="D225" s="3">
        <f>VLOOKUP(A225,Raw_Data!A:L,12,FALSE)</f>
        <v>18460</v>
      </c>
      <c r="E225" s="3">
        <f>VLOOKUP(A225,Raw_Data!A:L,11,FALSE)</f>
        <v>26</v>
      </c>
      <c r="F225" t="str">
        <f>TEXT(VLOOKUP(A225,Raw_Data!A:L,5,FALSE),"mmm")</f>
        <v>Sep</v>
      </c>
    </row>
    <row r="226" spans="1:6" x14ac:dyDescent="0.35">
      <c r="A226" s="3" t="s">
        <v>505</v>
      </c>
      <c r="B226" t="str">
        <f>VLOOKUP(A226,Raw_Data!A:L,6,FALSE)</f>
        <v>Ceiling fan</v>
      </c>
      <c r="C226" t="str">
        <f>VLOOKUP(A226,Raw_Data!A:L,3,FALSE)</f>
        <v>USA</v>
      </c>
      <c r="D226" s="3">
        <f>VLOOKUP(A226,Raw_Data!A:L,12,FALSE)</f>
        <v>8400</v>
      </c>
      <c r="E226" s="3">
        <f>VLOOKUP(A226,Raw_Data!A:L,11,FALSE)</f>
        <v>56</v>
      </c>
      <c r="F226" t="str">
        <f>TEXT(VLOOKUP(A226,Raw_Data!A:L,5,FALSE),"mmm")</f>
        <v>Apr</v>
      </c>
    </row>
    <row r="227" spans="1:6" x14ac:dyDescent="0.35">
      <c r="A227" s="3" t="s">
        <v>507</v>
      </c>
      <c r="B227" t="str">
        <f>VLOOKUP(A227,Raw_Data!A:L,6,FALSE)</f>
        <v>Toaster</v>
      </c>
      <c r="C227" t="str">
        <f>VLOOKUP(A227,Raw_Data!A:L,3,FALSE)</f>
        <v>Japan</v>
      </c>
      <c r="D227" s="3">
        <f>VLOOKUP(A227,Raw_Data!A:L,12,FALSE)</f>
        <v>3564</v>
      </c>
      <c r="E227" s="3">
        <f>VLOOKUP(A227,Raw_Data!A:L,11,FALSE)</f>
        <v>81</v>
      </c>
      <c r="F227" t="str">
        <f>TEXT(VLOOKUP(A227,Raw_Data!A:L,5,FALSE),"mmm")</f>
        <v>Oct</v>
      </c>
    </row>
    <row r="228" spans="1:6" x14ac:dyDescent="0.35">
      <c r="A228" s="3" t="s">
        <v>509</v>
      </c>
      <c r="B228" t="str">
        <f>VLOOKUP(A228,Raw_Data!A:L,6,FALSE)</f>
        <v>Iron</v>
      </c>
      <c r="C228" t="str">
        <f>VLOOKUP(A228,Raw_Data!A:L,3,FALSE)</f>
        <v>Mexico</v>
      </c>
      <c r="D228" s="3">
        <f>VLOOKUP(A228,Raw_Data!A:L,12,FALSE)</f>
        <v>1704</v>
      </c>
      <c r="E228" s="3">
        <f>VLOOKUP(A228,Raw_Data!A:L,11,FALSE)</f>
        <v>71</v>
      </c>
      <c r="F228" t="str">
        <f>TEXT(VLOOKUP(A228,Raw_Data!A:L,5,FALSE),"mmm")</f>
        <v>Mar</v>
      </c>
    </row>
    <row r="229" spans="1:6" x14ac:dyDescent="0.35">
      <c r="A229" s="3" t="s">
        <v>511</v>
      </c>
      <c r="B229" t="str">
        <f>VLOOKUP(A229,Raw_Data!A:L,6,FALSE)</f>
        <v>Vacuum Cleaner</v>
      </c>
      <c r="C229" t="str">
        <f>VLOOKUP(A229,Raw_Data!A:L,3,FALSE)</f>
        <v>Chile</v>
      </c>
      <c r="D229" s="3">
        <f>VLOOKUP(A229,Raw_Data!A:L,12,FALSE)</f>
        <v>5216</v>
      </c>
      <c r="E229" s="3">
        <f>VLOOKUP(A229,Raw_Data!A:L,11,FALSE)</f>
        <v>32</v>
      </c>
      <c r="F229" t="str">
        <f>TEXT(VLOOKUP(A229,Raw_Data!A:L,5,FALSE),"mmm")</f>
        <v>Jul</v>
      </c>
    </row>
    <row r="230" spans="1:6" x14ac:dyDescent="0.35">
      <c r="A230" s="3" t="s">
        <v>512</v>
      </c>
      <c r="B230" t="str">
        <f>VLOOKUP(A230,Raw_Data!A:L,6,FALSE)</f>
        <v>Microwave</v>
      </c>
      <c r="C230" t="str">
        <f>VLOOKUP(A230,Raw_Data!A:L,3,FALSE)</f>
        <v>Thailand</v>
      </c>
      <c r="D230" s="3">
        <f>VLOOKUP(A230,Raw_Data!A:L,12,FALSE)</f>
        <v>7254</v>
      </c>
      <c r="E230" s="3">
        <f>VLOOKUP(A230,Raw_Data!A:L,11,FALSE)</f>
        <v>93</v>
      </c>
      <c r="F230" t="str">
        <f>TEXT(VLOOKUP(A230,Raw_Data!A:L,5,FALSE),"mmm")</f>
        <v>Oct</v>
      </c>
    </row>
    <row r="231" spans="1:6" x14ac:dyDescent="0.35">
      <c r="A231" s="3" t="s">
        <v>514</v>
      </c>
      <c r="B231" t="str">
        <f>VLOOKUP(A231,Raw_Data!A:L,6,FALSE)</f>
        <v>Microwave</v>
      </c>
      <c r="C231" t="str">
        <f>VLOOKUP(A231,Raw_Data!A:L,3,FALSE)</f>
        <v>Ireland</v>
      </c>
      <c r="D231" s="3">
        <f>VLOOKUP(A231,Raw_Data!A:L,12,FALSE)</f>
        <v>4212</v>
      </c>
      <c r="E231" s="3">
        <f>VLOOKUP(A231,Raw_Data!A:L,11,FALSE)</f>
        <v>54</v>
      </c>
      <c r="F231" t="str">
        <f>TEXT(VLOOKUP(A231,Raw_Data!A:L,5,FALSE),"mmm")</f>
        <v>Jul</v>
      </c>
    </row>
    <row r="232" spans="1:6" x14ac:dyDescent="0.35">
      <c r="A232" s="3" t="s">
        <v>515</v>
      </c>
      <c r="B232" t="str">
        <f>VLOOKUP(A232,Raw_Data!A:L,6,FALSE)</f>
        <v>Air conditioner</v>
      </c>
      <c r="C232" t="str">
        <f>VLOOKUP(A232,Raw_Data!A:L,3,FALSE)</f>
        <v>China</v>
      </c>
      <c r="D232" s="3">
        <f>VLOOKUP(A232,Raw_Data!A:L,12,FALSE)</f>
        <v>5859</v>
      </c>
      <c r="E232" s="3">
        <f>VLOOKUP(A232,Raw_Data!A:L,11,FALSE)</f>
        <v>9</v>
      </c>
      <c r="F232" t="str">
        <f>TEXT(VLOOKUP(A232,Raw_Data!A:L,5,FALSE),"mmm")</f>
        <v>Jun</v>
      </c>
    </row>
    <row r="233" spans="1:6" x14ac:dyDescent="0.35">
      <c r="A233" s="3" t="s">
        <v>516</v>
      </c>
      <c r="B233" t="str">
        <f>VLOOKUP(A233,Raw_Data!A:L,6,FALSE)</f>
        <v>Toaster</v>
      </c>
      <c r="C233" t="str">
        <f>VLOOKUP(A233,Raw_Data!A:L,3,FALSE)</f>
        <v>Greece</v>
      </c>
      <c r="D233" s="3">
        <f>VLOOKUP(A233,Raw_Data!A:L,12,FALSE)</f>
        <v>324</v>
      </c>
      <c r="E233" s="3">
        <f>VLOOKUP(A233,Raw_Data!A:L,11,FALSE)</f>
        <v>9</v>
      </c>
      <c r="F233" t="str">
        <f>TEXT(VLOOKUP(A233,Raw_Data!A:L,5,FALSE),"mmm")</f>
        <v>Jul</v>
      </c>
    </row>
    <row r="234" spans="1:6" x14ac:dyDescent="0.35">
      <c r="A234" s="3" t="s">
        <v>518</v>
      </c>
      <c r="B234" t="str">
        <f>VLOOKUP(A234,Raw_Data!A:L,6,FALSE)</f>
        <v>Oven</v>
      </c>
      <c r="C234" t="str">
        <f>VLOOKUP(A234,Raw_Data!A:L,3,FALSE)</f>
        <v>Poland</v>
      </c>
      <c r="D234" s="3">
        <f>VLOOKUP(A234,Raw_Data!A:L,12,FALSE)</f>
        <v>20500</v>
      </c>
      <c r="E234" s="3">
        <f>VLOOKUP(A234,Raw_Data!A:L,11,FALSE)</f>
        <v>41</v>
      </c>
      <c r="F234" t="str">
        <f>TEXT(VLOOKUP(A234,Raw_Data!A:L,5,FALSE),"mmm")</f>
        <v>Apr</v>
      </c>
    </row>
    <row r="235" spans="1:6" x14ac:dyDescent="0.35">
      <c r="A235" s="3" t="s">
        <v>520</v>
      </c>
      <c r="B235" t="str">
        <f>VLOOKUP(A235,Raw_Data!A:L,6,FALSE)</f>
        <v>Ceiling fan</v>
      </c>
      <c r="C235" t="str">
        <f>VLOOKUP(A235,Raw_Data!A:L,3,FALSE)</f>
        <v>Spain</v>
      </c>
      <c r="D235" s="3">
        <f>VLOOKUP(A235,Raw_Data!A:L,12,FALSE)</f>
        <v>5040</v>
      </c>
      <c r="E235" s="3">
        <f>VLOOKUP(A235,Raw_Data!A:L,11,FALSE)</f>
        <v>36</v>
      </c>
      <c r="F235" t="str">
        <f>TEXT(VLOOKUP(A235,Raw_Data!A:L,5,FALSE),"mmm")</f>
        <v>Jul</v>
      </c>
    </row>
    <row r="236" spans="1:6" x14ac:dyDescent="0.35">
      <c r="A236" s="3" t="s">
        <v>522</v>
      </c>
      <c r="B236" t="str">
        <f>VLOOKUP(A236,Raw_Data!A:L,6,FALSE)</f>
        <v>Air conditioner</v>
      </c>
      <c r="C236" t="str">
        <f>VLOOKUP(A236,Raw_Data!A:L,3,FALSE)</f>
        <v>Austria</v>
      </c>
      <c r="D236" s="3">
        <f>VLOOKUP(A236,Raw_Data!A:L,12,FALSE)</f>
        <v>44100</v>
      </c>
      <c r="E236" s="3">
        <f>VLOOKUP(A236,Raw_Data!A:L,11,FALSE)</f>
        <v>63</v>
      </c>
      <c r="F236" t="str">
        <f>TEXT(VLOOKUP(A236,Raw_Data!A:L,5,FALSE),"mmm")</f>
        <v>Dec</v>
      </c>
    </row>
    <row r="237" spans="1:6" x14ac:dyDescent="0.35">
      <c r="A237" s="3" t="s">
        <v>524</v>
      </c>
      <c r="B237" t="str">
        <f>VLOOKUP(A237,Raw_Data!A:L,6,FALSE)</f>
        <v>Ceiling fan</v>
      </c>
      <c r="C237" t="str">
        <f>VLOOKUP(A237,Raw_Data!A:L,3,FALSE)</f>
        <v>Vietnam</v>
      </c>
      <c r="D237" s="3">
        <f>VLOOKUP(A237,Raw_Data!A:L,12,FALSE)</f>
        <v>1584</v>
      </c>
      <c r="E237" s="3">
        <f>VLOOKUP(A237,Raw_Data!A:L,11,FALSE)</f>
        <v>11</v>
      </c>
      <c r="F237" t="str">
        <f>TEXT(VLOOKUP(A237,Raw_Data!A:L,5,FALSE),"mmm")</f>
        <v>Apr</v>
      </c>
    </row>
    <row r="238" spans="1:6" x14ac:dyDescent="0.35">
      <c r="A238" s="3" t="s">
        <v>526</v>
      </c>
      <c r="B238" t="str">
        <f>VLOOKUP(A238,Raw_Data!A:L,6,FALSE)</f>
        <v>Dishwasher</v>
      </c>
      <c r="C238" t="str">
        <f>VLOOKUP(A238,Raw_Data!A:L,3,FALSE)</f>
        <v>Germany</v>
      </c>
      <c r="D238" s="3">
        <f>VLOOKUP(A238,Raw_Data!A:L,12,FALSE)</f>
        <v>28830</v>
      </c>
      <c r="E238" s="3">
        <f>VLOOKUP(A238,Raw_Data!A:L,11,FALSE)</f>
        <v>62</v>
      </c>
      <c r="F238" t="str">
        <f>TEXT(VLOOKUP(A238,Raw_Data!A:L,5,FALSE),"mmm")</f>
        <v>Sep</v>
      </c>
    </row>
    <row r="239" spans="1:6" x14ac:dyDescent="0.35">
      <c r="A239" s="3" t="s">
        <v>528</v>
      </c>
      <c r="B239" t="str">
        <f>VLOOKUP(A239,Raw_Data!A:L,6,FALSE)</f>
        <v>Toaster</v>
      </c>
      <c r="C239" t="str">
        <f>VLOOKUP(A239,Raw_Data!A:L,3,FALSE)</f>
        <v>Malaysia</v>
      </c>
      <c r="D239" s="3">
        <f>VLOOKUP(A239,Raw_Data!A:L,12,FALSE)</f>
        <v>1800</v>
      </c>
      <c r="E239" s="3">
        <f>VLOOKUP(A239,Raw_Data!A:L,11,FALSE)</f>
        <v>36</v>
      </c>
      <c r="F239" t="str">
        <f>TEXT(VLOOKUP(A239,Raw_Data!A:L,5,FALSE),"mmm")</f>
        <v>Mar</v>
      </c>
    </row>
    <row r="240" spans="1:6" x14ac:dyDescent="0.35">
      <c r="A240" s="3" t="s">
        <v>529</v>
      </c>
      <c r="B240" t="str">
        <f>VLOOKUP(A240,Raw_Data!A:L,6,FALSE)</f>
        <v>Blender</v>
      </c>
      <c r="C240" t="str">
        <f>VLOOKUP(A240,Raw_Data!A:L,3,FALSE)</f>
        <v>Thailand</v>
      </c>
      <c r="D240" s="3">
        <f>VLOOKUP(A240,Raw_Data!A:L,12,FALSE)</f>
        <v>3136</v>
      </c>
      <c r="E240" s="3">
        <f>VLOOKUP(A240,Raw_Data!A:L,11,FALSE)</f>
        <v>64</v>
      </c>
      <c r="F240" t="str">
        <f>TEXT(VLOOKUP(A240,Raw_Data!A:L,5,FALSE),"mmm")</f>
        <v>Mar</v>
      </c>
    </row>
    <row r="241" spans="1:6" x14ac:dyDescent="0.35">
      <c r="A241" s="3" t="s">
        <v>531</v>
      </c>
      <c r="B241" t="str">
        <f>VLOOKUP(A241,Raw_Data!A:L,6,FALSE)</f>
        <v>Toaster</v>
      </c>
      <c r="C241" t="str">
        <f>VLOOKUP(A241,Raw_Data!A:L,3,FALSE)</f>
        <v>USA</v>
      </c>
      <c r="D241" s="3">
        <f>VLOOKUP(A241,Raw_Data!A:L,12,FALSE)</f>
        <v>3300</v>
      </c>
      <c r="E241" s="3">
        <f>VLOOKUP(A241,Raw_Data!A:L,11,FALSE)</f>
        <v>75</v>
      </c>
      <c r="F241" t="str">
        <f>TEXT(VLOOKUP(A241,Raw_Data!A:L,5,FALSE),"mmm")</f>
        <v>Aug</v>
      </c>
    </row>
    <row r="242" spans="1:6" x14ac:dyDescent="0.35">
      <c r="A242" s="3" t="s">
        <v>533</v>
      </c>
      <c r="B242" t="str">
        <f>VLOOKUP(A242,Raw_Data!A:L,6,FALSE)</f>
        <v>Oven</v>
      </c>
      <c r="C242" t="str">
        <f>VLOOKUP(A242,Raw_Data!A:L,3,FALSE)</f>
        <v>Germany</v>
      </c>
      <c r="D242" s="3">
        <f>VLOOKUP(A242,Raw_Data!A:L,12,FALSE)</f>
        <v>22050</v>
      </c>
      <c r="E242" s="3">
        <f>VLOOKUP(A242,Raw_Data!A:L,11,FALSE)</f>
        <v>45</v>
      </c>
      <c r="F242" t="str">
        <f>TEXT(VLOOKUP(A242,Raw_Data!A:L,5,FALSE),"mmm")</f>
        <v>Oct</v>
      </c>
    </row>
    <row r="243" spans="1:6" x14ac:dyDescent="0.35">
      <c r="A243" s="3" t="s">
        <v>534</v>
      </c>
      <c r="B243" t="str">
        <f>VLOOKUP(A243,Raw_Data!A:L,6,FALSE)</f>
        <v>Air conditioner</v>
      </c>
      <c r="C243" t="str">
        <f>VLOOKUP(A243,Raw_Data!A:L,3,FALSE)</f>
        <v>Germany</v>
      </c>
      <c r="D243" s="3">
        <f>VLOOKUP(A243,Raw_Data!A:L,12,FALSE)</f>
        <v>11214</v>
      </c>
      <c r="E243" s="3">
        <f>VLOOKUP(A243,Raw_Data!A:L,11,FALSE)</f>
        <v>18</v>
      </c>
      <c r="F243" t="str">
        <f>TEXT(VLOOKUP(A243,Raw_Data!A:L,5,FALSE),"mmm")</f>
        <v>Jul</v>
      </c>
    </row>
    <row r="244" spans="1:6" x14ac:dyDescent="0.35">
      <c r="A244" s="3" t="s">
        <v>536</v>
      </c>
      <c r="B244" t="str">
        <f>VLOOKUP(A244,Raw_Data!A:L,6,FALSE)</f>
        <v>Air conditioner</v>
      </c>
      <c r="C244" t="str">
        <f>VLOOKUP(A244,Raw_Data!A:L,3,FALSE)</f>
        <v>USA</v>
      </c>
      <c r="D244" s="3">
        <f>VLOOKUP(A244,Raw_Data!A:L,12,FALSE)</f>
        <v>33866</v>
      </c>
      <c r="E244" s="3">
        <f>VLOOKUP(A244,Raw_Data!A:L,11,FALSE)</f>
        <v>59</v>
      </c>
      <c r="F244" t="str">
        <f>TEXT(VLOOKUP(A244,Raw_Data!A:L,5,FALSE),"mmm")</f>
        <v>Jun</v>
      </c>
    </row>
    <row r="245" spans="1:6" x14ac:dyDescent="0.35">
      <c r="A245" s="3" t="s">
        <v>538</v>
      </c>
      <c r="B245" t="str">
        <f>VLOOKUP(A245,Raw_Data!A:L,6,FALSE)</f>
        <v>Coffee grinder</v>
      </c>
      <c r="C245" t="str">
        <f>VLOOKUP(A245,Raw_Data!A:L,3,FALSE)</f>
        <v>Japan</v>
      </c>
      <c r="D245" s="3">
        <f>VLOOKUP(A245,Raw_Data!A:L,12,FALSE)</f>
        <v>1496</v>
      </c>
      <c r="E245" s="3">
        <f>VLOOKUP(A245,Raw_Data!A:L,11,FALSE)</f>
        <v>22</v>
      </c>
      <c r="F245" t="str">
        <f>TEXT(VLOOKUP(A245,Raw_Data!A:L,5,FALSE),"mmm")</f>
        <v>Jan</v>
      </c>
    </row>
    <row r="246" spans="1:6" x14ac:dyDescent="0.35">
      <c r="A246" s="3" t="s">
        <v>540</v>
      </c>
      <c r="B246" t="str">
        <f>VLOOKUP(A246,Raw_Data!A:L,6,FALSE)</f>
        <v>Coffee grinder</v>
      </c>
      <c r="C246" t="str">
        <f>VLOOKUP(A246,Raw_Data!A:L,3,FALSE)</f>
        <v>South Korea</v>
      </c>
      <c r="D246" s="3">
        <f>VLOOKUP(A246,Raw_Data!A:L,12,FALSE)</f>
        <v>3312</v>
      </c>
      <c r="E246" s="3">
        <f>VLOOKUP(A246,Raw_Data!A:L,11,FALSE)</f>
        <v>48</v>
      </c>
      <c r="F246" t="str">
        <f>TEXT(VLOOKUP(A246,Raw_Data!A:L,5,FALSE),"mmm")</f>
        <v>Sep</v>
      </c>
    </row>
    <row r="247" spans="1:6" x14ac:dyDescent="0.35">
      <c r="A247" s="3" t="s">
        <v>542</v>
      </c>
      <c r="B247" t="str">
        <f>VLOOKUP(A247,Raw_Data!A:L,6,FALSE)</f>
        <v>Iron</v>
      </c>
      <c r="C247" t="str">
        <f>VLOOKUP(A247,Raw_Data!A:L,3,FALSE)</f>
        <v>Chile</v>
      </c>
      <c r="D247" s="3">
        <f>VLOOKUP(A247,Raw_Data!A:L,12,FALSE)</f>
        <v>2523</v>
      </c>
      <c r="E247" s="3">
        <f>VLOOKUP(A247,Raw_Data!A:L,11,FALSE)</f>
        <v>87</v>
      </c>
      <c r="F247" t="str">
        <f>TEXT(VLOOKUP(A247,Raw_Data!A:L,5,FALSE),"mmm")</f>
        <v>Mar</v>
      </c>
    </row>
    <row r="248" spans="1:6" x14ac:dyDescent="0.35">
      <c r="A248" s="3" t="s">
        <v>543</v>
      </c>
      <c r="B248" t="str">
        <f>VLOOKUP(A248,Raw_Data!A:L,6,FALSE)</f>
        <v>Washing Machine</v>
      </c>
      <c r="C248" t="str">
        <f>VLOOKUP(A248,Raw_Data!A:L,3,FALSE)</f>
        <v>Canada</v>
      </c>
      <c r="D248" s="3">
        <f>VLOOKUP(A248,Raw_Data!A:L,12,FALSE)</f>
        <v>67512</v>
      </c>
      <c r="E248" s="3">
        <f>VLOOKUP(A248,Raw_Data!A:L,11,FALSE)</f>
        <v>97</v>
      </c>
      <c r="F248" t="str">
        <f>TEXT(VLOOKUP(A248,Raw_Data!A:L,5,FALSE),"mmm")</f>
        <v>Sep</v>
      </c>
    </row>
    <row r="249" spans="1:6" x14ac:dyDescent="0.35">
      <c r="A249" s="3" t="s">
        <v>545</v>
      </c>
      <c r="B249" t="str">
        <f>VLOOKUP(A249,Raw_Data!A:L,6,FALSE)</f>
        <v>Air conditioner</v>
      </c>
      <c r="C249" t="str">
        <f>VLOOKUP(A249,Raw_Data!A:L,3,FALSE)</f>
        <v>Turkey</v>
      </c>
      <c r="D249" s="3">
        <f>VLOOKUP(A249,Raw_Data!A:L,12,FALSE)</f>
        <v>31906</v>
      </c>
      <c r="E249" s="3">
        <f>VLOOKUP(A249,Raw_Data!A:L,11,FALSE)</f>
        <v>53</v>
      </c>
      <c r="F249" t="str">
        <f>TEXT(VLOOKUP(A249,Raw_Data!A:L,5,FALSE),"mmm")</f>
        <v>Apr</v>
      </c>
    </row>
    <row r="250" spans="1:6" x14ac:dyDescent="0.35">
      <c r="A250" s="3" t="s">
        <v>546</v>
      </c>
      <c r="B250" t="str">
        <f>VLOOKUP(A250,Raw_Data!A:L,6,FALSE)</f>
        <v>Toaster</v>
      </c>
      <c r="C250" t="str">
        <f>VLOOKUP(A250,Raw_Data!A:L,3,FALSE)</f>
        <v>USA</v>
      </c>
      <c r="D250" s="3">
        <f>VLOOKUP(A250,Raw_Data!A:L,12,FALSE)</f>
        <v>2320</v>
      </c>
      <c r="E250" s="3">
        <f>VLOOKUP(A250,Raw_Data!A:L,11,FALSE)</f>
        <v>58</v>
      </c>
      <c r="F250" t="str">
        <f>TEXT(VLOOKUP(A250,Raw_Data!A:L,5,FALSE),"mmm")</f>
        <v>Apr</v>
      </c>
    </row>
    <row r="251" spans="1:6" x14ac:dyDescent="0.35">
      <c r="A251" s="3" t="s">
        <v>548</v>
      </c>
      <c r="B251" t="str">
        <f>VLOOKUP(A251,Raw_Data!A:L,6,FALSE)</f>
        <v>Blender</v>
      </c>
      <c r="C251" t="str">
        <f>VLOOKUP(A251,Raw_Data!A:L,3,FALSE)</f>
        <v>Vietnam</v>
      </c>
      <c r="D251" s="3">
        <f>VLOOKUP(A251,Raw_Data!A:L,12,FALSE)</f>
        <v>3350</v>
      </c>
      <c r="E251" s="3">
        <f>VLOOKUP(A251,Raw_Data!A:L,11,FALSE)</f>
        <v>67</v>
      </c>
      <c r="F251" t="str">
        <f>TEXT(VLOOKUP(A251,Raw_Data!A:L,5,FALSE),"mmm")</f>
        <v>Apr</v>
      </c>
    </row>
    <row r="252" spans="1:6" x14ac:dyDescent="0.35">
      <c r="A252" s="3" t="s">
        <v>550</v>
      </c>
      <c r="B252" t="str">
        <f>VLOOKUP(A252,Raw_Data!A:L,6,FALSE)</f>
        <v>Toaster</v>
      </c>
      <c r="C252" t="str">
        <f>VLOOKUP(A252,Raw_Data!A:L,3,FALSE)</f>
        <v>Chile</v>
      </c>
      <c r="D252" s="3">
        <f>VLOOKUP(A252,Raw_Data!A:L,12,FALSE)</f>
        <v>3087</v>
      </c>
      <c r="E252" s="3">
        <f>VLOOKUP(A252,Raw_Data!A:L,11,FALSE)</f>
        <v>63</v>
      </c>
      <c r="F252" t="str">
        <f>TEXT(VLOOKUP(A252,Raw_Data!A:L,5,FALSE),"mmm")</f>
        <v>Nov</v>
      </c>
    </row>
    <row r="253" spans="1:6" x14ac:dyDescent="0.35">
      <c r="A253" s="3" t="s">
        <v>552</v>
      </c>
      <c r="B253" t="str">
        <f>VLOOKUP(A253,Raw_Data!A:L,6,FALSE)</f>
        <v>Dishwasher</v>
      </c>
      <c r="C253" t="str">
        <f>VLOOKUP(A253,Raw_Data!A:L,3,FALSE)</f>
        <v>Saudi Arabia</v>
      </c>
      <c r="D253" s="3">
        <f>VLOOKUP(A253,Raw_Data!A:L,12,FALSE)</f>
        <v>33575</v>
      </c>
      <c r="E253" s="3">
        <f>VLOOKUP(A253,Raw_Data!A:L,11,FALSE)</f>
        <v>79</v>
      </c>
      <c r="F253" t="str">
        <f>TEXT(VLOOKUP(A253,Raw_Data!A:L,5,FALSE),"mmm")</f>
        <v>Jul</v>
      </c>
    </row>
    <row r="254" spans="1:6" x14ac:dyDescent="0.35">
      <c r="A254" s="3" t="s">
        <v>553</v>
      </c>
      <c r="B254" t="str">
        <f>VLOOKUP(A254,Raw_Data!A:L,6,FALSE)</f>
        <v>Oven</v>
      </c>
      <c r="C254" t="str">
        <f>VLOOKUP(A254,Raw_Data!A:L,3,FALSE)</f>
        <v>Poland</v>
      </c>
      <c r="D254" s="3">
        <f>VLOOKUP(A254,Raw_Data!A:L,12,FALSE)</f>
        <v>39500</v>
      </c>
      <c r="E254" s="3">
        <f>VLOOKUP(A254,Raw_Data!A:L,11,FALSE)</f>
        <v>79</v>
      </c>
      <c r="F254" t="str">
        <f>TEXT(VLOOKUP(A254,Raw_Data!A:L,5,FALSE),"mmm")</f>
        <v>Sep</v>
      </c>
    </row>
    <row r="255" spans="1:6" x14ac:dyDescent="0.35">
      <c r="A255" s="3" t="s">
        <v>554</v>
      </c>
      <c r="B255" t="str">
        <f>VLOOKUP(A255,Raw_Data!A:L,6,FALSE)</f>
        <v>Washing Machine</v>
      </c>
      <c r="C255" t="str">
        <f>VLOOKUP(A255,Raw_Data!A:L,3,FALSE)</f>
        <v>Turkey</v>
      </c>
      <c r="D255" s="3">
        <f>VLOOKUP(A255,Raw_Data!A:L,12,FALSE)</f>
        <v>7480</v>
      </c>
      <c r="E255" s="3">
        <f>VLOOKUP(A255,Raw_Data!A:L,11,FALSE)</f>
        <v>11</v>
      </c>
      <c r="F255" t="str">
        <f>TEXT(VLOOKUP(A255,Raw_Data!A:L,5,FALSE),"mmm")</f>
        <v>Sep</v>
      </c>
    </row>
    <row r="256" spans="1:6" x14ac:dyDescent="0.35">
      <c r="A256" s="3" t="s">
        <v>556</v>
      </c>
      <c r="B256" t="str">
        <f>VLOOKUP(A256,Raw_Data!A:L,6,FALSE)</f>
        <v>Ceiling fan</v>
      </c>
      <c r="C256" t="str">
        <f>VLOOKUP(A256,Raw_Data!A:L,3,FALSE)</f>
        <v>Israel</v>
      </c>
      <c r="D256" s="3">
        <f>VLOOKUP(A256,Raw_Data!A:L,12,FALSE)</f>
        <v>7056</v>
      </c>
      <c r="E256" s="3">
        <f>VLOOKUP(A256,Raw_Data!A:L,11,FALSE)</f>
        <v>49</v>
      </c>
      <c r="F256" t="str">
        <f>TEXT(VLOOKUP(A256,Raw_Data!A:L,5,FALSE),"mmm")</f>
        <v>Dec</v>
      </c>
    </row>
    <row r="257" spans="1:6" x14ac:dyDescent="0.35">
      <c r="A257" s="3" t="s">
        <v>558</v>
      </c>
      <c r="B257" t="str">
        <f>VLOOKUP(A257,Raw_Data!A:L,6,FALSE)</f>
        <v>Refrigerator</v>
      </c>
      <c r="C257" t="str">
        <f>VLOOKUP(A257,Raw_Data!A:L,3,FALSE)</f>
        <v>Austria</v>
      </c>
      <c r="D257" s="3">
        <f>VLOOKUP(A257,Raw_Data!A:L,12,FALSE)</f>
        <v>8840</v>
      </c>
      <c r="E257" s="3">
        <f>VLOOKUP(A257,Raw_Data!A:L,11,FALSE)</f>
        <v>13</v>
      </c>
      <c r="F257" t="str">
        <f>TEXT(VLOOKUP(A257,Raw_Data!A:L,5,FALSE),"mmm")</f>
        <v>Feb</v>
      </c>
    </row>
    <row r="258" spans="1:6" x14ac:dyDescent="0.35">
      <c r="A258" s="3" t="s">
        <v>559</v>
      </c>
      <c r="B258" t="str">
        <f>VLOOKUP(A258,Raw_Data!A:L,6,FALSE)</f>
        <v>Ceiling fan</v>
      </c>
      <c r="C258" t="str">
        <f>VLOOKUP(A258,Raw_Data!A:L,3,FALSE)</f>
        <v>Brazil</v>
      </c>
      <c r="D258" s="3">
        <f>VLOOKUP(A258,Raw_Data!A:L,12,FALSE)</f>
        <v>2380</v>
      </c>
      <c r="E258" s="3">
        <f>VLOOKUP(A258,Raw_Data!A:L,11,FALSE)</f>
        <v>17</v>
      </c>
      <c r="F258" t="str">
        <f>TEXT(VLOOKUP(A258,Raw_Data!A:L,5,FALSE),"mmm")</f>
        <v>Dec</v>
      </c>
    </row>
    <row r="259" spans="1:6" x14ac:dyDescent="0.35">
      <c r="A259" s="3" t="s">
        <v>560</v>
      </c>
      <c r="B259" t="str">
        <f>VLOOKUP(A259,Raw_Data!A:L,6,FALSE)</f>
        <v>Iron</v>
      </c>
      <c r="C259" t="str">
        <f>VLOOKUP(A259,Raw_Data!A:L,3,FALSE)</f>
        <v>Israel</v>
      </c>
      <c r="D259" s="3">
        <f>VLOOKUP(A259,Raw_Data!A:L,12,FALSE)</f>
        <v>2520</v>
      </c>
      <c r="E259" s="3">
        <f>VLOOKUP(A259,Raw_Data!A:L,11,FALSE)</f>
        <v>90</v>
      </c>
      <c r="F259" t="str">
        <f>TEXT(VLOOKUP(A259,Raw_Data!A:L,5,FALSE),"mmm")</f>
        <v>May</v>
      </c>
    </row>
    <row r="260" spans="1:6" x14ac:dyDescent="0.35">
      <c r="A260" s="3" t="s">
        <v>562</v>
      </c>
      <c r="B260" t="str">
        <f>VLOOKUP(A260,Raw_Data!A:L,6,FALSE)</f>
        <v>Washing Machine</v>
      </c>
      <c r="C260" t="str">
        <f>VLOOKUP(A260,Raw_Data!A:L,3,FALSE)</f>
        <v>Colombia</v>
      </c>
      <c r="D260" s="3">
        <f>VLOOKUP(A260,Raw_Data!A:L,12,FALSE)</f>
        <v>49504</v>
      </c>
      <c r="E260" s="3">
        <f>VLOOKUP(A260,Raw_Data!A:L,11,FALSE)</f>
        <v>91</v>
      </c>
      <c r="F260" t="str">
        <f>TEXT(VLOOKUP(A260,Raw_Data!A:L,5,FALSE),"mmm")</f>
        <v>Jan</v>
      </c>
    </row>
    <row r="261" spans="1:6" x14ac:dyDescent="0.35">
      <c r="A261" s="3" t="s">
        <v>563</v>
      </c>
      <c r="B261" t="str">
        <f>VLOOKUP(A261,Raw_Data!A:L,6,FALSE)</f>
        <v>Toaster</v>
      </c>
      <c r="C261" t="str">
        <f>VLOOKUP(A261,Raw_Data!A:L,3,FALSE)</f>
        <v>Canada</v>
      </c>
      <c r="D261" s="3">
        <f>VLOOKUP(A261,Raw_Data!A:L,12,FALSE)</f>
        <v>2068</v>
      </c>
      <c r="E261" s="3">
        <f>VLOOKUP(A261,Raw_Data!A:L,11,FALSE)</f>
        <v>44</v>
      </c>
      <c r="F261" t="str">
        <f>TEXT(VLOOKUP(A261,Raw_Data!A:L,5,FALSE),"mmm")</f>
        <v>Mar</v>
      </c>
    </row>
    <row r="262" spans="1:6" x14ac:dyDescent="0.35">
      <c r="A262" s="3" t="s">
        <v>564</v>
      </c>
      <c r="B262" t="str">
        <f>VLOOKUP(A262,Raw_Data!A:L,6,FALSE)</f>
        <v>Microwave</v>
      </c>
      <c r="C262" t="str">
        <f>VLOOKUP(A262,Raw_Data!A:L,3,FALSE)</f>
        <v>Israel</v>
      </c>
      <c r="D262" s="3">
        <f>VLOOKUP(A262,Raw_Data!A:L,12,FALSE)</f>
        <v>4620</v>
      </c>
      <c r="E262" s="3">
        <f>VLOOKUP(A262,Raw_Data!A:L,11,FALSE)</f>
        <v>77</v>
      </c>
      <c r="F262" t="str">
        <f>TEXT(VLOOKUP(A262,Raw_Data!A:L,5,FALSE),"mmm")</f>
        <v>Jul</v>
      </c>
    </row>
    <row r="263" spans="1:6" x14ac:dyDescent="0.35">
      <c r="A263" s="3" t="s">
        <v>566</v>
      </c>
      <c r="B263" t="str">
        <f>VLOOKUP(A263,Raw_Data!A:L,6,FALSE)</f>
        <v>Iron</v>
      </c>
      <c r="C263" t="str">
        <f>VLOOKUP(A263,Raw_Data!A:L,3,FALSE)</f>
        <v>Malaysia</v>
      </c>
      <c r="D263" s="3">
        <f>VLOOKUP(A263,Raw_Data!A:L,12,FALSE)</f>
        <v>2548</v>
      </c>
      <c r="E263" s="3">
        <f>VLOOKUP(A263,Raw_Data!A:L,11,FALSE)</f>
        <v>98</v>
      </c>
      <c r="F263" t="str">
        <f>TEXT(VLOOKUP(A263,Raw_Data!A:L,5,FALSE),"mmm")</f>
        <v>Jun</v>
      </c>
    </row>
    <row r="264" spans="1:6" x14ac:dyDescent="0.35">
      <c r="A264" s="3" t="s">
        <v>568</v>
      </c>
      <c r="B264" t="str">
        <f>VLOOKUP(A264,Raw_Data!A:L,6,FALSE)</f>
        <v>Oven</v>
      </c>
      <c r="C264" t="str">
        <f>VLOOKUP(A264,Raw_Data!A:L,3,FALSE)</f>
        <v>USA</v>
      </c>
      <c r="D264" s="3">
        <f>VLOOKUP(A264,Raw_Data!A:L,12,FALSE)</f>
        <v>29700</v>
      </c>
      <c r="E264" s="3">
        <f>VLOOKUP(A264,Raw_Data!A:L,11,FALSE)</f>
        <v>60</v>
      </c>
      <c r="F264" t="str">
        <f>TEXT(VLOOKUP(A264,Raw_Data!A:L,5,FALSE),"mmm")</f>
        <v>Sep</v>
      </c>
    </row>
    <row r="265" spans="1:6" x14ac:dyDescent="0.35">
      <c r="A265" s="3" t="s">
        <v>569</v>
      </c>
      <c r="B265" t="str">
        <f>VLOOKUP(A265,Raw_Data!A:L,6,FALSE)</f>
        <v>Refrigerator</v>
      </c>
      <c r="C265" t="str">
        <f>VLOOKUP(A265,Raw_Data!A:L,3,FALSE)</f>
        <v>China</v>
      </c>
      <c r="D265" s="3">
        <f>VLOOKUP(A265,Raw_Data!A:L,12,FALSE)</f>
        <v>43400</v>
      </c>
      <c r="E265" s="3">
        <f>VLOOKUP(A265,Raw_Data!A:L,11,FALSE)</f>
        <v>70</v>
      </c>
      <c r="F265" t="str">
        <f>TEXT(VLOOKUP(A265,Raw_Data!A:L,5,FALSE),"mmm")</f>
        <v>May</v>
      </c>
    </row>
    <row r="266" spans="1:6" x14ac:dyDescent="0.35">
      <c r="A266" s="3" t="s">
        <v>571</v>
      </c>
      <c r="B266" t="str">
        <f>VLOOKUP(A266,Raw_Data!A:L,6,FALSE)</f>
        <v>Oven</v>
      </c>
      <c r="C266" t="str">
        <f>VLOOKUP(A266,Raw_Data!A:L,3,FALSE)</f>
        <v>USA</v>
      </c>
      <c r="D266" s="3">
        <f>VLOOKUP(A266,Raw_Data!A:L,12,FALSE)</f>
        <v>20580</v>
      </c>
      <c r="E266" s="3">
        <f>VLOOKUP(A266,Raw_Data!A:L,11,FALSE)</f>
        <v>42</v>
      </c>
      <c r="F266" t="str">
        <f>TEXT(VLOOKUP(A266,Raw_Data!A:L,5,FALSE),"mmm")</f>
        <v>Mar</v>
      </c>
    </row>
    <row r="267" spans="1:6" x14ac:dyDescent="0.35">
      <c r="A267" s="3" t="s">
        <v>573</v>
      </c>
      <c r="B267" t="str">
        <f>VLOOKUP(A267,Raw_Data!A:L,6,FALSE)</f>
        <v>Iron</v>
      </c>
      <c r="C267" t="str">
        <f>VLOOKUP(A267,Raw_Data!A:L,3,FALSE)</f>
        <v>Greece</v>
      </c>
      <c r="D267" s="3">
        <f>VLOOKUP(A267,Raw_Data!A:L,12,FALSE)</f>
        <v>1197</v>
      </c>
      <c r="E267" s="3">
        <f>VLOOKUP(A267,Raw_Data!A:L,11,FALSE)</f>
        <v>57</v>
      </c>
      <c r="F267" t="str">
        <f>TEXT(VLOOKUP(A267,Raw_Data!A:L,5,FALSE),"mmm")</f>
        <v>Aug</v>
      </c>
    </row>
    <row r="268" spans="1:6" x14ac:dyDescent="0.35">
      <c r="A268" s="3" t="s">
        <v>575</v>
      </c>
      <c r="B268" t="str">
        <f>VLOOKUP(A268,Raw_Data!A:L,6,FALSE)</f>
        <v>Iron</v>
      </c>
      <c r="C268" t="str">
        <f>VLOOKUP(A268,Raw_Data!A:L,3,FALSE)</f>
        <v>China</v>
      </c>
      <c r="D268" s="3">
        <f>VLOOKUP(A268,Raw_Data!A:L,12,FALSE)</f>
        <v>1720</v>
      </c>
      <c r="E268" s="3">
        <f>VLOOKUP(A268,Raw_Data!A:L,11,FALSE)</f>
        <v>86</v>
      </c>
      <c r="F268" t="str">
        <f>TEXT(VLOOKUP(A268,Raw_Data!A:L,5,FALSE),"mmm")</f>
        <v>May</v>
      </c>
    </row>
    <row r="269" spans="1:6" x14ac:dyDescent="0.35">
      <c r="A269" s="3" t="s">
        <v>577</v>
      </c>
      <c r="B269" t="str">
        <f>VLOOKUP(A269,Raw_Data!A:L,6,FALSE)</f>
        <v>Refrigerator</v>
      </c>
      <c r="C269" t="str">
        <f>VLOOKUP(A269,Raw_Data!A:L,3,FALSE)</f>
        <v>China</v>
      </c>
      <c r="D269" s="3">
        <f>VLOOKUP(A269,Raw_Data!A:L,12,FALSE)</f>
        <v>22750</v>
      </c>
      <c r="E269" s="3">
        <f>VLOOKUP(A269,Raw_Data!A:L,11,FALSE)</f>
        <v>25</v>
      </c>
      <c r="F269" t="str">
        <f>TEXT(VLOOKUP(A269,Raw_Data!A:L,5,FALSE),"mmm")</f>
        <v>Jun</v>
      </c>
    </row>
    <row r="270" spans="1:6" x14ac:dyDescent="0.35">
      <c r="A270" s="3" t="s">
        <v>578</v>
      </c>
      <c r="B270" t="str">
        <f>VLOOKUP(A270,Raw_Data!A:L,6,FALSE)</f>
        <v>Coffee grinder</v>
      </c>
      <c r="C270" t="str">
        <f>VLOOKUP(A270,Raw_Data!A:L,3,FALSE)</f>
        <v>Thailand</v>
      </c>
      <c r="D270" s="3">
        <f>VLOOKUP(A270,Raw_Data!A:L,12,FALSE)</f>
        <v>6596</v>
      </c>
      <c r="E270" s="3">
        <f>VLOOKUP(A270,Raw_Data!A:L,11,FALSE)</f>
        <v>97</v>
      </c>
      <c r="F270" t="str">
        <f>TEXT(VLOOKUP(A270,Raw_Data!A:L,5,FALSE),"mmm")</f>
        <v>Oct</v>
      </c>
    </row>
    <row r="271" spans="1:6" x14ac:dyDescent="0.35">
      <c r="A271" s="3" t="s">
        <v>579</v>
      </c>
      <c r="B271" t="str">
        <f>VLOOKUP(A271,Raw_Data!A:L,6,FALSE)</f>
        <v>Air conditioner</v>
      </c>
      <c r="C271" t="str">
        <f>VLOOKUP(A271,Raw_Data!A:L,3,FALSE)</f>
        <v>Colombia</v>
      </c>
      <c r="D271" s="3">
        <f>VLOOKUP(A271,Raw_Data!A:L,12,FALSE)</f>
        <v>62300</v>
      </c>
      <c r="E271" s="3">
        <f>VLOOKUP(A271,Raw_Data!A:L,11,FALSE)</f>
        <v>100</v>
      </c>
      <c r="F271" t="str">
        <f>TEXT(VLOOKUP(A271,Raw_Data!A:L,5,FALSE),"mmm")</f>
        <v>Mar</v>
      </c>
    </row>
    <row r="272" spans="1:6" x14ac:dyDescent="0.35">
      <c r="A272" s="3" t="s">
        <v>581</v>
      </c>
      <c r="B272" t="str">
        <f>VLOOKUP(A272,Raw_Data!A:L,6,FALSE)</f>
        <v>Oven</v>
      </c>
      <c r="C272" t="str">
        <f>VLOOKUP(A272,Raw_Data!A:L,3,FALSE)</f>
        <v>Greece</v>
      </c>
      <c r="D272" s="3">
        <f>VLOOKUP(A272,Raw_Data!A:L,12,FALSE)</f>
        <v>5880</v>
      </c>
      <c r="E272" s="3">
        <f>VLOOKUP(A272,Raw_Data!A:L,11,FALSE)</f>
        <v>12</v>
      </c>
      <c r="F272" t="str">
        <f>TEXT(VLOOKUP(A272,Raw_Data!A:L,5,FALSE),"mmm")</f>
        <v>Feb</v>
      </c>
    </row>
    <row r="273" spans="1:6" x14ac:dyDescent="0.35">
      <c r="A273" s="3" t="s">
        <v>583</v>
      </c>
      <c r="B273" t="str">
        <f>VLOOKUP(A273,Raw_Data!A:L,6,FALSE)</f>
        <v>Toaster</v>
      </c>
      <c r="C273" t="str">
        <f>VLOOKUP(A273,Raw_Data!A:L,3,FALSE)</f>
        <v>South Korea</v>
      </c>
      <c r="D273" s="3">
        <f>VLOOKUP(A273,Raw_Data!A:L,12,FALSE)</f>
        <v>4050</v>
      </c>
      <c r="E273" s="3">
        <f>VLOOKUP(A273,Raw_Data!A:L,11,FALSE)</f>
        <v>81</v>
      </c>
      <c r="F273" t="str">
        <f>TEXT(VLOOKUP(A273,Raw_Data!A:L,5,FALSE),"mmm")</f>
        <v>Nov</v>
      </c>
    </row>
    <row r="274" spans="1:6" x14ac:dyDescent="0.35">
      <c r="A274" s="3" t="s">
        <v>585</v>
      </c>
      <c r="B274" t="str">
        <f>VLOOKUP(A274,Raw_Data!A:L,6,FALSE)</f>
        <v>Refrigerator</v>
      </c>
      <c r="C274" t="str">
        <f>VLOOKUP(A274,Raw_Data!A:L,3,FALSE)</f>
        <v>Chile</v>
      </c>
      <c r="D274" s="3">
        <f>VLOOKUP(A274,Raw_Data!A:L,12,FALSE)</f>
        <v>45820</v>
      </c>
      <c r="E274" s="3">
        <f>VLOOKUP(A274,Raw_Data!A:L,11,FALSE)</f>
        <v>58</v>
      </c>
      <c r="F274" t="str">
        <f>TEXT(VLOOKUP(A274,Raw_Data!A:L,5,FALSE),"mmm")</f>
        <v>Jun</v>
      </c>
    </row>
    <row r="275" spans="1:6" x14ac:dyDescent="0.35">
      <c r="A275" s="3" t="s">
        <v>587</v>
      </c>
      <c r="B275" t="str">
        <f>VLOOKUP(A275,Raw_Data!A:L,6,FALSE)</f>
        <v>Ceiling fan</v>
      </c>
      <c r="C275" t="str">
        <f>VLOOKUP(A275,Raw_Data!A:L,3,FALSE)</f>
        <v>Australia</v>
      </c>
      <c r="D275" s="3">
        <f>VLOOKUP(A275,Raw_Data!A:L,12,FALSE)</f>
        <v>2880</v>
      </c>
      <c r="E275" s="3">
        <f>VLOOKUP(A275,Raw_Data!A:L,11,FALSE)</f>
        <v>20</v>
      </c>
      <c r="F275" t="str">
        <f>TEXT(VLOOKUP(A275,Raw_Data!A:L,5,FALSE),"mmm")</f>
        <v>Sep</v>
      </c>
    </row>
    <row r="276" spans="1:6" x14ac:dyDescent="0.35">
      <c r="A276" s="3" t="s">
        <v>588</v>
      </c>
      <c r="B276" t="str">
        <f>VLOOKUP(A276,Raw_Data!A:L,6,FALSE)</f>
        <v>Refrigerator</v>
      </c>
      <c r="C276" t="str">
        <f>VLOOKUP(A276,Raw_Data!A:L,3,FALSE)</f>
        <v>Romania</v>
      </c>
      <c r="D276" s="3">
        <f>VLOOKUP(A276,Raw_Data!A:L,12,FALSE)</f>
        <v>96000</v>
      </c>
      <c r="E276" s="3">
        <f>VLOOKUP(A276,Raw_Data!A:L,11,FALSE)</f>
        <v>100</v>
      </c>
      <c r="F276" t="str">
        <f>TEXT(VLOOKUP(A276,Raw_Data!A:L,5,FALSE),"mmm")</f>
        <v>Jul</v>
      </c>
    </row>
    <row r="277" spans="1:6" x14ac:dyDescent="0.35">
      <c r="A277" s="3" t="s">
        <v>590</v>
      </c>
      <c r="B277" t="str">
        <f>VLOOKUP(A277,Raw_Data!A:L,6,FALSE)</f>
        <v>Dishwasher</v>
      </c>
      <c r="C277" t="str">
        <f>VLOOKUP(A277,Raw_Data!A:L,3,FALSE)</f>
        <v>Austria</v>
      </c>
      <c r="D277" s="3">
        <f>VLOOKUP(A277,Raw_Data!A:L,12,FALSE)</f>
        <v>14240</v>
      </c>
      <c r="E277" s="3">
        <f>VLOOKUP(A277,Raw_Data!A:L,11,FALSE)</f>
        <v>32</v>
      </c>
      <c r="F277" t="str">
        <f>TEXT(VLOOKUP(A277,Raw_Data!A:L,5,FALSE),"mmm")</f>
        <v>Jan</v>
      </c>
    </row>
    <row r="278" spans="1:6" x14ac:dyDescent="0.35">
      <c r="A278" s="3" t="s">
        <v>592</v>
      </c>
      <c r="B278" t="str">
        <f>VLOOKUP(A278,Raw_Data!A:L,6,FALSE)</f>
        <v>Dishwasher</v>
      </c>
      <c r="C278" t="str">
        <f>VLOOKUP(A278,Raw_Data!A:L,3,FALSE)</f>
        <v>India</v>
      </c>
      <c r="D278" s="3">
        <f>VLOOKUP(A278,Raw_Data!A:L,12,FALSE)</f>
        <v>3915</v>
      </c>
      <c r="E278" s="3">
        <f>VLOOKUP(A278,Raw_Data!A:L,11,FALSE)</f>
        <v>9</v>
      </c>
      <c r="F278" t="str">
        <f>TEXT(VLOOKUP(A278,Raw_Data!A:L,5,FALSE),"mmm")</f>
        <v>Oct</v>
      </c>
    </row>
    <row r="279" spans="1:6" x14ac:dyDescent="0.35">
      <c r="A279" s="3" t="s">
        <v>594</v>
      </c>
      <c r="B279" t="str">
        <f>VLOOKUP(A279,Raw_Data!A:L,6,FALSE)</f>
        <v>Oven</v>
      </c>
      <c r="C279" t="str">
        <f>VLOOKUP(A279,Raw_Data!A:L,3,FALSE)</f>
        <v>South Africa</v>
      </c>
      <c r="D279" s="3">
        <f>VLOOKUP(A279,Raw_Data!A:L,12,FALSE)</f>
        <v>38220</v>
      </c>
      <c r="E279" s="3">
        <f>VLOOKUP(A279,Raw_Data!A:L,11,FALSE)</f>
        <v>78</v>
      </c>
      <c r="F279" t="str">
        <f>TEXT(VLOOKUP(A279,Raw_Data!A:L,5,FALSE),"mmm")</f>
        <v>Aug</v>
      </c>
    </row>
    <row r="280" spans="1:6" x14ac:dyDescent="0.35">
      <c r="A280" s="3" t="s">
        <v>596</v>
      </c>
      <c r="B280" t="str">
        <f>VLOOKUP(A280,Raw_Data!A:L,6,FALSE)</f>
        <v>Vacuum Cleaner</v>
      </c>
      <c r="C280" t="str">
        <f>VLOOKUP(A280,Raw_Data!A:L,3,FALSE)</f>
        <v>Colombia</v>
      </c>
      <c r="D280" s="3">
        <f>VLOOKUP(A280,Raw_Data!A:L,12,FALSE)</f>
        <v>920</v>
      </c>
      <c r="E280" s="3">
        <f>VLOOKUP(A280,Raw_Data!A:L,11,FALSE)</f>
        <v>4</v>
      </c>
      <c r="F280" t="str">
        <f>TEXT(VLOOKUP(A280,Raw_Data!A:L,5,FALSE),"mmm")</f>
        <v>Oct</v>
      </c>
    </row>
    <row r="281" spans="1:6" x14ac:dyDescent="0.35">
      <c r="A281" s="3" t="s">
        <v>598</v>
      </c>
      <c r="B281" t="str">
        <f>VLOOKUP(A281,Raw_Data!A:L,6,FALSE)</f>
        <v>Washing Machine</v>
      </c>
      <c r="C281" t="str">
        <f>VLOOKUP(A281,Raw_Data!A:L,3,FALSE)</f>
        <v>Chile</v>
      </c>
      <c r="D281" s="3">
        <f>VLOOKUP(A281,Raw_Data!A:L,12,FALSE)</f>
        <v>16520</v>
      </c>
      <c r="E281" s="3">
        <f>VLOOKUP(A281,Raw_Data!A:L,11,FALSE)</f>
        <v>35</v>
      </c>
      <c r="F281" t="str">
        <f>TEXT(VLOOKUP(A281,Raw_Data!A:L,5,FALSE),"mmm")</f>
        <v>Dec</v>
      </c>
    </row>
    <row r="282" spans="1:6" x14ac:dyDescent="0.35">
      <c r="A282" s="3" t="s">
        <v>599</v>
      </c>
      <c r="B282" t="str">
        <f>VLOOKUP(A282,Raw_Data!A:L,6,FALSE)</f>
        <v>Refrigerator</v>
      </c>
      <c r="C282" t="str">
        <f>VLOOKUP(A282,Raw_Data!A:L,3,FALSE)</f>
        <v>Egypt</v>
      </c>
      <c r="D282" s="3">
        <f>VLOOKUP(A282,Raw_Data!A:L,12,FALSE)</f>
        <v>34170</v>
      </c>
      <c r="E282" s="3">
        <f>VLOOKUP(A282,Raw_Data!A:L,11,FALSE)</f>
        <v>67</v>
      </c>
      <c r="F282" t="str">
        <f>TEXT(VLOOKUP(A282,Raw_Data!A:L,5,FALSE),"mmm")</f>
        <v>Feb</v>
      </c>
    </row>
    <row r="283" spans="1:6" x14ac:dyDescent="0.35">
      <c r="A283" s="3" t="s">
        <v>601</v>
      </c>
      <c r="B283" t="str">
        <f>VLOOKUP(A283,Raw_Data!A:L,6,FALSE)</f>
        <v>Vacuum Cleaner</v>
      </c>
      <c r="C283" t="str">
        <f>VLOOKUP(A283,Raw_Data!A:L,3,FALSE)</f>
        <v>Saudi Arabia</v>
      </c>
      <c r="D283" s="3">
        <f>VLOOKUP(A283,Raw_Data!A:L,12,FALSE)</f>
        <v>12420</v>
      </c>
      <c r="E283" s="3">
        <f>VLOOKUP(A283,Raw_Data!A:L,11,FALSE)</f>
        <v>54</v>
      </c>
      <c r="F283" t="str">
        <f>TEXT(VLOOKUP(A283,Raw_Data!A:L,5,FALSE),"mmm")</f>
        <v>Sep</v>
      </c>
    </row>
    <row r="284" spans="1:6" x14ac:dyDescent="0.35">
      <c r="A284" s="3" t="s">
        <v>602</v>
      </c>
      <c r="B284" t="str">
        <f>VLOOKUP(A284,Raw_Data!A:L,6,FALSE)</f>
        <v>Blender</v>
      </c>
      <c r="C284" t="str">
        <f>VLOOKUP(A284,Raw_Data!A:L,3,FALSE)</f>
        <v>Egypt</v>
      </c>
      <c r="D284" s="3">
        <f>VLOOKUP(A284,Raw_Data!A:L,12,FALSE)</f>
        <v>1872</v>
      </c>
      <c r="E284" s="3">
        <f>VLOOKUP(A284,Raw_Data!A:L,11,FALSE)</f>
        <v>39</v>
      </c>
      <c r="F284" t="str">
        <f>TEXT(VLOOKUP(A284,Raw_Data!A:L,5,FALSE),"mmm")</f>
        <v>Apr</v>
      </c>
    </row>
    <row r="285" spans="1:6" x14ac:dyDescent="0.35">
      <c r="A285" s="3" t="s">
        <v>603</v>
      </c>
      <c r="B285" t="str">
        <f>VLOOKUP(A285,Raw_Data!A:L,6,FALSE)</f>
        <v>Microwave</v>
      </c>
      <c r="C285" t="str">
        <f>VLOOKUP(A285,Raw_Data!A:L,3,FALSE)</f>
        <v>India</v>
      </c>
      <c r="D285" s="3">
        <f>VLOOKUP(A285,Raw_Data!A:L,12,FALSE)</f>
        <v>343</v>
      </c>
      <c r="E285" s="3">
        <f>VLOOKUP(A285,Raw_Data!A:L,11,FALSE)</f>
        <v>7</v>
      </c>
      <c r="F285" t="str">
        <f>TEXT(VLOOKUP(A285,Raw_Data!A:L,5,FALSE),"mmm")</f>
        <v>Mar</v>
      </c>
    </row>
    <row r="286" spans="1:6" x14ac:dyDescent="0.35">
      <c r="A286" s="3" t="s">
        <v>605</v>
      </c>
      <c r="B286" t="str">
        <f>VLOOKUP(A286,Raw_Data!A:L,6,FALSE)</f>
        <v>Oven</v>
      </c>
      <c r="C286" t="str">
        <f>VLOOKUP(A286,Raw_Data!A:L,3,FALSE)</f>
        <v>Egypt</v>
      </c>
      <c r="D286" s="3">
        <f>VLOOKUP(A286,Raw_Data!A:L,12,FALSE)</f>
        <v>42140</v>
      </c>
      <c r="E286" s="3">
        <f>VLOOKUP(A286,Raw_Data!A:L,11,FALSE)</f>
        <v>86</v>
      </c>
      <c r="F286" t="str">
        <f>TEXT(VLOOKUP(A286,Raw_Data!A:L,5,FALSE),"mmm")</f>
        <v>Nov</v>
      </c>
    </row>
    <row r="287" spans="1:6" x14ac:dyDescent="0.35">
      <c r="A287" s="3" t="s">
        <v>606</v>
      </c>
      <c r="B287" t="str">
        <f>VLOOKUP(A287,Raw_Data!A:L,6,FALSE)</f>
        <v>Vacuum Cleaner</v>
      </c>
      <c r="C287" t="str">
        <f>VLOOKUP(A287,Raw_Data!A:L,3,FALSE)</f>
        <v>Argentina</v>
      </c>
      <c r="D287" s="3">
        <f>VLOOKUP(A287,Raw_Data!A:L,12,FALSE)</f>
        <v>496</v>
      </c>
      <c r="E287" s="3">
        <f>VLOOKUP(A287,Raw_Data!A:L,11,FALSE)</f>
        <v>2</v>
      </c>
      <c r="F287" t="str">
        <f>TEXT(VLOOKUP(A287,Raw_Data!A:L,5,FALSE),"mmm")</f>
        <v>Mar</v>
      </c>
    </row>
    <row r="288" spans="1:6" x14ac:dyDescent="0.35">
      <c r="A288" s="3" t="s">
        <v>607</v>
      </c>
      <c r="B288" t="str">
        <f>VLOOKUP(A288,Raw_Data!A:L,6,FALSE)</f>
        <v>Refrigerator</v>
      </c>
      <c r="C288" t="str">
        <f>VLOOKUP(A288,Raw_Data!A:L,3,FALSE)</f>
        <v>Netherlands</v>
      </c>
      <c r="D288" s="3">
        <f>VLOOKUP(A288,Raw_Data!A:L,12,FALSE)</f>
        <v>61200</v>
      </c>
      <c r="E288" s="3">
        <f>VLOOKUP(A288,Raw_Data!A:L,11,FALSE)</f>
        <v>68</v>
      </c>
      <c r="F288" t="str">
        <f>TEXT(VLOOKUP(A288,Raw_Data!A:L,5,FALSE),"mmm")</f>
        <v>Dec</v>
      </c>
    </row>
    <row r="289" spans="1:6" x14ac:dyDescent="0.35">
      <c r="A289" s="3" t="s">
        <v>609</v>
      </c>
      <c r="B289" t="str">
        <f>VLOOKUP(A289,Raw_Data!A:L,6,FALSE)</f>
        <v>Blender</v>
      </c>
      <c r="C289" t="str">
        <f>VLOOKUP(A289,Raw_Data!A:L,3,FALSE)</f>
        <v>Saudi Arabia</v>
      </c>
      <c r="D289" s="3">
        <f>VLOOKUP(A289,Raw_Data!A:L,12,FALSE)</f>
        <v>135</v>
      </c>
      <c r="E289" s="3">
        <f>VLOOKUP(A289,Raw_Data!A:L,11,FALSE)</f>
        <v>3</v>
      </c>
      <c r="F289" t="str">
        <f>TEXT(VLOOKUP(A289,Raw_Data!A:L,5,FALSE),"mmm")</f>
        <v>Jan</v>
      </c>
    </row>
    <row r="290" spans="1:6" x14ac:dyDescent="0.35">
      <c r="A290" s="3" t="s">
        <v>610</v>
      </c>
      <c r="B290" t="str">
        <f>VLOOKUP(A290,Raw_Data!A:L,6,FALSE)</f>
        <v>Ceiling fan</v>
      </c>
      <c r="C290" t="str">
        <f>VLOOKUP(A290,Raw_Data!A:L,3,FALSE)</f>
        <v>Israel</v>
      </c>
      <c r="D290" s="3">
        <f>VLOOKUP(A290,Raw_Data!A:L,12,FALSE)</f>
        <v>13536</v>
      </c>
      <c r="E290" s="3">
        <f>VLOOKUP(A290,Raw_Data!A:L,11,FALSE)</f>
        <v>94</v>
      </c>
      <c r="F290" t="str">
        <f>TEXT(VLOOKUP(A290,Raw_Data!A:L,5,FALSE),"mmm")</f>
        <v>Feb</v>
      </c>
    </row>
    <row r="291" spans="1:6" x14ac:dyDescent="0.35">
      <c r="A291" s="3" t="s">
        <v>612</v>
      </c>
      <c r="B291" t="str">
        <f>VLOOKUP(A291,Raw_Data!A:L,6,FALSE)</f>
        <v>Oven</v>
      </c>
      <c r="C291" t="str">
        <f>VLOOKUP(A291,Raw_Data!A:L,3,FALSE)</f>
        <v>Japan</v>
      </c>
      <c r="D291" s="3">
        <f>VLOOKUP(A291,Raw_Data!A:L,12,FALSE)</f>
        <v>24255</v>
      </c>
      <c r="E291" s="3">
        <f>VLOOKUP(A291,Raw_Data!A:L,11,FALSE)</f>
        <v>49</v>
      </c>
      <c r="F291" t="str">
        <f>TEXT(VLOOKUP(A291,Raw_Data!A:L,5,FALSE),"mmm")</f>
        <v>Jan</v>
      </c>
    </row>
    <row r="292" spans="1:6" x14ac:dyDescent="0.35">
      <c r="A292" s="3" t="s">
        <v>613</v>
      </c>
      <c r="B292" t="str">
        <f>VLOOKUP(A292,Raw_Data!A:L,6,FALSE)</f>
        <v>Dishwasher</v>
      </c>
      <c r="C292" t="str">
        <f>VLOOKUP(A292,Raw_Data!A:L,3,FALSE)</f>
        <v>Czech Republic</v>
      </c>
      <c r="D292" s="3">
        <f>VLOOKUP(A292,Raw_Data!A:L,12,FALSE)</f>
        <v>28900</v>
      </c>
      <c r="E292" s="3">
        <f>VLOOKUP(A292,Raw_Data!A:L,11,FALSE)</f>
        <v>68</v>
      </c>
      <c r="F292" t="str">
        <f>TEXT(VLOOKUP(A292,Raw_Data!A:L,5,FALSE),"mmm")</f>
        <v>Sep</v>
      </c>
    </row>
    <row r="293" spans="1:6" x14ac:dyDescent="0.35">
      <c r="A293" s="3" t="s">
        <v>614</v>
      </c>
      <c r="B293" t="str">
        <f>VLOOKUP(A293,Raw_Data!A:L,6,FALSE)</f>
        <v>Coffee grinder</v>
      </c>
      <c r="C293" t="str">
        <f>VLOOKUP(A293,Raw_Data!A:L,3,FALSE)</f>
        <v>Saudi Arabia</v>
      </c>
      <c r="D293" s="3">
        <f>VLOOKUP(A293,Raw_Data!A:L,12,FALSE)</f>
        <v>5520</v>
      </c>
      <c r="E293" s="3">
        <f>VLOOKUP(A293,Raw_Data!A:L,11,FALSE)</f>
        <v>92</v>
      </c>
      <c r="F293" t="str">
        <f>TEXT(VLOOKUP(A293,Raw_Data!A:L,5,FALSE),"mmm")</f>
        <v>Jun</v>
      </c>
    </row>
    <row r="294" spans="1:6" x14ac:dyDescent="0.35">
      <c r="A294" s="3" t="s">
        <v>616</v>
      </c>
      <c r="B294" t="str">
        <f>VLOOKUP(A294,Raw_Data!A:L,6,FALSE)</f>
        <v>Washing Machine</v>
      </c>
      <c r="C294" t="str">
        <f>VLOOKUP(A294,Raw_Data!A:L,3,FALSE)</f>
        <v>Canada</v>
      </c>
      <c r="D294" s="3">
        <f>VLOOKUP(A294,Raw_Data!A:L,12,FALSE)</f>
        <v>53040</v>
      </c>
      <c r="E294" s="3">
        <f>VLOOKUP(A294,Raw_Data!A:L,11,FALSE)</f>
        <v>85</v>
      </c>
      <c r="F294" t="str">
        <f>TEXT(VLOOKUP(A294,Raw_Data!A:L,5,FALSE),"mmm")</f>
        <v>Nov</v>
      </c>
    </row>
    <row r="295" spans="1:6" x14ac:dyDescent="0.35">
      <c r="A295" s="3" t="s">
        <v>618</v>
      </c>
      <c r="B295" t="str">
        <f>VLOOKUP(A295,Raw_Data!A:L,6,FALSE)</f>
        <v>Toaster</v>
      </c>
      <c r="C295" t="str">
        <f>VLOOKUP(A295,Raw_Data!A:L,3,FALSE)</f>
        <v>UAE</v>
      </c>
      <c r="D295" s="3">
        <f>VLOOKUP(A295,Raw_Data!A:L,12,FALSE)</f>
        <v>2726</v>
      </c>
      <c r="E295" s="3">
        <f>VLOOKUP(A295,Raw_Data!A:L,11,FALSE)</f>
        <v>58</v>
      </c>
      <c r="F295" t="str">
        <f>TEXT(VLOOKUP(A295,Raw_Data!A:L,5,FALSE),"mmm")</f>
        <v>Aug</v>
      </c>
    </row>
    <row r="296" spans="1:6" x14ac:dyDescent="0.35">
      <c r="A296" s="3" t="s">
        <v>620</v>
      </c>
      <c r="B296" t="str">
        <f>VLOOKUP(A296,Raw_Data!A:L,6,FALSE)</f>
        <v>Iron</v>
      </c>
      <c r="C296" t="str">
        <f>VLOOKUP(A296,Raw_Data!A:L,3,FALSE)</f>
        <v>India</v>
      </c>
      <c r="D296" s="3">
        <f>VLOOKUP(A296,Raw_Data!A:L,12,FALSE)</f>
        <v>493</v>
      </c>
      <c r="E296" s="3">
        <f>VLOOKUP(A296,Raw_Data!A:L,11,FALSE)</f>
        <v>17</v>
      </c>
      <c r="F296" t="str">
        <f>TEXT(VLOOKUP(A296,Raw_Data!A:L,5,FALSE),"mmm")</f>
        <v>Nov</v>
      </c>
    </row>
    <row r="297" spans="1:6" x14ac:dyDescent="0.35">
      <c r="A297" s="3" t="s">
        <v>621</v>
      </c>
      <c r="B297" t="str">
        <f>VLOOKUP(A297,Raw_Data!A:L,6,FALSE)</f>
        <v>Blender</v>
      </c>
      <c r="C297" t="str">
        <f>VLOOKUP(A297,Raw_Data!A:L,3,FALSE)</f>
        <v>Argentina</v>
      </c>
      <c r="D297" s="3">
        <f>VLOOKUP(A297,Raw_Data!A:L,12,FALSE)</f>
        <v>2150</v>
      </c>
      <c r="E297" s="3">
        <f>VLOOKUP(A297,Raw_Data!A:L,11,FALSE)</f>
        <v>43</v>
      </c>
      <c r="F297" t="str">
        <f>TEXT(VLOOKUP(A297,Raw_Data!A:L,5,FALSE),"mmm")</f>
        <v>Dec</v>
      </c>
    </row>
    <row r="298" spans="1:6" x14ac:dyDescent="0.35">
      <c r="A298" s="3" t="s">
        <v>623</v>
      </c>
      <c r="B298" t="str">
        <f>VLOOKUP(A298,Raw_Data!A:L,6,FALSE)</f>
        <v>Microwave</v>
      </c>
      <c r="C298" t="str">
        <f>VLOOKUP(A298,Raw_Data!A:L,3,FALSE)</f>
        <v>Ireland</v>
      </c>
      <c r="D298" s="3">
        <f>VLOOKUP(A298,Raw_Data!A:L,12,FALSE)</f>
        <v>5472</v>
      </c>
      <c r="E298" s="3">
        <f>VLOOKUP(A298,Raw_Data!A:L,11,FALSE)</f>
        <v>76</v>
      </c>
      <c r="F298" t="str">
        <f>TEXT(VLOOKUP(A298,Raw_Data!A:L,5,FALSE),"mmm")</f>
        <v>Sep</v>
      </c>
    </row>
    <row r="299" spans="1:6" x14ac:dyDescent="0.35">
      <c r="A299" s="3" t="s">
        <v>624</v>
      </c>
      <c r="B299" t="str">
        <f>VLOOKUP(A299,Raw_Data!A:L,6,FALSE)</f>
        <v>Refrigerator</v>
      </c>
      <c r="C299" t="str">
        <f>VLOOKUP(A299,Raw_Data!A:L,3,FALSE)</f>
        <v>Brazil</v>
      </c>
      <c r="D299" s="3">
        <f>VLOOKUP(A299,Raw_Data!A:L,12,FALSE)</f>
        <v>26100</v>
      </c>
      <c r="E299" s="3">
        <f>VLOOKUP(A299,Raw_Data!A:L,11,FALSE)</f>
        <v>45</v>
      </c>
      <c r="F299" t="str">
        <f>TEXT(VLOOKUP(A299,Raw_Data!A:L,5,FALSE),"mmm")</f>
        <v>Feb</v>
      </c>
    </row>
    <row r="300" spans="1:6" x14ac:dyDescent="0.35">
      <c r="A300" s="3" t="s">
        <v>626</v>
      </c>
      <c r="B300" t="str">
        <f>VLOOKUP(A300,Raw_Data!A:L,6,FALSE)</f>
        <v>Washing Machine</v>
      </c>
      <c r="C300" t="str">
        <f>VLOOKUP(A300,Raw_Data!A:L,3,FALSE)</f>
        <v>Spain</v>
      </c>
      <c r="D300" s="3">
        <f>VLOOKUP(A300,Raw_Data!A:L,12,FALSE)</f>
        <v>37536</v>
      </c>
      <c r="E300" s="3">
        <f>VLOOKUP(A300,Raw_Data!A:L,11,FALSE)</f>
        <v>68</v>
      </c>
      <c r="F300" t="str">
        <f>TEXT(VLOOKUP(A300,Raw_Data!A:L,5,FALSE),"mmm")</f>
        <v>May</v>
      </c>
    </row>
    <row r="301" spans="1:6" x14ac:dyDescent="0.35">
      <c r="A301" s="3" t="s">
        <v>628</v>
      </c>
      <c r="B301" t="str">
        <f>VLOOKUP(A301,Raw_Data!A:L,6,FALSE)</f>
        <v>Coffee grinder</v>
      </c>
      <c r="C301" t="str">
        <f>VLOOKUP(A301,Raw_Data!A:L,3,FALSE)</f>
        <v>Greece</v>
      </c>
      <c r="D301" s="3">
        <f>VLOOKUP(A301,Raw_Data!A:L,12,FALSE)</f>
        <v>804</v>
      </c>
      <c r="E301" s="3">
        <f>VLOOKUP(A301,Raw_Data!A:L,11,FALSE)</f>
        <v>12</v>
      </c>
      <c r="F301" t="str">
        <f>TEXT(VLOOKUP(A301,Raw_Data!A:L,5,FALSE),"mmm")</f>
        <v>May</v>
      </c>
    </row>
    <row r="302" spans="1:6" x14ac:dyDescent="0.35">
      <c r="A302" s="3" t="s">
        <v>630</v>
      </c>
      <c r="B302" t="str">
        <f>VLOOKUP(A302,Raw_Data!A:L,6,FALSE)</f>
        <v>Washing Machine</v>
      </c>
      <c r="C302" t="str">
        <f>VLOOKUP(A302,Raw_Data!A:L,3,FALSE)</f>
        <v>Mexico</v>
      </c>
      <c r="D302" s="3">
        <f>VLOOKUP(A302,Raw_Data!A:L,12,FALSE)</f>
        <v>21120</v>
      </c>
      <c r="E302" s="3">
        <f>VLOOKUP(A302,Raw_Data!A:L,11,FALSE)</f>
        <v>30</v>
      </c>
      <c r="F302" t="str">
        <f>TEXT(VLOOKUP(A302,Raw_Data!A:L,5,FALSE),"mmm")</f>
        <v>Jun</v>
      </c>
    </row>
    <row r="303" spans="1:6" x14ac:dyDescent="0.35">
      <c r="A303" s="3" t="s">
        <v>631</v>
      </c>
      <c r="B303" t="str">
        <f>VLOOKUP(A303,Raw_Data!A:L,6,FALSE)</f>
        <v>Refrigerator</v>
      </c>
      <c r="C303" t="str">
        <f>VLOOKUP(A303,Raw_Data!A:L,3,FALSE)</f>
        <v>Mexico</v>
      </c>
      <c r="D303" s="3">
        <f>VLOOKUP(A303,Raw_Data!A:L,12,FALSE)</f>
        <v>18880</v>
      </c>
      <c r="E303" s="3">
        <f>VLOOKUP(A303,Raw_Data!A:L,11,FALSE)</f>
        <v>32</v>
      </c>
      <c r="F303" t="str">
        <f>TEXT(VLOOKUP(A303,Raw_Data!A:L,5,FALSE),"mmm")</f>
        <v>May</v>
      </c>
    </row>
    <row r="304" spans="1:6" x14ac:dyDescent="0.35">
      <c r="A304" s="3" t="s">
        <v>633</v>
      </c>
      <c r="B304" t="str">
        <f>VLOOKUP(A304,Raw_Data!A:L,6,FALSE)</f>
        <v>Iron</v>
      </c>
      <c r="C304" t="str">
        <f>VLOOKUP(A304,Raw_Data!A:L,3,FALSE)</f>
        <v>USA</v>
      </c>
      <c r="D304" s="3">
        <f>VLOOKUP(A304,Raw_Data!A:L,12,FALSE)</f>
        <v>252</v>
      </c>
      <c r="E304" s="3">
        <f>VLOOKUP(A304,Raw_Data!A:L,11,FALSE)</f>
        <v>9</v>
      </c>
      <c r="F304" t="str">
        <f>TEXT(VLOOKUP(A304,Raw_Data!A:L,5,FALSE),"mmm")</f>
        <v>May</v>
      </c>
    </row>
    <row r="305" spans="1:6" x14ac:dyDescent="0.35">
      <c r="A305" s="3" t="s">
        <v>635</v>
      </c>
      <c r="B305" t="str">
        <f>VLOOKUP(A305,Raw_Data!A:L,6,FALSE)</f>
        <v>Washing Machine</v>
      </c>
      <c r="C305" t="str">
        <f>VLOOKUP(A305,Raw_Data!A:L,3,FALSE)</f>
        <v>Colombia</v>
      </c>
      <c r="D305" s="3">
        <f>VLOOKUP(A305,Raw_Data!A:L,12,FALSE)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VLOOKUP(A306,Raw_Data!A:L,3,FALSE)</f>
        <v>Canada</v>
      </c>
      <c r="D306" s="3">
        <f>VLOOKUP(A306,Raw_Data!A:L,12,FALSE)</f>
        <v>3082</v>
      </c>
      <c r="E306" s="3">
        <f>VLOOKUP(A306,Raw_Data!A:L,11,FALSE)</f>
        <v>23</v>
      </c>
      <c r="F306" t="str">
        <f>TEXT(VLOOKUP(A306,Raw_Data!A:L,5,FALSE),"mmm")</f>
        <v>Apr</v>
      </c>
    </row>
    <row r="307" spans="1:6" x14ac:dyDescent="0.35">
      <c r="A307" s="3" t="s">
        <v>638</v>
      </c>
      <c r="B307" t="str">
        <f>VLOOKUP(A307,Raw_Data!A:L,6,FALSE)</f>
        <v>Blender</v>
      </c>
      <c r="C307" t="str">
        <f>VLOOKUP(A307,Raw_Data!A:L,3,FALSE)</f>
        <v>Vietnam</v>
      </c>
      <c r="D307" s="3">
        <f>VLOOKUP(A307,Raw_Data!A:L,12,FALSE)</f>
        <v>4350</v>
      </c>
      <c r="E307" s="3">
        <f>VLOOKUP(A307,Raw_Data!A:L,11,FALSE)</f>
        <v>87</v>
      </c>
      <c r="F307" t="str">
        <f>TEXT(VLOOKUP(A307,Raw_Data!A:L,5,FALSE),"mmm")</f>
        <v>May</v>
      </c>
    </row>
    <row r="308" spans="1:6" x14ac:dyDescent="0.35">
      <c r="A308" s="3" t="s">
        <v>639</v>
      </c>
      <c r="B308" t="str">
        <f>VLOOKUP(A308,Raw_Data!A:L,6,FALSE)</f>
        <v>Refrigerator</v>
      </c>
      <c r="C308" t="str">
        <f>VLOOKUP(A308,Raw_Data!A:L,3,FALSE)</f>
        <v>USA</v>
      </c>
      <c r="D308" s="3">
        <f>VLOOKUP(A308,Raw_Data!A:L,12,FALSE)</f>
        <v>3350</v>
      </c>
      <c r="E308" s="3">
        <f>VLOOKUP(A308,Raw_Data!A:L,11,FALSE)</f>
        <v>5</v>
      </c>
      <c r="F308" t="str">
        <f>TEXT(VLOOKUP(A308,Raw_Data!A:L,5,FALSE),"mmm")</f>
        <v>Mar</v>
      </c>
    </row>
    <row r="309" spans="1:6" x14ac:dyDescent="0.35">
      <c r="A309" s="3" t="s">
        <v>640</v>
      </c>
      <c r="B309" t="str">
        <f>VLOOKUP(A309,Raw_Data!A:L,6,FALSE)</f>
        <v>Ceiling fan</v>
      </c>
      <c r="C309" t="str">
        <f>VLOOKUP(A309,Raw_Data!A:L,3,FALSE)</f>
        <v>India</v>
      </c>
      <c r="D309" s="3">
        <f>VLOOKUP(A309,Raw_Data!A:L,12,FALSE)</f>
        <v>2682</v>
      </c>
      <c r="E309" s="3">
        <f>VLOOKUP(A309,Raw_Data!A:L,11,FALSE)</f>
        <v>18</v>
      </c>
      <c r="F309" t="str">
        <f>TEXT(VLOOKUP(A309,Raw_Data!A:L,5,FALSE),"mmm")</f>
        <v>Mar</v>
      </c>
    </row>
    <row r="310" spans="1:6" x14ac:dyDescent="0.35">
      <c r="A310" s="3" t="s">
        <v>641</v>
      </c>
      <c r="B310" t="str">
        <f>VLOOKUP(A310,Raw_Data!A:L,6,FALSE)</f>
        <v>Oven</v>
      </c>
      <c r="C310" t="str">
        <f>VLOOKUP(A310,Raw_Data!A:L,3,FALSE)</f>
        <v>Israel</v>
      </c>
      <c r="D310" s="3">
        <f>VLOOKUP(A310,Raw_Data!A:L,12,FALSE)</f>
        <v>1500</v>
      </c>
      <c r="E310" s="3">
        <f>VLOOKUP(A310,Raw_Data!A:L,11,FALSE)</f>
        <v>3</v>
      </c>
      <c r="F310" t="str">
        <f>TEXT(VLOOKUP(A310,Raw_Data!A:L,5,FALSE),"mmm")</f>
        <v>Sep</v>
      </c>
    </row>
    <row r="311" spans="1:6" x14ac:dyDescent="0.35">
      <c r="A311" s="3" t="s">
        <v>642</v>
      </c>
      <c r="B311" t="str">
        <f>VLOOKUP(A311,Raw_Data!A:L,6,FALSE)</f>
        <v>Ceiling fan</v>
      </c>
      <c r="C311" t="str">
        <f>VLOOKUP(A311,Raw_Data!A:L,3,FALSE)</f>
        <v>Israel</v>
      </c>
      <c r="D311" s="3">
        <f>VLOOKUP(A311,Raw_Data!A:L,12,FALSE)</f>
        <v>1898</v>
      </c>
      <c r="E311" s="3">
        <f>VLOOKUP(A311,Raw_Data!A:L,11,FALSE)</f>
        <v>13</v>
      </c>
      <c r="F311" t="str">
        <f>TEXT(VLOOKUP(A311,Raw_Data!A:L,5,FALSE),"mmm")</f>
        <v>Jul</v>
      </c>
    </row>
    <row r="312" spans="1:6" x14ac:dyDescent="0.35">
      <c r="A312" s="3" t="s">
        <v>643</v>
      </c>
      <c r="B312" t="str">
        <f>VLOOKUP(A312,Raw_Data!A:L,6,FALSE)</f>
        <v>Refrigerator</v>
      </c>
      <c r="C312" t="str">
        <f>VLOOKUP(A312,Raw_Data!A:L,3,FALSE)</f>
        <v>UK</v>
      </c>
      <c r="D312" s="3">
        <f>VLOOKUP(A312,Raw_Data!A:L,12,FALSE)</f>
        <v>55080</v>
      </c>
      <c r="E312" s="3">
        <f>VLOOKUP(A312,Raw_Data!A:L,11,FALSE)</f>
        <v>68</v>
      </c>
      <c r="F312" t="str">
        <f>TEXT(VLOOKUP(A312,Raw_Data!A:L,5,FALSE),"mmm")</f>
        <v>Dec</v>
      </c>
    </row>
    <row r="313" spans="1:6" x14ac:dyDescent="0.35">
      <c r="A313" s="3" t="s">
        <v>645</v>
      </c>
      <c r="B313" t="str">
        <f>VLOOKUP(A313,Raw_Data!A:L,6,FALSE)</f>
        <v>Ceiling fan</v>
      </c>
      <c r="C313" t="str">
        <f>VLOOKUP(A313,Raw_Data!A:L,3,FALSE)</f>
        <v>Czech Republic</v>
      </c>
      <c r="D313" s="3">
        <f>VLOOKUP(A313,Raw_Data!A:L,12,FALSE)</f>
        <v>12054</v>
      </c>
      <c r="E313" s="3">
        <f>VLOOKUP(A313,Raw_Data!A:L,11,FALSE)</f>
        <v>82</v>
      </c>
      <c r="F313" t="str">
        <f>TEXT(VLOOKUP(A313,Raw_Data!A:L,5,FALSE),"mmm")</f>
        <v>Jun</v>
      </c>
    </row>
    <row r="314" spans="1:6" x14ac:dyDescent="0.35">
      <c r="A314" s="3" t="s">
        <v>647</v>
      </c>
      <c r="B314" t="str">
        <f>VLOOKUP(A314,Raw_Data!A:L,6,FALSE)</f>
        <v>Refrigerator</v>
      </c>
      <c r="C314" t="str">
        <f>VLOOKUP(A314,Raw_Data!A:L,3,FALSE)</f>
        <v>UK</v>
      </c>
      <c r="D314" s="3">
        <f>VLOOKUP(A314,Raw_Data!A:L,12,FALSE)</f>
        <v>43800</v>
      </c>
      <c r="E314" s="3">
        <f>VLOOKUP(A314,Raw_Data!A:L,11,FALSE)</f>
        <v>60</v>
      </c>
      <c r="F314" t="str">
        <f>TEXT(VLOOKUP(A314,Raw_Data!A:L,5,FALSE),"mmm")</f>
        <v>Dec</v>
      </c>
    </row>
    <row r="315" spans="1:6" x14ac:dyDescent="0.35">
      <c r="A315" s="3" t="s">
        <v>649</v>
      </c>
      <c r="B315" t="str">
        <f>VLOOKUP(A315,Raw_Data!A:L,6,FALSE)</f>
        <v>Vacuum Cleaner</v>
      </c>
      <c r="C315" t="str">
        <f>VLOOKUP(A315,Raw_Data!A:L,3,FALSE)</f>
        <v>Thailand</v>
      </c>
      <c r="D315" s="3">
        <f>VLOOKUP(A315,Raw_Data!A:L,12,FALSE)</f>
        <v>18104</v>
      </c>
      <c r="E315" s="3">
        <f>VLOOKUP(A315,Raw_Data!A:L,11,FALSE)</f>
        <v>73</v>
      </c>
      <c r="F315" t="str">
        <f>TEXT(VLOOKUP(A315,Raw_Data!A:L,5,FALSE),"mmm")</f>
        <v>Jul</v>
      </c>
    </row>
    <row r="316" spans="1:6" x14ac:dyDescent="0.35">
      <c r="A316" s="3" t="s">
        <v>650</v>
      </c>
      <c r="B316" t="str">
        <f>VLOOKUP(A316,Raw_Data!A:L,6,FALSE)</f>
        <v>Air conditioner</v>
      </c>
      <c r="C316" t="str">
        <f>VLOOKUP(A316,Raw_Data!A:L,3,FALSE)</f>
        <v>Ireland</v>
      </c>
      <c r="D316" s="3">
        <f>VLOOKUP(A316,Raw_Data!A:L,12,FALSE)</f>
        <v>26796</v>
      </c>
      <c r="E316" s="3">
        <f>VLOOKUP(A316,Raw_Data!A:L,11,FALSE)</f>
        <v>44</v>
      </c>
      <c r="F316" t="str">
        <f>TEXT(VLOOKUP(A316,Raw_Data!A:L,5,FALSE),"mmm")</f>
        <v>Dec</v>
      </c>
    </row>
    <row r="317" spans="1:6" x14ac:dyDescent="0.35">
      <c r="A317" s="3" t="s">
        <v>651</v>
      </c>
      <c r="B317" t="str">
        <f>VLOOKUP(A317,Raw_Data!A:L,6,FALSE)</f>
        <v>Ceiling fan</v>
      </c>
      <c r="C317" t="str">
        <f>VLOOKUP(A317,Raw_Data!A:L,3,FALSE)</f>
        <v>Turkey</v>
      </c>
      <c r="D317" s="3">
        <f>VLOOKUP(A317,Raw_Data!A:L,12,FALSE)</f>
        <v>3500</v>
      </c>
      <c r="E317" s="3">
        <f>VLOOKUP(A317,Raw_Data!A:L,11,FALSE)</f>
        <v>25</v>
      </c>
      <c r="F317" t="str">
        <f>TEXT(VLOOKUP(A317,Raw_Data!A:L,5,FALSE),"mmm")</f>
        <v>Nov</v>
      </c>
    </row>
    <row r="318" spans="1:6" x14ac:dyDescent="0.35">
      <c r="A318" s="3" t="s">
        <v>652</v>
      </c>
      <c r="B318" t="str">
        <f>VLOOKUP(A318,Raw_Data!A:L,6,FALSE)</f>
        <v>Oven</v>
      </c>
      <c r="C318" t="str">
        <f>VLOOKUP(A318,Raw_Data!A:L,3,FALSE)</f>
        <v>India</v>
      </c>
      <c r="D318" s="3">
        <f>VLOOKUP(A318,Raw_Data!A:L,12,FALSE)</f>
        <v>20000</v>
      </c>
      <c r="E318" s="3">
        <f>VLOOKUP(A318,Raw_Data!A:L,11,FALSE)</f>
        <v>40</v>
      </c>
      <c r="F318" t="str">
        <f>TEXT(VLOOKUP(A318,Raw_Data!A:L,5,FALSE),"mmm")</f>
        <v>Feb</v>
      </c>
    </row>
    <row r="319" spans="1:6" x14ac:dyDescent="0.35">
      <c r="A319" s="3" t="s">
        <v>653</v>
      </c>
      <c r="B319" t="str">
        <f>VLOOKUP(A319,Raw_Data!A:L,6,FALSE)</f>
        <v>Refrigerator</v>
      </c>
      <c r="C319" t="str">
        <f>VLOOKUP(A319,Raw_Data!A:L,3,FALSE)</f>
        <v>Egypt</v>
      </c>
      <c r="D319" s="3">
        <f>VLOOKUP(A319,Raw_Data!A:L,12,FALSE)</f>
        <v>43200</v>
      </c>
      <c r="E319" s="3">
        <f>VLOOKUP(A319,Raw_Data!A:L,11,FALSE)</f>
        <v>45</v>
      </c>
      <c r="F319" t="str">
        <f>TEXT(VLOOKUP(A319,Raw_Data!A:L,5,FALSE),"mmm")</f>
        <v>Sep</v>
      </c>
    </row>
    <row r="320" spans="1:6" x14ac:dyDescent="0.35">
      <c r="A320" s="3" t="s">
        <v>654</v>
      </c>
      <c r="B320" t="str">
        <f>VLOOKUP(A320,Raw_Data!A:L,6,FALSE)</f>
        <v>Microwave</v>
      </c>
      <c r="C320" t="str">
        <f>VLOOKUP(A320,Raw_Data!A:L,3,FALSE)</f>
        <v>Mexico</v>
      </c>
      <c r="D320" s="3">
        <f>VLOOKUP(A320,Raw_Data!A:L,12,FALSE)</f>
        <v>7008</v>
      </c>
      <c r="E320" s="3">
        <f>VLOOKUP(A320,Raw_Data!A:L,11,FALSE)</f>
        <v>96</v>
      </c>
      <c r="F320" t="str">
        <f>TEXT(VLOOKUP(A320,Raw_Data!A:L,5,FALSE),"mmm")</f>
        <v>Jul</v>
      </c>
    </row>
    <row r="321" spans="1:6" x14ac:dyDescent="0.35">
      <c r="A321" s="3" t="s">
        <v>655</v>
      </c>
      <c r="B321" t="str">
        <f>VLOOKUP(A321,Raw_Data!A:L,6,FALSE)</f>
        <v>Air conditioner</v>
      </c>
      <c r="C321" t="str">
        <f>VLOOKUP(A321,Raw_Data!A:L,3,FALSE)</f>
        <v>Thailand</v>
      </c>
      <c r="D321" s="3">
        <f>VLOOKUP(A321,Raw_Data!A:L,12,FALSE)</f>
        <v>9800</v>
      </c>
      <c r="E321" s="3">
        <f>VLOOKUP(A321,Raw_Data!A:L,11,FALSE)</f>
        <v>14</v>
      </c>
      <c r="F321" t="str">
        <f>TEXT(VLOOKUP(A321,Raw_Data!A:L,5,FALSE),"mmm")</f>
        <v>Sep</v>
      </c>
    </row>
    <row r="322" spans="1:6" x14ac:dyDescent="0.35">
      <c r="A322" s="3" t="s">
        <v>656</v>
      </c>
      <c r="B322" t="str">
        <f>VLOOKUP(A322,Raw_Data!A:L,6,FALSE)</f>
        <v>Air conditioner</v>
      </c>
      <c r="C322" t="str">
        <f>VLOOKUP(A322,Raw_Data!A:L,3,FALSE)</f>
        <v>Germany</v>
      </c>
      <c r="D322" s="3">
        <f>VLOOKUP(A322,Raw_Data!A:L,12,FALSE)</f>
        <v>49056</v>
      </c>
      <c r="E322" s="3">
        <f>VLOOKUP(A322,Raw_Data!A:L,11,FALSE)</f>
        <v>73</v>
      </c>
      <c r="F322" t="str">
        <f>TEXT(VLOOKUP(A322,Raw_Data!A:L,5,FALSE),"mmm")</f>
        <v>Feb</v>
      </c>
    </row>
    <row r="323" spans="1:6" x14ac:dyDescent="0.35">
      <c r="A323" s="3" t="s">
        <v>657</v>
      </c>
      <c r="B323" t="str">
        <f>VLOOKUP(A323,Raw_Data!A:L,6,FALSE)</f>
        <v>Air conditioner</v>
      </c>
      <c r="C323" t="str">
        <f>VLOOKUP(A323,Raw_Data!A:L,3,FALSE)</f>
        <v>Malaysia</v>
      </c>
      <c r="D323" s="3">
        <f>VLOOKUP(A323,Raw_Data!A:L,12,FALSE)</f>
        <v>14973</v>
      </c>
      <c r="E323" s="3">
        <f>VLOOKUP(A323,Raw_Data!A:L,11,FALSE)</f>
        <v>23</v>
      </c>
      <c r="F323" t="str">
        <f>TEXT(VLOOKUP(A323,Raw_Data!A:L,5,FALSE),"mmm")</f>
        <v>May</v>
      </c>
    </row>
    <row r="324" spans="1:6" x14ac:dyDescent="0.35">
      <c r="A324" s="3" t="s">
        <v>658</v>
      </c>
      <c r="B324" t="str">
        <f>VLOOKUP(A324,Raw_Data!A:L,6,FALSE)</f>
        <v>Ceiling fan</v>
      </c>
      <c r="C324" t="str">
        <f>VLOOKUP(A324,Raw_Data!A:L,3,FALSE)</f>
        <v>Mexico</v>
      </c>
      <c r="D324" s="3">
        <f>VLOOKUP(A324,Raw_Data!A:L,12,FALSE)</f>
        <v>7809</v>
      </c>
      <c r="E324" s="3">
        <f>VLOOKUP(A324,Raw_Data!A:L,11,FALSE)</f>
        <v>57</v>
      </c>
      <c r="F324" t="str">
        <f>TEXT(VLOOKUP(A324,Raw_Data!A:L,5,FALSE),"mmm")</f>
        <v>Sep</v>
      </c>
    </row>
    <row r="325" spans="1:6" x14ac:dyDescent="0.35">
      <c r="A325" s="3" t="s">
        <v>660</v>
      </c>
      <c r="B325" t="str">
        <f>VLOOKUP(A325,Raw_Data!A:L,6,FALSE)</f>
        <v>Air conditioner</v>
      </c>
      <c r="C325" t="str">
        <f>VLOOKUP(A325,Raw_Data!A:L,3,FALSE)</f>
        <v>Colombia</v>
      </c>
      <c r="D325" s="3">
        <f>VLOOKUP(A325,Raw_Data!A:L,12,FALSE)</f>
        <v>11067</v>
      </c>
      <c r="E325" s="3">
        <f>VLOOKUP(A325,Raw_Data!A:L,11,FALSE)</f>
        <v>17</v>
      </c>
      <c r="F325" t="str">
        <f>TEXT(VLOOKUP(A325,Raw_Data!A:L,5,FALSE),"mmm")</f>
        <v>Jun</v>
      </c>
    </row>
    <row r="326" spans="1:6" x14ac:dyDescent="0.35">
      <c r="A326" s="3" t="s">
        <v>662</v>
      </c>
      <c r="B326" t="str">
        <f>VLOOKUP(A326,Raw_Data!A:L,6,FALSE)</f>
        <v>Vacuum Cleaner</v>
      </c>
      <c r="C326" t="str">
        <f>VLOOKUP(A326,Raw_Data!A:L,3,FALSE)</f>
        <v>China</v>
      </c>
      <c r="D326" s="3">
        <f>VLOOKUP(A326,Raw_Data!A:L,12,FALSE)</f>
        <v>19516</v>
      </c>
      <c r="E326" s="3">
        <f>VLOOKUP(A326,Raw_Data!A:L,11,FALSE)</f>
        <v>82</v>
      </c>
      <c r="F326" t="str">
        <f>TEXT(VLOOKUP(A326,Raw_Data!A:L,5,FALSE),"mmm")</f>
        <v>Apr</v>
      </c>
    </row>
    <row r="327" spans="1:6" x14ac:dyDescent="0.35">
      <c r="A327" s="3" t="s">
        <v>663</v>
      </c>
      <c r="B327" t="str">
        <f>VLOOKUP(A327,Raw_Data!A:L,6,FALSE)</f>
        <v>Washing Machine</v>
      </c>
      <c r="C327" t="str">
        <f>VLOOKUP(A327,Raw_Data!A:L,3,FALSE)</f>
        <v>Brazil</v>
      </c>
      <c r="D327" s="3">
        <f>VLOOKUP(A327,Raw_Data!A:L,12,FALSE)</f>
        <v>61944</v>
      </c>
      <c r="E327" s="3">
        <f>VLOOKUP(A327,Raw_Data!A:L,11,FALSE)</f>
        <v>89</v>
      </c>
      <c r="F327" t="str">
        <f>TEXT(VLOOKUP(A327,Raw_Data!A:L,5,FALSE),"mmm")</f>
        <v>Sep</v>
      </c>
    </row>
    <row r="328" spans="1:6" x14ac:dyDescent="0.35">
      <c r="A328" s="3" t="s">
        <v>664</v>
      </c>
      <c r="B328" t="str">
        <f>VLOOKUP(A328,Raw_Data!A:L,6,FALSE)</f>
        <v>Iron</v>
      </c>
      <c r="C328" t="str">
        <f>VLOOKUP(A328,Raw_Data!A:L,3,FALSE)</f>
        <v>Mexico</v>
      </c>
      <c r="D328" s="3">
        <f>VLOOKUP(A328,Raw_Data!A:L,12,FALSE)</f>
        <v>1239</v>
      </c>
      <c r="E328" s="3">
        <f>VLOOKUP(A328,Raw_Data!A:L,11,FALSE)</f>
        <v>59</v>
      </c>
      <c r="F328" t="str">
        <f>TEXT(VLOOKUP(A328,Raw_Data!A:L,5,FALSE),"mmm")</f>
        <v>Jun</v>
      </c>
    </row>
    <row r="329" spans="1:6" x14ac:dyDescent="0.35">
      <c r="A329" s="3" t="s">
        <v>665</v>
      </c>
      <c r="B329" t="str">
        <f>VLOOKUP(A329,Raw_Data!A:L,6,FALSE)</f>
        <v>Microwave</v>
      </c>
      <c r="C329" t="str">
        <f>VLOOKUP(A329,Raw_Data!A:L,3,FALSE)</f>
        <v>Germany</v>
      </c>
      <c r="D329" s="3">
        <f>VLOOKUP(A329,Raw_Data!A:L,12,FALSE)</f>
        <v>3330</v>
      </c>
      <c r="E329" s="3">
        <f>VLOOKUP(A329,Raw_Data!A:L,11,FALSE)</f>
        <v>45</v>
      </c>
      <c r="F329" t="str">
        <f>TEXT(VLOOKUP(A329,Raw_Data!A:L,5,FALSE),"mmm")</f>
        <v>Nov</v>
      </c>
    </row>
    <row r="330" spans="1:6" x14ac:dyDescent="0.35">
      <c r="A330" s="3" t="s">
        <v>666</v>
      </c>
      <c r="B330" t="str">
        <f>VLOOKUP(A330,Raw_Data!A:L,6,FALSE)</f>
        <v>Vacuum Cleaner</v>
      </c>
      <c r="C330" t="str">
        <f>VLOOKUP(A330,Raw_Data!A:L,3,FALSE)</f>
        <v>Brazil</v>
      </c>
      <c r="D330" s="3">
        <f>VLOOKUP(A330,Raw_Data!A:L,12,FALSE)</f>
        <v>11400</v>
      </c>
      <c r="E330" s="3">
        <f>VLOOKUP(A330,Raw_Data!A:L,11,FALSE)</f>
        <v>50</v>
      </c>
      <c r="F330" t="str">
        <f>TEXT(VLOOKUP(A330,Raw_Data!A:L,5,FALSE),"mmm")</f>
        <v>Apr</v>
      </c>
    </row>
    <row r="331" spans="1:6" x14ac:dyDescent="0.35">
      <c r="A331" s="3" t="s">
        <v>667</v>
      </c>
      <c r="B331" t="str">
        <f>VLOOKUP(A331,Raw_Data!A:L,6,FALSE)</f>
        <v>Air conditioner</v>
      </c>
      <c r="C331" t="str">
        <f>VLOOKUP(A331,Raw_Data!A:L,3,FALSE)</f>
        <v>Netherlands</v>
      </c>
      <c r="D331" s="3">
        <f>VLOOKUP(A331,Raw_Data!A:L,12,FALSE)</f>
        <v>16744</v>
      </c>
      <c r="E331" s="3">
        <f>VLOOKUP(A331,Raw_Data!A:L,11,FALSE)</f>
        <v>26</v>
      </c>
      <c r="F331" t="str">
        <f>TEXT(VLOOKUP(A331,Raw_Data!A:L,5,FALSE),"mmm")</f>
        <v>Jul</v>
      </c>
    </row>
    <row r="332" spans="1:6" x14ac:dyDescent="0.35">
      <c r="A332" s="3" t="s">
        <v>668</v>
      </c>
      <c r="B332" t="str">
        <f>VLOOKUP(A332,Raw_Data!A:L,6,FALSE)</f>
        <v>Iron</v>
      </c>
      <c r="C332" t="str">
        <f>VLOOKUP(A332,Raw_Data!A:L,3,FALSE)</f>
        <v>Vietnam</v>
      </c>
      <c r="D332" s="3">
        <f>VLOOKUP(A332,Raw_Data!A:L,12,FALSE)</f>
        <v>812</v>
      </c>
      <c r="E332" s="3">
        <f>VLOOKUP(A332,Raw_Data!A:L,11,FALSE)</f>
        <v>28</v>
      </c>
      <c r="F332" t="str">
        <f>TEXT(VLOOKUP(A332,Raw_Data!A:L,5,FALSE),"mmm")</f>
        <v>Jan</v>
      </c>
    </row>
    <row r="333" spans="1:6" x14ac:dyDescent="0.35">
      <c r="A333" s="3" t="s">
        <v>670</v>
      </c>
      <c r="B333" t="str">
        <f>VLOOKUP(A333,Raw_Data!A:L,6,FALSE)</f>
        <v>Washing Machine</v>
      </c>
      <c r="C333" t="str">
        <f>VLOOKUP(A333,Raw_Data!A:L,3,FALSE)</f>
        <v>India</v>
      </c>
      <c r="D333" s="3">
        <f>VLOOKUP(A333,Raw_Data!A:L,12,FALSE)</f>
        <v>40016</v>
      </c>
      <c r="E333" s="3">
        <f>VLOOKUP(A333,Raw_Data!A:L,11,FALSE)</f>
        <v>61</v>
      </c>
      <c r="F333" t="str">
        <f>TEXT(VLOOKUP(A333,Raw_Data!A:L,5,FALSE),"mmm")</f>
        <v>Jul</v>
      </c>
    </row>
    <row r="334" spans="1:6" x14ac:dyDescent="0.35">
      <c r="A334" s="3" t="s">
        <v>672</v>
      </c>
      <c r="B334" t="str">
        <f>VLOOKUP(A334,Raw_Data!A:L,6,FALSE)</f>
        <v>Ceiling fan</v>
      </c>
      <c r="C334" t="str">
        <f>VLOOKUP(A334,Raw_Data!A:L,3,FALSE)</f>
        <v>Italy</v>
      </c>
      <c r="D334" s="3">
        <f>VLOOKUP(A334,Raw_Data!A:L,12,FALSE)</f>
        <v>894</v>
      </c>
      <c r="E334" s="3">
        <f>VLOOKUP(A334,Raw_Data!A:L,11,FALSE)</f>
        <v>6</v>
      </c>
      <c r="F334" t="str">
        <f>TEXT(VLOOKUP(A334,Raw_Data!A:L,5,FALSE),"mmm")</f>
        <v>Oct</v>
      </c>
    </row>
    <row r="335" spans="1:6" x14ac:dyDescent="0.35">
      <c r="A335" s="3" t="s">
        <v>673</v>
      </c>
      <c r="B335" t="str">
        <f>VLOOKUP(A335,Raw_Data!A:L,6,FALSE)</f>
        <v>Ceiling fan</v>
      </c>
      <c r="C335" t="str">
        <f>VLOOKUP(A335,Raw_Data!A:L,3,FALSE)</f>
        <v>USA</v>
      </c>
      <c r="D335" s="3">
        <f>VLOOKUP(A335,Raw_Data!A:L,12,FALSE)</f>
        <v>1764</v>
      </c>
      <c r="E335" s="3">
        <f>VLOOKUP(A335,Raw_Data!A:L,11,FALSE)</f>
        <v>12</v>
      </c>
      <c r="F335" t="str">
        <f>TEXT(VLOOKUP(A335,Raw_Data!A:L,5,FALSE),"mmm")</f>
        <v>Jul</v>
      </c>
    </row>
    <row r="336" spans="1:6" x14ac:dyDescent="0.35">
      <c r="A336" s="3" t="s">
        <v>675</v>
      </c>
      <c r="B336" t="str">
        <f>VLOOKUP(A336,Raw_Data!A:L,6,FALSE)</f>
        <v>Microwave</v>
      </c>
      <c r="C336" t="str">
        <f>VLOOKUP(A336,Raw_Data!A:L,3,FALSE)</f>
        <v>Israel</v>
      </c>
      <c r="D336" s="3">
        <f>VLOOKUP(A336,Raw_Data!A:L,12,FALSE)</f>
        <v>7722</v>
      </c>
      <c r="E336" s="3">
        <f>VLOOKUP(A336,Raw_Data!A:L,11,FALSE)</f>
        <v>99</v>
      </c>
      <c r="F336" t="str">
        <f>TEXT(VLOOKUP(A336,Raw_Data!A:L,5,FALSE),"mmm")</f>
        <v>Dec</v>
      </c>
    </row>
    <row r="337" spans="1:6" x14ac:dyDescent="0.35">
      <c r="A337" s="3" t="s">
        <v>676</v>
      </c>
      <c r="B337" t="str">
        <f>VLOOKUP(A337,Raw_Data!A:L,6,FALSE)</f>
        <v>Ceiling fan</v>
      </c>
      <c r="C337" t="str">
        <f>VLOOKUP(A337,Raw_Data!A:L,3,FALSE)</f>
        <v>Romania</v>
      </c>
      <c r="D337" s="3">
        <f>VLOOKUP(A337,Raw_Data!A:L,12,FALSE)</f>
        <v>7791</v>
      </c>
      <c r="E337" s="3">
        <f>VLOOKUP(A337,Raw_Data!A:L,11,FALSE)</f>
        <v>53</v>
      </c>
      <c r="F337" t="str">
        <f>TEXT(VLOOKUP(A337,Raw_Data!A:L,5,FALSE),"mmm")</f>
        <v>Aug</v>
      </c>
    </row>
    <row r="338" spans="1:6" x14ac:dyDescent="0.35">
      <c r="A338" s="3" t="s">
        <v>677</v>
      </c>
      <c r="B338" t="str">
        <f>VLOOKUP(A338,Raw_Data!A:L,6,FALSE)</f>
        <v>Dishwasher</v>
      </c>
      <c r="C338" t="str">
        <f>VLOOKUP(A338,Raw_Data!A:L,3,FALSE)</f>
        <v>Vietnam</v>
      </c>
      <c r="D338" s="3">
        <f>VLOOKUP(A338,Raw_Data!A:L,12,FALSE)</f>
        <v>18720</v>
      </c>
      <c r="E338" s="3">
        <f>VLOOKUP(A338,Raw_Data!A:L,11,FALSE)</f>
        <v>52</v>
      </c>
      <c r="F338" t="str">
        <f>TEXT(VLOOKUP(A338,Raw_Data!A:L,5,FALSE),"mmm")</f>
        <v>Jul</v>
      </c>
    </row>
    <row r="339" spans="1:6" x14ac:dyDescent="0.35">
      <c r="A339" s="3" t="s">
        <v>678</v>
      </c>
      <c r="B339" t="str">
        <f>VLOOKUP(A339,Raw_Data!A:L,6,FALSE)</f>
        <v>Blender</v>
      </c>
      <c r="C339" t="str">
        <f>VLOOKUP(A339,Raw_Data!A:L,3,FALSE)</f>
        <v>Japan</v>
      </c>
      <c r="D339" s="3">
        <f>VLOOKUP(A339,Raw_Data!A:L,12,FALSE)</f>
        <v>4095</v>
      </c>
      <c r="E339" s="3">
        <f>VLOOKUP(A339,Raw_Data!A:L,11,FALSE)</f>
        <v>91</v>
      </c>
      <c r="F339" t="str">
        <f>TEXT(VLOOKUP(A339,Raw_Data!A:L,5,FALSE),"mmm")</f>
        <v>Aug</v>
      </c>
    </row>
    <row r="340" spans="1:6" x14ac:dyDescent="0.35">
      <c r="A340" s="3" t="s">
        <v>680</v>
      </c>
      <c r="B340" t="str">
        <f>VLOOKUP(A340,Raw_Data!A:L,6,FALSE)</f>
        <v>Blender</v>
      </c>
      <c r="C340" t="str">
        <f>VLOOKUP(A340,Raw_Data!A:L,3,FALSE)</f>
        <v>India</v>
      </c>
      <c r="D340" s="3">
        <f>VLOOKUP(A340,Raw_Data!A:L,12,FALSE)</f>
        <v>430</v>
      </c>
      <c r="E340" s="3">
        <f>VLOOKUP(A340,Raw_Data!A:L,11,FALSE)</f>
        <v>10</v>
      </c>
      <c r="F340" t="str">
        <f>TEXT(VLOOKUP(A340,Raw_Data!A:L,5,FALSE),"mmm")</f>
        <v>Mar</v>
      </c>
    </row>
    <row r="341" spans="1:6" x14ac:dyDescent="0.35">
      <c r="A341" s="3" t="s">
        <v>681</v>
      </c>
      <c r="B341" t="str">
        <f>VLOOKUP(A341,Raw_Data!A:L,6,FALSE)</f>
        <v>Microwave</v>
      </c>
      <c r="C341" t="str">
        <f>VLOOKUP(A341,Raw_Data!A:L,3,FALSE)</f>
        <v>Colombia</v>
      </c>
      <c r="D341" s="3">
        <f>VLOOKUP(A341,Raw_Data!A:L,12,FALSE)</f>
        <v>6900</v>
      </c>
      <c r="E341" s="3">
        <f>VLOOKUP(A341,Raw_Data!A:L,11,FALSE)</f>
        <v>92</v>
      </c>
      <c r="F341" t="str">
        <f>TEXT(VLOOKUP(A341,Raw_Data!A:L,5,FALSE),"mmm")</f>
        <v>Nov</v>
      </c>
    </row>
    <row r="342" spans="1:6" x14ac:dyDescent="0.35">
      <c r="A342" s="3" t="s">
        <v>683</v>
      </c>
      <c r="B342" t="str">
        <f>VLOOKUP(A342,Raw_Data!A:L,6,FALSE)</f>
        <v>Blender</v>
      </c>
      <c r="C342" t="str">
        <f>VLOOKUP(A342,Raw_Data!A:L,3,FALSE)</f>
        <v>Ireland</v>
      </c>
      <c r="D342" s="3">
        <f>VLOOKUP(A342,Raw_Data!A:L,12,FALSE)</f>
        <v>2448</v>
      </c>
      <c r="E342" s="3">
        <f>VLOOKUP(A342,Raw_Data!A:L,11,FALSE)</f>
        <v>68</v>
      </c>
      <c r="F342" t="str">
        <f>TEXT(VLOOKUP(A342,Raw_Data!A:L,5,FALSE),"mmm")</f>
        <v>Aug</v>
      </c>
    </row>
    <row r="343" spans="1:6" x14ac:dyDescent="0.35">
      <c r="A343" s="3" t="s">
        <v>685</v>
      </c>
      <c r="B343" t="str">
        <f>VLOOKUP(A343,Raw_Data!A:L,6,FALSE)</f>
        <v>Washing Machine</v>
      </c>
      <c r="C343" t="str">
        <f>VLOOKUP(A343,Raw_Data!A:L,3,FALSE)</f>
        <v>Argentina</v>
      </c>
      <c r="D343" s="3">
        <f>VLOOKUP(A343,Raw_Data!A:L,12,FALSE)</f>
        <v>20608</v>
      </c>
      <c r="E343" s="3">
        <f>VLOOKUP(A343,Raw_Data!A:L,11,FALSE)</f>
        <v>46</v>
      </c>
      <c r="F343" t="str">
        <f>TEXT(VLOOKUP(A343,Raw_Data!A:L,5,FALSE),"mmm")</f>
        <v>Apr</v>
      </c>
    </row>
    <row r="344" spans="1:6" x14ac:dyDescent="0.35">
      <c r="A344" s="3" t="s">
        <v>687</v>
      </c>
      <c r="B344" t="str">
        <f>VLOOKUP(A344,Raw_Data!A:L,6,FALSE)</f>
        <v>Ceiling fan</v>
      </c>
      <c r="C344" t="str">
        <f>VLOOKUP(A344,Raw_Data!A:L,3,FALSE)</f>
        <v>Spain</v>
      </c>
      <c r="D344" s="3">
        <f>VLOOKUP(A344,Raw_Data!A:L,12,FALSE)</f>
        <v>9384</v>
      </c>
      <c r="E344" s="3">
        <f>VLOOKUP(A344,Raw_Data!A:L,11,FALSE)</f>
        <v>68</v>
      </c>
      <c r="F344" t="str">
        <f>TEXT(VLOOKUP(A344,Raw_Data!A:L,5,FALSE),"mmm")</f>
        <v>Jan</v>
      </c>
    </row>
    <row r="345" spans="1:6" x14ac:dyDescent="0.35">
      <c r="A345" s="3" t="s">
        <v>688</v>
      </c>
      <c r="B345" t="str">
        <f>VLOOKUP(A345,Raw_Data!A:L,6,FALSE)</f>
        <v>Oven</v>
      </c>
      <c r="C345" t="str">
        <f>VLOOKUP(A345,Raw_Data!A:L,3,FALSE)</f>
        <v>USA</v>
      </c>
      <c r="D345" s="3">
        <f>VLOOKUP(A345,Raw_Data!A:L,12,FALSE)</f>
        <v>25500</v>
      </c>
      <c r="E345" s="3">
        <f>VLOOKUP(A345,Raw_Data!A:L,11,FALSE)</f>
        <v>51</v>
      </c>
      <c r="F345" t="str">
        <f>TEXT(VLOOKUP(A345,Raw_Data!A:L,5,FALSE),"mmm")</f>
        <v>May</v>
      </c>
    </row>
    <row r="346" spans="1:6" x14ac:dyDescent="0.35">
      <c r="A346" s="3" t="s">
        <v>690</v>
      </c>
      <c r="B346" t="str">
        <f>VLOOKUP(A346,Raw_Data!A:L,6,FALSE)</f>
        <v>Oven</v>
      </c>
      <c r="C346" t="str">
        <f>VLOOKUP(A346,Raw_Data!A:L,3,FALSE)</f>
        <v>Turkey</v>
      </c>
      <c r="D346" s="3">
        <f>VLOOKUP(A346,Raw_Data!A:L,12,FALSE)</f>
        <v>31185</v>
      </c>
      <c r="E346" s="3">
        <f>VLOOKUP(A346,Raw_Data!A:L,11,FALSE)</f>
        <v>63</v>
      </c>
      <c r="F346" t="str">
        <f>TEXT(VLOOKUP(A346,Raw_Data!A:L,5,FALSE),"mmm")</f>
        <v>Jan</v>
      </c>
    </row>
    <row r="347" spans="1:6" x14ac:dyDescent="0.35">
      <c r="A347" s="3" t="s">
        <v>691</v>
      </c>
      <c r="B347" t="str">
        <f>VLOOKUP(A347,Raw_Data!A:L,6,FALSE)</f>
        <v>Ceiling fan</v>
      </c>
      <c r="C347" t="str">
        <f>VLOOKUP(A347,Raw_Data!A:L,3,FALSE)</f>
        <v>Netherlands</v>
      </c>
      <c r="D347" s="3">
        <f>VLOOKUP(A347,Raw_Data!A:L,12,FALSE)</f>
        <v>6528</v>
      </c>
      <c r="E347" s="3">
        <f>VLOOKUP(A347,Raw_Data!A:L,11,FALSE)</f>
        <v>51</v>
      </c>
      <c r="F347" t="str">
        <f>TEXT(VLOOKUP(A347,Raw_Data!A:L,5,FALSE),"mmm")</f>
        <v>Feb</v>
      </c>
    </row>
    <row r="348" spans="1:6" x14ac:dyDescent="0.35">
      <c r="A348" s="3" t="s">
        <v>692</v>
      </c>
      <c r="B348" t="str">
        <f>VLOOKUP(A348,Raw_Data!A:L,6,FALSE)</f>
        <v>Blender</v>
      </c>
      <c r="C348" t="str">
        <f>VLOOKUP(A348,Raw_Data!A:L,3,FALSE)</f>
        <v>India</v>
      </c>
      <c r="D348" s="3">
        <f>VLOOKUP(A348,Raw_Data!A:L,12,FALSE)</f>
        <v>42</v>
      </c>
      <c r="E348" s="3">
        <f>VLOOKUP(A348,Raw_Data!A:L,11,FALSE)</f>
        <v>1</v>
      </c>
      <c r="F348" t="str">
        <f>TEXT(VLOOKUP(A348,Raw_Data!A:L,5,FALSE),"mmm")</f>
        <v>Jun</v>
      </c>
    </row>
    <row r="349" spans="1:6" x14ac:dyDescent="0.35">
      <c r="A349" s="3" t="s">
        <v>693</v>
      </c>
      <c r="B349" t="str">
        <f>VLOOKUP(A349,Raw_Data!A:L,6,FALSE)</f>
        <v>Microwave</v>
      </c>
      <c r="C349" t="str">
        <f>VLOOKUP(A349,Raw_Data!A:L,3,FALSE)</f>
        <v>UAE</v>
      </c>
      <c r="D349" s="3">
        <f>VLOOKUP(A349,Raw_Data!A:L,12,FALSE)</f>
        <v>80</v>
      </c>
      <c r="E349" s="3">
        <f>VLOOKUP(A349,Raw_Data!A:L,11,FALSE)</f>
        <v>1</v>
      </c>
      <c r="F349" t="str">
        <f>TEXT(VLOOKUP(A349,Raw_Data!A:L,5,FALSE),"mmm")</f>
        <v>Mar</v>
      </c>
    </row>
    <row r="350" spans="1:6" x14ac:dyDescent="0.35">
      <c r="A350" s="3" t="s">
        <v>695</v>
      </c>
      <c r="B350" t="str">
        <f>VLOOKUP(A350,Raw_Data!A:L,6,FALSE)</f>
        <v>Ceiling fan</v>
      </c>
      <c r="C350" t="str">
        <f>VLOOKUP(A350,Raw_Data!A:L,3,FALSE)</f>
        <v>South Korea</v>
      </c>
      <c r="D350" s="3">
        <f>VLOOKUP(A350,Raw_Data!A:L,12,FALSE)</f>
        <v>735</v>
      </c>
      <c r="E350" s="3">
        <f>VLOOKUP(A350,Raw_Data!A:L,11,FALSE)</f>
        <v>5</v>
      </c>
      <c r="F350" t="str">
        <f>TEXT(VLOOKUP(A350,Raw_Data!A:L,5,FALSE),"mmm")</f>
        <v>Apr</v>
      </c>
    </row>
    <row r="351" spans="1:6" x14ac:dyDescent="0.35">
      <c r="A351" s="3" t="s">
        <v>697</v>
      </c>
      <c r="B351" t="str">
        <f>VLOOKUP(A351,Raw_Data!A:L,6,FALSE)</f>
        <v>Toaster</v>
      </c>
      <c r="C351" t="str">
        <f>VLOOKUP(A351,Raw_Data!A:L,3,FALSE)</f>
        <v>Saudi Arabia</v>
      </c>
      <c r="D351" s="3">
        <f>VLOOKUP(A351,Raw_Data!A:L,12,FALSE)</f>
        <v>3608</v>
      </c>
      <c r="E351" s="3">
        <f>VLOOKUP(A351,Raw_Data!A:L,11,FALSE)</f>
        <v>82</v>
      </c>
      <c r="F351" t="str">
        <f>TEXT(VLOOKUP(A351,Raw_Data!A:L,5,FALSE),"mmm")</f>
        <v>Feb</v>
      </c>
    </row>
    <row r="352" spans="1:6" x14ac:dyDescent="0.35">
      <c r="A352" s="3" t="s">
        <v>699</v>
      </c>
      <c r="B352" t="str">
        <f>VLOOKUP(A352,Raw_Data!A:L,6,FALSE)</f>
        <v>Coffee grinder</v>
      </c>
      <c r="C352" t="str">
        <f>VLOOKUP(A352,Raw_Data!A:L,3,FALSE)</f>
        <v>Mexico</v>
      </c>
      <c r="D352" s="3">
        <f>VLOOKUP(A352,Raw_Data!A:L,12,FALSE)</f>
        <v>3484</v>
      </c>
      <c r="E352" s="3">
        <f>VLOOKUP(A352,Raw_Data!A:L,11,FALSE)</f>
        <v>52</v>
      </c>
      <c r="F352" t="str">
        <f>TEXT(VLOOKUP(A352,Raw_Data!A:L,5,FALSE),"mmm")</f>
        <v>May</v>
      </c>
    </row>
    <row r="353" spans="1:6" x14ac:dyDescent="0.35">
      <c r="A353" s="3" t="s">
        <v>701</v>
      </c>
      <c r="B353" t="str">
        <f>VLOOKUP(A353,Raw_Data!A:L,6,FALSE)</f>
        <v>Coffee grinder</v>
      </c>
      <c r="C353" t="str">
        <f>VLOOKUP(A353,Raw_Data!A:L,3,FALSE)</f>
        <v>USA</v>
      </c>
      <c r="D353" s="3">
        <f>VLOOKUP(A353,Raw_Data!A:L,12,FALSE)</f>
        <v>804</v>
      </c>
      <c r="E353" s="3">
        <f>VLOOKUP(A353,Raw_Data!A:L,11,FALSE)</f>
        <v>12</v>
      </c>
      <c r="F353" t="str">
        <f>TEXT(VLOOKUP(A353,Raw_Data!A:L,5,FALSE),"mmm")</f>
        <v>Apr</v>
      </c>
    </row>
    <row r="354" spans="1:6" x14ac:dyDescent="0.35">
      <c r="A354" s="3" t="s">
        <v>702</v>
      </c>
      <c r="B354" t="str">
        <f>VLOOKUP(A354,Raw_Data!A:L,6,FALSE)</f>
        <v>Dishwasher</v>
      </c>
      <c r="C354" t="str">
        <f>VLOOKUP(A354,Raw_Data!A:L,3,FALSE)</f>
        <v>Japan</v>
      </c>
      <c r="D354" s="3">
        <f>VLOOKUP(A354,Raw_Data!A:L,12,FALSE)</f>
        <v>23920</v>
      </c>
      <c r="E354" s="3">
        <f>VLOOKUP(A354,Raw_Data!A:L,11,FALSE)</f>
        <v>52</v>
      </c>
      <c r="F354" t="str">
        <f>TEXT(VLOOKUP(A354,Raw_Data!A:L,5,FALSE),"mmm")</f>
        <v>Oct</v>
      </c>
    </row>
    <row r="355" spans="1:6" x14ac:dyDescent="0.35">
      <c r="A355" s="3" t="s">
        <v>704</v>
      </c>
      <c r="B355" t="str">
        <f>VLOOKUP(A355,Raw_Data!A:L,6,FALSE)</f>
        <v>Oven</v>
      </c>
      <c r="C355" t="str">
        <f>VLOOKUP(A355,Raw_Data!A:L,3,FALSE)</f>
        <v>Russia</v>
      </c>
      <c r="D355" s="3">
        <f>VLOOKUP(A355,Raw_Data!A:L,12,FALSE)</f>
        <v>7425</v>
      </c>
      <c r="E355" s="3">
        <f>VLOOKUP(A355,Raw_Data!A:L,11,FALSE)</f>
        <v>15</v>
      </c>
      <c r="F355" t="str">
        <f>TEXT(VLOOKUP(A355,Raw_Data!A:L,5,FALSE),"mmm")</f>
        <v>Sep</v>
      </c>
    </row>
    <row r="356" spans="1:6" x14ac:dyDescent="0.35">
      <c r="A356" s="3" t="s">
        <v>705</v>
      </c>
      <c r="B356" t="str">
        <f>VLOOKUP(A356,Raw_Data!A:L,6,FALSE)</f>
        <v>Washing Machine</v>
      </c>
      <c r="C356" t="str">
        <f>VLOOKUP(A356,Raw_Data!A:L,3,FALSE)</f>
        <v>Czech Republic</v>
      </c>
      <c r="D356" s="3">
        <f>VLOOKUP(A356,Raw_Data!A:L,12,FALSE)</f>
        <v>34496</v>
      </c>
      <c r="E356" s="3">
        <f>VLOOKUP(A356,Raw_Data!A:L,11,FALSE)</f>
        <v>49</v>
      </c>
      <c r="F356" t="str">
        <f>TEXT(VLOOKUP(A356,Raw_Data!A:L,5,FALSE),"mmm")</f>
        <v>Aug</v>
      </c>
    </row>
    <row r="357" spans="1:6" x14ac:dyDescent="0.35">
      <c r="A357" s="3" t="s">
        <v>706</v>
      </c>
      <c r="B357" t="str">
        <f>VLOOKUP(A357,Raw_Data!A:L,6,FALSE)</f>
        <v>Microwave</v>
      </c>
      <c r="C357" t="str">
        <f>VLOOKUP(A357,Raw_Data!A:L,3,FALSE)</f>
        <v>Greece</v>
      </c>
      <c r="D357" s="3">
        <f>VLOOKUP(A357,Raw_Data!A:L,12,FALSE)</f>
        <v>720</v>
      </c>
      <c r="E357" s="3">
        <f>VLOOKUP(A357,Raw_Data!A:L,11,FALSE)</f>
        <v>12</v>
      </c>
      <c r="F357" t="str">
        <f>TEXT(VLOOKUP(A357,Raw_Data!A:L,5,FALSE),"mmm")</f>
        <v>Apr</v>
      </c>
    </row>
    <row r="358" spans="1:6" x14ac:dyDescent="0.35">
      <c r="A358" s="3" t="s">
        <v>707</v>
      </c>
      <c r="B358" t="str">
        <f>VLOOKUP(A358,Raw_Data!A:L,6,FALSE)</f>
        <v>Oven</v>
      </c>
      <c r="C358" t="str">
        <f>VLOOKUP(A358,Raw_Data!A:L,3,FALSE)</f>
        <v>Malaysia</v>
      </c>
      <c r="D358" s="3">
        <f>VLOOKUP(A358,Raw_Data!A:L,12,FALSE)</f>
        <v>16500</v>
      </c>
      <c r="E358" s="3">
        <f>VLOOKUP(A358,Raw_Data!A:L,11,FALSE)</f>
        <v>33</v>
      </c>
      <c r="F358" t="str">
        <f>TEXT(VLOOKUP(A358,Raw_Data!A:L,5,FALSE),"mmm")</f>
        <v>Aug</v>
      </c>
    </row>
    <row r="359" spans="1:6" x14ac:dyDescent="0.35">
      <c r="A359" s="3" t="s">
        <v>708</v>
      </c>
      <c r="B359" t="str">
        <f>VLOOKUP(A359,Raw_Data!A:L,6,FALSE)</f>
        <v>Ceiling fan</v>
      </c>
      <c r="C359" t="str">
        <f>VLOOKUP(A359,Raw_Data!A:L,3,FALSE)</f>
        <v>USA</v>
      </c>
      <c r="D359" s="3">
        <f>VLOOKUP(A359,Raw_Data!A:L,12,FALSE)</f>
        <v>8100</v>
      </c>
      <c r="E359" s="3">
        <f>VLOOKUP(A359,Raw_Data!A:L,11,FALSE)</f>
        <v>54</v>
      </c>
      <c r="F359" t="str">
        <f>TEXT(VLOOKUP(A359,Raw_Data!A:L,5,FALSE),"mmm")</f>
        <v>Jan</v>
      </c>
    </row>
    <row r="360" spans="1:6" x14ac:dyDescent="0.35">
      <c r="A360" s="3" t="s">
        <v>709</v>
      </c>
      <c r="B360" t="str">
        <f>VLOOKUP(A360,Raw_Data!A:L,6,FALSE)</f>
        <v>Coffee grinder</v>
      </c>
      <c r="C360" t="str">
        <f>VLOOKUP(A360,Raw_Data!A:L,3,FALSE)</f>
        <v>South Korea</v>
      </c>
      <c r="D360" s="3">
        <f>VLOOKUP(A360,Raw_Data!A:L,12,FALSE)</f>
        <v>1904</v>
      </c>
      <c r="E360" s="3">
        <f>VLOOKUP(A360,Raw_Data!A:L,11,FALSE)</f>
        <v>28</v>
      </c>
      <c r="F360" t="str">
        <f>TEXT(VLOOKUP(A360,Raw_Data!A:L,5,FALSE),"mmm")</f>
        <v>Dec</v>
      </c>
    </row>
    <row r="361" spans="1:6" x14ac:dyDescent="0.35">
      <c r="A361" s="3" t="s">
        <v>711</v>
      </c>
      <c r="B361" t="str">
        <f>VLOOKUP(A361,Raw_Data!A:L,6,FALSE)</f>
        <v>Coffee grinder</v>
      </c>
      <c r="C361" t="str">
        <f>VLOOKUP(A361,Raw_Data!A:L,3,FALSE)</f>
        <v>UAE</v>
      </c>
      <c r="D361" s="3">
        <f>VLOOKUP(A361,Raw_Data!A:L,12,FALSE)</f>
        <v>4200</v>
      </c>
      <c r="E361" s="3">
        <f>VLOOKUP(A361,Raw_Data!A:L,11,FALSE)</f>
        <v>60</v>
      </c>
      <c r="F361" t="str">
        <f>TEXT(VLOOKUP(A361,Raw_Data!A:L,5,FALSE),"mmm")</f>
        <v>Oct</v>
      </c>
    </row>
    <row r="362" spans="1:6" x14ac:dyDescent="0.35">
      <c r="A362" s="3" t="s">
        <v>713</v>
      </c>
      <c r="B362" t="str">
        <f>VLOOKUP(A362,Raw_Data!A:L,6,FALSE)</f>
        <v>Iron</v>
      </c>
      <c r="C362" t="str">
        <f>VLOOKUP(A362,Raw_Data!A:L,3,FALSE)</f>
        <v>Malaysia</v>
      </c>
      <c r="D362" s="3">
        <f>VLOOKUP(A362,Raw_Data!A:L,12,FALSE)</f>
        <v>2520</v>
      </c>
      <c r="E362" s="3">
        <f>VLOOKUP(A362,Raw_Data!A:L,11,FALSE)</f>
        <v>90</v>
      </c>
      <c r="F362" t="str">
        <f>TEXT(VLOOKUP(A362,Raw_Data!A:L,5,FALSE),"mmm")</f>
        <v>Nov</v>
      </c>
    </row>
    <row r="363" spans="1:6" x14ac:dyDescent="0.35">
      <c r="A363" s="3" t="s">
        <v>715</v>
      </c>
      <c r="B363" t="str">
        <f>VLOOKUP(A363,Raw_Data!A:L,6,FALSE)</f>
        <v>Coffee grinder</v>
      </c>
      <c r="C363" t="str">
        <f>VLOOKUP(A363,Raw_Data!A:L,3,FALSE)</f>
        <v>Malaysia</v>
      </c>
      <c r="D363" s="3">
        <f>VLOOKUP(A363,Raw_Data!A:L,12,FALSE)</f>
        <v>6144</v>
      </c>
      <c r="E363" s="3">
        <f>VLOOKUP(A363,Raw_Data!A:L,11,FALSE)</f>
        <v>96</v>
      </c>
      <c r="F363" t="str">
        <f>TEXT(VLOOKUP(A363,Raw_Data!A:L,5,FALSE),"mmm")</f>
        <v>Jun</v>
      </c>
    </row>
    <row r="364" spans="1:6" x14ac:dyDescent="0.35">
      <c r="A364" s="3" t="s">
        <v>717</v>
      </c>
      <c r="B364" t="str">
        <f>VLOOKUP(A364,Raw_Data!A:L,6,FALSE)</f>
        <v>Blender</v>
      </c>
      <c r="C364" t="str">
        <f>VLOOKUP(A364,Raw_Data!A:L,3,FALSE)</f>
        <v>Brazil</v>
      </c>
      <c r="D364" s="3">
        <f>VLOOKUP(A364,Raw_Data!A:L,12,FALSE)</f>
        <v>456</v>
      </c>
      <c r="E364" s="3">
        <f>VLOOKUP(A364,Raw_Data!A:L,11,FALSE)</f>
        <v>12</v>
      </c>
      <c r="F364" t="str">
        <f>TEXT(VLOOKUP(A364,Raw_Data!A:L,5,FALSE),"mmm")</f>
        <v>Aug</v>
      </c>
    </row>
    <row r="365" spans="1:6" x14ac:dyDescent="0.35">
      <c r="A365" s="3" t="s">
        <v>718</v>
      </c>
      <c r="B365" t="str">
        <f>VLOOKUP(A365,Raw_Data!A:L,6,FALSE)</f>
        <v>Blender</v>
      </c>
      <c r="C365" t="str">
        <f>VLOOKUP(A365,Raw_Data!A:L,3,FALSE)</f>
        <v>Canada</v>
      </c>
      <c r="D365" s="3">
        <f>VLOOKUP(A365,Raw_Data!A:L,12,FALSE)</f>
        <v>1450</v>
      </c>
      <c r="E365" s="3">
        <f>VLOOKUP(A365,Raw_Data!A:L,11,FALSE)</f>
        <v>29</v>
      </c>
      <c r="F365" t="str">
        <f>TEXT(VLOOKUP(A365,Raw_Data!A:L,5,FALSE),"mmm")</f>
        <v>Dec</v>
      </c>
    </row>
    <row r="366" spans="1:6" x14ac:dyDescent="0.35">
      <c r="A366" s="3" t="s">
        <v>719</v>
      </c>
      <c r="B366" t="str">
        <f>VLOOKUP(A366,Raw_Data!A:L,6,FALSE)</f>
        <v>Dishwasher</v>
      </c>
      <c r="C366" t="str">
        <f>VLOOKUP(A366,Raw_Data!A:L,3,FALSE)</f>
        <v>India</v>
      </c>
      <c r="D366" s="3">
        <f>VLOOKUP(A366,Raw_Data!A:L,12,FALSE)</f>
        <v>25110</v>
      </c>
      <c r="E366" s="3">
        <f>VLOOKUP(A366,Raw_Data!A:L,11,FALSE)</f>
        <v>54</v>
      </c>
      <c r="F366" t="str">
        <f>TEXT(VLOOKUP(A366,Raw_Data!A:L,5,FALSE),"mmm")</f>
        <v>Feb</v>
      </c>
    </row>
    <row r="367" spans="1:6" x14ac:dyDescent="0.35">
      <c r="A367" s="3" t="s">
        <v>720</v>
      </c>
      <c r="B367" t="str">
        <f>VLOOKUP(A367,Raw_Data!A:L,6,FALSE)</f>
        <v>Toaster</v>
      </c>
      <c r="C367" t="str">
        <f>VLOOKUP(A367,Raw_Data!A:L,3,FALSE)</f>
        <v>USA</v>
      </c>
      <c r="D367" s="3">
        <f>VLOOKUP(A367,Raw_Data!A:L,12,FALSE)</f>
        <v>2244</v>
      </c>
      <c r="E367" s="3">
        <f>VLOOKUP(A367,Raw_Data!A:L,11,FALSE)</f>
        <v>51</v>
      </c>
      <c r="F367" t="str">
        <f>TEXT(VLOOKUP(A367,Raw_Data!A:L,5,FALSE),"mmm")</f>
        <v>Nov</v>
      </c>
    </row>
    <row r="368" spans="1:6" x14ac:dyDescent="0.35">
      <c r="A368" s="3" t="s">
        <v>722</v>
      </c>
      <c r="B368" t="str">
        <f>VLOOKUP(A368,Raw_Data!A:L,6,FALSE)</f>
        <v>Toaster</v>
      </c>
      <c r="C368" t="str">
        <f>VLOOKUP(A368,Raw_Data!A:L,3,FALSE)</f>
        <v>Colombia</v>
      </c>
      <c r="D368" s="3">
        <f>VLOOKUP(A368,Raw_Data!A:L,12,FALSE)</f>
        <v>2726</v>
      </c>
      <c r="E368" s="3">
        <f>VLOOKUP(A368,Raw_Data!A:L,11,FALSE)</f>
        <v>58</v>
      </c>
      <c r="F368" t="str">
        <f>TEXT(VLOOKUP(A368,Raw_Data!A:L,5,FALSE),"mmm")</f>
        <v>Feb</v>
      </c>
    </row>
    <row r="369" spans="1:6" x14ac:dyDescent="0.35">
      <c r="A369" s="3" t="s">
        <v>724</v>
      </c>
      <c r="B369" t="str">
        <f>VLOOKUP(A369,Raw_Data!A:L,6,FALSE)</f>
        <v>Ceiling fan</v>
      </c>
      <c r="C369" t="str">
        <f>VLOOKUP(A369,Raw_Data!A:L,3,FALSE)</f>
        <v>Poland</v>
      </c>
      <c r="D369" s="3">
        <f>VLOOKUP(A369,Raw_Data!A:L,12,FALSE)</f>
        <v>2929</v>
      </c>
      <c r="E369" s="3">
        <f>VLOOKUP(A369,Raw_Data!A:L,11,FALSE)</f>
        <v>29</v>
      </c>
      <c r="F369" t="str">
        <f>TEXT(VLOOKUP(A369,Raw_Data!A:L,5,FALSE),"mmm")</f>
        <v>Jan</v>
      </c>
    </row>
    <row r="370" spans="1:6" x14ac:dyDescent="0.35">
      <c r="A370" s="3" t="s">
        <v>725</v>
      </c>
      <c r="B370" t="str">
        <f>VLOOKUP(A370,Raw_Data!A:L,6,FALSE)</f>
        <v>Microwave</v>
      </c>
      <c r="C370" t="str">
        <f>VLOOKUP(A370,Raw_Data!A:L,3,FALSE)</f>
        <v>France</v>
      </c>
      <c r="D370" s="3">
        <f>VLOOKUP(A370,Raw_Data!A:L,12,FALSE)</f>
        <v>1482</v>
      </c>
      <c r="E370" s="3">
        <f>VLOOKUP(A370,Raw_Data!A:L,11,FALSE)</f>
        <v>19</v>
      </c>
      <c r="F370" t="str">
        <f>TEXT(VLOOKUP(A370,Raw_Data!A:L,5,FALSE),"mmm")</f>
        <v>Nov</v>
      </c>
    </row>
    <row r="371" spans="1:6" x14ac:dyDescent="0.35">
      <c r="A371" s="3" t="s">
        <v>727</v>
      </c>
      <c r="B371" t="str">
        <f>VLOOKUP(A371,Raw_Data!A:L,6,FALSE)</f>
        <v>Oven</v>
      </c>
      <c r="C371" t="str">
        <f>VLOOKUP(A371,Raw_Data!A:L,3,FALSE)</f>
        <v>India</v>
      </c>
      <c r="D371" s="3">
        <f>VLOOKUP(A371,Raw_Data!A:L,12,FALSE)</f>
        <v>43000</v>
      </c>
      <c r="E371" s="3">
        <f>VLOOKUP(A371,Raw_Data!A:L,11,FALSE)</f>
        <v>86</v>
      </c>
      <c r="F371" t="str">
        <f>TEXT(VLOOKUP(A371,Raw_Data!A:L,5,FALSE),"mmm")</f>
        <v>Feb</v>
      </c>
    </row>
    <row r="372" spans="1:6" x14ac:dyDescent="0.35">
      <c r="A372" s="3" t="s">
        <v>729</v>
      </c>
      <c r="B372" t="str">
        <f>VLOOKUP(A372,Raw_Data!A:L,6,FALSE)</f>
        <v>Microwave</v>
      </c>
      <c r="C372" t="str">
        <f>VLOOKUP(A372,Raw_Data!A:L,3,FALSE)</f>
        <v>Mexico</v>
      </c>
      <c r="D372" s="3">
        <f>VLOOKUP(A372,Raw_Data!A:L,12,FALSE)</f>
        <v>1702</v>
      </c>
      <c r="E372" s="3">
        <f>VLOOKUP(A372,Raw_Data!A:L,11,FALSE)</f>
        <v>23</v>
      </c>
      <c r="F372" t="str">
        <f>TEXT(VLOOKUP(A372,Raw_Data!A:L,5,FALSE),"mmm")</f>
        <v>Feb</v>
      </c>
    </row>
    <row r="373" spans="1:6" x14ac:dyDescent="0.35">
      <c r="A373" s="3" t="s">
        <v>731</v>
      </c>
      <c r="B373" t="str">
        <f>VLOOKUP(A373,Raw_Data!A:L,6,FALSE)</f>
        <v>Coffee grinder</v>
      </c>
      <c r="C373" t="str">
        <f>VLOOKUP(A373,Raw_Data!A:L,3,FALSE)</f>
        <v>Czech Republic</v>
      </c>
      <c r="D373" s="3">
        <f>VLOOKUP(A373,Raw_Data!A:L,12,FALSE)</f>
        <v>3740</v>
      </c>
      <c r="E373" s="3">
        <f>VLOOKUP(A373,Raw_Data!A:L,11,FALSE)</f>
        <v>55</v>
      </c>
      <c r="F373" t="str">
        <f>TEXT(VLOOKUP(A373,Raw_Data!A:L,5,FALSE),"mmm")</f>
        <v>Nov</v>
      </c>
    </row>
    <row r="374" spans="1:6" x14ac:dyDescent="0.35">
      <c r="A374" s="3" t="s">
        <v>733</v>
      </c>
      <c r="B374" t="str">
        <f>VLOOKUP(A374,Raw_Data!A:L,6,FALSE)</f>
        <v>Dishwasher</v>
      </c>
      <c r="C374" t="str">
        <f>VLOOKUP(A374,Raw_Data!A:L,3,FALSE)</f>
        <v>Egypt</v>
      </c>
      <c r="D374" s="3">
        <f>VLOOKUP(A374,Raw_Data!A:L,12,FALSE)</f>
        <v>33500</v>
      </c>
      <c r="E374" s="3">
        <f>VLOOKUP(A374,Raw_Data!A:L,11,FALSE)</f>
        <v>67</v>
      </c>
      <c r="F374" t="str">
        <f>TEXT(VLOOKUP(A374,Raw_Data!A:L,5,FALSE),"mmm")</f>
        <v>Feb</v>
      </c>
    </row>
    <row r="375" spans="1:6" x14ac:dyDescent="0.35">
      <c r="A375" s="3" t="s">
        <v>734</v>
      </c>
      <c r="B375" t="str">
        <f>VLOOKUP(A375,Raw_Data!A:L,6,FALSE)</f>
        <v>Refrigerator</v>
      </c>
      <c r="C375" t="str">
        <f>VLOOKUP(A375,Raw_Data!A:L,3,FALSE)</f>
        <v>Mexico</v>
      </c>
      <c r="D375" s="3">
        <f>VLOOKUP(A375,Raw_Data!A:L,12,FALSE)</f>
        <v>33840</v>
      </c>
      <c r="E375" s="3">
        <f>VLOOKUP(A375,Raw_Data!A:L,11,FALSE)</f>
        <v>47</v>
      </c>
      <c r="F375" t="str">
        <f>TEXT(VLOOKUP(A375,Raw_Data!A:L,5,FALSE),"mmm")</f>
        <v>Apr</v>
      </c>
    </row>
    <row r="376" spans="1:6" x14ac:dyDescent="0.35">
      <c r="A376" s="3" t="s">
        <v>736</v>
      </c>
      <c r="B376" t="str">
        <f>VLOOKUP(A376,Raw_Data!A:L,6,FALSE)</f>
        <v>Dishwasher</v>
      </c>
      <c r="C376" t="str">
        <f>VLOOKUP(A376,Raw_Data!A:L,3,FALSE)</f>
        <v>Canada</v>
      </c>
      <c r="D376" s="3">
        <f>VLOOKUP(A376,Raw_Data!A:L,12,FALSE)</f>
        <v>41760</v>
      </c>
      <c r="E376" s="3">
        <f>VLOOKUP(A376,Raw_Data!A:L,11,FALSE)</f>
        <v>87</v>
      </c>
      <c r="F376" t="str">
        <f>TEXT(VLOOKUP(A376,Raw_Data!A:L,5,FALSE),"mmm")</f>
        <v>Feb</v>
      </c>
    </row>
    <row r="377" spans="1:6" x14ac:dyDescent="0.35">
      <c r="A377" s="3" t="s">
        <v>737</v>
      </c>
      <c r="B377" t="str">
        <f>VLOOKUP(A377,Raw_Data!A:L,6,FALSE)</f>
        <v>Toaster</v>
      </c>
      <c r="C377" t="str">
        <f>VLOOKUP(A377,Raw_Data!A:L,3,FALSE)</f>
        <v>USA</v>
      </c>
      <c r="D377" s="3">
        <f>VLOOKUP(A377,Raw_Data!A:L,12,FALSE)</f>
        <v>1376</v>
      </c>
      <c r="E377" s="3">
        <f>VLOOKUP(A377,Raw_Data!A:L,11,FALSE)</f>
        <v>32</v>
      </c>
      <c r="F377" t="str">
        <f>TEXT(VLOOKUP(A377,Raw_Data!A:L,5,FALSE),"mmm")</f>
        <v>Feb</v>
      </c>
    </row>
    <row r="378" spans="1:6" x14ac:dyDescent="0.35">
      <c r="A378" s="3" t="s">
        <v>739</v>
      </c>
      <c r="B378" t="str">
        <f>VLOOKUP(A378,Raw_Data!A:L,6,FALSE)</f>
        <v>Ceiling fan</v>
      </c>
      <c r="C378" t="str">
        <f>VLOOKUP(A378,Raw_Data!A:L,3,FALSE)</f>
        <v>UK</v>
      </c>
      <c r="D378" s="3">
        <f>VLOOKUP(A378,Raw_Data!A:L,12,FALSE)</f>
        <v>11850</v>
      </c>
      <c r="E378" s="3">
        <f>VLOOKUP(A378,Raw_Data!A:L,11,FALSE)</f>
        <v>79</v>
      </c>
      <c r="F378" t="str">
        <f>TEXT(VLOOKUP(A378,Raw_Data!A:L,5,FALSE),"mmm")</f>
        <v>Jun</v>
      </c>
    </row>
    <row r="379" spans="1:6" x14ac:dyDescent="0.35">
      <c r="A379" s="3" t="s">
        <v>740</v>
      </c>
      <c r="B379" t="str">
        <f>VLOOKUP(A379,Raw_Data!A:L,6,FALSE)</f>
        <v>Washing Machine</v>
      </c>
      <c r="C379" t="str">
        <f>VLOOKUP(A379,Raw_Data!A:L,3,FALSE)</f>
        <v>Russia</v>
      </c>
      <c r="D379" s="3">
        <f>VLOOKUP(A379,Raw_Data!A:L,12,FALSE)</f>
        <v>39072</v>
      </c>
      <c r="E379" s="3">
        <f>VLOOKUP(A379,Raw_Data!A:L,11,FALSE)</f>
        <v>74</v>
      </c>
      <c r="F379" t="str">
        <f>TEXT(VLOOKUP(A379,Raw_Data!A:L,5,FALSE),"mmm")</f>
        <v>Jan</v>
      </c>
    </row>
    <row r="380" spans="1:6" x14ac:dyDescent="0.35">
      <c r="A380" s="3" t="s">
        <v>741</v>
      </c>
      <c r="B380" t="str">
        <f>VLOOKUP(A380,Raw_Data!A:L,6,FALSE)</f>
        <v>Toaster</v>
      </c>
      <c r="C380" t="str">
        <f>VLOOKUP(A380,Raw_Data!A:L,3,FALSE)</f>
        <v>Ireland</v>
      </c>
      <c r="D380" s="3">
        <f>VLOOKUP(A380,Raw_Data!A:L,12,FALSE)</f>
        <v>2691</v>
      </c>
      <c r="E380" s="3">
        <f>VLOOKUP(A380,Raw_Data!A:L,11,FALSE)</f>
        <v>69</v>
      </c>
      <c r="F380" t="str">
        <f>TEXT(VLOOKUP(A380,Raw_Data!A:L,5,FALSE),"mmm")</f>
        <v>Mar</v>
      </c>
    </row>
    <row r="381" spans="1:6" x14ac:dyDescent="0.35">
      <c r="A381" s="3" t="s">
        <v>743</v>
      </c>
      <c r="B381" t="str">
        <f>VLOOKUP(A381,Raw_Data!A:L,6,FALSE)</f>
        <v>Blender</v>
      </c>
      <c r="C381" t="str">
        <f>VLOOKUP(A381,Raw_Data!A:L,3,FALSE)</f>
        <v>Greece</v>
      </c>
      <c r="D381" s="3">
        <f>VLOOKUP(A381,Raw_Data!A:L,12,FALSE)</f>
        <v>450</v>
      </c>
      <c r="E381" s="3">
        <f>VLOOKUP(A381,Raw_Data!A:L,11,FALSE)</f>
        <v>9</v>
      </c>
      <c r="F381" t="str">
        <f>TEXT(VLOOKUP(A381,Raw_Data!A:L,5,FALSE),"mmm")</f>
        <v>Oct</v>
      </c>
    </row>
    <row r="382" spans="1:6" x14ac:dyDescent="0.35">
      <c r="A382" s="3" t="s">
        <v>744</v>
      </c>
      <c r="B382" t="str">
        <f>VLOOKUP(A382,Raw_Data!A:L,6,FALSE)</f>
        <v>Oven</v>
      </c>
      <c r="C382" t="str">
        <f>VLOOKUP(A382,Raw_Data!A:L,3,FALSE)</f>
        <v>India</v>
      </c>
      <c r="D382" s="3">
        <f>VLOOKUP(A382,Raw_Data!A:L,12,FALSE)</f>
        <v>3500</v>
      </c>
      <c r="E382" s="3">
        <f>VLOOKUP(A382,Raw_Data!A:L,11,FALSE)</f>
        <v>7</v>
      </c>
      <c r="F382" t="str">
        <f>TEXT(VLOOKUP(A382,Raw_Data!A:L,5,FALSE),"mmm")</f>
        <v>Apr</v>
      </c>
    </row>
    <row r="383" spans="1:6" x14ac:dyDescent="0.35">
      <c r="A383" s="3" t="s">
        <v>745</v>
      </c>
      <c r="B383" t="str">
        <f>VLOOKUP(A383,Raw_Data!A:L,6,FALSE)</f>
        <v>Toaster</v>
      </c>
      <c r="C383" t="str">
        <f>VLOOKUP(A383,Raw_Data!A:L,3,FALSE)</f>
        <v>Czech Republic</v>
      </c>
      <c r="D383" s="3">
        <f>VLOOKUP(A383,Raw_Data!A:L,12,FALSE)</f>
        <v>1848</v>
      </c>
      <c r="E383" s="3">
        <f>VLOOKUP(A383,Raw_Data!A:L,11,FALSE)</f>
        <v>42</v>
      </c>
      <c r="F383" t="str">
        <f>TEXT(VLOOKUP(A383,Raw_Data!A:L,5,FALSE),"mmm")</f>
        <v>Nov</v>
      </c>
    </row>
    <row r="384" spans="1:6" x14ac:dyDescent="0.35">
      <c r="A384" s="3" t="s">
        <v>746</v>
      </c>
      <c r="B384" t="str">
        <f>VLOOKUP(A384,Raw_Data!A:L,6,FALSE)</f>
        <v>Blender</v>
      </c>
      <c r="C384" t="str">
        <f>VLOOKUP(A384,Raw_Data!A:L,3,FALSE)</f>
        <v>Mexico</v>
      </c>
      <c r="D384" s="3">
        <f>VLOOKUP(A384,Raw_Data!A:L,12,FALSE)</f>
        <v>1824</v>
      </c>
      <c r="E384" s="3">
        <f>VLOOKUP(A384,Raw_Data!A:L,11,FALSE)</f>
        <v>38</v>
      </c>
      <c r="F384" t="str">
        <f>TEXT(VLOOKUP(A384,Raw_Data!A:L,5,FALSE),"mmm")</f>
        <v>Oct</v>
      </c>
    </row>
    <row r="385" spans="1:6" x14ac:dyDescent="0.35">
      <c r="A385" s="3" t="s">
        <v>747</v>
      </c>
      <c r="B385" t="str">
        <f>VLOOKUP(A385,Raw_Data!A:L,6,FALSE)</f>
        <v>Microwave</v>
      </c>
      <c r="C385" t="str">
        <f>VLOOKUP(A385,Raw_Data!A:L,3,FALSE)</f>
        <v>Japan</v>
      </c>
      <c r="D385" s="3">
        <f>VLOOKUP(A385,Raw_Data!A:L,12,FALSE)</f>
        <v>432</v>
      </c>
      <c r="E385" s="3">
        <f>VLOOKUP(A385,Raw_Data!A:L,11,FALSE)</f>
        <v>6</v>
      </c>
      <c r="F385" t="str">
        <f>TEXT(VLOOKUP(A385,Raw_Data!A:L,5,FALSE),"mmm")</f>
        <v>Feb</v>
      </c>
    </row>
    <row r="386" spans="1:6" x14ac:dyDescent="0.35">
      <c r="A386" s="3" t="s">
        <v>749</v>
      </c>
      <c r="B386" t="str">
        <f>VLOOKUP(A386,Raw_Data!A:L,6,FALSE)</f>
        <v>Blender</v>
      </c>
      <c r="C386" t="str">
        <f>VLOOKUP(A386,Raw_Data!A:L,3,FALSE)</f>
        <v>Colombia</v>
      </c>
      <c r="D386" s="3">
        <f>VLOOKUP(A386,Raw_Data!A:L,12,FALSE)</f>
        <v>64</v>
      </c>
      <c r="E386" s="3">
        <f>VLOOKUP(A386,Raw_Data!A:L,11,FALSE)</f>
        <v>2</v>
      </c>
      <c r="F386" t="str">
        <f>TEXT(VLOOKUP(A386,Raw_Data!A:L,5,FALSE),"mmm")</f>
        <v>Sep</v>
      </c>
    </row>
    <row r="387" spans="1:6" x14ac:dyDescent="0.35">
      <c r="A387" s="3" t="s">
        <v>750</v>
      </c>
      <c r="B387" t="str">
        <f>VLOOKUP(A387,Raw_Data!A:L,6,FALSE)</f>
        <v>Air conditioner</v>
      </c>
      <c r="C387" t="str">
        <f>VLOOKUP(A387,Raw_Data!A:L,3,FALSE)</f>
        <v>China</v>
      </c>
      <c r="D387" s="3">
        <f>VLOOKUP(A387,Raw_Data!A:L,12,FALSE)</f>
        <v>30597</v>
      </c>
      <c r="E387" s="3">
        <f>VLOOKUP(A387,Raw_Data!A:L,11,FALSE)</f>
        <v>47</v>
      </c>
      <c r="F387" t="str">
        <f>TEXT(VLOOKUP(A387,Raw_Data!A:L,5,FALSE),"mmm")</f>
        <v>Jul</v>
      </c>
    </row>
    <row r="388" spans="1:6" x14ac:dyDescent="0.35">
      <c r="A388" s="3" t="s">
        <v>751</v>
      </c>
      <c r="B388" t="str">
        <f>VLOOKUP(A388,Raw_Data!A:L,6,FALSE)</f>
        <v>Blender</v>
      </c>
      <c r="C388" t="str">
        <f>VLOOKUP(A388,Raw_Data!A:L,3,FALSE)</f>
        <v>Germany</v>
      </c>
      <c r="D388" s="3">
        <f>VLOOKUP(A388,Raw_Data!A:L,12,FALSE)</f>
        <v>1274</v>
      </c>
      <c r="E388" s="3">
        <f>VLOOKUP(A388,Raw_Data!A:L,11,FALSE)</f>
        <v>26</v>
      </c>
      <c r="F388" t="str">
        <f>TEXT(VLOOKUP(A388,Raw_Data!A:L,5,FALSE),"mmm")</f>
        <v>May</v>
      </c>
    </row>
    <row r="389" spans="1:6" x14ac:dyDescent="0.35">
      <c r="A389" s="3" t="s">
        <v>752</v>
      </c>
      <c r="B389" t="str">
        <f>VLOOKUP(A389,Raw_Data!A:L,6,FALSE)</f>
        <v>Dishwasher</v>
      </c>
      <c r="C389" t="str">
        <f>VLOOKUP(A389,Raw_Data!A:L,3,FALSE)</f>
        <v>South Africa</v>
      </c>
      <c r="D389" s="3">
        <f>VLOOKUP(A389,Raw_Data!A:L,12,FALSE)</f>
        <v>24200</v>
      </c>
      <c r="E389" s="3">
        <f>VLOOKUP(A389,Raw_Data!A:L,11,FALSE)</f>
        <v>55</v>
      </c>
      <c r="F389" t="str">
        <f>TEXT(VLOOKUP(A389,Raw_Data!A:L,5,FALSE),"mmm")</f>
        <v>Dec</v>
      </c>
    </row>
    <row r="390" spans="1:6" x14ac:dyDescent="0.35">
      <c r="A390" s="3" t="s">
        <v>754</v>
      </c>
      <c r="B390" t="str">
        <f>VLOOKUP(A390,Raw_Data!A:L,6,FALSE)</f>
        <v>Refrigerator</v>
      </c>
      <c r="C390" t="str">
        <f>VLOOKUP(A390,Raw_Data!A:L,3,FALSE)</f>
        <v>Ireland</v>
      </c>
      <c r="D390" s="3">
        <f>VLOOKUP(A390,Raw_Data!A:L,12,FALSE)</f>
        <v>10200</v>
      </c>
      <c r="E390" s="3">
        <f>VLOOKUP(A390,Raw_Data!A:L,11,FALSE)</f>
        <v>15</v>
      </c>
      <c r="F390" t="str">
        <f>TEXT(VLOOKUP(A390,Raw_Data!A:L,5,FALSE),"mmm")</f>
        <v>Jun</v>
      </c>
    </row>
    <row r="391" spans="1:6" x14ac:dyDescent="0.35">
      <c r="A391" s="3" t="s">
        <v>755</v>
      </c>
      <c r="B391" t="str">
        <f>VLOOKUP(A391,Raw_Data!A:L,6,FALSE)</f>
        <v>Air conditioner</v>
      </c>
      <c r="C391" t="str">
        <f>VLOOKUP(A391,Raw_Data!A:L,3,FALSE)</f>
        <v>Australia</v>
      </c>
      <c r="D391" s="3">
        <f>VLOOKUP(A391,Raw_Data!A:L,12,FALSE)</f>
        <v>19110</v>
      </c>
      <c r="E391" s="3">
        <f>VLOOKUP(A391,Raw_Data!A:L,11,FALSE)</f>
        <v>30</v>
      </c>
      <c r="F391" t="str">
        <f>TEXT(VLOOKUP(A391,Raw_Data!A:L,5,FALSE),"mmm")</f>
        <v>Oct</v>
      </c>
    </row>
    <row r="392" spans="1:6" x14ac:dyDescent="0.35">
      <c r="A392" s="3" t="s">
        <v>756</v>
      </c>
      <c r="B392" t="str">
        <f>VLOOKUP(A392,Raw_Data!A:L,6,FALSE)</f>
        <v>Toaster</v>
      </c>
      <c r="C392" t="str">
        <f>VLOOKUP(A392,Raw_Data!A:L,3,FALSE)</f>
        <v>UK</v>
      </c>
      <c r="D392" s="3">
        <f>VLOOKUP(A392,Raw_Data!A:L,12,FALSE)</f>
        <v>3311</v>
      </c>
      <c r="E392" s="3">
        <f>VLOOKUP(A392,Raw_Data!A:L,11,FALSE)</f>
        <v>77</v>
      </c>
      <c r="F392" t="str">
        <f>TEXT(VLOOKUP(A392,Raw_Data!A:L,5,FALSE),"mmm")</f>
        <v>May</v>
      </c>
    </row>
    <row r="393" spans="1:6" x14ac:dyDescent="0.35">
      <c r="A393" s="3" t="s">
        <v>757</v>
      </c>
      <c r="B393" t="str">
        <f>VLOOKUP(A393,Raw_Data!A:L,6,FALSE)</f>
        <v>Iron</v>
      </c>
      <c r="C393" t="str">
        <f>VLOOKUP(A393,Raw_Data!A:L,3,FALSE)</f>
        <v>India</v>
      </c>
      <c r="D393" s="3">
        <f>VLOOKUP(A393,Raw_Data!A:L,12,FALSE)</f>
        <v>725</v>
      </c>
      <c r="E393" s="3">
        <f>VLOOKUP(A393,Raw_Data!A:L,11,FALSE)</f>
        <v>25</v>
      </c>
      <c r="F393" t="str">
        <f>TEXT(VLOOKUP(A393,Raw_Data!A:L,5,FALSE),"mmm")</f>
        <v>Jun</v>
      </c>
    </row>
    <row r="394" spans="1:6" x14ac:dyDescent="0.35">
      <c r="A394" s="3" t="s">
        <v>758</v>
      </c>
      <c r="B394" t="str">
        <f>VLOOKUP(A394,Raw_Data!A:L,6,FALSE)</f>
        <v>Toaster</v>
      </c>
      <c r="C394" t="str">
        <f>VLOOKUP(A394,Raw_Data!A:L,3,FALSE)</f>
        <v>Saudi Arabia</v>
      </c>
      <c r="D394" s="3">
        <f>VLOOKUP(A394,Raw_Data!A:L,12,FALSE)</f>
        <v>846</v>
      </c>
      <c r="E394" s="3">
        <f>VLOOKUP(A394,Raw_Data!A:L,11,FALSE)</f>
        <v>18</v>
      </c>
      <c r="F394" t="str">
        <f>TEXT(VLOOKUP(A394,Raw_Data!A:L,5,FALSE),"mmm")</f>
        <v>Sep</v>
      </c>
    </row>
    <row r="395" spans="1:6" x14ac:dyDescent="0.35">
      <c r="A395" s="3" t="s">
        <v>759</v>
      </c>
      <c r="B395" t="str">
        <f>VLOOKUP(A395,Raw_Data!A:L,6,FALSE)</f>
        <v>Ceiling fan</v>
      </c>
      <c r="C395" t="str">
        <f>VLOOKUP(A395,Raw_Data!A:L,3,FALSE)</f>
        <v>Colombia</v>
      </c>
      <c r="D395" s="3">
        <f>VLOOKUP(A395,Raw_Data!A:L,12,FALSE)</f>
        <v>6768</v>
      </c>
      <c r="E395" s="3">
        <f>VLOOKUP(A395,Raw_Data!A:L,11,FALSE)</f>
        <v>47</v>
      </c>
      <c r="F395" t="str">
        <f>TEXT(VLOOKUP(A395,Raw_Data!A:L,5,FALSE),"mmm")</f>
        <v>Aug</v>
      </c>
    </row>
    <row r="396" spans="1:6" x14ac:dyDescent="0.35">
      <c r="A396" s="3" t="s">
        <v>761</v>
      </c>
      <c r="B396" t="str">
        <f>VLOOKUP(A396,Raw_Data!A:L,6,FALSE)</f>
        <v>Vacuum Cleaner</v>
      </c>
      <c r="C396" t="str">
        <f>VLOOKUP(A396,Raw_Data!A:L,3,FALSE)</f>
        <v>Netherlands</v>
      </c>
      <c r="D396" s="3">
        <f>VLOOKUP(A396,Raw_Data!A:L,12,FALSE)</f>
        <v>16598</v>
      </c>
      <c r="E396" s="3">
        <f>VLOOKUP(A396,Raw_Data!A:L,11,FALSE)</f>
        <v>86</v>
      </c>
      <c r="F396" t="str">
        <f>TEXT(VLOOKUP(A396,Raw_Data!A:L,5,FALSE),"mmm")</f>
        <v>Aug</v>
      </c>
    </row>
    <row r="397" spans="1:6" x14ac:dyDescent="0.35">
      <c r="A397" s="3" t="s">
        <v>762</v>
      </c>
      <c r="B397" t="str">
        <f>VLOOKUP(A397,Raw_Data!A:L,6,FALSE)</f>
        <v>Washing Machine</v>
      </c>
      <c r="C397" t="str">
        <f>VLOOKUP(A397,Raw_Data!A:L,3,FALSE)</f>
        <v>Vietnam</v>
      </c>
      <c r="D397" s="3">
        <f>VLOOKUP(A397,Raw_Data!A:L,12,FALSE)</f>
        <v>44000</v>
      </c>
      <c r="E397" s="3">
        <f>VLOOKUP(A397,Raw_Data!A:L,11,FALSE)</f>
        <v>55</v>
      </c>
      <c r="F397" t="str">
        <f>TEXT(VLOOKUP(A397,Raw_Data!A:L,5,FALSE),"mmm")</f>
        <v>Jan</v>
      </c>
    </row>
    <row r="398" spans="1:6" x14ac:dyDescent="0.35">
      <c r="A398" s="3" t="s">
        <v>764</v>
      </c>
      <c r="B398" t="str">
        <f>VLOOKUP(A398,Raw_Data!A:L,6,FALSE)</f>
        <v>Air conditioner</v>
      </c>
      <c r="C398" t="str">
        <f>VLOOKUP(A398,Raw_Data!A:L,3,FALSE)</f>
        <v>Chile</v>
      </c>
      <c r="D398" s="3">
        <f>VLOOKUP(A398,Raw_Data!A:L,12,FALSE)</f>
        <v>21168</v>
      </c>
      <c r="E398" s="3">
        <f>VLOOKUP(A398,Raw_Data!A:L,11,FALSE)</f>
        <v>48</v>
      </c>
      <c r="F398" t="str">
        <f>TEXT(VLOOKUP(A398,Raw_Data!A:L,5,FALSE),"mmm")</f>
        <v>Nov</v>
      </c>
    </row>
    <row r="399" spans="1:6" x14ac:dyDescent="0.35">
      <c r="A399" s="3" t="s">
        <v>766</v>
      </c>
      <c r="B399" t="str">
        <f>VLOOKUP(A399,Raw_Data!A:L,6,FALSE)</f>
        <v>Coffee grinder</v>
      </c>
      <c r="C399" t="str">
        <f>VLOOKUP(A399,Raw_Data!A:L,3,FALSE)</f>
        <v>Italy</v>
      </c>
      <c r="D399" s="3">
        <f>VLOOKUP(A399,Raw_Data!A:L,12,FALSE)</f>
        <v>5640</v>
      </c>
      <c r="E399" s="3">
        <f>VLOOKUP(A399,Raw_Data!A:L,11,FALSE)</f>
        <v>94</v>
      </c>
      <c r="F399" t="str">
        <f>TEXT(VLOOKUP(A399,Raw_Data!A:L,5,FALSE),"mmm")</f>
        <v>Jul</v>
      </c>
    </row>
    <row r="400" spans="1:6" x14ac:dyDescent="0.35">
      <c r="A400" s="3" t="s">
        <v>767</v>
      </c>
      <c r="B400" t="str">
        <f>VLOOKUP(A400,Raw_Data!A:L,6,FALSE)</f>
        <v>Dishwasher</v>
      </c>
      <c r="C400" t="str">
        <f>VLOOKUP(A400,Raw_Data!A:L,3,FALSE)</f>
        <v>China</v>
      </c>
      <c r="D400" s="3">
        <f>VLOOKUP(A400,Raw_Data!A:L,12,FALSE)</f>
        <v>35145</v>
      </c>
      <c r="E400" s="3">
        <f>VLOOKUP(A400,Raw_Data!A:L,11,FALSE)</f>
        <v>71</v>
      </c>
      <c r="F400" t="str">
        <f>TEXT(VLOOKUP(A400,Raw_Data!A:L,5,FALSE),"mmm")</f>
        <v>Aug</v>
      </c>
    </row>
    <row r="401" spans="1:6" x14ac:dyDescent="0.35">
      <c r="A401" s="3" t="s">
        <v>768</v>
      </c>
      <c r="B401" t="str">
        <f>VLOOKUP(A401,Raw_Data!A:L,6,FALSE)</f>
        <v>Iron</v>
      </c>
      <c r="C401" t="str">
        <f>VLOOKUP(A401,Raw_Data!A:L,3,FALSE)</f>
        <v>Ireland</v>
      </c>
      <c r="D401" s="3">
        <f>VLOOKUP(A401,Raw_Data!A:L,12,FALSE)</f>
        <v>2233</v>
      </c>
      <c r="E401" s="3">
        <f>VLOOKUP(A401,Raw_Data!A:L,11,FALSE)</f>
        <v>77</v>
      </c>
      <c r="F401" t="str">
        <f>TEXT(VLOOKUP(A401,Raw_Data!A:L,5,FALSE),"mmm")</f>
        <v>Aug</v>
      </c>
    </row>
    <row r="402" spans="1:6" x14ac:dyDescent="0.35">
      <c r="A402" s="3" t="s">
        <v>769</v>
      </c>
      <c r="B402" t="str">
        <f>VLOOKUP(A402,Raw_Data!A:L,6,FALSE)</f>
        <v>Iron</v>
      </c>
      <c r="C402" t="str">
        <f>VLOOKUP(A402,Raw_Data!A:L,3,FALSE)</f>
        <v>Czech Republic</v>
      </c>
      <c r="D402" s="3">
        <f>VLOOKUP(A402,Raw_Data!A:L,12,FALSE)</f>
        <v>2726</v>
      </c>
      <c r="E402" s="3">
        <f>VLOOKUP(A402,Raw_Data!A:L,11,FALSE)</f>
        <v>94</v>
      </c>
      <c r="F402" t="str">
        <f>TEXT(VLOOKUP(A402,Raw_Data!A:L,5,FALSE),"mmm")</f>
        <v>Sep</v>
      </c>
    </row>
    <row r="403" spans="1:6" x14ac:dyDescent="0.35">
      <c r="A403" s="3" t="s">
        <v>771</v>
      </c>
      <c r="B403" t="str">
        <f>VLOOKUP(A403,Raw_Data!A:L,6,FALSE)</f>
        <v>Oven</v>
      </c>
      <c r="C403" t="str">
        <f>VLOOKUP(A403,Raw_Data!A:L,3,FALSE)</f>
        <v>Italy</v>
      </c>
      <c r="D403" s="3">
        <f>VLOOKUP(A403,Raw_Data!A:L,12,FALSE)</f>
        <v>27500</v>
      </c>
      <c r="E403" s="3">
        <f>VLOOKUP(A403,Raw_Data!A:L,11,FALSE)</f>
        <v>55</v>
      </c>
      <c r="F403" t="str">
        <f>TEXT(VLOOKUP(A403,Raw_Data!A:L,5,FALSE),"mmm")</f>
        <v>Apr</v>
      </c>
    </row>
    <row r="404" spans="1:6" x14ac:dyDescent="0.35">
      <c r="A404" s="3" t="s">
        <v>773</v>
      </c>
      <c r="B404" t="str">
        <f>VLOOKUP(A404,Raw_Data!A:L,6,FALSE)</f>
        <v>Refrigerator</v>
      </c>
      <c r="C404" t="str">
        <f>VLOOKUP(A404,Raw_Data!A:L,3,FALSE)</f>
        <v>Netherlands</v>
      </c>
      <c r="D404" s="3">
        <f>VLOOKUP(A404,Raw_Data!A:L,12,FALSE)</f>
        <v>30600</v>
      </c>
      <c r="E404" s="3">
        <f>VLOOKUP(A404,Raw_Data!A:L,11,FALSE)</f>
        <v>60</v>
      </c>
      <c r="F404" t="str">
        <f>TEXT(VLOOKUP(A404,Raw_Data!A:L,5,FALSE),"mmm")</f>
        <v>Jan</v>
      </c>
    </row>
    <row r="405" spans="1:6" x14ac:dyDescent="0.35">
      <c r="A405" s="3" t="s">
        <v>774</v>
      </c>
      <c r="B405" t="str">
        <f>VLOOKUP(A405,Raw_Data!A:L,6,FALSE)</f>
        <v>Washing Machine</v>
      </c>
      <c r="C405" t="str">
        <f>VLOOKUP(A405,Raw_Data!A:L,3,FALSE)</f>
        <v>Mexico</v>
      </c>
      <c r="D405" s="3">
        <f>VLOOKUP(A405,Raw_Data!A:L,12,FALSE)</f>
        <v>15616</v>
      </c>
      <c r="E405" s="3">
        <f>VLOOKUP(A405,Raw_Data!A:L,11,FALSE)</f>
        <v>32</v>
      </c>
      <c r="F405" t="str">
        <f>TEXT(VLOOKUP(A405,Raw_Data!A:L,5,FALSE),"mmm")</f>
        <v>May</v>
      </c>
    </row>
    <row r="406" spans="1:6" x14ac:dyDescent="0.35">
      <c r="A406" s="3" t="s">
        <v>776</v>
      </c>
      <c r="B406" t="str">
        <f>VLOOKUP(A406,Raw_Data!A:L,6,FALSE)</f>
        <v>Toaster</v>
      </c>
      <c r="C406" t="str">
        <f>VLOOKUP(A406,Raw_Data!A:L,3,FALSE)</f>
        <v>Canada</v>
      </c>
      <c r="D406" s="3">
        <f>VLOOKUP(A406,Raw_Data!A:L,12,FALSE)</f>
        <v>2401</v>
      </c>
      <c r="E406" s="3">
        <f>VLOOKUP(A406,Raw_Data!A:L,11,FALSE)</f>
        <v>49</v>
      </c>
      <c r="F406" t="str">
        <f>TEXT(VLOOKUP(A406,Raw_Data!A:L,5,FALSE),"mmm")</f>
        <v>Dec</v>
      </c>
    </row>
    <row r="407" spans="1:6" x14ac:dyDescent="0.35">
      <c r="A407" s="3" t="s">
        <v>778</v>
      </c>
      <c r="B407" t="str">
        <f>VLOOKUP(A407,Raw_Data!A:L,6,FALSE)</f>
        <v>Microwave</v>
      </c>
      <c r="C407" t="str">
        <f>VLOOKUP(A407,Raw_Data!A:L,3,FALSE)</f>
        <v>Austria</v>
      </c>
      <c r="D407" s="3">
        <f>VLOOKUP(A407,Raw_Data!A:L,12,FALSE)</f>
        <v>4602</v>
      </c>
      <c r="E407" s="3">
        <f>VLOOKUP(A407,Raw_Data!A:L,11,FALSE)</f>
        <v>59</v>
      </c>
      <c r="F407" t="str">
        <f>TEXT(VLOOKUP(A407,Raw_Data!A:L,5,FALSE),"mmm")</f>
        <v>Jun</v>
      </c>
    </row>
    <row r="408" spans="1:6" x14ac:dyDescent="0.35">
      <c r="A408" s="3" t="s">
        <v>779</v>
      </c>
      <c r="B408" t="str">
        <f>VLOOKUP(A408,Raw_Data!A:L,6,FALSE)</f>
        <v>Blender</v>
      </c>
      <c r="C408" t="str">
        <f>VLOOKUP(A408,Raw_Data!A:L,3,FALSE)</f>
        <v>Spain</v>
      </c>
      <c r="D408" s="3">
        <f>VLOOKUP(A408,Raw_Data!A:L,12,FALSE)</f>
        <v>672</v>
      </c>
      <c r="E408" s="3">
        <f>VLOOKUP(A408,Raw_Data!A:L,11,FALSE)</f>
        <v>14</v>
      </c>
      <c r="F408" t="str">
        <f>TEXT(VLOOKUP(A408,Raw_Data!A:L,5,FALSE),"mmm")</f>
        <v>Aug</v>
      </c>
    </row>
    <row r="409" spans="1:6" x14ac:dyDescent="0.35">
      <c r="A409" s="3" t="s">
        <v>781</v>
      </c>
      <c r="B409" t="str">
        <f>VLOOKUP(A409,Raw_Data!A:L,6,FALSE)</f>
        <v>Blender</v>
      </c>
      <c r="C409" t="str">
        <f>VLOOKUP(A409,Raw_Data!A:L,3,FALSE)</f>
        <v>Saudi Arabia</v>
      </c>
      <c r="D409" s="3">
        <f>VLOOKUP(A409,Raw_Data!A:L,12,FALSE)</f>
        <v>2350</v>
      </c>
      <c r="E409" s="3">
        <f>VLOOKUP(A409,Raw_Data!A:L,11,FALSE)</f>
        <v>47</v>
      </c>
      <c r="F409" t="str">
        <f>TEXT(VLOOKUP(A409,Raw_Data!A:L,5,FALSE),"mmm")</f>
        <v>Mar</v>
      </c>
    </row>
    <row r="410" spans="1:6" x14ac:dyDescent="0.35">
      <c r="A410" s="3" t="s">
        <v>783</v>
      </c>
      <c r="B410" t="str">
        <f>VLOOKUP(A410,Raw_Data!A:L,6,FALSE)</f>
        <v>Vacuum Cleaner</v>
      </c>
      <c r="C410" t="str">
        <f>VLOOKUP(A410,Raw_Data!A:L,3,FALSE)</f>
        <v>Thailand</v>
      </c>
      <c r="D410" s="3">
        <f>VLOOKUP(A410,Raw_Data!A:L,12,FALSE)</f>
        <v>20000</v>
      </c>
      <c r="E410" s="3">
        <f>VLOOKUP(A410,Raw_Data!A:L,11,FALSE)</f>
        <v>80</v>
      </c>
      <c r="F410" t="str">
        <f>TEXT(VLOOKUP(A410,Raw_Data!A:L,5,FALSE),"mmm")</f>
        <v>Oct</v>
      </c>
    </row>
    <row r="411" spans="1:6" x14ac:dyDescent="0.35">
      <c r="A411" s="3" t="s">
        <v>785</v>
      </c>
      <c r="B411" t="str">
        <f>VLOOKUP(A411,Raw_Data!A:L,6,FALSE)</f>
        <v>Coffee grinder</v>
      </c>
      <c r="C411" t="str">
        <f>VLOOKUP(A411,Raw_Data!A:L,3,FALSE)</f>
        <v>Greece</v>
      </c>
      <c r="D411" s="3">
        <f>VLOOKUP(A411,Raw_Data!A:L,12,FALSE)</f>
        <v>6164</v>
      </c>
      <c r="E411" s="3">
        <f>VLOOKUP(A411,Raw_Data!A:L,11,FALSE)</f>
        <v>92</v>
      </c>
      <c r="F411" t="str">
        <f>TEXT(VLOOKUP(A411,Raw_Data!A:L,5,FALSE),"mmm")</f>
        <v>Jul</v>
      </c>
    </row>
    <row r="412" spans="1:6" x14ac:dyDescent="0.35">
      <c r="A412" s="3" t="s">
        <v>786</v>
      </c>
      <c r="B412" t="str">
        <f>VLOOKUP(A412,Raw_Data!A:L,6,FALSE)</f>
        <v>Air conditioner</v>
      </c>
      <c r="C412" t="str">
        <f>VLOOKUP(A412,Raw_Data!A:L,3,FALSE)</f>
        <v>Australia</v>
      </c>
      <c r="D412" s="3">
        <f>VLOOKUP(A412,Raw_Data!A:L,12,FALSE)</f>
        <v>36729</v>
      </c>
      <c r="E412" s="3">
        <f>VLOOKUP(A412,Raw_Data!A:L,11,FALSE)</f>
        <v>53</v>
      </c>
      <c r="F412" t="str">
        <f>TEXT(VLOOKUP(A412,Raw_Data!A:L,5,FALSE),"mmm")</f>
        <v>Jun</v>
      </c>
    </row>
    <row r="413" spans="1:6" x14ac:dyDescent="0.35">
      <c r="A413" s="3" t="s">
        <v>787</v>
      </c>
      <c r="B413" t="str">
        <f>VLOOKUP(A413,Raw_Data!A:L,6,FALSE)</f>
        <v>Iron</v>
      </c>
      <c r="C413" t="str">
        <f>VLOOKUP(A413,Raw_Data!A:L,3,FALSE)</f>
        <v>China</v>
      </c>
      <c r="D413" s="3">
        <f>VLOOKUP(A413,Raw_Data!A:L,12,FALSE)</f>
        <v>918</v>
      </c>
      <c r="E413" s="3">
        <f>VLOOKUP(A413,Raw_Data!A:L,11,FALSE)</f>
        <v>34</v>
      </c>
      <c r="F413" t="str">
        <f>TEXT(VLOOKUP(A413,Raw_Data!A:L,5,FALSE),"mmm")</f>
        <v>Jul</v>
      </c>
    </row>
    <row r="414" spans="1:6" x14ac:dyDescent="0.35">
      <c r="A414" s="3" t="s">
        <v>788</v>
      </c>
      <c r="B414" t="str">
        <f>VLOOKUP(A414,Raw_Data!A:L,6,FALSE)</f>
        <v>Toaster</v>
      </c>
      <c r="C414" t="str">
        <f>VLOOKUP(A414,Raw_Data!A:L,3,FALSE)</f>
        <v>Netherlands</v>
      </c>
      <c r="D414" s="3">
        <f>VLOOKUP(A414,Raw_Data!A:L,12,FALSE)</f>
        <v>1715</v>
      </c>
      <c r="E414" s="3">
        <f>VLOOKUP(A414,Raw_Data!A:L,11,FALSE)</f>
        <v>35</v>
      </c>
      <c r="F414" t="str">
        <f>TEXT(VLOOKUP(A414,Raw_Data!A:L,5,FALSE),"mmm")</f>
        <v>Mar</v>
      </c>
    </row>
    <row r="415" spans="1:6" x14ac:dyDescent="0.35">
      <c r="A415" s="3" t="s">
        <v>790</v>
      </c>
      <c r="B415" t="str">
        <f>VLOOKUP(A415,Raw_Data!A:L,6,FALSE)</f>
        <v>Washing Machine</v>
      </c>
      <c r="C415" t="str">
        <f>VLOOKUP(A415,Raw_Data!A:L,3,FALSE)</f>
        <v>Turkey</v>
      </c>
      <c r="D415" s="3">
        <f>VLOOKUP(A415,Raw_Data!A:L,12,FALSE)</f>
        <v>59096</v>
      </c>
      <c r="E415" s="3">
        <f>VLOOKUP(A415,Raw_Data!A:L,11,FALSE)</f>
        <v>89</v>
      </c>
      <c r="F415" t="str">
        <f>TEXT(VLOOKUP(A415,Raw_Data!A:L,5,FALSE),"mmm")</f>
        <v>Jun</v>
      </c>
    </row>
    <row r="416" spans="1:6" x14ac:dyDescent="0.35">
      <c r="A416" s="3" t="s">
        <v>791</v>
      </c>
      <c r="B416" t="str">
        <f>VLOOKUP(A416,Raw_Data!A:L,6,FALSE)</f>
        <v>Washing Machine</v>
      </c>
      <c r="C416" t="str">
        <f>VLOOKUP(A416,Raw_Data!A:L,3,FALSE)</f>
        <v>Ireland</v>
      </c>
      <c r="D416" s="3">
        <f>VLOOKUP(A416,Raw_Data!A:L,12,FALSE)</f>
        <v>24624</v>
      </c>
      <c r="E416" s="3">
        <f>VLOOKUP(A416,Raw_Data!A:L,11,FALSE)</f>
        <v>38</v>
      </c>
      <c r="F416" t="str">
        <f>TEXT(VLOOKUP(A416,Raw_Data!A:L,5,FALSE),"mmm")</f>
        <v>Apr</v>
      </c>
    </row>
    <row r="417" spans="1:6" x14ac:dyDescent="0.35">
      <c r="A417" s="3" t="s">
        <v>793</v>
      </c>
      <c r="B417" t="str">
        <f>VLOOKUP(A417,Raw_Data!A:L,6,FALSE)</f>
        <v>Iron</v>
      </c>
      <c r="C417" t="str">
        <f>VLOOKUP(A417,Raw_Data!A:L,3,FALSE)</f>
        <v>USA</v>
      </c>
      <c r="D417" s="3">
        <f>VLOOKUP(A417,Raw_Data!A:L,12,FALSE)</f>
        <v>2842</v>
      </c>
      <c r="E417" s="3">
        <f>VLOOKUP(A417,Raw_Data!A:L,11,FALSE)</f>
        <v>98</v>
      </c>
      <c r="F417" t="str">
        <f>TEXT(VLOOKUP(A417,Raw_Data!A:L,5,FALSE),"mmm")</f>
        <v>Oct</v>
      </c>
    </row>
    <row r="418" spans="1:6" x14ac:dyDescent="0.35">
      <c r="A418" s="3" t="s">
        <v>795</v>
      </c>
      <c r="B418" t="str">
        <f>VLOOKUP(A418,Raw_Data!A:L,6,FALSE)</f>
        <v>Dishwasher</v>
      </c>
      <c r="C418" t="str">
        <f>VLOOKUP(A418,Raw_Data!A:L,3,FALSE)</f>
        <v>UK</v>
      </c>
      <c r="D418" s="3">
        <f>VLOOKUP(A418,Raw_Data!A:L,12,FALSE)</f>
        <v>1900</v>
      </c>
      <c r="E418" s="3">
        <f>VLOOKUP(A418,Raw_Data!A:L,11,FALSE)</f>
        <v>4</v>
      </c>
      <c r="F418" t="str">
        <f>TEXT(VLOOKUP(A418,Raw_Data!A:L,5,FALSE),"mmm")</f>
        <v>Nov</v>
      </c>
    </row>
    <row r="419" spans="1:6" x14ac:dyDescent="0.35">
      <c r="A419" s="3" t="s">
        <v>797</v>
      </c>
      <c r="B419" t="str">
        <f>VLOOKUP(A419,Raw_Data!A:L,6,FALSE)</f>
        <v>Oven</v>
      </c>
      <c r="C419" t="str">
        <f>VLOOKUP(A419,Raw_Data!A:L,3,FALSE)</f>
        <v>Ireland</v>
      </c>
      <c r="D419" s="3">
        <f>VLOOKUP(A419,Raw_Data!A:L,12,FALSE)</f>
        <v>22275</v>
      </c>
      <c r="E419" s="3">
        <f>VLOOKUP(A419,Raw_Data!A:L,11,FALSE)</f>
        <v>45</v>
      </c>
      <c r="F419" t="str">
        <f>TEXT(VLOOKUP(A419,Raw_Data!A:L,5,FALSE),"mmm")</f>
        <v>Feb</v>
      </c>
    </row>
    <row r="420" spans="1:6" x14ac:dyDescent="0.35">
      <c r="A420" s="3" t="s">
        <v>799</v>
      </c>
      <c r="B420" t="str">
        <f>VLOOKUP(A420,Raw_Data!A:L,6,FALSE)</f>
        <v>Refrigerator</v>
      </c>
      <c r="C420" t="str">
        <f>VLOOKUP(A420,Raw_Data!A:L,3,FALSE)</f>
        <v>Russia</v>
      </c>
      <c r="D420" s="3">
        <f>VLOOKUP(A420,Raw_Data!A:L,12,FALSE)</f>
        <v>57420</v>
      </c>
      <c r="E420" s="3">
        <f>VLOOKUP(A420,Raw_Data!A:L,11,FALSE)</f>
        <v>99</v>
      </c>
      <c r="F420" t="str">
        <f>TEXT(VLOOKUP(A420,Raw_Data!A:L,5,FALSE),"mmm")</f>
        <v>Dec</v>
      </c>
    </row>
    <row r="421" spans="1:6" x14ac:dyDescent="0.35">
      <c r="A421" s="3" t="s">
        <v>800</v>
      </c>
      <c r="B421" t="str">
        <f>VLOOKUP(A421,Raw_Data!A:L,6,FALSE)</f>
        <v>Blender</v>
      </c>
      <c r="C421" t="str">
        <f>VLOOKUP(A421,Raw_Data!A:L,3,FALSE)</f>
        <v>Austria</v>
      </c>
      <c r="D421" s="3">
        <f>VLOOKUP(A421,Raw_Data!A:L,12,FALSE)</f>
        <v>564</v>
      </c>
      <c r="E421" s="3">
        <f>VLOOKUP(A421,Raw_Data!A:L,11,FALSE)</f>
        <v>12</v>
      </c>
      <c r="F421" t="str">
        <f>TEXT(VLOOKUP(A421,Raw_Data!A:L,5,FALSE),"mmm")</f>
        <v>Nov</v>
      </c>
    </row>
    <row r="422" spans="1:6" x14ac:dyDescent="0.35">
      <c r="A422" s="3" t="s">
        <v>802</v>
      </c>
      <c r="B422" t="str">
        <f>VLOOKUP(A422,Raw_Data!A:L,6,FALSE)</f>
        <v>Coffee grinder</v>
      </c>
      <c r="C422" t="str">
        <f>VLOOKUP(A422,Raw_Data!A:L,3,FALSE)</f>
        <v>Egypt</v>
      </c>
      <c r="D422" s="3">
        <f>VLOOKUP(A422,Raw_Data!A:L,12,FALSE)</f>
        <v>2832</v>
      </c>
      <c r="E422" s="3">
        <f>VLOOKUP(A422,Raw_Data!A:L,11,FALSE)</f>
        <v>59</v>
      </c>
      <c r="F422" t="str">
        <f>TEXT(VLOOKUP(A422,Raw_Data!A:L,5,FALSE),"mmm")</f>
        <v>May</v>
      </c>
    </row>
    <row r="423" spans="1:6" x14ac:dyDescent="0.35">
      <c r="A423" s="3" t="s">
        <v>804</v>
      </c>
      <c r="B423" t="str">
        <f>VLOOKUP(A423,Raw_Data!A:L,6,FALSE)</f>
        <v>Refrigerator</v>
      </c>
      <c r="C423" t="str">
        <f>VLOOKUP(A423,Raw_Data!A:L,3,FALSE)</f>
        <v>Ireland</v>
      </c>
      <c r="D423" s="3">
        <f>VLOOKUP(A423,Raw_Data!A:L,12,FALSE)</f>
        <v>23250</v>
      </c>
      <c r="E423" s="3">
        <f>VLOOKUP(A423,Raw_Data!A:L,11,FALSE)</f>
        <v>31</v>
      </c>
      <c r="F423" t="str">
        <f>TEXT(VLOOKUP(A423,Raw_Data!A:L,5,FALSE),"mmm")</f>
        <v>Apr</v>
      </c>
    </row>
    <row r="424" spans="1:6" x14ac:dyDescent="0.35">
      <c r="A424" s="3" t="s">
        <v>805</v>
      </c>
      <c r="B424" t="str">
        <f>VLOOKUP(A424,Raw_Data!A:L,6,FALSE)</f>
        <v>Iron</v>
      </c>
      <c r="C424" t="str">
        <f>VLOOKUP(A424,Raw_Data!A:L,3,FALSE)</f>
        <v>Austria</v>
      </c>
      <c r="D424" s="3">
        <f>VLOOKUP(A424,Raw_Data!A:L,12,FALSE)</f>
        <v>575</v>
      </c>
      <c r="E424" s="3">
        <f>VLOOKUP(A424,Raw_Data!A:L,11,FALSE)</f>
        <v>23</v>
      </c>
      <c r="F424" t="str">
        <f>TEXT(VLOOKUP(A424,Raw_Data!A:L,5,FALSE),"mmm")</f>
        <v>May</v>
      </c>
    </row>
    <row r="425" spans="1:6" x14ac:dyDescent="0.35">
      <c r="A425" s="3" t="s">
        <v>807</v>
      </c>
      <c r="B425" t="str">
        <f>VLOOKUP(A425,Raw_Data!A:L,6,FALSE)</f>
        <v>Iron</v>
      </c>
      <c r="C425" t="str">
        <f>VLOOKUP(A425,Raw_Data!A:L,3,FALSE)</f>
        <v>Japan</v>
      </c>
      <c r="D425" s="3">
        <f>VLOOKUP(A425,Raw_Data!A:L,12,FALSE)</f>
        <v>1242</v>
      </c>
      <c r="E425" s="3">
        <f>VLOOKUP(A425,Raw_Data!A:L,11,FALSE)</f>
        <v>46</v>
      </c>
      <c r="F425" t="str">
        <f>TEXT(VLOOKUP(A425,Raw_Data!A:L,5,FALSE),"mmm")</f>
        <v>Sep</v>
      </c>
    </row>
    <row r="426" spans="1:6" x14ac:dyDescent="0.35">
      <c r="A426" s="3" t="s">
        <v>809</v>
      </c>
      <c r="B426" t="str">
        <f>VLOOKUP(A426,Raw_Data!A:L,6,FALSE)</f>
        <v>Oven</v>
      </c>
      <c r="C426" t="str">
        <f>VLOOKUP(A426,Raw_Data!A:L,3,FALSE)</f>
        <v>Malaysia</v>
      </c>
      <c r="D426" s="3">
        <f>VLOOKUP(A426,Raw_Data!A:L,12,FALSE)</f>
        <v>36750</v>
      </c>
      <c r="E426" s="3">
        <f>VLOOKUP(A426,Raw_Data!A:L,11,FALSE)</f>
        <v>75</v>
      </c>
      <c r="F426" t="str">
        <f>TEXT(VLOOKUP(A426,Raw_Data!A:L,5,FALSE),"mmm")</f>
        <v>Dec</v>
      </c>
    </row>
    <row r="427" spans="1:6" x14ac:dyDescent="0.35">
      <c r="A427" s="3" t="s">
        <v>811</v>
      </c>
      <c r="B427" t="str">
        <f>VLOOKUP(A427,Raw_Data!A:L,6,FALSE)</f>
        <v>Oven</v>
      </c>
      <c r="C427" t="str">
        <f>VLOOKUP(A427,Raw_Data!A:L,3,FALSE)</f>
        <v>USA</v>
      </c>
      <c r="D427" s="3">
        <f>VLOOKUP(A427,Raw_Data!A:L,12,FALSE)</f>
        <v>2500</v>
      </c>
      <c r="E427" s="3">
        <f>VLOOKUP(A427,Raw_Data!A:L,11,FALSE)</f>
        <v>5</v>
      </c>
      <c r="F427" t="str">
        <f>TEXT(VLOOKUP(A427,Raw_Data!A:L,5,FALSE),"mmm")</f>
        <v>Jan</v>
      </c>
    </row>
    <row r="428" spans="1:6" x14ac:dyDescent="0.35">
      <c r="A428" s="3" t="s">
        <v>812</v>
      </c>
      <c r="B428" t="str">
        <f>VLOOKUP(A428,Raw_Data!A:L,6,FALSE)</f>
        <v>Oven</v>
      </c>
      <c r="C428" t="str">
        <f>VLOOKUP(A428,Raw_Data!A:L,3,FALSE)</f>
        <v>Germany</v>
      </c>
      <c r="D428" s="3">
        <f>VLOOKUP(A428,Raw_Data!A:L,12,FALSE)</f>
        <v>27225</v>
      </c>
      <c r="E428" s="3">
        <f>VLOOKUP(A428,Raw_Data!A:L,11,FALSE)</f>
        <v>55</v>
      </c>
      <c r="F428" t="str">
        <f>TEXT(VLOOKUP(A428,Raw_Data!A:L,5,FALSE),"mmm")</f>
        <v>Jul</v>
      </c>
    </row>
    <row r="429" spans="1:6" x14ac:dyDescent="0.35">
      <c r="A429" s="3" t="s">
        <v>813</v>
      </c>
      <c r="B429" t="str">
        <f>VLOOKUP(A429,Raw_Data!A:L,6,FALSE)</f>
        <v>Ceiling fan</v>
      </c>
      <c r="C429" t="str">
        <f>VLOOKUP(A429,Raw_Data!A:L,3,FALSE)</f>
        <v>Chile</v>
      </c>
      <c r="D429" s="3">
        <f>VLOOKUP(A429,Raw_Data!A:L,12,FALSE)</f>
        <v>11543</v>
      </c>
      <c r="E429" s="3">
        <f>VLOOKUP(A429,Raw_Data!A:L,11,FALSE)</f>
        <v>97</v>
      </c>
      <c r="F429" t="str">
        <f>TEXT(VLOOKUP(A429,Raw_Data!A:L,5,FALSE),"mmm")</f>
        <v>May</v>
      </c>
    </row>
    <row r="430" spans="1:6" x14ac:dyDescent="0.35">
      <c r="A430" s="3" t="s">
        <v>814</v>
      </c>
      <c r="B430" t="str">
        <f>VLOOKUP(A430,Raw_Data!A:L,6,FALSE)</f>
        <v>Microwave</v>
      </c>
      <c r="C430" t="str">
        <f>VLOOKUP(A430,Raw_Data!A:L,3,FALSE)</f>
        <v>UK</v>
      </c>
      <c r="D430" s="3">
        <f>VLOOKUP(A430,Raw_Data!A:L,12,FALSE)</f>
        <v>4266</v>
      </c>
      <c r="E430" s="3">
        <f>VLOOKUP(A430,Raw_Data!A:L,11,FALSE)</f>
        <v>54</v>
      </c>
      <c r="F430" t="str">
        <f>TEXT(VLOOKUP(A430,Raw_Data!A:L,5,FALSE),"mmm")</f>
        <v>Feb</v>
      </c>
    </row>
    <row r="431" spans="1:6" x14ac:dyDescent="0.35">
      <c r="A431" s="3" t="s">
        <v>816</v>
      </c>
      <c r="B431" t="str">
        <f>VLOOKUP(A431,Raw_Data!A:L,6,FALSE)</f>
        <v>Ceiling fan</v>
      </c>
      <c r="C431" t="str">
        <f>VLOOKUP(A431,Raw_Data!A:L,3,FALSE)</f>
        <v>UAE</v>
      </c>
      <c r="D431" s="3">
        <f>VLOOKUP(A431,Raw_Data!A:L,12,FALSE)</f>
        <v>7326</v>
      </c>
      <c r="E431" s="3">
        <f>VLOOKUP(A431,Raw_Data!A:L,11,FALSE)</f>
        <v>74</v>
      </c>
      <c r="F431" t="str">
        <f>TEXT(VLOOKUP(A431,Raw_Data!A:L,5,FALSE),"mmm")</f>
        <v>Nov</v>
      </c>
    </row>
    <row r="432" spans="1:6" x14ac:dyDescent="0.35">
      <c r="A432" s="3" t="s">
        <v>817</v>
      </c>
      <c r="B432" t="str">
        <f>VLOOKUP(A432,Raw_Data!A:L,6,FALSE)</f>
        <v>Dishwasher</v>
      </c>
      <c r="C432" t="str">
        <f>VLOOKUP(A432,Raw_Data!A:L,3,FALSE)</f>
        <v>USA</v>
      </c>
      <c r="D432" s="3">
        <f>VLOOKUP(A432,Raw_Data!A:L,12,FALSE)</f>
        <v>15300</v>
      </c>
      <c r="E432" s="3">
        <f>VLOOKUP(A432,Raw_Data!A:L,11,FALSE)</f>
        <v>36</v>
      </c>
      <c r="F432" t="str">
        <f>TEXT(VLOOKUP(A432,Raw_Data!A:L,5,FALSE),"mmm")</f>
        <v>Feb</v>
      </c>
    </row>
    <row r="433" spans="1:6" x14ac:dyDescent="0.35">
      <c r="A433" s="3" t="s">
        <v>819</v>
      </c>
      <c r="B433" t="str">
        <f>VLOOKUP(A433,Raw_Data!A:L,6,FALSE)</f>
        <v>Refrigerator</v>
      </c>
      <c r="C433" t="str">
        <f>VLOOKUP(A433,Raw_Data!A:L,3,FALSE)</f>
        <v>Spain</v>
      </c>
      <c r="D433" s="3">
        <f>VLOOKUP(A433,Raw_Data!A:L,12,FALSE)</f>
        <v>4860</v>
      </c>
      <c r="E433" s="3">
        <f>VLOOKUP(A433,Raw_Data!A:L,11,FALSE)</f>
        <v>6</v>
      </c>
      <c r="F433" t="str">
        <f>TEXT(VLOOKUP(A433,Raw_Data!A:L,5,FALSE),"mmm")</f>
        <v>Mar</v>
      </c>
    </row>
    <row r="434" spans="1:6" x14ac:dyDescent="0.35">
      <c r="A434" s="3" t="s">
        <v>820</v>
      </c>
      <c r="B434" t="str">
        <f>VLOOKUP(A434,Raw_Data!A:L,6,FALSE)</f>
        <v>Vacuum Cleaner</v>
      </c>
      <c r="C434" t="str">
        <f>VLOOKUP(A434,Raw_Data!A:L,3,FALSE)</f>
        <v>Israel</v>
      </c>
      <c r="D434" s="3">
        <f>VLOOKUP(A434,Raw_Data!A:L,12,FALSE)</f>
        <v>22785</v>
      </c>
      <c r="E434" s="3">
        <f>VLOOKUP(A434,Raw_Data!A:L,11,FALSE)</f>
        <v>93</v>
      </c>
      <c r="F434" t="str">
        <f>TEXT(VLOOKUP(A434,Raw_Data!A:L,5,FALSE),"mmm")</f>
        <v>Jun</v>
      </c>
    </row>
    <row r="435" spans="1:6" x14ac:dyDescent="0.35">
      <c r="A435" s="3" t="s">
        <v>822</v>
      </c>
      <c r="B435" t="str">
        <f>VLOOKUP(A435,Raw_Data!A:L,6,FALSE)</f>
        <v>Blender</v>
      </c>
      <c r="C435" t="str">
        <f>VLOOKUP(A435,Raw_Data!A:L,3,FALSE)</f>
        <v>UK</v>
      </c>
      <c r="D435" s="3">
        <f>VLOOKUP(A435,Raw_Data!A:L,12,FALSE)</f>
        <v>500</v>
      </c>
      <c r="E435" s="3">
        <f>VLOOKUP(A435,Raw_Data!A:L,11,FALSE)</f>
        <v>10</v>
      </c>
      <c r="F435" t="str">
        <f>TEXT(VLOOKUP(A435,Raw_Data!A:L,5,FALSE),"mmm")</f>
        <v>Mar</v>
      </c>
    </row>
    <row r="436" spans="1:6" x14ac:dyDescent="0.35">
      <c r="A436" s="3" t="s">
        <v>824</v>
      </c>
      <c r="B436" t="str">
        <f>VLOOKUP(A436,Raw_Data!A:L,6,FALSE)</f>
        <v>Vacuum Cleaner</v>
      </c>
      <c r="C436" t="str">
        <f>VLOOKUP(A436,Raw_Data!A:L,3,FALSE)</f>
        <v>Italy</v>
      </c>
      <c r="D436" s="3">
        <f>VLOOKUP(A436,Raw_Data!A:L,12,FALSE)</f>
        <v>14100</v>
      </c>
      <c r="E436" s="3">
        <f>VLOOKUP(A436,Raw_Data!A:L,11,FALSE)</f>
        <v>60</v>
      </c>
      <c r="F436" t="str">
        <f>TEXT(VLOOKUP(A436,Raw_Data!A:L,5,FALSE),"mmm")</f>
        <v>Jun</v>
      </c>
    </row>
    <row r="437" spans="1:6" x14ac:dyDescent="0.35">
      <c r="A437" s="3" t="s">
        <v>826</v>
      </c>
      <c r="B437" t="str">
        <f>VLOOKUP(A437,Raw_Data!A:L,6,FALSE)</f>
        <v>Vacuum Cleaner</v>
      </c>
      <c r="C437" t="str">
        <f>VLOOKUP(A437,Raw_Data!A:L,3,FALSE)</f>
        <v>Israel</v>
      </c>
      <c r="D437" s="3">
        <f>VLOOKUP(A437,Raw_Data!A:L,12,FALSE)</f>
        <v>11520</v>
      </c>
      <c r="E437" s="3">
        <f>VLOOKUP(A437,Raw_Data!A:L,11,FALSE)</f>
        <v>48</v>
      </c>
      <c r="F437" t="str">
        <f>TEXT(VLOOKUP(A437,Raw_Data!A:L,5,FALSE),"mmm")</f>
        <v>Nov</v>
      </c>
    </row>
    <row r="438" spans="1:6" x14ac:dyDescent="0.35">
      <c r="A438" s="3" t="s">
        <v>828</v>
      </c>
      <c r="B438" t="str">
        <f>VLOOKUP(A438,Raw_Data!A:L,6,FALSE)</f>
        <v>Coffee grinder</v>
      </c>
      <c r="C438" t="str">
        <f>VLOOKUP(A438,Raw_Data!A:L,3,FALSE)</f>
        <v>Chile</v>
      </c>
      <c r="D438" s="3">
        <f>VLOOKUP(A438,Raw_Data!A:L,12,FALSE)</f>
        <v>690</v>
      </c>
      <c r="E438" s="3">
        <f>VLOOKUP(A438,Raw_Data!A:L,11,FALSE)</f>
        <v>10</v>
      </c>
      <c r="F438" t="str">
        <f>TEXT(VLOOKUP(A438,Raw_Data!A:L,5,FALSE),"mmm")</f>
        <v>Jul</v>
      </c>
    </row>
    <row r="439" spans="1:6" x14ac:dyDescent="0.35">
      <c r="A439" s="3" t="s">
        <v>830</v>
      </c>
      <c r="B439" t="str">
        <f>VLOOKUP(A439,Raw_Data!A:L,6,FALSE)</f>
        <v>Coffee grinder</v>
      </c>
      <c r="C439" t="str">
        <f>VLOOKUP(A439,Raw_Data!A:L,3,FALSE)</f>
        <v>France</v>
      </c>
      <c r="D439" s="3">
        <f>VLOOKUP(A439,Raw_Data!A:L,12,FALSE)</f>
        <v>2144</v>
      </c>
      <c r="E439" s="3">
        <f>VLOOKUP(A439,Raw_Data!A:L,11,FALSE)</f>
        <v>32</v>
      </c>
      <c r="F439" t="str">
        <f>TEXT(VLOOKUP(A439,Raw_Data!A:L,5,FALSE),"mmm")</f>
        <v>Aug</v>
      </c>
    </row>
    <row r="440" spans="1:6" x14ac:dyDescent="0.35">
      <c r="A440" s="3" t="s">
        <v>832</v>
      </c>
      <c r="B440" t="str">
        <f>VLOOKUP(A440,Raw_Data!A:L,6,FALSE)</f>
        <v>Toaster</v>
      </c>
      <c r="C440" t="str">
        <f>VLOOKUP(A440,Raw_Data!A:L,3,FALSE)</f>
        <v>Egypt</v>
      </c>
      <c r="D440" s="3">
        <f>VLOOKUP(A440,Raw_Data!A:L,12,FALSE)</f>
        <v>490</v>
      </c>
      <c r="E440" s="3">
        <f>VLOOKUP(A440,Raw_Data!A:L,11,FALSE)</f>
        <v>10</v>
      </c>
      <c r="F440" t="str">
        <f>TEXT(VLOOKUP(A440,Raw_Data!A:L,5,FALSE),"mmm")</f>
        <v>Feb</v>
      </c>
    </row>
    <row r="441" spans="1:6" x14ac:dyDescent="0.35">
      <c r="A441" s="3" t="s">
        <v>833</v>
      </c>
      <c r="B441" t="str">
        <f>VLOOKUP(A441,Raw_Data!A:L,6,FALSE)</f>
        <v>Ceiling fan</v>
      </c>
      <c r="C441" t="str">
        <f>VLOOKUP(A441,Raw_Data!A:L,3,FALSE)</f>
        <v>Greece</v>
      </c>
      <c r="D441" s="3">
        <f>VLOOKUP(A441,Raw_Data!A:L,12,FALSE)</f>
        <v>6860</v>
      </c>
      <c r="E441" s="3">
        <f>VLOOKUP(A441,Raw_Data!A:L,11,FALSE)</f>
        <v>70</v>
      </c>
      <c r="F441" t="str">
        <f>TEXT(VLOOKUP(A441,Raw_Data!A:L,5,FALSE),"mmm")</f>
        <v>Sep</v>
      </c>
    </row>
    <row r="442" spans="1:6" x14ac:dyDescent="0.35">
      <c r="A442" s="3" t="s">
        <v>834</v>
      </c>
      <c r="B442" t="str">
        <f>VLOOKUP(A442,Raw_Data!A:L,6,FALSE)</f>
        <v>Toaster</v>
      </c>
      <c r="C442" t="str">
        <f>VLOOKUP(A442,Raw_Data!A:L,3,FALSE)</f>
        <v>India</v>
      </c>
      <c r="D442" s="3">
        <f>VLOOKUP(A442,Raw_Data!A:L,12,FALSE)</f>
        <v>2200</v>
      </c>
      <c r="E442" s="3">
        <f>VLOOKUP(A442,Raw_Data!A:L,11,FALSE)</f>
        <v>44</v>
      </c>
      <c r="F442" t="str">
        <f>TEXT(VLOOKUP(A442,Raw_Data!A:L,5,FALSE),"mmm")</f>
        <v>Sep</v>
      </c>
    </row>
    <row r="443" spans="1:6" x14ac:dyDescent="0.35">
      <c r="A443" s="3" t="s">
        <v>835</v>
      </c>
      <c r="B443" t="str">
        <f>VLOOKUP(A443,Raw_Data!A:L,6,FALSE)</f>
        <v>Oven</v>
      </c>
      <c r="C443" t="str">
        <f>VLOOKUP(A443,Raw_Data!A:L,3,FALSE)</f>
        <v>Mexico</v>
      </c>
      <c r="D443" s="3">
        <f>VLOOKUP(A443,Raw_Data!A:L,12,FALSE)</f>
        <v>6930</v>
      </c>
      <c r="E443" s="3">
        <f>VLOOKUP(A443,Raw_Data!A:L,11,FALSE)</f>
        <v>14</v>
      </c>
      <c r="F443" t="str">
        <f>TEXT(VLOOKUP(A443,Raw_Data!A:L,5,FALSE),"mmm")</f>
        <v>Mar</v>
      </c>
    </row>
    <row r="444" spans="1:6" x14ac:dyDescent="0.35">
      <c r="A444" s="3" t="s">
        <v>836</v>
      </c>
      <c r="B444" t="str">
        <f>VLOOKUP(A444,Raw_Data!A:L,6,FALSE)</f>
        <v>Coffee grinder</v>
      </c>
      <c r="C444" t="str">
        <f>VLOOKUP(A444,Raw_Data!A:L,3,FALSE)</f>
        <v>Argentina</v>
      </c>
      <c r="D444" s="3">
        <f>VLOOKUP(A444,Raw_Data!A:L,12,FALSE)</f>
        <v>1026</v>
      </c>
      <c r="E444" s="3">
        <f>VLOOKUP(A444,Raw_Data!A:L,11,FALSE)</f>
        <v>19</v>
      </c>
      <c r="F444" t="str">
        <f>TEXT(VLOOKUP(A444,Raw_Data!A:L,5,FALSE),"mmm")</f>
        <v>Dec</v>
      </c>
    </row>
    <row r="445" spans="1:6" x14ac:dyDescent="0.35">
      <c r="A445" s="3" t="s">
        <v>838</v>
      </c>
      <c r="B445" t="str">
        <f>VLOOKUP(A445,Raw_Data!A:L,6,FALSE)</f>
        <v>Dishwasher</v>
      </c>
      <c r="C445" t="str">
        <f>VLOOKUP(A445,Raw_Data!A:L,3,FALSE)</f>
        <v>USA</v>
      </c>
      <c r="D445" s="3">
        <f>VLOOKUP(A445,Raw_Data!A:L,12,FALSE)</f>
        <v>8245</v>
      </c>
      <c r="E445" s="3">
        <f>VLOOKUP(A445,Raw_Data!A:L,11,FALSE)</f>
        <v>17</v>
      </c>
      <c r="F445" t="str">
        <f>TEXT(VLOOKUP(A445,Raw_Data!A:L,5,FALSE),"mmm")</f>
        <v>Sep</v>
      </c>
    </row>
    <row r="446" spans="1:6" x14ac:dyDescent="0.35">
      <c r="A446" s="3" t="s">
        <v>839</v>
      </c>
      <c r="B446" t="str">
        <f>VLOOKUP(A446,Raw_Data!A:L,6,FALSE)</f>
        <v>Microwave</v>
      </c>
      <c r="C446" t="str">
        <f>VLOOKUP(A446,Raw_Data!A:L,3,FALSE)</f>
        <v>USA</v>
      </c>
      <c r="D446" s="3">
        <f>VLOOKUP(A446,Raw_Data!A:L,12,FALSE)</f>
        <v>2886</v>
      </c>
      <c r="E446" s="3">
        <f>VLOOKUP(A446,Raw_Data!A:L,11,FALSE)</f>
        <v>37</v>
      </c>
      <c r="F446" t="str">
        <f>TEXT(VLOOKUP(A446,Raw_Data!A:L,5,FALSE),"mmm")</f>
        <v>Sep</v>
      </c>
    </row>
    <row r="447" spans="1:6" x14ac:dyDescent="0.35">
      <c r="A447" s="3" t="s">
        <v>840</v>
      </c>
      <c r="B447" t="str">
        <f>VLOOKUP(A447,Raw_Data!A:L,6,FALSE)</f>
        <v>Washing Machine</v>
      </c>
      <c r="C447" t="str">
        <f>VLOOKUP(A447,Raw_Data!A:L,3,FALSE)</f>
        <v>Mexico</v>
      </c>
      <c r="D447" s="3">
        <f>VLOOKUP(A447,Raw_Data!A:L,12,FALSE)</f>
        <v>66928</v>
      </c>
      <c r="E447" s="3">
        <f>VLOOKUP(A447,Raw_Data!A:L,11,FALSE)</f>
        <v>94</v>
      </c>
      <c r="F447" t="str">
        <f>TEXT(VLOOKUP(A447,Raw_Data!A:L,5,FALSE),"mmm")</f>
        <v>Aug</v>
      </c>
    </row>
    <row r="448" spans="1:6" x14ac:dyDescent="0.35">
      <c r="A448" s="3" t="s">
        <v>841</v>
      </c>
      <c r="B448" t="str">
        <f>VLOOKUP(A448,Raw_Data!A:L,6,FALSE)</f>
        <v>Ceiling fan</v>
      </c>
      <c r="C448" t="str">
        <f>VLOOKUP(A448,Raw_Data!A:L,3,FALSE)</f>
        <v>Saudi Arabia</v>
      </c>
      <c r="D448" s="3">
        <f>VLOOKUP(A448,Raw_Data!A:L,12,FALSE)</f>
        <v>465</v>
      </c>
      <c r="E448" s="3">
        <f>VLOOKUP(A448,Raw_Data!A:L,11,FALSE)</f>
        <v>5</v>
      </c>
      <c r="F448" t="str">
        <f>TEXT(VLOOKUP(A448,Raw_Data!A:L,5,FALSE),"mmm")</f>
        <v>Nov</v>
      </c>
    </row>
    <row r="449" spans="1:6" x14ac:dyDescent="0.35">
      <c r="A449" s="3" t="s">
        <v>843</v>
      </c>
      <c r="B449" t="str">
        <f>VLOOKUP(A449,Raw_Data!A:L,6,FALSE)</f>
        <v>Refrigerator</v>
      </c>
      <c r="C449" t="str">
        <f>VLOOKUP(A449,Raw_Data!A:L,3,FALSE)</f>
        <v>China</v>
      </c>
      <c r="D449" s="3">
        <f>VLOOKUP(A449,Raw_Data!A:L,12,FALSE)</f>
        <v>48990</v>
      </c>
      <c r="E449" s="3">
        <f>VLOOKUP(A449,Raw_Data!A:L,11,FALSE)</f>
        <v>69</v>
      </c>
      <c r="F449" t="str">
        <f>TEXT(VLOOKUP(A449,Raw_Data!A:L,5,FALSE),"mmm")</f>
        <v>Oct</v>
      </c>
    </row>
    <row r="450" spans="1:6" x14ac:dyDescent="0.35">
      <c r="A450" s="3" t="s">
        <v>844</v>
      </c>
      <c r="B450" t="str">
        <f>VLOOKUP(A450,Raw_Data!A:L,6,FALSE)</f>
        <v>Oven</v>
      </c>
      <c r="C450" t="str">
        <f>VLOOKUP(A450,Raw_Data!A:L,3,FALSE)</f>
        <v>China</v>
      </c>
      <c r="D450" s="3">
        <f>VLOOKUP(A450,Raw_Data!A:L,12,FALSE)</f>
        <v>25245</v>
      </c>
      <c r="E450" s="3">
        <f>VLOOKUP(A450,Raw_Data!A:L,11,FALSE)</f>
        <v>51</v>
      </c>
      <c r="F450" t="str">
        <f>TEXT(VLOOKUP(A450,Raw_Data!A:L,5,FALSE),"mmm")</f>
        <v>Aug</v>
      </c>
    </row>
    <row r="451" spans="1:6" x14ac:dyDescent="0.35">
      <c r="A451" s="3" t="s">
        <v>846</v>
      </c>
      <c r="B451" t="str">
        <f>VLOOKUP(A451,Raw_Data!A:L,6,FALSE)</f>
        <v>Oven</v>
      </c>
      <c r="C451" t="str">
        <f>VLOOKUP(A451,Raw_Data!A:L,3,FALSE)</f>
        <v>Mexico</v>
      </c>
      <c r="D451" s="3">
        <f>VLOOKUP(A451,Raw_Data!A:L,12,FALSE)</f>
        <v>47040</v>
      </c>
      <c r="E451" s="3">
        <f>VLOOKUP(A451,Raw_Data!A:L,11,FALSE)</f>
        <v>96</v>
      </c>
      <c r="F451" t="str">
        <f>TEXT(VLOOKUP(A451,Raw_Data!A:L,5,FALSE),"mmm")</f>
        <v>May</v>
      </c>
    </row>
    <row r="452" spans="1:6" x14ac:dyDescent="0.35">
      <c r="A452" s="3" t="s">
        <v>847</v>
      </c>
      <c r="B452" t="str">
        <f>VLOOKUP(A452,Raw_Data!A:L,6,FALSE)</f>
        <v>Coffee grinder</v>
      </c>
      <c r="C452" t="str">
        <f>VLOOKUP(A452,Raw_Data!A:L,3,FALSE)</f>
        <v>South Korea</v>
      </c>
      <c r="D452" s="3">
        <f>VLOOKUP(A452,Raw_Data!A:L,12,FALSE)</f>
        <v>3551</v>
      </c>
      <c r="E452" s="3">
        <f>VLOOKUP(A452,Raw_Data!A:L,11,FALSE)</f>
        <v>53</v>
      </c>
      <c r="F452" t="str">
        <f>TEXT(VLOOKUP(A452,Raw_Data!A:L,5,FALSE),"mmm")</f>
        <v>Mar</v>
      </c>
    </row>
    <row r="453" spans="1:6" x14ac:dyDescent="0.35">
      <c r="A453" s="3" t="s">
        <v>849</v>
      </c>
      <c r="B453" t="str">
        <f>VLOOKUP(A453,Raw_Data!A:L,6,FALSE)</f>
        <v>Vacuum Cleaner</v>
      </c>
      <c r="C453" t="str">
        <f>VLOOKUP(A453,Raw_Data!A:L,3,FALSE)</f>
        <v>Japan</v>
      </c>
      <c r="D453" s="3">
        <f>VLOOKUP(A453,Raw_Data!A:L,12,FALSE)</f>
        <v>3760</v>
      </c>
      <c r="E453" s="3">
        <f>VLOOKUP(A453,Raw_Data!A:L,11,FALSE)</f>
        <v>16</v>
      </c>
      <c r="F453" t="str">
        <f>TEXT(VLOOKUP(A453,Raw_Data!A:L,5,FALSE),"mmm")</f>
        <v>Oct</v>
      </c>
    </row>
    <row r="454" spans="1:6" x14ac:dyDescent="0.35">
      <c r="A454" s="3" t="s">
        <v>851</v>
      </c>
      <c r="B454" t="str">
        <f>VLOOKUP(A454,Raw_Data!A:L,6,FALSE)</f>
        <v>Washing Machine</v>
      </c>
      <c r="C454" t="str">
        <f>VLOOKUP(A454,Raw_Data!A:L,3,FALSE)</f>
        <v>Mexico</v>
      </c>
      <c r="D454" s="3">
        <f>VLOOKUP(A454,Raw_Data!A:L,12,FALSE)</f>
        <v>55480</v>
      </c>
      <c r="E454" s="3">
        <f>VLOOKUP(A454,Raw_Data!A:L,11,FALSE)</f>
        <v>95</v>
      </c>
      <c r="F454" t="str">
        <f>TEXT(VLOOKUP(A454,Raw_Data!A:L,5,FALSE),"mmm")</f>
        <v>Oct</v>
      </c>
    </row>
    <row r="455" spans="1:6" x14ac:dyDescent="0.35">
      <c r="A455" s="3" t="s">
        <v>852</v>
      </c>
      <c r="B455" t="str">
        <f>VLOOKUP(A455,Raw_Data!A:L,6,FALSE)</f>
        <v>Microwave</v>
      </c>
      <c r="C455" t="str">
        <f>VLOOKUP(A455,Raw_Data!A:L,3,FALSE)</f>
        <v>USA</v>
      </c>
      <c r="D455" s="3">
        <f>VLOOKUP(A455,Raw_Data!A:L,12,FALSE)</f>
        <v>4104</v>
      </c>
      <c r="E455" s="3">
        <f>VLOOKUP(A455,Raw_Data!A:L,11,FALSE)</f>
        <v>57</v>
      </c>
      <c r="F455" t="str">
        <f>TEXT(VLOOKUP(A455,Raw_Data!A:L,5,FALSE),"mmm")</f>
        <v>Jun</v>
      </c>
    </row>
    <row r="456" spans="1:6" x14ac:dyDescent="0.35">
      <c r="A456" s="3" t="s">
        <v>853</v>
      </c>
      <c r="B456" t="str">
        <f>VLOOKUP(A456,Raw_Data!A:L,6,FALSE)</f>
        <v>Refrigerator</v>
      </c>
      <c r="C456" t="str">
        <f>VLOOKUP(A456,Raw_Data!A:L,3,FALSE)</f>
        <v>Canada</v>
      </c>
      <c r="D456" s="3">
        <f>VLOOKUP(A456,Raw_Data!A:L,12,FALSE)</f>
        <v>24750</v>
      </c>
      <c r="E456" s="3">
        <f>VLOOKUP(A456,Raw_Data!A:L,11,FALSE)</f>
        <v>33</v>
      </c>
      <c r="F456" t="str">
        <f>TEXT(VLOOKUP(A456,Raw_Data!A:L,5,FALSE),"mmm")</f>
        <v>Feb</v>
      </c>
    </row>
    <row r="457" spans="1:6" x14ac:dyDescent="0.35">
      <c r="A457" s="3" t="s">
        <v>855</v>
      </c>
      <c r="B457" t="str">
        <f>VLOOKUP(A457,Raw_Data!A:L,6,FALSE)</f>
        <v>Washing Machine</v>
      </c>
      <c r="C457" t="str">
        <f>VLOOKUP(A457,Raw_Data!A:L,3,FALSE)</f>
        <v>USA</v>
      </c>
      <c r="D457" s="3">
        <f>VLOOKUP(A457,Raw_Data!A:L,12,FALSE)</f>
        <v>33408</v>
      </c>
      <c r="E457" s="3">
        <f>VLOOKUP(A457,Raw_Data!A:L,11,FALSE)</f>
        <v>48</v>
      </c>
      <c r="F457" t="str">
        <f>TEXT(VLOOKUP(A457,Raw_Data!A:L,5,FALSE),"mmm")</f>
        <v>Oct</v>
      </c>
    </row>
    <row r="458" spans="1:6" x14ac:dyDescent="0.35">
      <c r="A458" s="3" t="s">
        <v>856</v>
      </c>
      <c r="B458" t="str">
        <f>VLOOKUP(A458,Raw_Data!A:L,6,FALSE)</f>
        <v>Ceiling fan</v>
      </c>
      <c r="C458" t="str">
        <f>VLOOKUP(A458,Raw_Data!A:L,3,FALSE)</f>
        <v>UAE</v>
      </c>
      <c r="D458" s="3">
        <f>VLOOKUP(A458,Raw_Data!A:L,12,FALSE)</f>
        <v>1898</v>
      </c>
      <c r="E458" s="3">
        <f>VLOOKUP(A458,Raw_Data!A:L,11,FALSE)</f>
        <v>13</v>
      </c>
      <c r="F458" t="str">
        <f>TEXT(VLOOKUP(A458,Raw_Data!A:L,5,FALSE),"mmm")</f>
        <v>Apr</v>
      </c>
    </row>
    <row r="459" spans="1:6" x14ac:dyDescent="0.35">
      <c r="A459" s="3" t="s">
        <v>858</v>
      </c>
      <c r="B459" t="str">
        <f>VLOOKUP(A459,Raw_Data!A:L,6,FALSE)</f>
        <v>Blender</v>
      </c>
      <c r="C459" t="str">
        <f>VLOOKUP(A459,Raw_Data!A:L,3,FALSE)</f>
        <v>Chile</v>
      </c>
      <c r="D459" s="3">
        <f>VLOOKUP(A459,Raw_Data!A:L,12,FALSE)</f>
        <v>2952</v>
      </c>
      <c r="E459" s="3">
        <f>VLOOKUP(A459,Raw_Data!A:L,11,FALSE)</f>
        <v>72</v>
      </c>
      <c r="F459" t="str">
        <f>TEXT(VLOOKUP(A459,Raw_Data!A:L,5,FALSE),"mmm")</f>
        <v>Oct</v>
      </c>
    </row>
    <row r="460" spans="1:6" x14ac:dyDescent="0.35">
      <c r="A460" s="3" t="s">
        <v>860</v>
      </c>
      <c r="B460" t="str">
        <f>VLOOKUP(A460,Raw_Data!A:L,6,FALSE)</f>
        <v>Oven</v>
      </c>
      <c r="C460" t="str">
        <f>VLOOKUP(A460,Raw_Data!A:L,3,FALSE)</f>
        <v>Czech Republic</v>
      </c>
      <c r="D460" s="3">
        <f>VLOOKUP(A460,Raw_Data!A:L,12,FALSE)</f>
        <v>42075</v>
      </c>
      <c r="E460" s="3">
        <f>VLOOKUP(A460,Raw_Data!A:L,11,FALSE)</f>
        <v>85</v>
      </c>
      <c r="F460" t="str">
        <f>TEXT(VLOOKUP(A460,Raw_Data!A:L,5,FALSE),"mmm")</f>
        <v>Jun</v>
      </c>
    </row>
    <row r="461" spans="1:6" x14ac:dyDescent="0.35">
      <c r="A461" s="3" t="s">
        <v>861</v>
      </c>
      <c r="B461" t="str">
        <f>VLOOKUP(A461,Raw_Data!A:L,6,FALSE)</f>
        <v>Toaster</v>
      </c>
      <c r="C461" t="str">
        <f>VLOOKUP(A461,Raw_Data!A:L,3,FALSE)</f>
        <v>Israel</v>
      </c>
      <c r="D461" s="3">
        <f>VLOOKUP(A461,Raw_Data!A:L,12,FALSE)</f>
        <v>3864</v>
      </c>
      <c r="E461" s="3">
        <f>VLOOKUP(A461,Raw_Data!A:L,11,FALSE)</f>
        <v>84</v>
      </c>
      <c r="F461" t="str">
        <f>TEXT(VLOOKUP(A461,Raw_Data!A:L,5,FALSE),"mmm")</f>
        <v>Jul</v>
      </c>
    </row>
    <row r="462" spans="1:6" x14ac:dyDescent="0.35">
      <c r="A462" s="3" t="s">
        <v>863</v>
      </c>
      <c r="B462" t="str">
        <f>VLOOKUP(A462,Raw_Data!A:L,6,FALSE)</f>
        <v>Microwave</v>
      </c>
      <c r="C462" t="str">
        <f>VLOOKUP(A462,Raw_Data!A:L,3,FALSE)</f>
        <v>China</v>
      </c>
      <c r="D462" s="3">
        <f>VLOOKUP(A462,Raw_Data!A:L,12,FALSE)</f>
        <v>5772</v>
      </c>
      <c r="E462" s="3">
        <f>VLOOKUP(A462,Raw_Data!A:L,11,FALSE)</f>
        <v>78</v>
      </c>
      <c r="F462" t="str">
        <f>TEXT(VLOOKUP(A462,Raw_Data!A:L,5,FALSE),"mmm")</f>
        <v>Nov</v>
      </c>
    </row>
    <row r="463" spans="1:6" x14ac:dyDescent="0.35">
      <c r="A463" s="3" t="s">
        <v>865</v>
      </c>
      <c r="B463" t="str">
        <f>VLOOKUP(A463,Raw_Data!A:L,6,FALSE)</f>
        <v>Coffee grinder</v>
      </c>
      <c r="C463" t="str">
        <f>VLOOKUP(A463,Raw_Data!A:L,3,FALSE)</f>
        <v>Egypt</v>
      </c>
      <c r="D463" s="3">
        <f>VLOOKUP(A463,Raw_Data!A:L,12,FALSE)</f>
        <v>2419</v>
      </c>
      <c r="E463" s="3">
        <f>VLOOKUP(A463,Raw_Data!A:L,11,FALSE)</f>
        <v>41</v>
      </c>
      <c r="F463" t="str">
        <f>TEXT(VLOOKUP(A463,Raw_Data!A:L,5,FALSE),"mmm")</f>
        <v>Jun</v>
      </c>
    </row>
    <row r="464" spans="1:6" x14ac:dyDescent="0.35">
      <c r="A464" s="3" t="s">
        <v>866</v>
      </c>
      <c r="B464" t="str">
        <f>VLOOKUP(A464,Raw_Data!A:L,6,FALSE)</f>
        <v>Coffee grinder</v>
      </c>
      <c r="C464" t="str">
        <f>VLOOKUP(A464,Raw_Data!A:L,3,FALSE)</f>
        <v>Saudi Arabia</v>
      </c>
      <c r="D464" s="3">
        <f>VLOOKUP(A464,Raw_Data!A:L,12,FALSE)</f>
        <v>6324</v>
      </c>
      <c r="E464" s="3">
        <f>VLOOKUP(A464,Raw_Data!A:L,11,FALSE)</f>
        <v>93</v>
      </c>
      <c r="F464" t="str">
        <f>TEXT(VLOOKUP(A464,Raw_Data!A:L,5,FALSE),"mmm")</f>
        <v>Jul</v>
      </c>
    </row>
    <row r="465" spans="1:6" x14ac:dyDescent="0.35">
      <c r="A465" s="3" t="s">
        <v>867</v>
      </c>
      <c r="B465" t="str">
        <f>VLOOKUP(A465,Raw_Data!A:L,6,FALSE)</f>
        <v>Ceiling fan</v>
      </c>
      <c r="C465" t="str">
        <f>VLOOKUP(A465,Raw_Data!A:L,3,FALSE)</f>
        <v>Germany</v>
      </c>
      <c r="D465" s="3">
        <f>VLOOKUP(A465,Raw_Data!A:L,12,FALSE)</f>
        <v>10220</v>
      </c>
      <c r="E465" s="3">
        <f>VLOOKUP(A465,Raw_Data!A:L,11,FALSE)</f>
        <v>70</v>
      </c>
      <c r="F465" t="str">
        <f>TEXT(VLOOKUP(A465,Raw_Data!A:L,5,FALSE),"mmm")</f>
        <v>Nov</v>
      </c>
    </row>
    <row r="466" spans="1:6" x14ac:dyDescent="0.35">
      <c r="A466" s="3" t="s">
        <v>869</v>
      </c>
      <c r="B466" t="str">
        <f>VLOOKUP(A466,Raw_Data!A:L,6,FALSE)</f>
        <v>Refrigerator</v>
      </c>
      <c r="C466" t="str">
        <f>VLOOKUP(A466,Raw_Data!A:L,3,FALSE)</f>
        <v>Russia</v>
      </c>
      <c r="D466" s="3">
        <f>VLOOKUP(A466,Raw_Data!A:L,12,FALSE)</f>
        <v>16380</v>
      </c>
      <c r="E466" s="3">
        <f>VLOOKUP(A466,Raw_Data!A:L,11,FALSE)</f>
        <v>26</v>
      </c>
      <c r="F466" t="str">
        <f>TEXT(VLOOKUP(A466,Raw_Data!A:L,5,FALSE),"mmm")</f>
        <v>Sep</v>
      </c>
    </row>
    <row r="467" spans="1:6" x14ac:dyDescent="0.35">
      <c r="A467" s="3" t="s">
        <v>870</v>
      </c>
      <c r="B467" t="str">
        <f>VLOOKUP(A467,Raw_Data!A:L,6,FALSE)</f>
        <v>Toaster</v>
      </c>
      <c r="C467" t="str">
        <f>VLOOKUP(A467,Raw_Data!A:L,3,FALSE)</f>
        <v>Argentina</v>
      </c>
      <c r="D467" s="3">
        <f>VLOOKUP(A467,Raw_Data!A:L,12,FALSE)</f>
        <v>1716</v>
      </c>
      <c r="E467" s="3">
        <f>VLOOKUP(A467,Raw_Data!A:L,11,FALSE)</f>
        <v>39</v>
      </c>
      <c r="F467" t="str">
        <f>TEXT(VLOOKUP(A467,Raw_Data!A:L,5,FALSE),"mmm")</f>
        <v>Oct</v>
      </c>
    </row>
    <row r="468" spans="1:6" x14ac:dyDescent="0.35">
      <c r="A468" s="3" t="s">
        <v>872</v>
      </c>
      <c r="B468" t="str">
        <f>VLOOKUP(A468,Raw_Data!A:L,6,FALSE)</f>
        <v>Air conditioner</v>
      </c>
      <c r="C468" t="str">
        <f>VLOOKUP(A468,Raw_Data!A:L,3,FALSE)</f>
        <v>Thailand</v>
      </c>
      <c r="D468" s="3">
        <f>VLOOKUP(A468,Raw_Data!A:L,12,FALSE)</f>
        <v>68607</v>
      </c>
      <c r="E468" s="3">
        <f>VLOOKUP(A468,Raw_Data!A:L,11,FALSE)</f>
        <v>99</v>
      </c>
      <c r="F468" t="str">
        <f>TEXT(VLOOKUP(A468,Raw_Data!A:L,5,FALSE),"mmm")</f>
        <v>Dec</v>
      </c>
    </row>
    <row r="469" spans="1:6" x14ac:dyDescent="0.35">
      <c r="A469" s="3" t="s">
        <v>874</v>
      </c>
      <c r="B469" t="str">
        <f>VLOOKUP(A469,Raw_Data!A:L,6,FALSE)</f>
        <v>Air conditioner</v>
      </c>
      <c r="C469" t="str">
        <f>VLOOKUP(A469,Raw_Data!A:L,3,FALSE)</f>
        <v>Ireland</v>
      </c>
      <c r="D469" s="3">
        <f>VLOOKUP(A469,Raw_Data!A:L,12,FALSE)</f>
        <v>24843</v>
      </c>
      <c r="E469" s="3">
        <f>VLOOKUP(A469,Raw_Data!A:L,11,FALSE)</f>
        <v>39</v>
      </c>
      <c r="F469" t="str">
        <f>TEXT(VLOOKUP(A469,Raw_Data!A:L,5,FALSE),"mmm")</f>
        <v>Jul</v>
      </c>
    </row>
    <row r="470" spans="1:6" x14ac:dyDescent="0.35">
      <c r="A470" s="3" t="s">
        <v>875</v>
      </c>
      <c r="B470" t="str">
        <f>VLOOKUP(A470,Raw_Data!A:L,6,FALSE)</f>
        <v>Microwave</v>
      </c>
      <c r="C470" t="str">
        <f>VLOOKUP(A470,Raw_Data!A:L,3,FALSE)</f>
        <v>Peru</v>
      </c>
      <c r="D470" s="3">
        <f>VLOOKUP(A470,Raw_Data!A:L,12,FALSE)</f>
        <v>2992</v>
      </c>
      <c r="E470" s="3">
        <f>VLOOKUP(A470,Raw_Data!A:L,11,FALSE)</f>
        <v>44</v>
      </c>
      <c r="F470" t="str">
        <f>TEXT(VLOOKUP(A470,Raw_Data!A:L,5,FALSE),"mmm")</f>
        <v>May</v>
      </c>
    </row>
    <row r="471" spans="1:6" x14ac:dyDescent="0.35">
      <c r="A471" s="3" t="s">
        <v>876</v>
      </c>
      <c r="B471" t="str">
        <f>VLOOKUP(A471,Raw_Data!A:L,6,FALSE)</f>
        <v>Iron</v>
      </c>
      <c r="C471" t="str">
        <f>VLOOKUP(A471,Raw_Data!A:L,3,FALSE)</f>
        <v>Vietnam</v>
      </c>
      <c r="D471" s="3">
        <f>VLOOKUP(A471,Raw_Data!A:L,12,FALSE)</f>
        <v>2210</v>
      </c>
      <c r="E471" s="3">
        <f>VLOOKUP(A471,Raw_Data!A:L,11,FALSE)</f>
        <v>85</v>
      </c>
      <c r="F471" t="str">
        <f>TEXT(VLOOKUP(A471,Raw_Data!A:L,5,FALSE),"mmm")</f>
        <v>Mar</v>
      </c>
    </row>
    <row r="472" spans="1:6" x14ac:dyDescent="0.35">
      <c r="A472" s="3" t="s">
        <v>877</v>
      </c>
      <c r="B472" t="str">
        <f>VLOOKUP(A472,Raw_Data!A:L,6,FALSE)</f>
        <v>Vacuum Cleaner</v>
      </c>
      <c r="C472" t="str">
        <f>VLOOKUP(A472,Raw_Data!A:L,3,FALSE)</f>
        <v>USA</v>
      </c>
      <c r="D472" s="3">
        <f>VLOOKUP(A472,Raw_Data!A:L,12,FALSE)</f>
        <v>12240</v>
      </c>
      <c r="E472" s="3">
        <f>VLOOKUP(A472,Raw_Data!A:L,11,FALSE)</f>
        <v>51</v>
      </c>
      <c r="F472" t="str">
        <f>TEXT(VLOOKUP(A472,Raw_Data!A:L,5,FALSE),"mmm")</f>
        <v>Sep</v>
      </c>
    </row>
    <row r="473" spans="1:6" x14ac:dyDescent="0.35">
      <c r="A473" s="3" t="s">
        <v>879</v>
      </c>
      <c r="B473" t="str">
        <f>VLOOKUP(A473,Raw_Data!A:L,6,FALSE)</f>
        <v>Ceiling fan</v>
      </c>
      <c r="C473" t="str">
        <f>VLOOKUP(A473,Raw_Data!A:L,3,FALSE)</f>
        <v>India</v>
      </c>
      <c r="D473" s="3">
        <f>VLOOKUP(A473,Raw_Data!A:L,12,FALSE)</f>
        <v>5109</v>
      </c>
      <c r="E473" s="3">
        <f>VLOOKUP(A473,Raw_Data!A:L,11,FALSE)</f>
        <v>39</v>
      </c>
      <c r="F473" t="str">
        <f>TEXT(VLOOKUP(A473,Raw_Data!A:L,5,FALSE),"mmm")</f>
        <v>Aug</v>
      </c>
    </row>
    <row r="474" spans="1:6" x14ac:dyDescent="0.35">
      <c r="A474" s="3" t="s">
        <v>880</v>
      </c>
      <c r="B474" t="str">
        <f>VLOOKUP(A474,Raw_Data!A:L,6,FALSE)</f>
        <v>Refrigerator</v>
      </c>
      <c r="C474" t="str">
        <f>VLOOKUP(A474,Raw_Data!A:L,3,FALSE)</f>
        <v>France</v>
      </c>
      <c r="D474" s="3">
        <f>VLOOKUP(A474,Raw_Data!A:L,12,FALSE)</f>
        <v>16400</v>
      </c>
      <c r="E474" s="3">
        <f>VLOOKUP(A474,Raw_Data!A:L,11,FALSE)</f>
        <v>20</v>
      </c>
      <c r="F474" t="str">
        <f>TEXT(VLOOKUP(A474,Raw_Data!A:L,5,FALSE),"mmm")</f>
        <v>Apr</v>
      </c>
    </row>
    <row r="475" spans="1:6" x14ac:dyDescent="0.35">
      <c r="A475" s="3" t="s">
        <v>881</v>
      </c>
      <c r="B475" t="str">
        <f>VLOOKUP(A475,Raw_Data!A:L,6,FALSE)</f>
        <v>Washing Machine</v>
      </c>
      <c r="C475" t="str">
        <f>VLOOKUP(A475,Raw_Data!A:L,3,FALSE)</f>
        <v>Chile</v>
      </c>
      <c r="D475" s="3">
        <f>VLOOKUP(A475,Raw_Data!A:L,12,FALSE)</f>
        <v>26400</v>
      </c>
      <c r="E475" s="3">
        <f>VLOOKUP(A475,Raw_Data!A:L,11,FALSE)</f>
        <v>50</v>
      </c>
      <c r="F475" t="str">
        <f>TEXT(VLOOKUP(A475,Raw_Data!A:L,5,FALSE),"mmm")</f>
        <v>Aug</v>
      </c>
    </row>
    <row r="476" spans="1:6" x14ac:dyDescent="0.35">
      <c r="A476" s="3" t="s">
        <v>882</v>
      </c>
      <c r="B476" t="str">
        <f>VLOOKUP(A476,Raw_Data!A:L,6,FALSE)</f>
        <v>Coffee grinder</v>
      </c>
      <c r="C476" t="str">
        <f>VLOOKUP(A476,Raw_Data!A:L,3,FALSE)</f>
        <v>Romania</v>
      </c>
      <c r="D476" s="3">
        <f>VLOOKUP(A476,Raw_Data!A:L,12,FALSE)</f>
        <v>3657</v>
      </c>
      <c r="E476" s="3">
        <f>VLOOKUP(A476,Raw_Data!A:L,11,FALSE)</f>
        <v>53</v>
      </c>
      <c r="F476" t="str">
        <f>TEXT(VLOOKUP(A476,Raw_Data!A:L,5,FALSE),"mmm")</f>
        <v>Jul</v>
      </c>
    </row>
    <row r="477" spans="1:6" x14ac:dyDescent="0.35">
      <c r="A477" s="3" t="s">
        <v>883</v>
      </c>
      <c r="B477" t="str">
        <f>VLOOKUP(A477,Raw_Data!A:L,6,FALSE)</f>
        <v>Dishwasher</v>
      </c>
      <c r="C477" t="str">
        <f>VLOOKUP(A477,Raw_Data!A:L,3,FALSE)</f>
        <v>Romania</v>
      </c>
      <c r="D477" s="3">
        <f>VLOOKUP(A477,Raw_Data!A:L,12,FALSE)</f>
        <v>17460</v>
      </c>
      <c r="E477" s="3">
        <f>VLOOKUP(A477,Raw_Data!A:L,11,FALSE)</f>
        <v>36</v>
      </c>
      <c r="F477" t="str">
        <f>TEXT(VLOOKUP(A477,Raw_Data!A:L,5,FALSE),"mmm")</f>
        <v>Jun</v>
      </c>
    </row>
    <row r="478" spans="1:6" x14ac:dyDescent="0.35">
      <c r="A478" s="3" t="s">
        <v>885</v>
      </c>
      <c r="B478" t="str">
        <f>VLOOKUP(A478,Raw_Data!A:L,6,FALSE)</f>
        <v>Blender</v>
      </c>
      <c r="C478" t="str">
        <f>VLOOKUP(A478,Raw_Data!A:L,3,FALSE)</f>
        <v>UK</v>
      </c>
      <c r="D478" s="3">
        <f>VLOOKUP(A478,Raw_Data!A:L,12,FALSE)</f>
        <v>1053</v>
      </c>
      <c r="E478" s="3">
        <f>VLOOKUP(A478,Raw_Data!A:L,11,FALSE)</f>
        <v>27</v>
      </c>
      <c r="F478" t="str">
        <f>TEXT(VLOOKUP(A478,Raw_Data!A:L,5,FALSE),"mmm")</f>
        <v>Apr</v>
      </c>
    </row>
    <row r="479" spans="1:6" x14ac:dyDescent="0.35">
      <c r="A479" s="3" t="s">
        <v>887</v>
      </c>
      <c r="B479" t="str">
        <f>VLOOKUP(A479,Raw_Data!A:L,6,FALSE)</f>
        <v>Refrigerator</v>
      </c>
      <c r="C479" t="str">
        <f>VLOOKUP(A479,Raw_Data!A:L,3,FALSE)</f>
        <v>UK</v>
      </c>
      <c r="D479" s="3">
        <f>VLOOKUP(A479,Raw_Data!A:L,12,FALSE)</f>
        <v>67230</v>
      </c>
      <c r="E479" s="3">
        <f>VLOOKUP(A479,Raw_Data!A:L,11,FALSE)</f>
        <v>81</v>
      </c>
      <c r="F479" t="str">
        <f>TEXT(VLOOKUP(A479,Raw_Data!A:L,5,FALSE),"mmm")</f>
        <v>Apr</v>
      </c>
    </row>
    <row r="480" spans="1:6" x14ac:dyDescent="0.35">
      <c r="A480" s="3" t="s">
        <v>889</v>
      </c>
      <c r="B480" t="str">
        <f>VLOOKUP(A480,Raw_Data!A:L,6,FALSE)</f>
        <v>Toaster</v>
      </c>
      <c r="C480" t="str">
        <f>VLOOKUP(A480,Raw_Data!A:L,3,FALSE)</f>
        <v>USA</v>
      </c>
      <c r="D480" s="3">
        <f>VLOOKUP(A480,Raw_Data!A:L,12,FALSE)</f>
        <v>484</v>
      </c>
      <c r="E480" s="3">
        <f>VLOOKUP(A480,Raw_Data!A:L,11,FALSE)</f>
        <v>11</v>
      </c>
      <c r="F480" t="str">
        <f>TEXT(VLOOKUP(A480,Raw_Data!A:L,5,FALSE),"mmm")</f>
        <v>Sep</v>
      </c>
    </row>
    <row r="481" spans="1:6" x14ac:dyDescent="0.35">
      <c r="A481" s="3" t="s">
        <v>890</v>
      </c>
      <c r="B481" t="str">
        <f>VLOOKUP(A481,Raw_Data!A:L,6,FALSE)</f>
        <v>Oven</v>
      </c>
      <c r="C481" t="str">
        <f>VLOOKUP(A481,Raw_Data!A:L,3,FALSE)</f>
        <v>UK</v>
      </c>
      <c r="D481" s="3">
        <f>VLOOKUP(A481,Raw_Data!A:L,12,FALSE)</f>
        <v>39500</v>
      </c>
      <c r="E481" s="3">
        <f>VLOOKUP(A481,Raw_Data!A:L,11,FALSE)</f>
        <v>79</v>
      </c>
      <c r="F481" t="str">
        <f>TEXT(VLOOKUP(A481,Raw_Data!A:L,5,FALSE),"mmm")</f>
        <v>Oct</v>
      </c>
    </row>
    <row r="482" spans="1:6" x14ac:dyDescent="0.35">
      <c r="A482" s="3" t="s">
        <v>891</v>
      </c>
      <c r="B482" t="str">
        <f>VLOOKUP(A482,Raw_Data!A:L,6,FALSE)</f>
        <v>Toaster</v>
      </c>
      <c r="C482" t="str">
        <f>VLOOKUP(A482,Raw_Data!A:L,3,FALSE)</f>
        <v>Canada</v>
      </c>
      <c r="D482" s="3">
        <f>VLOOKUP(A482,Raw_Data!A:L,12,FALSE)</f>
        <v>3589</v>
      </c>
      <c r="E482" s="3">
        <f>VLOOKUP(A482,Raw_Data!A:L,11,FALSE)</f>
        <v>97</v>
      </c>
      <c r="F482" t="str">
        <f>TEXT(VLOOKUP(A482,Raw_Data!A:L,5,FALSE),"mmm")</f>
        <v>Jun</v>
      </c>
    </row>
    <row r="483" spans="1:6" x14ac:dyDescent="0.35">
      <c r="A483" s="3" t="s">
        <v>892</v>
      </c>
      <c r="B483" t="str">
        <f>VLOOKUP(A483,Raw_Data!A:L,6,FALSE)</f>
        <v>Microwave</v>
      </c>
      <c r="C483" t="str">
        <f>VLOOKUP(A483,Raw_Data!A:L,3,FALSE)</f>
        <v>USA</v>
      </c>
      <c r="D483" s="3">
        <f>VLOOKUP(A483,Raw_Data!A:L,12,FALSE)</f>
        <v>5928</v>
      </c>
      <c r="E483" s="3">
        <f>VLOOKUP(A483,Raw_Data!A:L,11,FALSE)</f>
        <v>76</v>
      </c>
      <c r="F483" t="str">
        <f>TEXT(VLOOKUP(A483,Raw_Data!A:L,5,FALSE),"mmm")</f>
        <v>Mar</v>
      </c>
    </row>
    <row r="484" spans="1:6" x14ac:dyDescent="0.35">
      <c r="A484" s="3" t="s">
        <v>893</v>
      </c>
      <c r="B484" t="str">
        <f>VLOOKUP(A484,Raw_Data!A:L,6,FALSE)</f>
        <v>Coffee grinder</v>
      </c>
      <c r="C484" t="str">
        <f>VLOOKUP(A484,Raw_Data!A:L,3,FALSE)</f>
        <v>Malaysia</v>
      </c>
      <c r="D484" s="3">
        <f>VLOOKUP(A484,Raw_Data!A:L,12,FALSE)</f>
        <v>1495</v>
      </c>
      <c r="E484" s="3">
        <f>VLOOKUP(A484,Raw_Data!A:L,11,FALSE)</f>
        <v>23</v>
      </c>
      <c r="F484" t="str">
        <f>TEXT(VLOOKUP(A484,Raw_Data!A:L,5,FALSE),"mmm")</f>
        <v>Aug</v>
      </c>
    </row>
    <row r="485" spans="1:6" x14ac:dyDescent="0.35">
      <c r="A485" s="3" t="s">
        <v>894</v>
      </c>
      <c r="B485" t="str">
        <f>VLOOKUP(A485,Raw_Data!A:L,6,FALSE)</f>
        <v>Vacuum Cleaner</v>
      </c>
      <c r="C485" t="str">
        <f>VLOOKUP(A485,Raw_Data!A:L,3,FALSE)</f>
        <v>USA</v>
      </c>
      <c r="D485" s="3">
        <f>VLOOKUP(A485,Raw_Data!A:L,12,FALSE)</f>
        <v>18240</v>
      </c>
      <c r="E485" s="3">
        <f>VLOOKUP(A485,Raw_Data!A:L,11,FALSE)</f>
        <v>80</v>
      </c>
      <c r="F485" t="str">
        <f>TEXT(VLOOKUP(A485,Raw_Data!A:L,5,FALSE),"mmm")</f>
        <v>Jul</v>
      </c>
    </row>
    <row r="486" spans="1:6" x14ac:dyDescent="0.35">
      <c r="A486" s="3" t="s">
        <v>896</v>
      </c>
      <c r="B486" t="str">
        <f>VLOOKUP(A486,Raw_Data!A:L,6,FALSE)</f>
        <v>Vacuum Cleaner</v>
      </c>
      <c r="C486" t="str">
        <f>VLOOKUP(A486,Raw_Data!A:L,3,FALSE)</f>
        <v>South Korea</v>
      </c>
      <c r="D486" s="3">
        <f>VLOOKUP(A486,Raw_Data!A:L,12,FALSE)</f>
        <v>9500</v>
      </c>
      <c r="E486" s="3">
        <f>VLOOKUP(A486,Raw_Data!A:L,11,FALSE)</f>
        <v>38</v>
      </c>
      <c r="F486" t="str">
        <f>TEXT(VLOOKUP(A486,Raw_Data!A:L,5,FALSE),"mmm")</f>
        <v>Dec</v>
      </c>
    </row>
    <row r="487" spans="1:6" x14ac:dyDescent="0.35">
      <c r="A487" s="3" t="s">
        <v>898</v>
      </c>
      <c r="B487" t="str">
        <f>VLOOKUP(A487,Raw_Data!A:L,6,FALSE)</f>
        <v>Iron</v>
      </c>
      <c r="C487" t="str">
        <f>VLOOKUP(A487,Raw_Data!A:L,3,FALSE)</f>
        <v>Romania</v>
      </c>
      <c r="D487" s="3">
        <f>VLOOKUP(A487,Raw_Data!A:L,12,FALSE)</f>
        <v>1160</v>
      </c>
      <c r="E487" s="3">
        <f>VLOOKUP(A487,Raw_Data!A:L,11,FALSE)</f>
        <v>40</v>
      </c>
      <c r="F487" t="str">
        <f>TEXT(VLOOKUP(A487,Raw_Data!A:L,5,FALSE),"mmm")</f>
        <v>Jul</v>
      </c>
    </row>
    <row r="488" spans="1:6" x14ac:dyDescent="0.35">
      <c r="A488" s="3" t="s">
        <v>899</v>
      </c>
      <c r="B488" t="str">
        <f>VLOOKUP(A488,Raw_Data!A:L,6,FALSE)</f>
        <v>Blender</v>
      </c>
      <c r="C488" t="str">
        <f>VLOOKUP(A488,Raw_Data!A:L,3,FALSE)</f>
        <v>Colombia</v>
      </c>
      <c r="D488" s="3">
        <f>VLOOKUP(A488,Raw_Data!A:L,12,FALSE)</f>
        <v>1472</v>
      </c>
      <c r="E488" s="3">
        <f>VLOOKUP(A488,Raw_Data!A:L,11,FALSE)</f>
        <v>46</v>
      </c>
      <c r="F488" t="str">
        <f>TEXT(VLOOKUP(A488,Raw_Data!A:L,5,FALSE),"mmm")</f>
        <v>Feb</v>
      </c>
    </row>
    <row r="489" spans="1:6" x14ac:dyDescent="0.35">
      <c r="A489" s="3" t="s">
        <v>900</v>
      </c>
      <c r="B489" t="str">
        <f>VLOOKUP(A489,Raw_Data!A:L,6,FALSE)</f>
        <v>Air conditioner</v>
      </c>
      <c r="C489" t="str">
        <f>VLOOKUP(A489,Raw_Data!A:L,3,FALSE)</f>
        <v>Japan</v>
      </c>
      <c r="D489" s="3">
        <f>VLOOKUP(A489,Raw_Data!A:L,12,FALSE)</f>
        <v>50764</v>
      </c>
      <c r="E489" s="3">
        <f>VLOOKUP(A489,Raw_Data!A:L,11,FALSE)</f>
        <v>74</v>
      </c>
      <c r="F489" t="str">
        <f>TEXT(VLOOKUP(A489,Raw_Data!A:L,5,FALSE),"mmm")</f>
        <v>Aug</v>
      </c>
    </row>
    <row r="490" spans="1:6" x14ac:dyDescent="0.35">
      <c r="A490" s="3" t="s">
        <v>902</v>
      </c>
      <c r="B490" t="str">
        <f>VLOOKUP(A490,Raw_Data!A:L,6,FALSE)</f>
        <v>Ceiling fan</v>
      </c>
      <c r="C490" t="str">
        <f>VLOOKUP(A490,Raw_Data!A:L,3,FALSE)</f>
        <v>Chile</v>
      </c>
      <c r="D490" s="3">
        <f>VLOOKUP(A490,Raw_Data!A:L,12,FALSE)</f>
        <v>4061</v>
      </c>
      <c r="E490" s="3">
        <f>VLOOKUP(A490,Raw_Data!A:L,11,FALSE)</f>
        <v>31</v>
      </c>
      <c r="F490" t="str">
        <f>TEXT(VLOOKUP(A490,Raw_Data!A:L,5,FALSE),"mmm")</f>
        <v>Dec</v>
      </c>
    </row>
    <row r="491" spans="1:6" x14ac:dyDescent="0.35">
      <c r="A491" s="3" t="s">
        <v>903</v>
      </c>
      <c r="B491" t="str">
        <f>VLOOKUP(A491,Raw_Data!A:L,6,FALSE)</f>
        <v>Refrigerator</v>
      </c>
      <c r="C491" t="str">
        <f>VLOOKUP(A491,Raw_Data!A:L,3,FALSE)</f>
        <v>USA</v>
      </c>
      <c r="D491" s="3">
        <f>VLOOKUP(A491,Raw_Data!A:L,12,FALSE)</f>
        <v>47000</v>
      </c>
      <c r="E491" s="3">
        <f>VLOOKUP(A491,Raw_Data!A:L,11,FALSE)</f>
        <v>50</v>
      </c>
      <c r="F491" t="str">
        <f>TEXT(VLOOKUP(A491,Raw_Data!A:L,5,FALSE),"mmm")</f>
        <v>Jun</v>
      </c>
    </row>
    <row r="492" spans="1:6" x14ac:dyDescent="0.35">
      <c r="A492" s="3" t="s">
        <v>905</v>
      </c>
      <c r="B492" t="str">
        <f>VLOOKUP(A492,Raw_Data!A:L,6,FALSE)</f>
        <v>Ceiling fan</v>
      </c>
      <c r="C492" t="str">
        <f>VLOOKUP(A492,Raw_Data!A:L,3,FALSE)</f>
        <v>South Africa</v>
      </c>
      <c r="D492" s="3">
        <f>VLOOKUP(A492,Raw_Data!A:L,12,FALSE)</f>
        <v>12696</v>
      </c>
      <c r="E492" s="3">
        <f>VLOOKUP(A492,Raw_Data!A:L,11,FALSE)</f>
        <v>92</v>
      </c>
      <c r="F492" t="str">
        <f>TEXT(VLOOKUP(A492,Raw_Data!A:L,5,FALSE),"mmm")</f>
        <v>Jun</v>
      </c>
    </row>
    <row r="493" spans="1:6" x14ac:dyDescent="0.35">
      <c r="A493" s="3" t="s">
        <v>906</v>
      </c>
      <c r="B493" t="str">
        <f>VLOOKUP(A493,Raw_Data!A:L,6,FALSE)</f>
        <v>Blender</v>
      </c>
      <c r="C493" t="str">
        <f>VLOOKUP(A493,Raw_Data!A:L,3,FALSE)</f>
        <v>Mexico</v>
      </c>
      <c r="D493" s="3">
        <f>VLOOKUP(A493,Raw_Data!A:L,12,FALSE)</f>
        <v>3080</v>
      </c>
      <c r="E493" s="3">
        <f>VLOOKUP(A493,Raw_Data!A:L,11,FALSE)</f>
        <v>70</v>
      </c>
      <c r="F493" t="str">
        <f>TEXT(VLOOKUP(A493,Raw_Data!A:L,5,FALSE),"mmm")</f>
        <v>May</v>
      </c>
    </row>
    <row r="494" spans="1:6" x14ac:dyDescent="0.35">
      <c r="A494" s="3" t="s">
        <v>908</v>
      </c>
      <c r="B494" t="str">
        <f>VLOOKUP(A494,Raw_Data!A:L,6,FALSE)</f>
        <v>Vacuum Cleaner</v>
      </c>
      <c r="C494" t="str">
        <f>VLOOKUP(A494,Raw_Data!A:L,3,FALSE)</f>
        <v>Egypt</v>
      </c>
      <c r="D494" s="3">
        <f>VLOOKUP(A494,Raw_Data!A:L,12,FALSE)</f>
        <v>5014</v>
      </c>
      <c r="E494" s="3">
        <f>VLOOKUP(A494,Raw_Data!A:L,11,FALSE)</f>
        <v>23</v>
      </c>
      <c r="F494" t="str">
        <f>TEXT(VLOOKUP(A494,Raw_Data!A:L,5,FALSE),"mmm")</f>
        <v>Feb</v>
      </c>
    </row>
    <row r="495" spans="1:6" x14ac:dyDescent="0.35">
      <c r="A495" s="3" t="s">
        <v>909</v>
      </c>
      <c r="B495" t="str">
        <f>VLOOKUP(A495,Raw_Data!A:L,6,FALSE)</f>
        <v>Ceiling fan</v>
      </c>
      <c r="C495" t="str">
        <f>VLOOKUP(A495,Raw_Data!A:L,3,FALSE)</f>
        <v>South Korea</v>
      </c>
      <c r="D495" s="3">
        <f>VLOOKUP(A495,Raw_Data!A:L,12,FALSE)</f>
        <v>5616</v>
      </c>
      <c r="E495" s="3">
        <f>VLOOKUP(A495,Raw_Data!A:L,11,FALSE)</f>
        <v>39</v>
      </c>
      <c r="F495" t="str">
        <f>TEXT(VLOOKUP(A495,Raw_Data!A:L,5,FALSE),"mmm")</f>
        <v>Oct</v>
      </c>
    </row>
    <row r="496" spans="1:6" x14ac:dyDescent="0.35">
      <c r="A496" s="3" t="s">
        <v>911</v>
      </c>
      <c r="B496" t="str">
        <f>VLOOKUP(A496,Raw_Data!A:L,6,FALSE)</f>
        <v>Refrigerator</v>
      </c>
      <c r="C496" t="str">
        <f>VLOOKUP(A496,Raw_Data!A:L,3,FALSE)</f>
        <v>South Africa</v>
      </c>
      <c r="D496" s="3">
        <f>VLOOKUP(A496,Raw_Data!A:L,12,FALSE)</f>
        <v>37380</v>
      </c>
      <c r="E496" s="3">
        <f>VLOOKUP(A496,Raw_Data!A:L,11,FALSE)</f>
        <v>42</v>
      </c>
      <c r="F496" t="str">
        <f>TEXT(VLOOKUP(A496,Raw_Data!A:L,5,FALSE),"mmm")</f>
        <v>May</v>
      </c>
    </row>
    <row r="497" spans="1:6" x14ac:dyDescent="0.35">
      <c r="A497" s="3" t="s">
        <v>913</v>
      </c>
      <c r="B497" t="str">
        <f>VLOOKUP(A497,Raw_Data!A:L,6,FALSE)</f>
        <v>Ceiling fan</v>
      </c>
      <c r="C497" t="str">
        <f>VLOOKUP(A497,Raw_Data!A:L,3,FALSE)</f>
        <v>Canada</v>
      </c>
      <c r="D497" s="3">
        <f>VLOOKUP(A497,Raw_Data!A:L,12,FALSE)</f>
        <v>5550</v>
      </c>
      <c r="E497" s="3">
        <f>VLOOKUP(A497,Raw_Data!A:L,11,FALSE)</f>
        <v>37</v>
      </c>
      <c r="F497" t="str">
        <f>TEXT(VLOOKUP(A497,Raw_Data!A:L,5,FALSE),"mmm")</f>
        <v>Jul</v>
      </c>
    </row>
    <row r="498" spans="1:6" x14ac:dyDescent="0.35">
      <c r="A498" s="3" t="s">
        <v>915</v>
      </c>
      <c r="B498" t="str">
        <f>VLOOKUP(A498,Raw_Data!A:L,6,FALSE)</f>
        <v>Vacuum Cleaner</v>
      </c>
      <c r="C498" t="str">
        <f>VLOOKUP(A498,Raw_Data!A:L,3,FALSE)</f>
        <v>USA</v>
      </c>
      <c r="D498" s="3">
        <f>VLOOKUP(A498,Raw_Data!A:L,12,FALSE)</f>
        <v>15470</v>
      </c>
      <c r="E498" s="3">
        <f>VLOOKUP(A498,Raw_Data!A:L,11,FALSE)</f>
        <v>65</v>
      </c>
      <c r="F498" t="str">
        <f>TEXT(VLOOKUP(A498,Raw_Data!A:L,5,FALSE),"mmm")</f>
        <v>May</v>
      </c>
    </row>
    <row r="499" spans="1:6" x14ac:dyDescent="0.35">
      <c r="A499" s="3" t="s">
        <v>916</v>
      </c>
      <c r="B499" t="str">
        <f>VLOOKUP(A499,Raw_Data!A:L,6,FALSE)</f>
        <v>Blender</v>
      </c>
      <c r="C499" t="str">
        <f>VLOOKUP(A499,Raw_Data!A:L,3,FALSE)</f>
        <v>China</v>
      </c>
      <c r="D499" s="3">
        <f>VLOOKUP(A499,Raw_Data!A:L,12,FALSE)</f>
        <v>1421</v>
      </c>
      <c r="E499" s="3">
        <f>VLOOKUP(A499,Raw_Data!A:L,11,FALSE)</f>
        <v>29</v>
      </c>
      <c r="F499" t="str">
        <f>TEXT(VLOOKUP(A499,Raw_Data!A:L,5,FALSE),"mmm")</f>
        <v>Jun</v>
      </c>
    </row>
    <row r="500" spans="1:6" x14ac:dyDescent="0.35">
      <c r="A500" s="3" t="s">
        <v>918</v>
      </c>
      <c r="B500" t="str">
        <f>VLOOKUP(A500,Raw_Data!A:L,6,FALSE)</f>
        <v>Air conditioner</v>
      </c>
      <c r="C500" t="str">
        <f>VLOOKUP(A500,Raw_Data!A:L,3,FALSE)</f>
        <v>Mexico</v>
      </c>
      <c r="D500" s="3">
        <f>VLOOKUP(A500,Raw_Data!A:L,12,FALSE)</f>
        <v>53550</v>
      </c>
      <c r="E500" s="3">
        <f>VLOOKUP(A500,Raw_Data!A:L,11,FALSE)</f>
        <v>85</v>
      </c>
      <c r="F500" t="str">
        <f>TEXT(VLOOKUP(A500,Raw_Data!A:L,5,FALSE),"mmm")</f>
        <v>Jul</v>
      </c>
    </row>
    <row r="501" spans="1:6" x14ac:dyDescent="0.35">
      <c r="A501" s="3" t="s">
        <v>920</v>
      </c>
      <c r="B501" t="str">
        <f>VLOOKUP(A501,Raw_Data!A:L,6,FALSE)</f>
        <v>Toaster</v>
      </c>
      <c r="C501" t="str">
        <f>VLOOKUP(A501,Raw_Data!A:L,3,FALSE)</f>
        <v>Germany</v>
      </c>
      <c r="D501" s="3">
        <f>VLOOKUP(A501,Raw_Data!A:L,12,FALSE)</f>
        <v>1200</v>
      </c>
      <c r="E501" s="3">
        <f>VLOOKUP(A501,Raw_Data!A:L,11,FALSE)</f>
        <v>25</v>
      </c>
      <c r="F501" t="str">
        <f>TEXT(VLOOKUP(A501,Raw_Data!A:L,5,FALSE),"mmm")</f>
        <v>May</v>
      </c>
    </row>
    <row r="502" spans="1:6" x14ac:dyDescent="0.35">
      <c r="A502" s="3" t="s">
        <v>922</v>
      </c>
      <c r="B502" t="str">
        <f>VLOOKUP(A502,Raw_Data!A:L,6,FALSE)</f>
        <v>Dishwasher</v>
      </c>
      <c r="C502" t="str">
        <f>VLOOKUP(A502,Raw_Data!A:L,3,FALSE)</f>
        <v>Romania</v>
      </c>
      <c r="D502" s="3">
        <f>VLOOKUP(A502,Raw_Data!A:L,12,FALSE)</f>
        <v>2000</v>
      </c>
      <c r="E502" s="3">
        <f>VLOOKUP(A502,Raw_Data!A:L,11,FALSE)</f>
        <v>4</v>
      </c>
      <c r="F502" t="str">
        <f>TEXT(VLOOKUP(A502,Raw_Data!A:L,5,FALSE),"mmm")</f>
        <v>Nov</v>
      </c>
    </row>
    <row r="503" spans="1:6" x14ac:dyDescent="0.35">
      <c r="A503" s="3" t="s">
        <v>924</v>
      </c>
      <c r="B503" t="str">
        <f>VLOOKUP(A503,Raw_Data!A:L,6,FALSE)</f>
        <v>Iron</v>
      </c>
      <c r="C503" t="str">
        <f>VLOOKUP(A503,Raw_Data!A:L,3,FALSE)</f>
        <v>Spain</v>
      </c>
      <c r="D503" s="3">
        <f>VLOOKUP(A503,Raw_Data!A:L,12,FALSE)</f>
        <v>2784</v>
      </c>
      <c r="E503" s="3">
        <f>VLOOKUP(A503,Raw_Data!A:L,11,FALSE)</f>
        <v>96</v>
      </c>
      <c r="F503" t="str">
        <f>TEXT(VLOOKUP(A503,Raw_Data!A:L,5,FALSE),"mmm")</f>
        <v>Nov</v>
      </c>
    </row>
    <row r="504" spans="1:6" x14ac:dyDescent="0.35">
      <c r="A504" s="3" t="s">
        <v>925</v>
      </c>
      <c r="B504" t="str">
        <f>VLOOKUP(A504,Raw_Data!A:L,6,FALSE)</f>
        <v>Oven</v>
      </c>
      <c r="C504" t="str">
        <f>VLOOKUP(A504,Raw_Data!A:L,3,FALSE)</f>
        <v>USA</v>
      </c>
      <c r="D504" s="3">
        <f>VLOOKUP(A504,Raw_Data!A:L,12,FALSE)</f>
        <v>8910</v>
      </c>
      <c r="E504" s="3">
        <f>VLOOKUP(A504,Raw_Data!A:L,11,FALSE)</f>
        <v>18</v>
      </c>
      <c r="F504" t="str">
        <f>TEXT(VLOOKUP(A504,Raw_Data!A:L,5,FALSE),"mmm")</f>
        <v>Oct</v>
      </c>
    </row>
    <row r="505" spans="1:6" x14ac:dyDescent="0.35">
      <c r="A505" s="3" t="s">
        <v>927</v>
      </c>
      <c r="B505" t="str">
        <f>VLOOKUP(A505,Raw_Data!A:L,6,FALSE)</f>
        <v>Ceiling fan</v>
      </c>
      <c r="C505" t="str">
        <f>VLOOKUP(A505,Raw_Data!A:L,3,FALSE)</f>
        <v>USA</v>
      </c>
      <c r="D505" s="3">
        <f>VLOOKUP(A505,Raw_Data!A:L,12,FALSE)</f>
        <v>8046</v>
      </c>
      <c r="E505" s="3">
        <f>VLOOKUP(A505,Raw_Data!A:L,11,FALSE)</f>
        <v>54</v>
      </c>
      <c r="F505" t="str">
        <f>TEXT(VLOOKUP(A505,Raw_Data!A:L,5,FALSE),"mmm")</f>
        <v>Jul</v>
      </c>
    </row>
    <row r="506" spans="1:6" x14ac:dyDescent="0.35">
      <c r="A506" s="3" t="s">
        <v>928</v>
      </c>
      <c r="B506" t="str">
        <f>VLOOKUP(A506,Raw_Data!A:L,6,FALSE)</f>
        <v>Coffee grinder</v>
      </c>
      <c r="C506" t="str">
        <f>VLOOKUP(A506,Raw_Data!A:L,3,FALSE)</f>
        <v>USA</v>
      </c>
      <c r="D506" s="3">
        <f>VLOOKUP(A506,Raw_Data!A:L,12,FALSE)</f>
        <v>2592</v>
      </c>
      <c r="E506" s="3">
        <f>VLOOKUP(A506,Raw_Data!A:L,11,FALSE)</f>
        <v>48</v>
      </c>
      <c r="F506" t="str">
        <f>TEXT(VLOOKUP(A506,Raw_Data!A:L,5,FALSE),"mmm")</f>
        <v>Nov</v>
      </c>
    </row>
    <row r="507" spans="1:6" x14ac:dyDescent="0.35">
      <c r="A507" s="3" t="s">
        <v>929</v>
      </c>
      <c r="B507" t="str">
        <f>VLOOKUP(A507,Raw_Data!A:L,6,FALSE)</f>
        <v>Oven</v>
      </c>
      <c r="C507" t="str">
        <f>VLOOKUP(A507,Raw_Data!A:L,3,FALSE)</f>
        <v>Thailand</v>
      </c>
      <c r="D507" s="3">
        <f>VLOOKUP(A507,Raw_Data!A:L,12,FALSE)</f>
        <v>38710</v>
      </c>
      <c r="E507" s="3">
        <f>VLOOKUP(A507,Raw_Data!A:L,11,FALSE)</f>
        <v>79</v>
      </c>
      <c r="F507" t="str">
        <f>TEXT(VLOOKUP(A507,Raw_Data!A:L,5,FALSE),"mmm")</f>
        <v>Jan</v>
      </c>
    </row>
    <row r="508" spans="1:6" x14ac:dyDescent="0.35">
      <c r="A508" s="3" t="s">
        <v>930</v>
      </c>
      <c r="B508" t="str">
        <f>VLOOKUP(A508,Raw_Data!A:L,6,FALSE)</f>
        <v>Blender</v>
      </c>
      <c r="C508" t="str">
        <f>VLOOKUP(A508,Raw_Data!A:L,3,FALSE)</f>
        <v>Chile</v>
      </c>
      <c r="D508" s="3">
        <f>VLOOKUP(A508,Raw_Data!A:L,12,FALSE)</f>
        <v>322</v>
      </c>
      <c r="E508" s="3">
        <f>VLOOKUP(A508,Raw_Data!A:L,11,FALSE)</f>
        <v>7</v>
      </c>
      <c r="F508" t="str">
        <f>TEXT(VLOOKUP(A508,Raw_Data!A:L,5,FALSE),"mmm")</f>
        <v>Apr</v>
      </c>
    </row>
    <row r="509" spans="1:6" x14ac:dyDescent="0.35">
      <c r="A509" s="3" t="s">
        <v>931</v>
      </c>
      <c r="B509" t="str">
        <f>VLOOKUP(A509,Raw_Data!A:L,6,FALSE)</f>
        <v>Washing Machine</v>
      </c>
      <c r="C509" t="str">
        <f>VLOOKUP(A509,Raw_Data!A:L,3,FALSE)</f>
        <v>Peru</v>
      </c>
      <c r="D509" s="3">
        <f>VLOOKUP(A509,Raw_Data!A:L,12,FALSE)</f>
        <v>44400</v>
      </c>
      <c r="E509" s="3">
        <f>VLOOKUP(A509,Raw_Data!A:L,11,FALSE)</f>
        <v>74</v>
      </c>
      <c r="F509" t="str">
        <f>TEXT(VLOOKUP(A509,Raw_Data!A:L,5,FALSE),"mmm")</f>
        <v>Feb</v>
      </c>
    </row>
    <row r="510" spans="1:6" x14ac:dyDescent="0.35">
      <c r="A510" s="3" t="s">
        <v>932</v>
      </c>
      <c r="B510" t="str">
        <f>VLOOKUP(A510,Raw_Data!A:L,6,FALSE)</f>
        <v>Air conditioner</v>
      </c>
      <c r="C510" t="str">
        <f>VLOOKUP(A510,Raw_Data!A:L,3,FALSE)</f>
        <v>UK</v>
      </c>
      <c r="D510" s="3">
        <f>VLOOKUP(A510,Raw_Data!A:L,12,FALSE)</f>
        <v>33250</v>
      </c>
      <c r="E510" s="3">
        <f>VLOOKUP(A510,Raw_Data!A:L,11,FALSE)</f>
        <v>50</v>
      </c>
      <c r="F510" t="str">
        <f>TEXT(VLOOKUP(A510,Raw_Data!A:L,5,FALSE),"mmm")</f>
        <v>Nov</v>
      </c>
    </row>
    <row r="511" spans="1:6" x14ac:dyDescent="0.35">
      <c r="A511" s="3" t="s">
        <v>933</v>
      </c>
      <c r="B511" t="str">
        <f>VLOOKUP(A511,Raw_Data!A:L,6,FALSE)</f>
        <v>Dishwasher</v>
      </c>
      <c r="C511" t="str">
        <f>VLOOKUP(A511,Raw_Data!A:L,3,FALSE)</f>
        <v>Spain</v>
      </c>
      <c r="D511" s="3">
        <f>VLOOKUP(A511,Raw_Data!A:L,12,FALSE)</f>
        <v>21600</v>
      </c>
      <c r="E511" s="3">
        <f>VLOOKUP(A511,Raw_Data!A:L,11,FALSE)</f>
        <v>45</v>
      </c>
      <c r="F511" t="str">
        <f>TEXT(VLOOKUP(A511,Raw_Data!A:L,5,FALSE),"mmm")</f>
        <v>Jan</v>
      </c>
    </row>
    <row r="512" spans="1:6" x14ac:dyDescent="0.35">
      <c r="A512" s="3" t="s">
        <v>934</v>
      </c>
      <c r="B512" t="str">
        <f>VLOOKUP(A512,Raw_Data!A:L,6,FALSE)</f>
        <v>Washing Machine</v>
      </c>
      <c r="C512" t="str">
        <f>VLOOKUP(A512,Raw_Data!A:L,3,FALSE)</f>
        <v>Vietnam</v>
      </c>
      <c r="D512" s="3">
        <f>VLOOKUP(A512,Raw_Data!A:L,12,FALSE)</f>
        <v>2640</v>
      </c>
      <c r="E512" s="3">
        <f>VLOOKUP(A512,Raw_Data!A:L,11,FALSE)</f>
        <v>5</v>
      </c>
      <c r="F512" t="str">
        <f>TEXT(VLOOKUP(A512,Raw_Data!A:L,5,FALSE),"mmm")</f>
        <v>Apr</v>
      </c>
    </row>
    <row r="513" spans="1:6" x14ac:dyDescent="0.35">
      <c r="A513" s="3" t="s">
        <v>935</v>
      </c>
      <c r="B513" t="str">
        <f>VLOOKUP(A513,Raw_Data!A:L,6,FALSE)</f>
        <v>Vacuum Cleaner</v>
      </c>
      <c r="C513" t="str">
        <f>VLOOKUP(A513,Raw_Data!A:L,3,FALSE)</f>
        <v>China</v>
      </c>
      <c r="D513" s="3">
        <f>VLOOKUP(A513,Raw_Data!A:L,12,FALSE)</f>
        <v>13275</v>
      </c>
      <c r="E513" s="3">
        <f>VLOOKUP(A513,Raw_Data!A:L,11,FALSE)</f>
        <v>59</v>
      </c>
      <c r="F513" t="str">
        <f>TEXT(VLOOKUP(A513,Raw_Data!A:L,5,FALSE),"mmm")</f>
        <v>Apr</v>
      </c>
    </row>
    <row r="514" spans="1:6" x14ac:dyDescent="0.35">
      <c r="A514" s="3" t="s">
        <v>936</v>
      </c>
      <c r="B514" t="str">
        <f>VLOOKUP(A514,Raw_Data!A:L,6,FALSE)</f>
        <v>Ceiling fan</v>
      </c>
      <c r="C514" t="str">
        <f>VLOOKUP(A514,Raw_Data!A:L,3,FALSE)</f>
        <v>USA</v>
      </c>
      <c r="D514" s="3">
        <f>VLOOKUP(A514,Raw_Data!A:L,12,FALSE)</f>
        <v>113</v>
      </c>
      <c r="E514" s="3">
        <f>VLOOKUP(A514,Raw_Data!A:L,11,FALSE)</f>
        <v>1</v>
      </c>
      <c r="F514" t="str">
        <f>TEXT(VLOOKUP(A514,Raw_Data!A:L,5,FALSE),"mmm")</f>
        <v>Jul</v>
      </c>
    </row>
    <row r="515" spans="1:6" x14ac:dyDescent="0.35">
      <c r="A515" s="3" t="s">
        <v>937</v>
      </c>
      <c r="B515" t="str">
        <f>VLOOKUP(A515,Raw_Data!A:L,6,FALSE)</f>
        <v>Dishwasher</v>
      </c>
      <c r="C515" t="str">
        <f>VLOOKUP(A515,Raw_Data!A:L,3,FALSE)</f>
        <v>Argentina</v>
      </c>
      <c r="D515" s="3">
        <f>VLOOKUP(A515,Raw_Data!A:L,12,FALSE)</f>
        <v>9680</v>
      </c>
      <c r="E515" s="3">
        <f>VLOOKUP(A515,Raw_Data!A:L,11,FALSE)</f>
        <v>22</v>
      </c>
      <c r="F515" t="str">
        <f>TEXT(VLOOKUP(A515,Raw_Data!A:L,5,FALSE),"mmm")</f>
        <v>Feb</v>
      </c>
    </row>
    <row r="516" spans="1:6" x14ac:dyDescent="0.35">
      <c r="A516" s="3" t="s">
        <v>939</v>
      </c>
      <c r="B516" t="str">
        <f>VLOOKUP(A516,Raw_Data!A:L,6,FALSE)</f>
        <v>Coffee grinder</v>
      </c>
      <c r="C516" t="str">
        <f>VLOOKUP(A516,Raw_Data!A:L,3,FALSE)</f>
        <v>Japan</v>
      </c>
      <c r="D516" s="3">
        <f>VLOOKUP(A516,Raw_Data!A:L,12,FALSE)</f>
        <v>1980</v>
      </c>
      <c r="E516" s="3">
        <f>VLOOKUP(A516,Raw_Data!A:L,11,FALSE)</f>
        <v>45</v>
      </c>
      <c r="F516" t="str">
        <f>TEXT(VLOOKUP(A516,Raw_Data!A:L,5,FALSE),"mmm")</f>
        <v>Feb</v>
      </c>
    </row>
    <row r="517" spans="1:6" x14ac:dyDescent="0.35">
      <c r="A517" s="3" t="s">
        <v>941</v>
      </c>
      <c r="B517" t="str">
        <f>VLOOKUP(A517,Raw_Data!A:L,6,FALSE)</f>
        <v>Vacuum Cleaner</v>
      </c>
      <c r="C517" t="str">
        <f>VLOOKUP(A517,Raw_Data!A:L,3,FALSE)</f>
        <v>Poland</v>
      </c>
      <c r="D517" s="3">
        <f>VLOOKUP(A517,Raw_Data!A:L,12,FALSE)</f>
        <v>5402</v>
      </c>
      <c r="E517" s="3">
        <f>VLOOKUP(A517,Raw_Data!A:L,11,FALSE)</f>
        <v>74</v>
      </c>
      <c r="F517" t="str">
        <f>TEXT(VLOOKUP(A517,Raw_Data!A:L,5,FALSE),"mmm")</f>
        <v>Oct</v>
      </c>
    </row>
    <row r="518" spans="1:6" x14ac:dyDescent="0.35">
      <c r="A518" s="3" t="s">
        <v>943</v>
      </c>
      <c r="B518" t="str">
        <f>VLOOKUP(A518,Raw_Data!A:L,6,FALSE)</f>
        <v>Toaster</v>
      </c>
      <c r="C518" t="str">
        <f>VLOOKUP(A518,Raw_Data!A:L,3,FALSE)</f>
        <v>China</v>
      </c>
      <c r="D518" s="3">
        <f>VLOOKUP(A518,Raw_Data!A:L,12,FALSE)</f>
        <v>1938</v>
      </c>
      <c r="E518" s="3">
        <f>VLOOKUP(A518,Raw_Data!A:L,11,FALSE)</f>
        <v>57</v>
      </c>
      <c r="F518" t="str">
        <f>TEXT(VLOOKUP(A518,Raw_Data!A:L,5,FALSE),"mmm")</f>
        <v>Jul</v>
      </c>
    </row>
    <row r="519" spans="1:6" x14ac:dyDescent="0.35">
      <c r="A519" s="3" t="s">
        <v>944</v>
      </c>
      <c r="B519" t="str">
        <f>VLOOKUP(A519,Raw_Data!A:L,6,FALSE)</f>
        <v>Microwave</v>
      </c>
      <c r="C519" t="str">
        <f>VLOOKUP(A519,Raw_Data!A:L,3,FALSE)</f>
        <v>UAE</v>
      </c>
      <c r="D519" s="3">
        <f>VLOOKUP(A519,Raw_Data!A:L,12,FALSE)</f>
        <v>6708</v>
      </c>
      <c r="E519" s="3">
        <f>VLOOKUP(A519,Raw_Data!A:L,11,FALSE)</f>
        <v>86</v>
      </c>
      <c r="F519" t="str">
        <f>TEXT(VLOOKUP(A519,Raw_Data!A:L,5,FALSE),"mmm")</f>
        <v>Nov</v>
      </c>
    </row>
    <row r="520" spans="1:6" x14ac:dyDescent="0.35">
      <c r="A520" s="3" t="s">
        <v>945</v>
      </c>
      <c r="B520" t="str">
        <f>VLOOKUP(A520,Raw_Data!A:L,6,FALSE)</f>
        <v>Ceiling fan</v>
      </c>
      <c r="C520" t="str">
        <f>VLOOKUP(A520,Raw_Data!A:L,3,FALSE)</f>
        <v>Thailand</v>
      </c>
      <c r="D520" s="3">
        <f>VLOOKUP(A520,Raw_Data!A:L,12,FALSE)</f>
        <v>4917</v>
      </c>
      <c r="E520" s="3">
        <f>VLOOKUP(A520,Raw_Data!A:L,11,FALSE)</f>
        <v>33</v>
      </c>
      <c r="F520" t="str">
        <f>TEXT(VLOOKUP(A520,Raw_Data!A:L,5,FALSE),"mmm")</f>
        <v>Jun</v>
      </c>
    </row>
    <row r="521" spans="1:6" x14ac:dyDescent="0.35">
      <c r="A521" s="3" t="s">
        <v>946</v>
      </c>
      <c r="B521" t="str">
        <f>VLOOKUP(A521,Raw_Data!A:L,6,FALSE)</f>
        <v>Vacuum Cleaner</v>
      </c>
      <c r="C521" t="str">
        <f>VLOOKUP(A521,Raw_Data!A:L,3,FALSE)</f>
        <v>USA</v>
      </c>
      <c r="D521" s="3">
        <f>VLOOKUP(A521,Raw_Data!A:L,12,FALSE)</f>
        <v>19750</v>
      </c>
      <c r="E521" s="3">
        <f>VLOOKUP(A521,Raw_Data!A:L,11,FALSE)</f>
        <v>79</v>
      </c>
      <c r="F521" t="str">
        <f>TEXT(VLOOKUP(A521,Raw_Data!A:L,5,FALSE),"mmm")</f>
        <v>Sep</v>
      </c>
    </row>
    <row r="522" spans="1:6" x14ac:dyDescent="0.35">
      <c r="A522" s="3" t="s">
        <v>948</v>
      </c>
      <c r="B522" t="str">
        <f>VLOOKUP(A522,Raw_Data!A:L,6,FALSE)</f>
        <v>Air conditioner</v>
      </c>
      <c r="C522" t="str">
        <f>VLOOKUP(A522,Raw_Data!A:L,3,FALSE)</f>
        <v>South Africa</v>
      </c>
      <c r="D522" s="3">
        <f>VLOOKUP(A522,Raw_Data!A:L,12,FALSE)</f>
        <v>44555</v>
      </c>
      <c r="E522" s="3">
        <f>VLOOKUP(A522,Raw_Data!A:L,11,FALSE)</f>
        <v>67</v>
      </c>
      <c r="F522" t="str">
        <f>TEXT(VLOOKUP(A522,Raw_Data!A:L,5,FALSE),"mmm")</f>
        <v>Apr</v>
      </c>
    </row>
    <row r="523" spans="1:6" x14ac:dyDescent="0.35">
      <c r="A523" s="3" t="s">
        <v>950</v>
      </c>
      <c r="B523" t="str">
        <f>VLOOKUP(A523,Raw_Data!A:L,6,FALSE)</f>
        <v>Ceiling fan</v>
      </c>
      <c r="C523" t="str">
        <f>VLOOKUP(A523,Raw_Data!A:L,3,FALSE)</f>
        <v>Colombia</v>
      </c>
      <c r="D523" s="3">
        <f>VLOOKUP(A523,Raw_Data!A:L,12,FALSE)</f>
        <v>12600</v>
      </c>
      <c r="E523" s="3">
        <f>VLOOKUP(A523,Raw_Data!A:L,11,FALSE)</f>
        <v>90</v>
      </c>
      <c r="F523" t="str">
        <f>TEXT(VLOOKUP(A523,Raw_Data!A:L,5,FALSE),"mmm")</f>
        <v>Jan</v>
      </c>
    </row>
    <row r="524" spans="1:6" x14ac:dyDescent="0.35">
      <c r="A524" s="3" t="s">
        <v>951</v>
      </c>
      <c r="B524" t="str">
        <f>VLOOKUP(A524,Raw_Data!A:L,6,FALSE)</f>
        <v>Washing Machine</v>
      </c>
      <c r="C524" t="str">
        <f>VLOOKUP(A524,Raw_Data!A:L,3,FALSE)</f>
        <v>Spain</v>
      </c>
      <c r="D524" s="3">
        <f>VLOOKUP(A524,Raw_Data!A:L,12,FALSE)</f>
        <v>43560</v>
      </c>
      <c r="E524" s="3">
        <f>VLOOKUP(A524,Raw_Data!A:L,11,FALSE)</f>
        <v>55</v>
      </c>
      <c r="F524" t="str">
        <f>TEXT(VLOOKUP(A524,Raw_Data!A:L,5,FALSE),"mmm")</f>
        <v>Jan</v>
      </c>
    </row>
    <row r="525" spans="1:6" x14ac:dyDescent="0.35">
      <c r="A525" s="3" t="s">
        <v>952</v>
      </c>
      <c r="B525" t="str">
        <f>VLOOKUP(A525,Raw_Data!A:L,6,FALSE)</f>
        <v>Ceiling fan</v>
      </c>
      <c r="C525" t="str">
        <f>VLOOKUP(A525,Raw_Data!A:L,3,FALSE)</f>
        <v>Japan</v>
      </c>
      <c r="D525" s="3">
        <f>VLOOKUP(A525,Raw_Data!A:L,12,FALSE)</f>
        <v>3864</v>
      </c>
      <c r="E525" s="3">
        <f>VLOOKUP(A525,Raw_Data!A:L,11,FALSE)</f>
        <v>28</v>
      </c>
      <c r="F525" t="str">
        <f>TEXT(VLOOKUP(A525,Raw_Data!A:L,5,FALSE),"mmm")</f>
        <v>Dec</v>
      </c>
    </row>
    <row r="526" spans="1:6" x14ac:dyDescent="0.35">
      <c r="A526" s="3" t="s">
        <v>953</v>
      </c>
      <c r="B526" t="str">
        <f>VLOOKUP(A526,Raw_Data!A:L,6,FALSE)</f>
        <v>Iron</v>
      </c>
      <c r="C526" t="str">
        <f>VLOOKUP(A526,Raw_Data!A:L,3,FALSE)</f>
        <v>Israel</v>
      </c>
      <c r="D526" s="3">
        <f>VLOOKUP(A526,Raw_Data!A:L,12,FALSE)</f>
        <v>1656</v>
      </c>
      <c r="E526" s="3">
        <f>VLOOKUP(A526,Raw_Data!A:L,11,FALSE)</f>
        <v>72</v>
      </c>
      <c r="F526" t="str">
        <f>TEXT(VLOOKUP(A526,Raw_Data!A:L,5,FALSE),"mmm")</f>
        <v>Nov</v>
      </c>
    </row>
    <row r="527" spans="1:6" x14ac:dyDescent="0.35">
      <c r="A527" s="3" t="s">
        <v>955</v>
      </c>
      <c r="B527" t="str">
        <f>VLOOKUP(A527,Raw_Data!A:L,6,FALSE)</f>
        <v>Microwave</v>
      </c>
      <c r="C527" t="str">
        <f>VLOOKUP(A527,Raw_Data!A:L,3,FALSE)</f>
        <v>Mexico</v>
      </c>
      <c r="D527" s="3">
        <f>VLOOKUP(A527,Raw_Data!A:L,12,FALSE)</f>
        <v>4524</v>
      </c>
      <c r="E527" s="3">
        <f>VLOOKUP(A527,Raw_Data!A:L,11,FALSE)</f>
        <v>58</v>
      </c>
      <c r="F527" t="str">
        <f>TEXT(VLOOKUP(A527,Raw_Data!A:L,5,FALSE),"mmm")</f>
        <v>Dec</v>
      </c>
    </row>
    <row r="528" spans="1:6" x14ac:dyDescent="0.35">
      <c r="A528" s="3" t="s">
        <v>956</v>
      </c>
      <c r="B528" t="str">
        <f>VLOOKUP(A528,Raw_Data!A:L,6,FALSE)</f>
        <v>Toaster</v>
      </c>
      <c r="C528" t="str">
        <f>VLOOKUP(A528,Raw_Data!A:L,3,FALSE)</f>
        <v>Canada</v>
      </c>
      <c r="D528" s="3">
        <f>VLOOKUP(A528,Raw_Data!A:L,12,FALSE)</f>
        <v>3577</v>
      </c>
      <c r="E528" s="3">
        <f>VLOOKUP(A528,Raw_Data!A:L,11,FALSE)</f>
        <v>73</v>
      </c>
      <c r="F528" t="str">
        <f>TEXT(VLOOKUP(A528,Raw_Data!A:L,5,FALSE),"mmm")</f>
        <v>Apr</v>
      </c>
    </row>
    <row r="529" spans="1:6" x14ac:dyDescent="0.35">
      <c r="A529" s="3" t="s">
        <v>957</v>
      </c>
      <c r="B529" t="str">
        <f>VLOOKUP(A529,Raw_Data!A:L,6,FALSE)</f>
        <v>Vacuum Cleaner</v>
      </c>
      <c r="C529" t="str">
        <f>VLOOKUP(A529,Raw_Data!A:L,3,FALSE)</f>
        <v>Ireland</v>
      </c>
      <c r="D529" s="3">
        <f>VLOOKUP(A529,Raw_Data!A:L,12,FALSE)</f>
        <v>3290</v>
      </c>
      <c r="E529" s="3">
        <f>VLOOKUP(A529,Raw_Data!A:L,11,FALSE)</f>
        <v>14</v>
      </c>
      <c r="F529" t="str">
        <f>TEXT(VLOOKUP(A529,Raw_Data!A:L,5,FALSE),"mmm")</f>
        <v>Oct</v>
      </c>
    </row>
    <row r="530" spans="1:6" x14ac:dyDescent="0.35">
      <c r="A530" s="3" t="s">
        <v>958</v>
      </c>
      <c r="B530" t="str">
        <f>VLOOKUP(A530,Raw_Data!A:L,6,FALSE)</f>
        <v>Oven</v>
      </c>
      <c r="C530" t="str">
        <f>VLOOKUP(A530,Raw_Data!A:L,3,FALSE)</f>
        <v>USA</v>
      </c>
      <c r="D530" s="3">
        <f>VLOOKUP(A530,Raw_Data!A:L,12,FALSE)</f>
        <v>42140</v>
      </c>
      <c r="E530" s="3">
        <f>VLOOKUP(A530,Raw_Data!A:L,11,FALSE)</f>
        <v>86</v>
      </c>
      <c r="F530" t="str">
        <f>TEXT(VLOOKUP(A530,Raw_Data!A:L,5,FALSE),"mmm")</f>
        <v>Jul</v>
      </c>
    </row>
    <row r="531" spans="1:6" x14ac:dyDescent="0.35">
      <c r="A531" s="3" t="s">
        <v>960</v>
      </c>
      <c r="B531" t="str">
        <f>VLOOKUP(A531,Raw_Data!A:L,6,FALSE)</f>
        <v>Air conditioner</v>
      </c>
      <c r="C531" t="str">
        <f>VLOOKUP(A531,Raw_Data!A:L,3,FALSE)</f>
        <v>UAE</v>
      </c>
      <c r="D531" s="3">
        <f>VLOOKUP(A531,Raw_Data!A:L,12,FALSE)</f>
        <v>24150</v>
      </c>
      <c r="E531" s="3">
        <f>VLOOKUP(A531,Raw_Data!A:L,11,FALSE)</f>
        <v>46</v>
      </c>
      <c r="F531" t="str">
        <f>TEXT(VLOOKUP(A531,Raw_Data!A:L,5,FALSE),"mmm")</f>
        <v>Aug</v>
      </c>
    </row>
    <row r="532" spans="1:6" x14ac:dyDescent="0.35">
      <c r="A532" s="3" t="s">
        <v>961</v>
      </c>
      <c r="B532" t="str">
        <f>VLOOKUP(A532,Raw_Data!A:L,6,FALSE)</f>
        <v>Microwave</v>
      </c>
      <c r="C532" t="str">
        <f>VLOOKUP(A532,Raw_Data!A:L,3,FALSE)</f>
        <v>Spain</v>
      </c>
      <c r="D532" s="3">
        <f>VLOOKUP(A532,Raw_Data!A:L,12,FALSE)</f>
        <v>888</v>
      </c>
      <c r="E532" s="3">
        <f>VLOOKUP(A532,Raw_Data!A:L,11,FALSE)</f>
        <v>12</v>
      </c>
      <c r="F532" t="str">
        <f>TEXT(VLOOKUP(A532,Raw_Data!A:L,5,FALSE),"mmm")</f>
        <v>Oct</v>
      </c>
    </row>
    <row r="533" spans="1:6" x14ac:dyDescent="0.35">
      <c r="A533" s="3" t="s">
        <v>962</v>
      </c>
      <c r="B533" t="str">
        <f>VLOOKUP(A533,Raw_Data!A:L,6,FALSE)</f>
        <v>Washing Machine</v>
      </c>
      <c r="C533" t="str">
        <f>VLOOKUP(A533,Raw_Data!A:L,3,FALSE)</f>
        <v>India</v>
      </c>
      <c r="D533" s="3">
        <f>VLOOKUP(A533,Raw_Data!A:L,12,FALSE)</f>
        <v>6960</v>
      </c>
      <c r="E533" s="3">
        <f>VLOOKUP(A533,Raw_Data!A:L,11,FALSE)</f>
        <v>10</v>
      </c>
      <c r="F533" t="str">
        <f>TEXT(VLOOKUP(A533,Raw_Data!A:L,5,FALSE),"mmm")</f>
        <v>Aug</v>
      </c>
    </row>
    <row r="534" spans="1:6" x14ac:dyDescent="0.35">
      <c r="A534" s="3" t="s">
        <v>964</v>
      </c>
      <c r="B534" t="str">
        <f>VLOOKUP(A534,Raw_Data!A:L,6,FALSE)</f>
        <v>Blender</v>
      </c>
      <c r="C534" t="str">
        <f>VLOOKUP(A534,Raw_Data!A:L,3,FALSE)</f>
        <v>Romania</v>
      </c>
      <c r="D534" s="3">
        <f>VLOOKUP(A534,Raw_Data!A:L,12,FALSE)</f>
        <v>2150</v>
      </c>
      <c r="E534" s="3">
        <f>VLOOKUP(A534,Raw_Data!A:L,11,FALSE)</f>
        <v>43</v>
      </c>
      <c r="F534" t="str">
        <f>TEXT(VLOOKUP(A534,Raw_Data!A:L,5,FALSE),"mmm")</f>
        <v>Feb</v>
      </c>
    </row>
    <row r="535" spans="1:6" x14ac:dyDescent="0.35">
      <c r="A535" s="3" t="s">
        <v>965</v>
      </c>
      <c r="B535" t="str">
        <f>VLOOKUP(A535,Raw_Data!A:L,6,FALSE)</f>
        <v>Toaster</v>
      </c>
      <c r="C535" t="str">
        <f>VLOOKUP(A535,Raw_Data!A:L,3,FALSE)</f>
        <v>Egypt</v>
      </c>
      <c r="D535" s="3">
        <f>VLOOKUP(A535,Raw_Data!A:L,12,FALSE)</f>
        <v>1650</v>
      </c>
      <c r="E535" s="3">
        <f>VLOOKUP(A535,Raw_Data!A:L,11,FALSE)</f>
        <v>33</v>
      </c>
      <c r="F535" t="str">
        <f>TEXT(VLOOKUP(A535,Raw_Data!A:L,5,FALSE),"mmm")</f>
        <v>Apr</v>
      </c>
    </row>
    <row r="536" spans="1:6" x14ac:dyDescent="0.35">
      <c r="A536" s="3" t="s">
        <v>966</v>
      </c>
      <c r="B536" t="str">
        <f>VLOOKUP(A536,Raw_Data!A:L,6,FALSE)</f>
        <v>Vacuum Cleaner</v>
      </c>
      <c r="C536" t="str">
        <f>VLOOKUP(A536,Raw_Data!A:L,3,FALSE)</f>
        <v>Germany</v>
      </c>
      <c r="D536" s="3">
        <f>VLOOKUP(A536,Raw_Data!A:L,12,FALSE)</f>
        <v>2925</v>
      </c>
      <c r="E536" s="3">
        <f>VLOOKUP(A536,Raw_Data!A:L,11,FALSE)</f>
        <v>13</v>
      </c>
      <c r="F536" t="str">
        <f>TEXT(VLOOKUP(A536,Raw_Data!A:L,5,FALSE),"mmm")</f>
        <v>Jun</v>
      </c>
    </row>
    <row r="537" spans="1:6" x14ac:dyDescent="0.35">
      <c r="A537" s="3" t="s">
        <v>967</v>
      </c>
      <c r="B537" t="str">
        <f>VLOOKUP(A537,Raw_Data!A:L,6,FALSE)</f>
        <v>Washing Machine</v>
      </c>
      <c r="C537" t="str">
        <f>VLOOKUP(A537,Raw_Data!A:L,3,FALSE)</f>
        <v>Czech Republic</v>
      </c>
      <c r="D537" s="3">
        <f>VLOOKUP(A537,Raw_Data!A:L,12,FALSE)</f>
        <v>40280</v>
      </c>
      <c r="E537" s="3">
        <f>VLOOKUP(A537,Raw_Data!A:L,11,FALSE)</f>
        <v>53</v>
      </c>
      <c r="F537" t="str">
        <f>TEXT(VLOOKUP(A537,Raw_Data!A:L,5,FALSE),"mmm")</f>
        <v>Nov</v>
      </c>
    </row>
    <row r="538" spans="1:6" x14ac:dyDescent="0.35">
      <c r="A538" s="3" t="s">
        <v>968</v>
      </c>
      <c r="B538" t="str">
        <f>VLOOKUP(A538,Raw_Data!A:L,6,FALSE)</f>
        <v>Blender</v>
      </c>
      <c r="C538" t="str">
        <f>VLOOKUP(A538,Raw_Data!A:L,3,FALSE)</f>
        <v>Japan</v>
      </c>
      <c r="D538" s="3">
        <f>VLOOKUP(A538,Raw_Data!A:L,12,FALSE)</f>
        <v>3773</v>
      </c>
      <c r="E538" s="3">
        <f>VLOOKUP(A538,Raw_Data!A:L,11,FALSE)</f>
        <v>77</v>
      </c>
      <c r="F538" t="str">
        <f>TEXT(VLOOKUP(A538,Raw_Data!A:L,5,FALSE),"mmm")</f>
        <v>Jun</v>
      </c>
    </row>
    <row r="539" spans="1:6" x14ac:dyDescent="0.35">
      <c r="A539" s="3" t="s">
        <v>969</v>
      </c>
      <c r="B539" t="str">
        <f>VLOOKUP(A539,Raw_Data!A:L,6,FALSE)</f>
        <v>Oven</v>
      </c>
      <c r="C539" t="str">
        <f>VLOOKUP(A539,Raw_Data!A:L,3,FALSE)</f>
        <v>France</v>
      </c>
      <c r="D539" s="3">
        <f>VLOOKUP(A539,Raw_Data!A:L,12,FALSE)</f>
        <v>4950</v>
      </c>
      <c r="E539" s="3">
        <f>VLOOKUP(A539,Raw_Data!A:L,11,FALSE)</f>
        <v>10</v>
      </c>
      <c r="F539" t="str">
        <f>TEXT(VLOOKUP(A539,Raw_Data!A:L,5,FALSE),"mmm")</f>
        <v>Jan</v>
      </c>
    </row>
    <row r="540" spans="1:6" x14ac:dyDescent="0.35">
      <c r="A540" s="3" t="s">
        <v>970</v>
      </c>
      <c r="B540" t="str">
        <f>VLOOKUP(A540,Raw_Data!A:L,6,FALSE)</f>
        <v>Vacuum Cleaner</v>
      </c>
      <c r="C540" t="str">
        <f>VLOOKUP(A540,Raw_Data!A:L,3,FALSE)</f>
        <v>China</v>
      </c>
      <c r="D540" s="3">
        <f>VLOOKUP(A540,Raw_Data!A:L,12,FALSE)</f>
        <v>3621</v>
      </c>
      <c r="E540" s="3">
        <f>VLOOKUP(A540,Raw_Data!A:L,11,FALSE)</f>
        <v>17</v>
      </c>
      <c r="F540" t="str">
        <f>TEXT(VLOOKUP(A540,Raw_Data!A:L,5,FALSE),"mmm")</f>
        <v>Sep</v>
      </c>
    </row>
    <row r="541" spans="1:6" x14ac:dyDescent="0.35">
      <c r="A541" s="3" t="s">
        <v>972</v>
      </c>
      <c r="B541" t="str">
        <f>VLOOKUP(A541,Raw_Data!A:L,6,FALSE)</f>
        <v>Air conditioner</v>
      </c>
      <c r="C541" t="str">
        <f>VLOOKUP(A541,Raw_Data!A:L,3,FALSE)</f>
        <v>USA</v>
      </c>
      <c r="D541" s="3">
        <f>VLOOKUP(A541,Raw_Data!A:L,12,FALSE)</f>
        <v>60984</v>
      </c>
      <c r="E541" s="3">
        <f>VLOOKUP(A541,Raw_Data!A:L,11,FALSE)</f>
        <v>88</v>
      </c>
      <c r="F541" t="str">
        <f>TEXT(VLOOKUP(A541,Raw_Data!A:L,5,FALSE),"mmm")</f>
        <v>Oct</v>
      </c>
    </row>
    <row r="542" spans="1:6" x14ac:dyDescent="0.35">
      <c r="A542" s="3" t="s">
        <v>974</v>
      </c>
      <c r="B542" t="str">
        <f>VLOOKUP(A542,Raw_Data!A:L,6,FALSE)</f>
        <v>Iron</v>
      </c>
      <c r="C542" t="str">
        <f>VLOOKUP(A542,Raw_Data!A:L,3,FALSE)</f>
        <v>Israel</v>
      </c>
      <c r="D542" s="3">
        <f>VLOOKUP(A542,Raw_Data!A:L,12,FALSE)</f>
        <v>2464</v>
      </c>
      <c r="E542" s="3">
        <f>VLOOKUP(A542,Raw_Data!A:L,11,FALSE)</f>
        <v>88</v>
      </c>
      <c r="F542" t="str">
        <f>TEXT(VLOOKUP(A542,Raw_Data!A:L,5,FALSE),"mmm")</f>
        <v>Nov</v>
      </c>
    </row>
    <row r="543" spans="1:6" x14ac:dyDescent="0.35">
      <c r="A543" s="3" t="s">
        <v>975</v>
      </c>
      <c r="B543" t="str">
        <f>VLOOKUP(A543,Raw_Data!A:L,6,FALSE)</f>
        <v>Air conditioner</v>
      </c>
      <c r="C543" t="str">
        <f>VLOOKUP(A543,Raw_Data!A:L,3,FALSE)</f>
        <v>Austria</v>
      </c>
      <c r="D543" s="3">
        <f>VLOOKUP(A543,Raw_Data!A:L,12,FALSE)</f>
        <v>27972</v>
      </c>
      <c r="E543" s="3">
        <f>VLOOKUP(A543,Raw_Data!A:L,11,FALSE)</f>
        <v>54</v>
      </c>
      <c r="F543" t="str">
        <f>TEXT(VLOOKUP(A543,Raw_Data!A:L,5,FALSE),"mmm")</f>
        <v>May</v>
      </c>
    </row>
    <row r="544" spans="1:6" x14ac:dyDescent="0.35">
      <c r="A544" s="3" t="s">
        <v>976</v>
      </c>
      <c r="B544" t="str">
        <f>VLOOKUP(A544,Raw_Data!A:L,6,FALSE)</f>
        <v>Oven</v>
      </c>
      <c r="C544" t="str">
        <f>VLOOKUP(A544,Raw_Data!A:L,3,FALSE)</f>
        <v>Peru</v>
      </c>
      <c r="D544" s="3">
        <f>VLOOKUP(A544,Raw_Data!A:L,12,FALSE)</f>
        <v>3465</v>
      </c>
      <c r="E544" s="3">
        <f>VLOOKUP(A544,Raw_Data!A:L,11,FALSE)</f>
        <v>7</v>
      </c>
      <c r="F544" t="str">
        <f>TEXT(VLOOKUP(A544,Raw_Data!A:L,5,FALSE),"mmm")</f>
        <v>Jun</v>
      </c>
    </row>
    <row r="545" spans="1:6" x14ac:dyDescent="0.35">
      <c r="A545" s="3" t="s">
        <v>977</v>
      </c>
      <c r="B545" t="str">
        <f>VLOOKUP(A545,Raw_Data!A:L,6,FALSE)</f>
        <v>Iron</v>
      </c>
      <c r="C545" t="str">
        <f>VLOOKUP(A545,Raw_Data!A:L,3,FALSE)</f>
        <v>Mexico</v>
      </c>
      <c r="D545" s="3">
        <f>VLOOKUP(A545,Raw_Data!A:L,12,FALSE)</f>
        <v>1218</v>
      </c>
      <c r="E545" s="3">
        <f>VLOOKUP(A545,Raw_Data!A:L,11,FALSE)</f>
        <v>58</v>
      </c>
      <c r="F545" t="str">
        <f>TEXT(VLOOKUP(A545,Raw_Data!A:L,5,FALSE),"mmm")</f>
        <v>May</v>
      </c>
    </row>
    <row r="546" spans="1:6" x14ac:dyDescent="0.35">
      <c r="A546" s="3" t="s">
        <v>978</v>
      </c>
      <c r="B546" t="str">
        <f>VLOOKUP(A546,Raw_Data!A:L,6,FALSE)</f>
        <v>Refrigerator</v>
      </c>
      <c r="C546" t="str">
        <f>VLOOKUP(A546,Raw_Data!A:L,3,FALSE)</f>
        <v>USA</v>
      </c>
      <c r="D546" s="3">
        <f>VLOOKUP(A546,Raw_Data!A:L,12,FALSE)</f>
        <v>53900</v>
      </c>
      <c r="E546" s="3">
        <f>VLOOKUP(A546,Raw_Data!A:L,11,FALSE)</f>
        <v>77</v>
      </c>
      <c r="F546" t="str">
        <f>TEXT(VLOOKUP(A546,Raw_Data!A:L,5,FALSE),"mmm")</f>
        <v>Sep</v>
      </c>
    </row>
    <row r="547" spans="1:6" x14ac:dyDescent="0.35">
      <c r="A547" s="3" t="s">
        <v>979</v>
      </c>
      <c r="B547" t="str">
        <f>VLOOKUP(A547,Raw_Data!A:L,6,FALSE)</f>
        <v>Toaster</v>
      </c>
      <c r="C547" t="str">
        <f>VLOOKUP(A547,Raw_Data!A:L,3,FALSE)</f>
        <v>Malaysia</v>
      </c>
      <c r="D547" s="3">
        <f>VLOOKUP(A547,Raw_Data!A:L,12,FALSE)</f>
        <v>1216</v>
      </c>
      <c r="E547" s="3">
        <f>VLOOKUP(A547,Raw_Data!A:L,11,FALSE)</f>
        <v>38</v>
      </c>
      <c r="F547" t="str">
        <f>TEXT(VLOOKUP(A547,Raw_Data!A:L,5,FALSE),"mmm")</f>
        <v>Apr</v>
      </c>
    </row>
    <row r="548" spans="1:6" x14ac:dyDescent="0.35">
      <c r="A548" s="3" t="s">
        <v>980</v>
      </c>
      <c r="B548" t="str">
        <f>VLOOKUP(A548,Raw_Data!A:L,6,FALSE)</f>
        <v>Washing Machine</v>
      </c>
      <c r="C548" t="str">
        <f>VLOOKUP(A548,Raw_Data!A:L,3,FALSE)</f>
        <v>Greece</v>
      </c>
      <c r="D548" s="3">
        <f>VLOOKUP(A548,Raw_Data!A:L,12,FALSE)</f>
        <v>16432</v>
      </c>
      <c r="E548" s="3">
        <f>VLOOKUP(A548,Raw_Data!A:L,11,FALSE)</f>
        <v>26</v>
      </c>
      <c r="F548" t="str">
        <f>TEXT(VLOOKUP(A548,Raw_Data!A:L,5,FALSE),"mmm")</f>
        <v>Oct</v>
      </c>
    </row>
    <row r="549" spans="1:6" x14ac:dyDescent="0.35">
      <c r="A549" s="3" t="s">
        <v>981</v>
      </c>
      <c r="B549" t="str">
        <f>VLOOKUP(A549,Raw_Data!A:L,6,FALSE)</f>
        <v>Dishwasher</v>
      </c>
      <c r="C549" t="str">
        <f>VLOOKUP(A549,Raw_Data!A:L,3,FALSE)</f>
        <v>USA</v>
      </c>
      <c r="D549" s="3">
        <f>VLOOKUP(A549,Raw_Data!A:L,12,FALSE)</f>
        <v>22050</v>
      </c>
      <c r="E549" s="3">
        <f>VLOOKUP(A549,Raw_Data!A:L,11,FALSE)</f>
        <v>49</v>
      </c>
      <c r="F549" t="str">
        <f>TEXT(VLOOKUP(A549,Raw_Data!A:L,5,FALSE),"mmm")</f>
        <v>Dec</v>
      </c>
    </row>
    <row r="550" spans="1:6" x14ac:dyDescent="0.35">
      <c r="A550" s="3" t="s">
        <v>983</v>
      </c>
      <c r="B550" t="str">
        <f>VLOOKUP(A550,Raw_Data!A:L,6,FALSE)</f>
        <v>Toaster</v>
      </c>
      <c r="C550" t="str">
        <f>VLOOKUP(A550,Raw_Data!A:L,3,FALSE)</f>
        <v>Brazil</v>
      </c>
      <c r="D550" s="3">
        <f>VLOOKUP(A550,Raw_Data!A:L,12,FALSE)</f>
        <v>294</v>
      </c>
      <c r="E550" s="3">
        <f>VLOOKUP(A550,Raw_Data!A:L,11,FALSE)</f>
        <v>6</v>
      </c>
      <c r="F550" t="str">
        <f>TEXT(VLOOKUP(A550,Raw_Data!A:L,5,FALSE),"mmm")</f>
        <v>Aug</v>
      </c>
    </row>
    <row r="551" spans="1:6" x14ac:dyDescent="0.35">
      <c r="A551" s="3" t="s">
        <v>984</v>
      </c>
      <c r="B551" t="str">
        <f>VLOOKUP(A551,Raw_Data!A:L,6,FALSE)</f>
        <v>Washing Machine</v>
      </c>
      <c r="C551" t="str">
        <f>VLOOKUP(A551,Raw_Data!A:L,3,FALSE)</f>
        <v>Argentina</v>
      </c>
      <c r="D551" s="3">
        <f>VLOOKUP(A551,Raw_Data!A:L,12,FALSE)</f>
        <v>6384</v>
      </c>
      <c r="E551" s="3">
        <f>VLOOKUP(A551,Raw_Data!A:L,11,FALSE)</f>
        <v>14</v>
      </c>
      <c r="F551" t="str">
        <f>TEXT(VLOOKUP(A551,Raw_Data!A:L,5,FALSE),"mmm")</f>
        <v>Jun</v>
      </c>
    </row>
    <row r="552" spans="1:6" x14ac:dyDescent="0.35">
      <c r="A552" s="3" t="s">
        <v>986</v>
      </c>
      <c r="B552" t="str">
        <f>VLOOKUP(A552,Raw_Data!A:L,6,FALSE)</f>
        <v>Blender</v>
      </c>
      <c r="C552" t="str">
        <f>VLOOKUP(A552,Raw_Data!A:L,3,FALSE)</f>
        <v>Egypt</v>
      </c>
      <c r="D552" s="3">
        <f>VLOOKUP(A552,Raw_Data!A:L,12,FALSE)</f>
        <v>1550</v>
      </c>
      <c r="E552" s="3">
        <f>VLOOKUP(A552,Raw_Data!A:L,11,FALSE)</f>
        <v>50</v>
      </c>
      <c r="F552" t="str">
        <f>TEXT(VLOOKUP(A552,Raw_Data!A:L,5,FALSE),"mmm")</f>
        <v>Jan</v>
      </c>
    </row>
    <row r="553" spans="1:6" x14ac:dyDescent="0.35">
      <c r="A553" s="3" t="s">
        <v>987</v>
      </c>
      <c r="B553" t="str">
        <f>VLOOKUP(A553,Raw_Data!A:L,6,FALSE)</f>
        <v>Microwave</v>
      </c>
      <c r="C553" t="str">
        <f>VLOOKUP(A553,Raw_Data!A:L,3,FALSE)</f>
        <v>USA</v>
      </c>
      <c r="D553" s="3">
        <f>VLOOKUP(A553,Raw_Data!A:L,12,FALSE)</f>
        <v>2415</v>
      </c>
      <c r="E553" s="3">
        <f>VLOOKUP(A553,Raw_Data!A:L,11,FALSE)</f>
        <v>35</v>
      </c>
      <c r="F553" t="str">
        <f>TEXT(VLOOKUP(A553,Raw_Data!A:L,5,FALSE),"mmm")</f>
        <v>Dec</v>
      </c>
    </row>
    <row r="554" spans="1:6" x14ac:dyDescent="0.35">
      <c r="A554" s="3" t="s">
        <v>988</v>
      </c>
      <c r="B554" t="str">
        <f>VLOOKUP(A554,Raw_Data!A:L,6,FALSE)</f>
        <v>Microwave</v>
      </c>
      <c r="C554" t="str">
        <f>VLOOKUP(A554,Raw_Data!A:L,3,FALSE)</f>
        <v>Netherlands</v>
      </c>
      <c r="D554" s="3">
        <f>VLOOKUP(A554,Raw_Data!A:L,12,FALSE)</f>
        <v>6510</v>
      </c>
      <c r="E554" s="3">
        <f>VLOOKUP(A554,Raw_Data!A:L,11,FALSE)</f>
        <v>93</v>
      </c>
      <c r="F554" t="str">
        <f>TEXT(VLOOKUP(A554,Raw_Data!A:L,5,FALSE),"mmm")</f>
        <v>Nov</v>
      </c>
    </row>
    <row r="555" spans="1:6" x14ac:dyDescent="0.35">
      <c r="A555" s="3" t="s">
        <v>989</v>
      </c>
      <c r="B555" t="str">
        <f>VLOOKUP(A555,Raw_Data!A:L,6,FALSE)</f>
        <v>Vacuum Cleaner</v>
      </c>
      <c r="C555" t="str">
        <f>VLOOKUP(A555,Raw_Data!A:L,3,FALSE)</f>
        <v>Turkey</v>
      </c>
      <c r="D555" s="3">
        <f>VLOOKUP(A555,Raw_Data!A:L,12,FALSE)</f>
        <v>13440</v>
      </c>
      <c r="E555" s="3">
        <f>VLOOKUP(A555,Raw_Data!A:L,11,FALSE)</f>
        <v>56</v>
      </c>
      <c r="F555" t="str">
        <f>TEXT(VLOOKUP(A555,Raw_Data!A:L,5,FALSE),"mmm")</f>
        <v>Jan</v>
      </c>
    </row>
    <row r="556" spans="1:6" x14ac:dyDescent="0.35">
      <c r="A556" s="3" t="s">
        <v>990</v>
      </c>
      <c r="B556" t="str">
        <f>VLOOKUP(A556,Raw_Data!A:L,6,FALSE)</f>
        <v>Ceiling fan</v>
      </c>
      <c r="C556" t="str">
        <f>VLOOKUP(A556,Raw_Data!A:L,3,FALSE)</f>
        <v>USA</v>
      </c>
      <c r="D556" s="3">
        <f>VLOOKUP(A556,Raw_Data!A:L,12,FALSE)</f>
        <v>3300</v>
      </c>
      <c r="E556" s="3">
        <f>VLOOKUP(A556,Raw_Data!A:L,11,FALSE)</f>
        <v>25</v>
      </c>
      <c r="F556" t="str">
        <f>TEXT(VLOOKUP(A556,Raw_Data!A:L,5,FALSE),"mmm")</f>
        <v>Jun</v>
      </c>
    </row>
    <row r="557" spans="1:6" x14ac:dyDescent="0.35">
      <c r="A557" s="3" t="s">
        <v>991</v>
      </c>
      <c r="B557" t="str">
        <f>VLOOKUP(A557,Raw_Data!A:L,6,FALSE)</f>
        <v>Iron</v>
      </c>
      <c r="C557" t="str">
        <f>VLOOKUP(A557,Raw_Data!A:L,3,FALSE)</f>
        <v>South Africa</v>
      </c>
      <c r="D557" s="3">
        <f>VLOOKUP(A557,Raw_Data!A:L,12,FALSE)</f>
        <v>1161</v>
      </c>
      <c r="E557" s="3">
        <f>VLOOKUP(A557,Raw_Data!A:L,11,FALSE)</f>
        <v>43</v>
      </c>
      <c r="F557" t="str">
        <f>TEXT(VLOOKUP(A557,Raw_Data!A:L,5,FALSE),"mmm")</f>
        <v>Oct</v>
      </c>
    </row>
    <row r="558" spans="1:6" x14ac:dyDescent="0.35">
      <c r="A558" s="3" t="s">
        <v>992</v>
      </c>
      <c r="B558" t="str">
        <f>VLOOKUP(A558,Raw_Data!A:L,6,FALSE)</f>
        <v>Washing Machine</v>
      </c>
      <c r="C558" t="str">
        <f>VLOOKUP(A558,Raw_Data!A:L,3,FALSE)</f>
        <v>Ireland</v>
      </c>
      <c r="D558" s="3">
        <f>VLOOKUP(A558,Raw_Data!A:L,12,FALSE)</f>
        <v>47424</v>
      </c>
      <c r="E558" s="3">
        <f>VLOOKUP(A558,Raw_Data!A:L,11,FALSE)</f>
        <v>76</v>
      </c>
      <c r="F558" t="str">
        <f>TEXT(VLOOKUP(A558,Raw_Data!A:L,5,FALSE),"mmm")</f>
        <v>Jul</v>
      </c>
    </row>
    <row r="559" spans="1:6" x14ac:dyDescent="0.35">
      <c r="A559" s="3" t="s">
        <v>993</v>
      </c>
      <c r="B559" t="str">
        <f>VLOOKUP(A559,Raw_Data!A:L,6,FALSE)</f>
        <v>Coffee grinder</v>
      </c>
      <c r="C559" t="str">
        <f>VLOOKUP(A559,Raw_Data!A:L,3,FALSE)</f>
        <v>USA</v>
      </c>
      <c r="D559" s="3">
        <f>VLOOKUP(A559,Raw_Data!A:L,12,FALSE)</f>
        <v>5148</v>
      </c>
      <c r="E559" s="3">
        <f>VLOOKUP(A559,Raw_Data!A:L,11,FALSE)</f>
        <v>99</v>
      </c>
      <c r="F559" t="str">
        <f>TEXT(VLOOKUP(A559,Raw_Data!A:L,5,FALSE),"mmm")</f>
        <v>Jul</v>
      </c>
    </row>
    <row r="560" spans="1:6" x14ac:dyDescent="0.35">
      <c r="A560" s="3" t="s">
        <v>995</v>
      </c>
      <c r="B560" t="str">
        <f>VLOOKUP(A560,Raw_Data!A:L,6,FALSE)</f>
        <v>Microwave</v>
      </c>
      <c r="C560" t="str">
        <f>VLOOKUP(A560,Raw_Data!A:L,3,FALSE)</f>
        <v>South Korea</v>
      </c>
      <c r="D560" s="3">
        <f>VLOOKUP(A560,Raw_Data!A:L,12,FALSE)</f>
        <v>7469</v>
      </c>
      <c r="E560" s="3">
        <f>VLOOKUP(A560,Raw_Data!A:L,11,FALSE)</f>
        <v>97</v>
      </c>
      <c r="F560" t="str">
        <f>TEXT(VLOOKUP(A560,Raw_Data!A:L,5,FALSE),"mmm")</f>
        <v>Nov</v>
      </c>
    </row>
    <row r="561" spans="1:6" x14ac:dyDescent="0.35">
      <c r="A561" s="3" t="s">
        <v>996</v>
      </c>
      <c r="B561" t="str">
        <f>VLOOKUP(A561,Raw_Data!A:L,6,FALSE)</f>
        <v>Iron</v>
      </c>
      <c r="C561" t="str">
        <f>VLOOKUP(A561,Raw_Data!A:L,3,FALSE)</f>
        <v>Peru</v>
      </c>
      <c r="D561" s="3">
        <f>VLOOKUP(A561,Raw_Data!A:L,12,FALSE)</f>
        <v>2214</v>
      </c>
      <c r="E561" s="3">
        <f>VLOOKUP(A561,Raw_Data!A:L,11,FALSE)</f>
        <v>82</v>
      </c>
      <c r="F561" t="str">
        <f>TEXT(VLOOKUP(A561,Raw_Data!A:L,5,FALSE),"mmm")</f>
        <v>Sep</v>
      </c>
    </row>
    <row r="562" spans="1:6" x14ac:dyDescent="0.35">
      <c r="A562" s="3" t="s">
        <v>997</v>
      </c>
      <c r="B562" t="str">
        <f>VLOOKUP(A562,Raw_Data!A:L,6,FALSE)</f>
        <v>Toaster</v>
      </c>
      <c r="C562" t="str">
        <f>VLOOKUP(A562,Raw_Data!A:L,3,FALSE)</f>
        <v>Italy</v>
      </c>
      <c r="D562" s="3">
        <f>VLOOKUP(A562,Raw_Data!A:L,12,FALSE)</f>
        <v>2021</v>
      </c>
      <c r="E562" s="3">
        <f>VLOOKUP(A562,Raw_Data!A:L,11,FALSE)</f>
        <v>43</v>
      </c>
      <c r="F562" t="str">
        <f>TEXT(VLOOKUP(A562,Raw_Data!A:L,5,FALSE),"mmm")</f>
        <v>Nov</v>
      </c>
    </row>
    <row r="563" spans="1:6" x14ac:dyDescent="0.35">
      <c r="A563" s="3" t="s">
        <v>998</v>
      </c>
      <c r="B563" t="str">
        <f>VLOOKUP(A563,Raw_Data!A:L,6,FALSE)</f>
        <v>Dishwasher</v>
      </c>
      <c r="C563" t="str">
        <f>VLOOKUP(A563,Raw_Data!A:L,3,FALSE)</f>
        <v>UAE</v>
      </c>
      <c r="D563" s="3">
        <f>VLOOKUP(A563,Raw_Data!A:L,12,FALSE)</f>
        <v>12455</v>
      </c>
      <c r="E563" s="3">
        <f>VLOOKUP(A563,Raw_Data!A:L,11,FALSE)</f>
        <v>47</v>
      </c>
      <c r="F563" t="str">
        <f>TEXT(VLOOKUP(A563,Raw_Data!A:L,5,FALSE),"mmm")</f>
        <v>Jun</v>
      </c>
    </row>
    <row r="564" spans="1:6" x14ac:dyDescent="0.35">
      <c r="A564" s="3" t="s">
        <v>999</v>
      </c>
      <c r="B564" t="str">
        <f>VLOOKUP(A564,Raw_Data!A:L,6,FALSE)</f>
        <v>Iron</v>
      </c>
      <c r="C564" t="str">
        <f>VLOOKUP(A564,Raw_Data!A:L,3,FALSE)</f>
        <v>Malaysia</v>
      </c>
      <c r="D564" s="3">
        <f>VLOOKUP(A564,Raw_Data!A:L,12,FALSE)</f>
        <v>1736</v>
      </c>
      <c r="E564" s="3">
        <f>VLOOKUP(A564,Raw_Data!A:L,11,FALSE)</f>
        <v>62</v>
      </c>
      <c r="F564" t="str">
        <f>TEXT(VLOOKUP(A564,Raw_Data!A:L,5,FALSE),"mmm")</f>
        <v>Oct</v>
      </c>
    </row>
    <row r="565" spans="1:6" x14ac:dyDescent="0.35">
      <c r="A565" s="3" t="s">
        <v>1000</v>
      </c>
      <c r="B565" t="str">
        <f>VLOOKUP(A565,Raw_Data!A:L,6,FALSE)</f>
        <v>Vacuum Cleaner</v>
      </c>
      <c r="C565" t="str">
        <f>VLOOKUP(A565,Raw_Data!A:L,3,FALSE)</f>
        <v>Mexico</v>
      </c>
      <c r="D565" s="3">
        <f>VLOOKUP(A565,Raw_Data!A:L,12,FALSE)</f>
        <v>11760</v>
      </c>
      <c r="E565" s="3">
        <f>VLOOKUP(A565,Raw_Data!A:L,11,FALSE)</f>
        <v>49</v>
      </c>
      <c r="F565" t="str">
        <f>TEXT(VLOOKUP(A565,Raw_Data!A:L,5,FALSE),"mmm")</f>
        <v>Jul</v>
      </c>
    </row>
    <row r="566" spans="1:6" x14ac:dyDescent="0.35">
      <c r="A566" s="3" t="s">
        <v>1002</v>
      </c>
      <c r="B566" t="str">
        <f>VLOOKUP(A566,Raw_Data!A:L,6,FALSE)</f>
        <v>Toaster</v>
      </c>
      <c r="C566" t="str">
        <f>VLOOKUP(A566,Raw_Data!A:L,3,FALSE)</f>
        <v>Argentina</v>
      </c>
      <c r="D566" s="3">
        <f>VLOOKUP(A566,Raw_Data!A:L,12,FALSE)</f>
        <v>3195</v>
      </c>
      <c r="E566" s="3">
        <f>VLOOKUP(A566,Raw_Data!A:L,11,FALSE)</f>
        <v>71</v>
      </c>
      <c r="F566" t="str">
        <f>TEXT(VLOOKUP(A566,Raw_Data!A:L,5,FALSE),"mmm")</f>
        <v>Dec</v>
      </c>
    </row>
    <row r="567" spans="1:6" x14ac:dyDescent="0.35">
      <c r="A567" s="3" t="s">
        <v>1003</v>
      </c>
      <c r="B567" t="str">
        <f>VLOOKUP(A567,Raw_Data!A:L,6,FALSE)</f>
        <v>Oven</v>
      </c>
      <c r="C567" t="str">
        <f>VLOOKUP(A567,Raw_Data!A:L,3,FALSE)</f>
        <v>Mexico</v>
      </c>
      <c r="D567" s="3">
        <f>VLOOKUP(A567,Raw_Data!A:L,12,FALSE)</f>
        <v>10780</v>
      </c>
      <c r="E567" s="3">
        <f>VLOOKUP(A567,Raw_Data!A:L,11,FALSE)</f>
        <v>22</v>
      </c>
      <c r="F567" t="str">
        <f>TEXT(VLOOKUP(A567,Raw_Data!A:L,5,FALSE),"mmm")</f>
        <v>Sep</v>
      </c>
    </row>
    <row r="568" spans="1:6" x14ac:dyDescent="0.35">
      <c r="A568" s="3" t="s">
        <v>1004</v>
      </c>
      <c r="B568" t="str">
        <f>VLOOKUP(A568,Raw_Data!A:L,6,FALSE)</f>
        <v>Iron</v>
      </c>
      <c r="C568" t="str">
        <f>VLOOKUP(A568,Raw_Data!A:L,3,FALSE)</f>
        <v>USA</v>
      </c>
      <c r="D568" s="3">
        <f>VLOOKUP(A568,Raw_Data!A:L,12,FALSE)</f>
        <v>29</v>
      </c>
      <c r="E568" s="3">
        <f>VLOOKUP(A568,Raw_Data!A:L,11,FALSE)</f>
        <v>1</v>
      </c>
      <c r="F568" t="str">
        <f>TEXT(VLOOKUP(A568,Raw_Data!A:L,5,FALSE),"mmm")</f>
        <v>May</v>
      </c>
    </row>
    <row r="569" spans="1:6" x14ac:dyDescent="0.35">
      <c r="A569" s="3" t="s">
        <v>1006</v>
      </c>
      <c r="B569" t="str">
        <f>VLOOKUP(A569,Raw_Data!A:L,6,FALSE)</f>
        <v>Blender</v>
      </c>
      <c r="C569" t="str">
        <f>VLOOKUP(A569,Raw_Data!A:L,3,FALSE)</f>
        <v>France</v>
      </c>
      <c r="D569" s="3">
        <f>VLOOKUP(A569,Raw_Data!A:L,12,FALSE)</f>
        <v>1127</v>
      </c>
      <c r="E569" s="3">
        <f>VLOOKUP(A569,Raw_Data!A:L,11,FALSE)</f>
        <v>23</v>
      </c>
      <c r="F569" t="str">
        <f>TEXT(VLOOKUP(A569,Raw_Data!A:L,5,FALSE),"mmm")</f>
        <v>Jun</v>
      </c>
    </row>
    <row r="570" spans="1:6" x14ac:dyDescent="0.35">
      <c r="A570" s="3" t="s">
        <v>1008</v>
      </c>
      <c r="B570" t="str">
        <f>VLOOKUP(A570,Raw_Data!A:L,6,FALSE)</f>
        <v>Air conditioner</v>
      </c>
      <c r="C570" t="str">
        <f>VLOOKUP(A570,Raw_Data!A:L,3,FALSE)</f>
        <v>Russia</v>
      </c>
      <c r="D570" s="3">
        <f>VLOOKUP(A570,Raw_Data!A:L,12,FALSE)</f>
        <v>48545</v>
      </c>
      <c r="E570" s="3">
        <f>VLOOKUP(A570,Raw_Data!A:L,11,FALSE)</f>
        <v>73</v>
      </c>
      <c r="F570" t="str">
        <f>TEXT(VLOOKUP(A570,Raw_Data!A:L,5,FALSE),"mmm")</f>
        <v>Jul</v>
      </c>
    </row>
    <row r="571" spans="1:6" x14ac:dyDescent="0.35">
      <c r="A571" s="3" t="s">
        <v>1009</v>
      </c>
      <c r="B571" t="str">
        <f>VLOOKUP(A571,Raw_Data!A:L,6,FALSE)</f>
        <v>Washing Machine</v>
      </c>
      <c r="C571" t="str">
        <f>VLOOKUP(A571,Raw_Data!A:L,3,FALSE)</f>
        <v>Romania</v>
      </c>
      <c r="D571" s="3">
        <f>VLOOKUP(A571,Raw_Data!A:L,12,FALSE)</f>
        <v>22320</v>
      </c>
      <c r="E571" s="3">
        <f>VLOOKUP(A571,Raw_Data!A:L,11,FALSE)</f>
        <v>31</v>
      </c>
      <c r="F571" t="str">
        <f>TEXT(VLOOKUP(A571,Raw_Data!A:L,5,FALSE),"mmm")</f>
        <v>Aug</v>
      </c>
    </row>
    <row r="572" spans="1:6" x14ac:dyDescent="0.35">
      <c r="A572" s="3" t="s">
        <v>1011</v>
      </c>
      <c r="B572" t="str">
        <f>VLOOKUP(A572,Raw_Data!A:L,6,FALSE)</f>
        <v>Oven</v>
      </c>
      <c r="C572" t="str">
        <f>VLOOKUP(A572,Raw_Data!A:L,3,FALSE)</f>
        <v>Spain</v>
      </c>
      <c r="D572" s="3">
        <f>VLOOKUP(A572,Raw_Data!A:L,12,FALSE)</f>
        <v>35000</v>
      </c>
      <c r="E572" s="3">
        <f>VLOOKUP(A572,Raw_Data!A:L,11,FALSE)</f>
        <v>70</v>
      </c>
      <c r="F572" t="str">
        <f>TEXT(VLOOKUP(A572,Raw_Data!A:L,5,FALSE),"mmm")</f>
        <v>Mar</v>
      </c>
    </row>
    <row r="573" spans="1:6" x14ac:dyDescent="0.35">
      <c r="A573" s="3" t="s">
        <v>1012</v>
      </c>
      <c r="B573" t="str">
        <f>VLOOKUP(A573,Raw_Data!A:L,6,FALSE)</f>
        <v>Washing Machine</v>
      </c>
      <c r="C573" t="str">
        <f>VLOOKUP(A573,Raw_Data!A:L,3,FALSE)</f>
        <v>USA</v>
      </c>
      <c r="D573" s="3">
        <f>VLOOKUP(A573,Raw_Data!A:L,12,FALSE)</f>
        <v>46240</v>
      </c>
      <c r="E573" s="3">
        <f>VLOOKUP(A573,Raw_Data!A:L,11,FALSE)</f>
        <v>68</v>
      </c>
      <c r="F573" t="str">
        <f>TEXT(VLOOKUP(A573,Raw_Data!A:L,5,FALSE),"mmm")</f>
        <v>Aug</v>
      </c>
    </row>
    <row r="574" spans="1:6" x14ac:dyDescent="0.35">
      <c r="A574" s="3" t="s">
        <v>1013</v>
      </c>
      <c r="B574" t="str">
        <f>VLOOKUP(A574,Raw_Data!A:L,6,FALSE)</f>
        <v>Washing Machine</v>
      </c>
      <c r="C574" t="str">
        <f>VLOOKUP(A574,Raw_Data!A:L,3,FALSE)</f>
        <v>India</v>
      </c>
      <c r="D574" s="3">
        <f>VLOOKUP(A574,Raw_Data!A:L,12,FALSE)</f>
        <v>32160</v>
      </c>
      <c r="E574" s="3">
        <f>VLOOKUP(A574,Raw_Data!A:L,11,FALSE)</f>
        <v>67</v>
      </c>
      <c r="F574" t="str">
        <f>TEXT(VLOOKUP(A574,Raw_Data!A:L,5,FALSE),"mmm")</f>
        <v>Jul</v>
      </c>
    </row>
    <row r="575" spans="1:6" x14ac:dyDescent="0.35">
      <c r="A575" s="3" t="s">
        <v>1014</v>
      </c>
      <c r="B575" t="str">
        <f>VLOOKUP(A575,Raw_Data!A:L,6,FALSE)</f>
        <v>Air conditioner</v>
      </c>
      <c r="C575" t="str">
        <f>VLOOKUP(A575,Raw_Data!A:L,3,FALSE)</f>
        <v>Saudi Arabia</v>
      </c>
      <c r="D575" s="3">
        <f>VLOOKUP(A575,Raw_Data!A:L,12,FALSE)</f>
        <v>29498</v>
      </c>
      <c r="E575" s="3">
        <f>VLOOKUP(A575,Raw_Data!A:L,11,FALSE)</f>
        <v>49</v>
      </c>
      <c r="F575" t="str">
        <f>TEXT(VLOOKUP(A575,Raw_Data!A:L,5,FALSE),"mmm")</f>
        <v>Aug</v>
      </c>
    </row>
    <row r="576" spans="1:6" x14ac:dyDescent="0.35">
      <c r="A576" s="3" t="s">
        <v>1016</v>
      </c>
      <c r="B576" t="str">
        <f>VLOOKUP(A576,Raw_Data!A:L,6,FALSE)</f>
        <v>Vacuum Cleaner</v>
      </c>
      <c r="C576" t="str">
        <f>VLOOKUP(A576,Raw_Data!A:L,3,FALSE)</f>
        <v>Italy</v>
      </c>
      <c r="D576" s="3">
        <f>VLOOKUP(A576,Raw_Data!A:L,12,FALSE)</f>
        <v>8580</v>
      </c>
      <c r="E576" s="3">
        <f>VLOOKUP(A576,Raw_Data!A:L,11,FALSE)</f>
        <v>39</v>
      </c>
      <c r="F576" t="str">
        <f>TEXT(VLOOKUP(A576,Raw_Data!A:L,5,FALSE),"mmm")</f>
        <v>Jan</v>
      </c>
    </row>
    <row r="577" spans="1:6" x14ac:dyDescent="0.35">
      <c r="A577" s="3" t="s">
        <v>1017</v>
      </c>
      <c r="B577" t="str">
        <f>VLOOKUP(A577,Raw_Data!A:L,6,FALSE)</f>
        <v>Oven</v>
      </c>
      <c r="C577" t="str">
        <f>VLOOKUP(A577,Raw_Data!A:L,3,FALSE)</f>
        <v>China</v>
      </c>
      <c r="D577" s="3">
        <f>VLOOKUP(A577,Raw_Data!A:L,12,FALSE)</f>
        <v>24750</v>
      </c>
      <c r="E577" s="3">
        <f>VLOOKUP(A577,Raw_Data!A:L,11,FALSE)</f>
        <v>50</v>
      </c>
      <c r="F577" t="str">
        <f>TEXT(VLOOKUP(A577,Raw_Data!A:L,5,FALSE),"mmm")</f>
        <v>Dec</v>
      </c>
    </row>
    <row r="578" spans="1:6" x14ac:dyDescent="0.35">
      <c r="A578" s="3" t="s">
        <v>1019</v>
      </c>
      <c r="B578" t="str">
        <f>VLOOKUP(A578,Raw_Data!A:L,6,FALSE)</f>
        <v>Microwave</v>
      </c>
      <c r="C578" t="str">
        <f>VLOOKUP(A578,Raw_Data!A:L,3,FALSE)</f>
        <v>Japan</v>
      </c>
      <c r="D578" s="3">
        <f>VLOOKUP(A578,Raw_Data!A:L,12,FALSE)</f>
        <v>2059</v>
      </c>
      <c r="E578" s="3">
        <f>VLOOKUP(A578,Raw_Data!A:L,11,FALSE)</f>
        <v>29</v>
      </c>
      <c r="F578" t="str">
        <f>TEXT(VLOOKUP(A578,Raw_Data!A:L,5,FALSE),"mmm")</f>
        <v>Nov</v>
      </c>
    </row>
    <row r="579" spans="1:6" x14ac:dyDescent="0.35">
      <c r="A579" s="3" t="s">
        <v>1021</v>
      </c>
      <c r="B579" t="str">
        <f>VLOOKUP(A579,Raw_Data!A:L,6,FALSE)</f>
        <v>Refrigerator</v>
      </c>
      <c r="C579" t="str">
        <f>VLOOKUP(A579,Raw_Data!A:L,3,FALSE)</f>
        <v>South Korea</v>
      </c>
      <c r="D579" s="3">
        <f>VLOOKUP(A579,Raw_Data!A:L,12,FALSE)</f>
        <v>30210</v>
      </c>
      <c r="E579" s="3">
        <f>VLOOKUP(A579,Raw_Data!A:L,11,FALSE)</f>
        <v>57</v>
      </c>
      <c r="F579" t="str">
        <f>TEXT(VLOOKUP(A579,Raw_Data!A:L,5,FALSE),"mmm")</f>
        <v>Mar</v>
      </c>
    </row>
    <row r="580" spans="1:6" x14ac:dyDescent="0.35">
      <c r="A580" s="3" t="s">
        <v>1022</v>
      </c>
      <c r="B580" t="str">
        <f>VLOOKUP(A580,Raw_Data!A:L,6,FALSE)</f>
        <v>Coffee grinder</v>
      </c>
      <c r="C580" t="str">
        <f>VLOOKUP(A580,Raw_Data!A:L,3,FALSE)</f>
        <v>USA</v>
      </c>
      <c r="D580" s="3">
        <f>VLOOKUP(A580,Raw_Data!A:L,12,FALSE)</f>
        <v>2925</v>
      </c>
      <c r="E580" s="3">
        <f>VLOOKUP(A580,Raw_Data!A:L,11,FALSE)</f>
        <v>45</v>
      </c>
      <c r="F580" t="str">
        <f>TEXT(VLOOKUP(A580,Raw_Data!A:L,5,FALSE),"mmm")</f>
        <v>Aug</v>
      </c>
    </row>
    <row r="581" spans="1:6" x14ac:dyDescent="0.35">
      <c r="A581" s="3" t="s">
        <v>1024</v>
      </c>
      <c r="B581" t="str">
        <f>VLOOKUP(A581,Raw_Data!A:L,6,FALSE)</f>
        <v>Toaster</v>
      </c>
      <c r="C581" t="str">
        <f>VLOOKUP(A581,Raw_Data!A:L,3,FALSE)</f>
        <v>Argentina</v>
      </c>
      <c r="D581" s="3">
        <f>VLOOKUP(A581,Raw_Data!A:L,12,FALSE)</f>
        <v>294</v>
      </c>
      <c r="E581" s="3">
        <f>VLOOKUP(A581,Raw_Data!A:L,11,FALSE)</f>
        <v>6</v>
      </c>
      <c r="F581" t="str">
        <f>TEXT(VLOOKUP(A581,Raw_Data!A:L,5,FALSE),"mmm")</f>
        <v>Jan</v>
      </c>
    </row>
    <row r="582" spans="1:6" x14ac:dyDescent="0.35">
      <c r="A582" s="3" t="s">
        <v>1026</v>
      </c>
      <c r="B582" t="str">
        <f>VLOOKUP(A582,Raw_Data!A:L,6,FALSE)</f>
        <v>Iron</v>
      </c>
      <c r="C582" t="str">
        <f>VLOOKUP(A582,Raw_Data!A:L,3,FALSE)</f>
        <v>UK</v>
      </c>
      <c r="D582" s="3">
        <f>VLOOKUP(A582,Raw_Data!A:L,12,FALSE)</f>
        <v>2520</v>
      </c>
      <c r="E582" s="3">
        <f>VLOOKUP(A582,Raw_Data!A:L,11,FALSE)</f>
        <v>84</v>
      </c>
      <c r="F582" t="str">
        <f>TEXT(VLOOKUP(A582,Raw_Data!A:L,5,FALSE),"mmm")</f>
        <v>Jul</v>
      </c>
    </row>
    <row r="583" spans="1:6" x14ac:dyDescent="0.35">
      <c r="A583" s="3" t="s">
        <v>1027</v>
      </c>
      <c r="B583" t="str">
        <f>VLOOKUP(A583,Raw_Data!A:L,6,FALSE)</f>
        <v>Microwave</v>
      </c>
      <c r="C583" t="str">
        <f>VLOOKUP(A583,Raw_Data!A:L,3,FALSE)</f>
        <v>South Africa</v>
      </c>
      <c r="D583" s="3">
        <f>VLOOKUP(A583,Raw_Data!A:L,12,FALSE)</f>
        <v>1449</v>
      </c>
      <c r="E583" s="3">
        <f>VLOOKUP(A583,Raw_Data!A:L,11,FALSE)</f>
        <v>21</v>
      </c>
      <c r="F583" t="str">
        <f>TEXT(VLOOKUP(A583,Raw_Data!A:L,5,FALSE),"mmm")</f>
        <v>Aug</v>
      </c>
    </row>
    <row r="584" spans="1:6" x14ac:dyDescent="0.35">
      <c r="A584" s="3" t="s">
        <v>1028</v>
      </c>
      <c r="B584" t="str">
        <f>VLOOKUP(A584,Raw_Data!A:L,6,FALSE)</f>
        <v>Iron</v>
      </c>
      <c r="C584" t="str">
        <f>VLOOKUP(A584,Raw_Data!A:L,3,FALSE)</f>
        <v>Thailand</v>
      </c>
      <c r="D584" s="3">
        <f>VLOOKUP(A584,Raw_Data!A:L,12,FALSE)</f>
        <v>2349</v>
      </c>
      <c r="E584" s="3">
        <f>VLOOKUP(A584,Raw_Data!A:L,11,FALSE)</f>
        <v>81</v>
      </c>
      <c r="F584" t="str">
        <f>TEXT(VLOOKUP(A584,Raw_Data!A:L,5,FALSE),"mmm")</f>
        <v>Apr</v>
      </c>
    </row>
    <row r="585" spans="1:6" x14ac:dyDescent="0.35">
      <c r="A585" s="3" t="s">
        <v>1029</v>
      </c>
      <c r="B585" t="str">
        <f>VLOOKUP(A585,Raw_Data!A:L,6,FALSE)</f>
        <v>Blender</v>
      </c>
      <c r="C585" t="str">
        <f>VLOOKUP(A585,Raw_Data!A:L,3,FALSE)</f>
        <v>USA</v>
      </c>
      <c r="D585" s="3">
        <f>VLOOKUP(A585,Raw_Data!A:L,12,FALSE)</f>
        <v>2666</v>
      </c>
      <c r="E585" s="3">
        <f>VLOOKUP(A585,Raw_Data!A:L,11,FALSE)</f>
        <v>62</v>
      </c>
      <c r="F585" t="str">
        <f>TEXT(VLOOKUP(A585,Raw_Data!A:L,5,FALSE),"mmm")</f>
        <v>Sep</v>
      </c>
    </row>
    <row r="586" spans="1:6" x14ac:dyDescent="0.35">
      <c r="A586" s="3" t="s">
        <v>1031</v>
      </c>
      <c r="B586" t="str">
        <f>VLOOKUP(A586,Raw_Data!A:L,6,FALSE)</f>
        <v>Ceiling fan</v>
      </c>
      <c r="C586" t="str">
        <f>VLOOKUP(A586,Raw_Data!A:L,3,FALSE)</f>
        <v>Ireland</v>
      </c>
      <c r="D586" s="3">
        <f>VLOOKUP(A586,Raw_Data!A:L,12,FALSE)</f>
        <v>1490</v>
      </c>
      <c r="E586" s="3">
        <f>VLOOKUP(A586,Raw_Data!A:L,11,FALSE)</f>
        <v>10</v>
      </c>
      <c r="F586" t="str">
        <f>TEXT(VLOOKUP(A586,Raw_Data!A:L,5,FALSE),"mmm")</f>
        <v>Jul</v>
      </c>
    </row>
    <row r="587" spans="1:6" x14ac:dyDescent="0.35">
      <c r="A587" s="3" t="s">
        <v>1032</v>
      </c>
      <c r="B587" t="str">
        <f>VLOOKUP(A587,Raw_Data!A:L,6,FALSE)</f>
        <v>Air conditioner</v>
      </c>
      <c r="C587" t="str">
        <f>VLOOKUP(A587,Raw_Data!A:L,3,FALSE)</f>
        <v>Mexico</v>
      </c>
      <c r="D587" s="3">
        <f>VLOOKUP(A587,Raw_Data!A:L,12,FALSE)</f>
        <v>10906</v>
      </c>
      <c r="E587" s="3">
        <f>VLOOKUP(A587,Raw_Data!A:L,11,FALSE)</f>
        <v>19</v>
      </c>
      <c r="F587" t="str">
        <f>TEXT(VLOOKUP(A587,Raw_Data!A:L,5,FALSE),"mmm")</f>
        <v>Apr</v>
      </c>
    </row>
    <row r="588" spans="1:6" x14ac:dyDescent="0.35">
      <c r="A588" s="3" t="s">
        <v>1033</v>
      </c>
      <c r="B588" t="str">
        <f>VLOOKUP(A588,Raw_Data!A:L,6,FALSE)</f>
        <v>Air conditioner</v>
      </c>
      <c r="C588" t="str">
        <f>VLOOKUP(A588,Raw_Data!A:L,3,FALSE)</f>
        <v>France</v>
      </c>
      <c r="D588" s="3">
        <f>VLOOKUP(A588,Raw_Data!A:L,12,FALSE)</f>
        <v>8715</v>
      </c>
      <c r="E588" s="3">
        <f>VLOOKUP(A588,Raw_Data!A:L,11,FALSE)</f>
        <v>15</v>
      </c>
      <c r="F588" t="str">
        <f>TEXT(VLOOKUP(A588,Raw_Data!A:L,5,FALSE),"mmm")</f>
        <v>Apr</v>
      </c>
    </row>
    <row r="589" spans="1:6" x14ac:dyDescent="0.35">
      <c r="A589" s="3" t="s">
        <v>1035</v>
      </c>
      <c r="B589" t="str">
        <f>VLOOKUP(A589,Raw_Data!A:L,6,FALSE)</f>
        <v>Toaster</v>
      </c>
      <c r="C589" t="str">
        <f>VLOOKUP(A589,Raw_Data!A:L,3,FALSE)</f>
        <v>Peru</v>
      </c>
      <c r="D589" s="3">
        <f>VLOOKUP(A589,Raw_Data!A:L,12,FALSE)</f>
        <v>3128</v>
      </c>
      <c r="E589" s="3">
        <f>VLOOKUP(A589,Raw_Data!A:L,11,FALSE)</f>
        <v>68</v>
      </c>
      <c r="F589" t="str">
        <f>TEXT(VLOOKUP(A589,Raw_Data!A:L,5,FALSE),"mmm")</f>
        <v>Sep</v>
      </c>
    </row>
    <row r="590" spans="1:6" x14ac:dyDescent="0.35">
      <c r="A590" s="3" t="s">
        <v>1037</v>
      </c>
      <c r="B590" t="str">
        <f>VLOOKUP(A590,Raw_Data!A:L,6,FALSE)</f>
        <v>Refrigerator</v>
      </c>
      <c r="C590" t="str">
        <f>VLOOKUP(A590,Raw_Data!A:L,3,FALSE)</f>
        <v>Poland</v>
      </c>
      <c r="D590" s="3">
        <f>VLOOKUP(A590,Raw_Data!A:L,12,FALSE)</f>
        <v>32940</v>
      </c>
      <c r="E590" s="3">
        <f>VLOOKUP(A590,Raw_Data!A:L,11,FALSE)</f>
        <v>54</v>
      </c>
      <c r="F590" t="str">
        <f>TEXT(VLOOKUP(A590,Raw_Data!A:L,5,FALSE),"mmm")</f>
        <v>May</v>
      </c>
    </row>
    <row r="591" spans="1:6" x14ac:dyDescent="0.35">
      <c r="A591" s="3" t="s">
        <v>1038</v>
      </c>
      <c r="B591" t="str">
        <f>VLOOKUP(A591,Raw_Data!A:L,6,FALSE)</f>
        <v>Ceiling fan</v>
      </c>
      <c r="C591" t="str">
        <f>VLOOKUP(A591,Raw_Data!A:L,3,FALSE)</f>
        <v>Mexico</v>
      </c>
      <c r="D591" s="3">
        <f>VLOOKUP(A591,Raw_Data!A:L,12,FALSE)</f>
        <v>2646</v>
      </c>
      <c r="E591" s="3">
        <f>VLOOKUP(A591,Raw_Data!A:L,11,FALSE)</f>
        <v>18</v>
      </c>
      <c r="F591" t="str">
        <f>TEXT(VLOOKUP(A591,Raw_Data!A:L,5,FALSE),"mmm")</f>
        <v>May</v>
      </c>
    </row>
    <row r="592" spans="1:6" x14ac:dyDescent="0.35">
      <c r="A592" s="3" t="s">
        <v>1040</v>
      </c>
      <c r="B592" t="str">
        <f>VLOOKUP(A592,Raw_Data!A:L,6,FALSE)</f>
        <v>Air conditioner</v>
      </c>
      <c r="C592" t="str">
        <f>VLOOKUP(A592,Raw_Data!A:L,3,FALSE)</f>
        <v>Colombia</v>
      </c>
      <c r="D592" s="3">
        <f>VLOOKUP(A592,Raw_Data!A:L,12,FALSE)</f>
        <v>24682</v>
      </c>
      <c r="E592" s="3">
        <f>VLOOKUP(A592,Raw_Data!A:L,11,FALSE)</f>
        <v>41</v>
      </c>
      <c r="F592" t="str">
        <f>TEXT(VLOOKUP(A592,Raw_Data!A:L,5,FALSE),"mmm")</f>
        <v>Aug</v>
      </c>
    </row>
    <row r="593" spans="1:6" x14ac:dyDescent="0.35">
      <c r="A593" s="3" t="s">
        <v>1041</v>
      </c>
      <c r="B593" t="str">
        <f>VLOOKUP(A593,Raw_Data!A:L,6,FALSE)</f>
        <v>Dishwasher</v>
      </c>
      <c r="C593" t="str">
        <f>VLOOKUP(A593,Raw_Data!A:L,3,FALSE)</f>
        <v>USA</v>
      </c>
      <c r="D593" s="3">
        <f>VLOOKUP(A593,Raw_Data!A:L,12,FALSE)</f>
        <v>12375</v>
      </c>
      <c r="E593" s="3">
        <f>VLOOKUP(A593,Raw_Data!A:L,11,FALSE)</f>
        <v>25</v>
      </c>
      <c r="F593" t="str">
        <f>TEXT(VLOOKUP(A593,Raw_Data!A:L,5,FALSE),"mmm")</f>
        <v>Nov</v>
      </c>
    </row>
    <row r="594" spans="1:6" x14ac:dyDescent="0.35">
      <c r="A594" s="3" t="s">
        <v>1043</v>
      </c>
      <c r="B594" t="str">
        <f>VLOOKUP(A594,Raw_Data!A:L,6,FALSE)</f>
        <v>Air conditioner</v>
      </c>
      <c r="C594" t="str">
        <f>VLOOKUP(A594,Raw_Data!A:L,3,FALSE)</f>
        <v>USA</v>
      </c>
      <c r="D594" s="3">
        <f>VLOOKUP(A594,Raw_Data!A:L,12,FALSE)</f>
        <v>66500</v>
      </c>
      <c r="E594" s="3">
        <f>VLOOKUP(A594,Raw_Data!A:L,11,FALSE)</f>
        <v>100</v>
      </c>
      <c r="F594" t="str">
        <f>TEXT(VLOOKUP(A594,Raw_Data!A:L,5,FALSE),"mmm")</f>
        <v>Apr</v>
      </c>
    </row>
    <row r="595" spans="1:6" x14ac:dyDescent="0.35">
      <c r="A595" s="3" t="s">
        <v>1045</v>
      </c>
      <c r="B595" t="str">
        <f>VLOOKUP(A595,Raw_Data!A:L,6,FALSE)</f>
        <v>Dishwasher</v>
      </c>
      <c r="C595" t="str">
        <f>VLOOKUP(A595,Raw_Data!A:L,3,FALSE)</f>
        <v>Netherlands</v>
      </c>
      <c r="D595" s="3">
        <f>VLOOKUP(A595,Raw_Data!A:L,12,FALSE)</f>
        <v>2910</v>
      </c>
      <c r="E595" s="3">
        <f>VLOOKUP(A595,Raw_Data!A:L,11,FALSE)</f>
        <v>6</v>
      </c>
      <c r="F595" t="str">
        <f>TEXT(VLOOKUP(A595,Raw_Data!A:L,5,FALSE),"mmm")</f>
        <v>Aug</v>
      </c>
    </row>
    <row r="596" spans="1:6" x14ac:dyDescent="0.35">
      <c r="A596" s="3" t="s">
        <v>1046</v>
      </c>
      <c r="B596" t="str">
        <f>VLOOKUP(A596,Raw_Data!A:L,6,FALSE)</f>
        <v>Microwave</v>
      </c>
      <c r="C596" t="str">
        <f>VLOOKUP(A596,Raw_Data!A:L,3,FALSE)</f>
        <v>Russia</v>
      </c>
      <c r="D596" s="3">
        <f>VLOOKUP(A596,Raw_Data!A:L,12,FALSE)</f>
        <v>395</v>
      </c>
      <c r="E596" s="3">
        <f>VLOOKUP(A596,Raw_Data!A:L,11,FALSE)</f>
        <v>5</v>
      </c>
      <c r="F596" t="str">
        <f>TEXT(VLOOKUP(A596,Raw_Data!A:L,5,FALSE),"mmm")</f>
        <v>Apr</v>
      </c>
    </row>
    <row r="597" spans="1:6" x14ac:dyDescent="0.35">
      <c r="A597" s="3" t="s">
        <v>1047</v>
      </c>
      <c r="B597" t="str">
        <f>VLOOKUP(A597,Raw_Data!A:L,6,FALSE)</f>
        <v>Refrigerator</v>
      </c>
      <c r="C597" t="str">
        <f>VLOOKUP(A597,Raw_Data!A:L,3,FALSE)</f>
        <v>Israel</v>
      </c>
      <c r="D597" s="3">
        <f>VLOOKUP(A597,Raw_Data!A:L,12,FALSE)</f>
        <v>9180</v>
      </c>
      <c r="E597" s="3">
        <f>VLOOKUP(A597,Raw_Data!A:L,11,FALSE)</f>
        <v>17</v>
      </c>
      <c r="F597" t="str">
        <f>TEXT(VLOOKUP(A597,Raw_Data!A:L,5,FALSE),"mmm")</f>
        <v>Nov</v>
      </c>
    </row>
    <row r="598" spans="1:6" x14ac:dyDescent="0.35">
      <c r="A598" s="3" t="s">
        <v>1049</v>
      </c>
      <c r="B598" t="str">
        <f>VLOOKUP(A598,Raw_Data!A:L,6,FALSE)</f>
        <v>Microwave</v>
      </c>
      <c r="C598" t="str">
        <f>VLOOKUP(A598,Raw_Data!A:L,3,FALSE)</f>
        <v>Israel</v>
      </c>
      <c r="D598" s="3">
        <f>VLOOKUP(A598,Raw_Data!A:L,12,FALSE)</f>
        <v>1750</v>
      </c>
      <c r="E598" s="3">
        <f>VLOOKUP(A598,Raw_Data!A:L,11,FALSE)</f>
        <v>25</v>
      </c>
      <c r="F598" t="str">
        <f>TEXT(VLOOKUP(A598,Raw_Data!A:L,5,FALSE),"mmm")</f>
        <v>Dec</v>
      </c>
    </row>
    <row r="599" spans="1:6" x14ac:dyDescent="0.35">
      <c r="A599" s="3" t="s">
        <v>1050</v>
      </c>
      <c r="B599" t="str">
        <f>VLOOKUP(A599,Raw_Data!A:L,6,FALSE)</f>
        <v>Blender</v>
      </c>
      <c r="C599" t="str">
        <f>VLOOKUP(A599,Raw_Data!A:L,3,FALSE)</f>
        <v>South Korea</v>
      </c>
      <c r="D599" s="3">
        <f>VLOOKUP(A599,Raw_Data!A:L,12,FALSE)</f>
        <v>3283</v>
      </c>
      <c r="E599" s="3">
        <f>VLOOKUP(A599,Raw_Data!A:L,11,FALSE)</f>
        <v>67</v>
      </c>
      <c r="F599" t="str">
        <f>TEXT(VLOOKUP(A599,Raw_Data!A:L,5,FALSE),"mmm")</f>
        <v>Oct</v>
      </c>
    </row>
    <row r="600" spans="1:6" x14ac:dyDescent="0.35">
      <c r="A600" s="3" t="s">
        <v>1051</v>
      </c>
      <c r="B600" t="str">
        <f>VLOOKUP(A600,Raw_Data!A:L,6,FALSE)</f>
        <v>Microwave</v>
      </c>
      <c r="C600" t="str">
        <f>VLOOKUP(A600,Raw_Data!A:L,3,FALSE)</f>
        <v>Spain</v>
      </c>
      <c r="D600" s="3">
        <f>VLOOKUP(A600,Raw_Data!A:L,12,FALSE)</f>
        <v>4154</v>
      </c>
      <c r="E600" s="3">
        <f>VLOOKUP(A600,Raw_Data!A:L,11,FALSE)</f>
        <v>67</v>
      </c>
      <c r="F600" t="str">
        <f>TEXT(VLOOKUP(A600,Raw_Data!A:L,5,FALSE),"mmm")</f>
        <v>Nov</v>
      </c>
    </row>
    <row r="601" spans="1:6" x14ac:dyDescent="0.35">
      <c r="A601" s="3" t="s">
        <v>1052</v>
      </c>
      <c r="B601" t="str">
        <f>VLOOKUP(A601,Raw_Data!A:L,6,FALSE)</f>
        <v>Ceiling fan</v>
      </c>
      <c r="C601" t="str">
        <f>VLOOKUP(A601,Raw_Data!A:L,3,FALSE)</f>
        <v>China</v>
      </c>
      <c r="D601" s="3">
        <f>VLOOKUP(A601,Raw_Data!A:L,12,FALSE)</f>
        <v>12441</v>
      </c>
      <c r="E601" s="3">
        <f>VLOOKUP(A601,Raw_Data!A:L,11,FALSE)</f>
        <v>87</v>
      </c>
      <c r="F601" t="str">
        <f>TEXT(VLOOKUP(A601,Raw_Data!A:L,5,FALSE),"mmm")</f>
        <v>Jan</v>
      </c>
    </row>
    <row r="602" spans="1:6" x14ac:dyDescent="0.35">
      <c r="A602" s="3" t="s">
        <v>1053</v>
      </c>
      <c r="B602" t="str">
        <f>VLOOKUP(A602,Raw_Data!A:L,6,FALSE)</f>
        <v>Iron</v>
      </c>
      <c r="C602" t="str">
        <f>VLOOKUP(A602,Raw_Data!A:L,3,FALSE)</f>
        <v>Egypt</v>
      </c>
      <c r="D602" s="3">
        <f>VLOOKUP(A602,Raw_Data!A:L,12,FALSE)</f>
        <v>1404</v>
      </c>
      <c r="E602" s="3">
        <f>VLOOKUP(A602,Raw_Data!A:L,11,FALSE)</f>
        <v>54</v>
      </c>
      <c r="F602" t="str">
        <f>TEXT(VLOOKUP(A602,Raw_Data!A:L,5,FALSE),"mmm")</f>
        <v>Apr</v>
      </c>
    </row>
    <row r="603" spans="1:6" x14ac:dyDescent="0.35">
      <c r="A603" s="3" t="s">
        <v>1054</v>
      </c>
      <c r="B603" t="str">
        <f>VLOOKUP(A603,Raw_Data!A:L,6,FALSE)</f>
        <v>Vacuum Cleaner</v>
      </c>
      <c r="C603" t="str">
        <f>VLOOKUP(A603,Raw_Data!A:L,3,FALSE)</f>
        <v>Chile</v>
      </c>
      <c r="D603" s="3">
        <f>VLOOKUP(A603,Raw_Data!A:L,12,FALSE)</f>
        <v>16120</v>
      </c>
      <c r="E603" s="3">
        <f>VLOOKUP(A603,Raw_Data!A:L,11,FALSE)</f>
        <v>65</v>
      </c>
      <c r="F603" t="str">
        <f>TEXT(VLOOKUP(A603,Raw_Data!A:L,5,FALSE),"mmm")</f>
        <v>Jul</v>
      </c>
    </row>
    <row r="604" spans="1:6" x14ac:dyDescent="0.35">
      <c r="A604" s="3" t="s">
        <v>1055</v>
      </c>
      <c r="B604" t="str">
        <f>VLOOKUP(A604,Raw_Data!A:L,6,FALSE)</f>
        <v>Toaster</v>
      </c>
      <c r="C604" t="str">
        <f>VLOOKUP(A604,Raw_Data!A:L,3,FALSE)</f>
        <v>Netherlands</v>
      </c>
      <c r="D604" s="3">
        <f>VLOOKUP(A604,Raw_Data!A:L,12,FALSE)</f>
        <v>3300</v>
      </c>
      <c r="E604" s="3">
        <f>VLOOKUP(A604,Raw_Data!A:L,11,FALSE)</f>
        <v>75</v>
      </c>
      <c r="F604" t="str">
        <f>TEXT(VLOOKUP(A604,Raw_Data!A:L,5,FALSE),"mmm")</f>
        <v>Aug</v>
      </c>
    </row>
    <row r="605" spans="1:6" x14ac:dyDescent="0.35">
      <c r="A605" s="3" t="s">
        <v>1056</v>
      </c>
      <c r="B605" t="str">
        <f>VLOOKUP(A605,Raw_Data!A:L,6,FALSE)</f>
        <v>Vacuum Cleaner</v>
      </c>
      <c r="C605" t="str">
        <f>VLOOKUP(A605,Raw_Data!A:L,3,FALSE)</f>
        <v>Greece</v>
      </c>
      <c r="D605" s="3">
        <f>VLOOKUP(A605,Raw_Data!A:L,12,FALSE)</f>
        <v>14705</v>
      </c>
      <c r="E605" s="3">
        <f>VLOOKUP(A605,Raw_Data!A:L,11,FALSE)</f>
        <v>85</v>
      </c>
      <c r="F605" t="str">
        <f>TEXT(VLOOKUP(A605,Raw_Data!A:L,5,FALSE),"mmm")</f>
        <v>Aug</v>
      </c>
    </row>
    <row r="606" spans="1:6" x14ac:dyDescent="0.35">
      <c r="A606" s="3" t="s">
        <v>1057</v>
      </c>
      <c r="B606" t="str">
        <f>VLOOKUP(A606,Raw_Data!A:L,6,FALSE)</f>
        <v>Refrigerator</v>
      </c>
      <c r="C606" t="str">
        <f>VLOOKUP(A606,Raw_Data!A:L,3,FALSE)</f>
        <v>Thailand</v>
      </c>
      <c r="D606" s="3">
        <f>VLOOKUP(A606,Raw_Data!A:L,12,FALSE)</f>
        <v>84150</v>
      </c>
      <c r="E606" s="3">
        <f>VLOOKUP(A606,Raw_Data!A:L,11,FALSE)</f>
        <v>99</v>
      </c>
      <c r="F606" t="str">
        <f>TEXT(VLOOKUP(A606,Raw_Data!A:L,5,FALSE),"mmm")</f>
        <v>Apr</v>
      </c>
    </row>
    <row r="607" spans="1:6" x14ac:dyDescent="0.35">
      <c r="A607" s="3" t="s">
        <v>1059</v>
      </c>
      <c r="B607" t="str">
        <f>VLOOKUP(A607,Raw_Data!A:L,6,FALSE)</f>
        <v>Toaster</v>
      </c>
      <c r="C607" t="str">
        <f>VLOOKUP(A607,Raw_Data!A:L,3,FALSE)</f>
        <v>China</v>
      </c>
      <c r="D607" s="3">
        <f>VLOOKUP(A607,Raw_Data!A:L,12,FALSE)</f>
        <v>4000</v>
      </c>
      <c r="E607" s="3">
        <f>VLOOKUP(A607,Raw_Data!A:L,11,FALSE)</f>
        <v>100</v>
      </c>
      <c r="F607" t="str">
        <f>TEXT(VLOOKUP(A607,Raw_Data!A:L,5,FALSE),"mmm")</f>
        <v>May</v>
      </c>
    </row>
    <row r="608" spans="1:6" x14ac:dyDescent="0.35">
      <c r="A608" s="3" t="s">
        <v>1061</v>
      </c>
      <c r="B608" t="str">
        <f>VLOOKUP(A608,Raw_Data!A:L,6,FALSE)</f>
        <v>Vacuum Cleaner</v>
      </c>
      <c r="C608" t="str">
        <f>VLOOKUP(A608,Raw_Data!A:L,3,FALSE)</f>
        <v>UAE</v>
      </c>
      <c r="D608" s="3">
        <f>VLOOKUP(A608,Raw_Data!A:L,12,FALSE)</f>
        <v>18966</v>
      </c>
      <c r="E608" s="3">
        <f>VLOOKUP(A608,Raw_Data!A:L,11,FALSE)</f>
        <v>87</v>
      </c>
      <c r="F608" t="str">
        <f>TEXT(VLOOKUP(A608,Raw_Data!A:L,5,FALSE),"mmm")</f>
        <v>Jan</v>
      </c>
    </row>
    <row r="609" spans="1:6" x14ac:dyDescent="0.35">
      <c r="A609" s="3" t="s">
        <v>1062</v>
      </c>
      <c r="B609" t="str">
        <f>VLOOKUP(A609,Raw_Data!A:L,6,FALSE)</f>
        <v>Microwave</v>
      </c>
      <c r="C609" t="str">
        <f>VLOOKUP(A609,Raw_Data!A:L,3,FALSE)</f>
        <v>Japan</v>
      </c>
      <c r="D609" s="3">
        <f>VLOOKUP(A609,Raw_Data!A:L,12,FALSE)</f>
        <v>4029</v>
      </c>
      <c r="E609" s="3">
        <f>VLOOKUP(A609,Raw_Data!A:L,11,FALSE)</f>
        <v>51</v>
      </c>
      <c r="F609" t="str">
        <f>TEXT(VLOOKUP(A609,Raw_Data!A:L,5,FALSE),"mmm")</f>
        <v>Aug</v>
      </c>
    </row>
    <row r="610" spans="1:6" x14ac:dyDescent="0.35">
      <c r="A610" s="3" t="s">
        <v>1064</v>
      </c>
      <c r="B610" t="str">
        <f>VLOOKUP(A610,Raw_Data!A:L,6,FALSE)</f>
        <v>Blender</v>
      </c>
      <c r="C610" t="str">
        <f>VLOOKUP(A610,Raw_Data!A:L,3,FALSE)</f>
        <v>USA</v>
      </c>
      <c r="D610" s="3">
        <f>VLOOKUP(A610,Raw_Data!A:L,12,FALSE)</f>
        <v>2560</v>
      </c>
      <c r="E610" s="3">
        <f>VLOOKUP(A610,Raw_Data!A:L,11,FALSE)</f>
        <v>64</v>
      </c>
      <c r="F610" t="str">
        <f>TEXT(VLOOKUP(A610,Raw_Data!A:L,5,FALSE),"mmm")</f>
        <v>Apr</v>
      </c>
    </row>
    <row r="611" spans="1:6" x14ac:dyDescent="0.35">
      <c r="A611" s="3" t="s">
        <v>1065</v>
      </c>
      <c r="B611" t="str">
        <f>VLOOKUP(A611,Raw_Data!A:L,6,FALSE)</f>
        <v>Blender</v>
      </c>
      <c r="C611" t="str">
        <f>VLOOKUP(A611,Raw_Data!A:L,3,FALSE)</f>
        <v>Japan</v>
      </c>
      <c r="D611" s="3">
        <f>VLOOKUP(A611,Raw_Data!A:L,12,FALSE)</f>
        <v>1276</v>
      </c>
      <c r="E611" s="3">
        <f>VLOOKUP(A611,Raw_Data!A:L,11,FALSE)</f>
        <v>29</v>
      </c>
      <c r="F611" t="str">
        <f>TEXT(VLOOKUP(A611,Raw_Data!A:L,5,FALSE),"mmm")</f>
        <v>Dec</v>
      </c>
    </row>
    <row r="612" spans="1:6" x14ac:dyDescent="0.35">
      <c r="A612" s="3" t="s">
        <v>1066</v>
      </c>
      <c r="B612" t="str">
        <f>VLOOKUP(A612,Raw_Data!A:L,6,FALSE)</f>
        <v>Air conditioner</v>
      </c>
      <c r="C612" t="str">
        <f>VLOOKUP(A612,Raw_Data!A:L,3,FALSE)</f>
        <v>UK</v>
      </c>
      <c r="D612" s="3">
        <f>VLOOKUP(A612,Raw_Data!A:L,12,FALSE)</f>
        <v>39263</v>
      </c>
      <c r="E612" s="3">
        <f>VLOOKUP(A612,Raw_Data!A:L,11,FALSE)</f>
        <v>71</v>
      </c>
      <c r="F612" t="str">
        <f>TEXT(VLOOKUP(A612,Raw_Data!A:L,5,FALSE),"mmm")</f>
        <v>Oct</v>
      </c>
    </row>
    <row r="613" spans="1:6" x14ac:dyDescent="0.35">
      <c r="A613" s="3" t="s">
        <v>1067</v>
      </c>
      <c r="B613" t="str">
        <f>VLOOKUP(A613,Raw_Data!A:L,6,FALSE)</f>
        <v>Coffee grinder</v>
      </c>
      <c r="C613" t="str">
        <f>VLOOKUP(A613,Raw_Data!A:L,3,FALSE)</f>
        <v>Saudi Arabia</v>
      </c>
      <c r="D613" s="3">
        <f>VLOOKUP(A613,Raw_Data!A:L,12,FALSE)</f>
        <v>5478</v>
      </c>
      <c r="E613" s="3">
        <f>VLOOKUP(A613,Raw_Data!A:L,11,FALSE)</f>
        <v>83</v>
      </c>
      <c r="F613" t="str">
        <f>TEXT(VLOOKUP(A613,Raw_Data!A:L,5,FALSE),"mmm")</f>
        <v>Jul</v>
      </c>
    </row>
    <row r="614" spans="1:6" x14ac:dyDescent="0.35">
      <c r="A614" s="3" t="s">
        <v>1068</v>
      </c>
      <c r="B614" t="str">
        <f>VLOOKUP(A614,Raw_Data!A:L,6,FALSE)</f>
        <v>Refrigerator</v>
      </c>
      <c r="C614" t="str">
        <f>VLOOKUP(A614,Raw_Data!A:L,3,FALSE)</f>
        <v>UK</v>
      </c>
      <c r="D614" s="3">
        <f>VLOOKUP(A614,Raw_Data!A:L,12,FALSE)</f>
        <v>13800</v>
      </c>
      <c r="E614" s="3">
        <f>VLOOKUP(A614,Raw_Data!A:L,11,FALSE)</f>
        <v>15</v>
      </c>
      <c r="F614" t="str">
        <f>TEXT(VLOOKUP(A614,Raw_Data!A:L,5,FALSE),"mmm")</f>
        <v>Oct</v>
      </c>
    </row>
    <row r="615" spans="1:6" x14ac:dyDescent="0.35">
      <c r="A615" s="3" t="s">
        <v>1070</v>
      </c>
      <c r="B615" t="str">
        <f>VLOOKUP(A615,Raw_Data!A:L,6,FALSE)</f>
        <v>Toaster</v>
      </c>
      <c r="C615" t="str">
        <f>VLOOKUP(A615,Raw_Data!A:L,3,FALSE)</f>
        <v>Peru</v>
      </c>
      <c r="D615" s="3">
        <f>VLOOKUP(A615,Raw_Data!A:L,12,FALSE)</f>
        <v>2600</v>
      </c>
      <c r="E615" s="3">
        <f>VLOOKUP(A615,Raw_Data!A:L,11,FALSE)</f>
        <v>52</v>
      </c>
      <c r="F615" t="str">
        <f>TEXT(VLOOKUP(A615,Raw_Data!A:L,5,FALSE),"mmm")</f>
        <v>Sep</v>
      </c>
    </row>
    <row r="616" spans="1:6" x14ac:dyDescent="0.35">
      <c r="A616" s="3" t="s">
        <v>1072</v>
      </c>
      <c r="B616" t="str">
        <f>VLOOKUP(A616,Raw_Data!A:L,6,FALSE)</f>
        <v>Coffee grinder</v>
      </c>
      <c r="C616" t="str">
        <f>VLOOKUP(A616,Raw_Data!A:L,3,FALSE)</f>
        <v>Vietnam</v>
      </c>
      <c r="D616" s="3">
        <f>VLOOKUP(A616,Raw_Data!A:L,12,FALSE)</f>
        <v>1166</v>
      </c>
      <c r="E616" s="3">
        <f>VLOOKUP(A616,Raw_Data!A:L,11,FALSE)</f>
        <v>22</v>
      </c>
      <c r="F616" t="str">
        <f>TEXT(VLOOKUP(A616,Raw_Data!A:L,5,FALSE),"mmm")</f>
        <v>Aug</v>
      </c>
    </row>
    <row r="617" spans="1:6" x14ac:dyDescent="0.35">
      <c r="A617" s="3" t="s">
        <v>1074</v>
      </c>
      <c r="B617" t="str">
        <f>VLOOKUP(A617,Raw_Data!A:L,6,FALSE)</f>
        <v>Refrigerator</v>
      </c>
      <c r="C617" t="str">
        <f>VLOOKUP(A617,Raw_Data!A:L,3,FALSE)</f>
        <v>USA</v>
      </c>
      <c r="D617" s="3">
        <f>VLOOKUP(A617,Raw_Data!A:L,12,FALSE)</f>
        <v>32760</v>
      </c>
      <c r="E617" s="3">
        <f>VLOOKUP(A617,Raw_Data!A:L,11,FALSE)</f>
        <v>42</v>
      </c>
      <c r="F617" t="str">
        <f>TEXT(VLOOKUP(A617,Raw_Data!A:L,5,FALSE),"mmm")</f>
        <v>Apr</v>
      </c>
    </row>
    <row r="618" spans="1:6" x14ac:dyDescent="0.35">
      <c r="A618" s="3" t="s">
        <v>1075</v>
      </c>
      <c r="B618" t="str">
        <f>VLOOKUP(A618,Raw_Data!A:L,6,FALSE)</f>
        <v>Air conditioner</v>
      </c>
      <c r="C618" t="str">
        <f>VLOOKUP(A618,Raw_Data!A:L,3,FALSE)</f>
        <v>South Korea</v>
      </c>
      <c r="D618" s="3">
        <f>VLOOKUP(A618,Raw_Data!A:L,12,FALSE)</f>
        <v>39788</v>
      </c>
      <c r="E618" s="3">
        <f>VLOOKUP(A618,Raw_Data!A:L,11,FALSE)</f>
        <v>58</v>
      </c>
      <c r="F618" t="str">
        <f>TEXT(VLOOKUP(A618,Raw_Data!A:L,5,FALSE),"mmm")</f>
        <v>Apr</v>
      </c>
    </row>
    <row r="619" spans="1:6" x14ac:dyDescent="0.35">
      <c r="A619" s="3" t="s">
        <v>1076</v>
      </c>
      <c r="B619" t="str">
        <f>VLOOKUP(A619,Raw_Data!A:L,6,FALSE)</f>
        <v>Ceiling fan</v>
      </c>
      <c r="C619" t="str">
        <f>VLOOKUP(A619,Raw_Data!A:L,3,FALSE)</f>
        <v>USA</v>
      </c>
      <c r="D619" s="3">
        <f>VLOOKUP(A619,Raw_Data!A:L,12,FALSE)</f>
        <v>4428</v>
      </c>
      <c r="E619" s="3">
        <f>VLOOKUP(A619,Raw_Data!A:L,11,FALSE)</f>
        <v>41</v>
      </c>
      <c r="F619" t="str">
        <f>TEXT(VLOOKUP(A619,Raw_Data!A:L,5,FALSE),"mmm")</f>
        <v>Oct</v>
      </c>
    </row>
    <row r="620" spans="1:6" x14ac:dyDescent="0.35">
      <c r="A620" s="3" t="s">
        <v>1077</v>
      </c>
      <c r="B620" t="str">
        <f>VLOOKUP(A620,Raw_Data!A:L,6,FALSE)</f>
        <v>Refrigerator</v>
      </c>
      <c r="C620" t="str">
        <f>VLOOKUP(A620,Raw_Data!A:L,3,FALSE)</f>
        <v>Egypt</v>
      </c>
      <c r="D620" s="3">
        <f>VLOOKUP(A620,Raw_Data!A:L,12,FALSE)</f>
        <v>86240</v>
      </c>
      <c r="E620" s="3">
        <f>VLOOKUP(A620,Raw_Data!A:L,11,FALSE)</f>
        <v>98</v>
      </c>
      <c r="F620" t="str">
        <f>TEXT(VLOOKUP(A620,Raw_Data!A:L,5,FALSE),"mmm")</f>
        <v>Jun</v>
      </c>
    </row>
    <row r="621" spans="1:6" x14ac:dyDescent="0.35">
      <c r="A621" s="3" t="s">
        <v>1078</v>
      </c>
      <c r="B621" t="str">
        <f>VLOOKUP(A621,Raw_Data!A:L,6,FALSE)</f>
        <v>Washing Machine</v>
      </c>
      <c r="C621" t="str">
        <f>VLOOKUP(A621,Raw_Data!A:L,3,FALSE)</f>
        <v>South Korea</v>
      </c>
      <c r="D621" s="3">
        <f>VLOOKUP(A621,Raw_Data!A:L,12,FALSE)</f>
        <v>19040</v>
      </c>
      <c r="E621" s="3">
        <f>VLOOKUP(A621,Raw_Data!A:L,11,FALSE)</f>
        <v>34</v>
      </c>
      <c r="F621" t="str">
        <f>TEXT(VLOOKUP(A621,Raw_Data!A:L,5,FALSE),"mmm")</f>
        <v>Jul</v>
      </c>
    </row>
    <row r="622" spans="1:6" x14ac:dyDescent="0.35">
      <c r="A622" s="3" t="s">
        <v>1079</v>
      </c>
      <c r="B622" t="str">
        <f>VLOOKUP(A622,Raw_Data!A:L,6,FALSE)</f>
        <v>Refrigerator</v>
      </c>
      <c r="C622" t="str">
        <f>VLOOKUP(A622,Raw_Data!A:L,3,FALSE)</f>
        <v>South Korea</v>
      </c>
      <c r="D622" s="3">
        <f>VLOOKUP(A622,Raw_Data!A:L,12,FALSE)</f>
        <v>47430</v>
      </c>
      <c r="E622" s="3">
        <f>VLOOKUP(A622,Raw_Data!A:L,11,FALSE)</f>
        <v>51</v>
      </c>
      <c r="F622" t="str">
        <f>TEXT(VLOOKUP(A622,Raw_Data!A:L,5,FALSE),"mmm")</f>
        <v>Mar</v>
      </c>
    </row>
    <row r="623" spans="1:6" x14ac:dyDescent="0.35">
      <c r="A623" s="3" t="s">
        <v>1081</v>
      </c>
      <c r="B623" t="str">
        <f>VLOOKUP(A623,Raw_Data!A:L,6,FALSE)</f>
        <v>Air conditioner</v>
      </c>
      <c r="C623" t="str">
        <f>VLOOKUP(A623,Raw_Data!A:L,3,FALSE)</f>
        <v>Russia</v>
      </c>
      <c r="D623" s="3">
        <f>VLOOKUP(A623,Raw_Data!A:L,12,FALSE)</f>
        <v>39501</v>
      </c>
      <c r="E623" s="3">
        <f>VLOOKUP(A623,Raw_Data!A:L,11,FALSE)</f>
        <v>57</v>
      </c>
      <c r="F623" t="str">
        <f>TEXT(VLOOKUP(A623,Raw_Data!A:L,5,FALSE),"mmm")</f>
        <v>Mar</v>
      </c>
    </row>
    <row r="624" spans="1:6" x14ac:dyDescent="0.35">
      <c r="A624" s="3" t="s">
        <v>1082</v>
      </c>
      <c r="B624" t="str">
        <f>VLOOKUP(A624,Raw_Data!A:L,6,FALSE)</f>
        <v>Iron</v>
      </c>
      <c r="C624" t="str">
        <f>VLOOKUP(A624,Raw_Data!A:L,3,FALSE)</f>
        <v>USA</v>
      </c>
      <c r="D624" s="3">
        <f>VLOOKUP(A624,Raw_Data!A:L,12,FALSE)</f>
        <v>2574</v>
      </c>
      <c r="E624" s="3">
        <f>VLOOKUP(A624,Raw_Data!A:L,11,FALSE)</f>
        <v>99</v>
      </c>
      <c r="F624" t="str">
        <f>TEXT(VLOOKUP(A624,Raw_Data!A:L,5,FALSE),"mmm")</f>
        <v>Jul</v>
      </c>
    </row>
    <row r="625" spans="1:6" x14ac:dyDescent="0.35">
      <c r="A625" s="3" t="s">
        <v>1083</v>
      </c>
      <c r="B625" t="str">
        <f>VLOOKUP(A625,Raw_Data!A:L,6,FALSE)</f>
        <v>Iron</v>
      </c>
      <c r="C625" t="str">
        <f>VLOOKUP(A625,Raw_Data!A:L,3,FALSE)</f>
        <v>USA</v>
      </c>
      <c r="D625" s="3">
        <f>VLOOKUP(A625,Raw_Data!A:L,12,FALSE)</f>
        <v>812</v>
      </c>
      <c r="E625" s="3">
        <f>VLOOKUP(A625,Raw_Data!A:L,11,FALSE)</f>
        <v>28</v>
      </c>
      <c r="F625" t="str">
        <f>TEXT(VLOOKUP(A625,Raw_Data!A:L,5,FALSE),"mmm")</f>
        <v>Jul</v>
      </c>
    </row>
    <row r="626" spans="1:6" x14ac:dyDescent="0.35">
      <c r="A626" s="3" t="s">
        <v>1084</v>
      </c>
      <c r="B626" t="str">
        <f>VLOOKUP(A626,Raw_Data!A:L,6,FALSE)</f>
        <v>Iron</v>
      </c>
      <c r="C626" t="str">
        <f>VLOOKUP(A626,Raw_Data!A:L,3,FALSE)</f>
        <v>USA</v>
      </c>
      <c r="D626" s="3">
        <f>VLOOKUP(A626,Raw_Data!A:L,12,FALSE)</f>
        <v>1170</v>
      </c>
      <c r="E626" s="3">
        <f>VLOOKUP(A626,Raw_Data!A:L,11,FALSE)</f>
        <v>39</v>
      </c>
      <c r="F626" t="str">
        <f>TEXT(VLOOKUP(A626,Raw_Data!A:L,5,FALSE),"mmm")</f>
        <v>Feb</v>
      </c>
    </row>
    <row r="627" spans="1:6" x14ac:dyDescent="0.35">
      <c r="A627" s="3" t="s">
        <v>1085</v>
      </c>
      <c r="B627" t="str">
        <f>VLOOKUP(A627,Raw_Data!A:L,6,FALSE)</f>
        <v>Ceiling fan</v>
      </c>
      <c r="C627" t="str">
        <f>VLOOKUP(A627,Raw_Data!A:L,3,FALSE)</f>
        <v>Spain</v>
      </c>
      <c r="D627" s="3">
        <f>VLOOKUP(A627,Raw_Data!A:L,12,FALSE)</f>
        <v>3146</v>
      </c>
      <c r="E627" s="3">
        <f>VLOOKUP(A627,Raw_Data!A:L,11,FALSE)</f>
        <v>22</v>
      </c>
      <c r="F627" t="str">
        <f>TEXT(VLOOKUP(A627,Raw_Data!A:L,5,FALSE),"mmm")</f>
        <v>Aug</v>
      </c>
    </row>
    <row r="628" spans="1:6" x14ac:dyDescent="0.35">
      <c r="A628" s="3" t="s">
        <v>1086</v>
      </c>
      <c r="B628" t="str">
        <f>VLOOKUP(A628,Raw_Data!A:L,6,FALSE)</f>
        <v>Vacuum Cleaner</v>
      </c>
      <c r="C628" t="str">
        <f>VLOOKUP(A628,Raw_Data!A:L,3,FALSE)</f>
        <v>Argentina</v>
      </c>
      <c r="D628" s="3">
        <f>VLOOKUP(A628,Raw_Data!A:L,12,FALSE)</f>
        <v>9568</v>
      </c>
      <c r="E628" s="3">
        <f>VLOOKUP(A628,Raw_Data!A:L,11,FALSE)</f>
        <v>46</v>
      </c>
      <c r="F628" t="str">
        <f>TEXT(VLOOKUP(A628,Raw_Data!A:L,5,FALSE),"mmm")</f>
        <v>Jul</v>
      </c>
    </row>
    <row r="629" spans="1:6" x14ac:dyDescent="0.35">
      <c r="A629" s="3" t="s">
        <v>1087</v>
      </c>
      <c r="B629" t="str">
        <f>VLOOKUP(A629,Raw_Data!A:L,6,FALSE)</f>
        <v>Dishwasher</v>
      </c>
      <c r="C629" t="str">
        <f>VLOOKUP(A629,Raw_Data!A:L,3,FALSE)</f>
        <v>Netherlands</v>
      </c>
      <c r="D629" s="3">
        <f>VLOOKUP(A629,Raw_Data!A:L,12,FALSE)</f>
        <v>2730</v>
      </c>
      <c r="E629" s="3">
        <f>VLOOKUP(A629,Raw_Data!A:L,11,FALSE)</f>
        <v>6</v>
      </c>
      <c r="F629" t="str">
        <f>TEXT(VLOOKUP(A629,Raw_Data!A:L,5,FALSE),"mmm")</f>
        <v>Oct</v>
      </c>
    </row>
    <row r="630" spans="1:6" x14ac:dyDescent="0.35">
      <c r="A630" s="3" t="s">
        <v>1088</v>
      </c>
      <c r="B630" t="str">
        <f>VLOOKUP(A630,Raw_Data!A:L,6,FALSE)</f>
        <v>Vacuum Cleaner</v>
      </c>
      <c r="C630" t="str">
        <f>VLOOKUP(A630,Raw_Data!A:L,3,FALSE)</f>
        <v>France</v>
      </c>
      <c r="D630" s="3">
        <f>VLOOKUP(A630,Raw_Data!A:L,12,FALSE)</f>
        <v>2790</v>
      </c>
      <c r="E630" s="3">
        <f>VLOOKUP(A630,Raw_Data!A:L,11,FALSE)</f>
        <v>18</v>
      </c>
      <c r="F630" t="str">
        <f>TEXT(VLOOKUP(A630,Raw_Data!A:L,5,FALSE),"mmm")</f>
        <v>Sep</v>
      </c>
    </row>
    <row r="631" spans="1:6" x14ac:dyDescent="0.35">
      <c r="A631" s="3" t="s">
        <v>1089</v>
      </c>
      <c r="B631" t="str">
        <f>VLOOKUP(A631,Raw_Data!A:L,6,FALSE)</f>
        <v>Iron</v>
      </c>
      <c r="C631" t="str">
        <f>VLOOKUP(A631,Raw_Data!A:L,3,FALSE)</f>
        <v>Germany</v>
      </c>
      <c r="D631" s="3">
        <f>VLOOKUP(A631,Raw_Data!A:L,12,FALSE)</f>
        <v>1215</v>
      </c>
      <c r="E631" s="3">
        <f>VLOOKUP(A631,Raw_Data!A:L,11,FALSE)</f>
        <v>45</v>
      </c>
      <c r="F631" t="str">
        <f>TEXT(VLOOKUP(A631,Raw_Data!A:L,5,FALSE),"mmm")</f>
        <v>Sep</v>
      </c>
    </row>
    <row r="632" spans="1:6" x14ac:dyDescent="0.35">
      <c r="A632" s="3" t="s">
        <v>1090</v>
      </c>
      <c r="B632" t="str">
        <f>VLOOKUP(A632,Raw_Data!A:L,6,FALSE)</f>
        <v>Dishwasher</v>
      </c>
      <c r="C632" t="str">
        <f>VLOOKUP(A632,Raw_Data!A:L,3,FALSE)</f>
        <v>South Africa</v>
      </c>
      <c r="D632" s="3">
        <f>VLOOKUP(A632,Raw_Data!A:L,12,FALSE)</f>
        <v>4365</v>
      </c>
      <c r="E632" s="3">
        <f>VLOOKUP(A632,Raw_Data!A:L,11,FALSE)</f>
        <v>9</v>
      </c>
      <c r="F632" t="str">
        <f>TEXT(VLOOKUP(A632,Raw_Data!A:L,5,FALSE),"mmm")</f>
        <v>Feb</v>
      </c>
    </row>
    <row r="633" spans="1:6" x14ac:dyDescent="0.35">
      <c r="A633" s="3" t="s">
        <v>1092</v>
      </c>
      <c r="B633" t="str">
        <f>VLOOKUP(A633,Raw_Data!A:L,6,FALSE)</f>
        <v>Blender</v>
      </c>
      <c r="C633" t="str">
        <f>VLOOKUP(A633,Raw_Data!A:L,3,FALSE)</f>
        <v>USA</v>
      </c>
      <c r="D633" s="3">
        <f>VLOOKUP(A633,Raw_Data!A:L,12,FALSE)</f>
        <v>1029</v>
      </c>
      <c r="E633" s="3">
        <f>VLOOKUP(A633,Raw_Data!A:L,11,FALSE)</f>
        <v>21</v>
      </c>
      <c r="F633" t="str">
        <f>TEXT(VLOOKUP(A633,Raw_Data!A:L,5,FALSE),"mmm")</f>
        <v>Aug</v>
      </c>
    </row>
    <row r="634" spans="1:6" x14ac:dyDescent="0.35">
      <c r="A634" s="3" t="s">
        <v>1093</v>
      </c>
      <c r="B634" t="str">
        <f>VLOOKUP(A634,Raw_Data!A:L,6,FALSE)</f>
        <v>Dishwasher</v>
      </c>
      <c r="C634" t="str">
        <f>VLOOKUP(A634,Raw_Data!A:L,3,FALSE)</f>
        <v>Vietnam</v>
      </c>
      <c r="D634" s="3">
        <f>VLOOKUP(A634,Raw_Data!A:L,12,FALSE)</f>
        <v>4500</v>
      </c>
      <c r="E634" s="3">
        <f>VLOOKUP(A634,Raw_Data!A:L,11,FALSE)</f>
        <v>10</v>
      </c>
      <c r="F634" t="str">
        <f>TEXT(VLOOKUP(A634,Raw_Data!A:L,5,FALSE),"mmm")</f>
        <v>Mar</v>
      </c>
    </row>
    <row r="635" spans="1:6" x14ac:dyDescent="0.35">
      <c r="A635" s="3" t="s">
        <v>1095</v>
      </c>
      <c r="B635" t="str">
        <f>VLOOKUP(A635,Raw_Data!A:L,6,FALSE)</f>
        <v>Toaster</v>
      </c>
      <c r="C635" t="str">
        <f>VLOOKUP(A635,Raw_Data!A:L,3,FALSE)</f>
        <v>Vietnam</v>
      </c>
      <c r="D635" s="3">
        <f>VLOOKUP(A635,Raw_Data!A:L,12,FALSE)</f>
        <v>1519</v>
      </c>
      <c r="E635" s="3">
        <f>VLOOKUP(A635,Raw_Data!A:L,11,FALSE)</f>
        <v>31</v>
      </c>
      <c r="F635" t="str">
        <f>TEXT(VLOOKUP(A635,Raw_Data!A:L,5,FALSE),"mmm")</f>
        <v>Mar</v>
      </c>
    </row>
    <row r="636" spans="1:6" x14ac:dyDescent="0.35">
      <c r="A636" s="3" t="s">
        <v>1096</v>
      </c>
      <c r="B636" t="str">
        <f>VLOOKUP(A636,Raw_Data!A:L,6,FALSE)</f>
        <v>Ceiling fan</v>
      </c>
      <c r="C636" t="str">
        <f>VLOOKUP(A636,Raw_Data!A:L,3,FALSE)</f>
        <v>USA</v>
      </c>
      <c r="D636" s="3">
        <f>VLOOKUP(A636,Raw_Data!A:L,12,FALSE)</f>
        <v>9324</v>
      </c>
      <c r="E636" s="3">
        <f>VLOOKUP(A636,Raw_Data!A:L,11,FALSE)</f>
        <v>84</v>
      </c>
      <c r="F636" t="str">
        <f>TEXT(VLOOKUP(A636,Raw_Data!A:L,5,FALSE),"mmm")</f>
        <v>Feb</v>
      </c>
    </row>
    <row r="637" spans="1:6" x14ac:dyDescent="0.35">
      <c r="A637" s="3" t="s">
        <v>1097</v>
      </c>
      <c r="B637" t="str">
        <f>VLOOKUP(A637,Raw_Data!A:L,6,FALSE)</f>
        <v>Iron</v>
      </c>
      <c r="C637" t="str">
        <f>VLOOKUP(A637,Raw_Data!A:L,3,FALSE)</f>
        <v>Austria</v>
      </c>
      <c r="D637" s="3">
        <f>VLOOKUP(A637,Raw_Data!A:L,12,FALSE)</f>
        <v>1885</v>
      </c>
      <c r="E637" s="3">
        <f>VLOOKUP(A637,Raw_Data!A:L,11,FALSE)</f>
        <v>65</v>
      </c>
      <c r="F637" t="str">
        <f>TEXT(VLOOKUP(A637,Raw_Data!A:L,5,FALSE),"mmm")</f>
        <v>May</v>
      </c>
    </row>
    <row r="638" spans="1:6" x14ac:dyDescent="0.35">
      <c r="A638" s="3" t="s">
        <v>1099</v>
      </c>
      <c r="B638" t="str">
        <f>VLOOKUP(A638,Raw_Data!A:L,6,FALSE)</f>
        <v>Toaster</v>
      </c>
      <c r="C638" t="str">
        <f>VLOOKUP(A638,Raw_Data!A:L,3,FALSE)</f>
        <v>Italy</v>
      </c>
      <c r="D638" s="3">
        <f>VLOOKUP(A638,Raw_Data!A:L,12,FALSE)</f>
        <v>280</v>
      </c>
      <c r="E638" s="3">
        <f>VLOOKUP(A638,Raw_Data!A:L,11,FALSE)</f>
        <v>8</v>
      </c>
      <c r="F638" t="str">
        <f>TEXT(VLOOKUP(A638,Raw_Data!A:L,5,FALSE),"mmm")</f>
        <v>Feb</v>
      </c>
    </row>
    <row r="639" spans="1:6" x14ac:dyDescent="0.35">
      <c r="A639" s="3" t="s">
        <v>1100</v>
      </c>
      <c r="B639" t="str">
        <f>VLOOKUP(A639,Raw_Data!A:L,6,FALSE)</f>
        <v>Coffee grinder</v>
      </c>
      <c r="C639" t="str">
        <f>VLOOKUP(A639,Raw_Data!A:L,3,FALSE)</f>
        <v>Poland</v>
      </c>
      <c r="D639" s="3">
        <f>VLOOKUP(A639,Raw_Data!A:L,12,FALSE)</f>
        <v>1656</v>
      </c>
      <c r="E639" s="3">
        <f>VLOOKUP(A639,Raw_Data!A:L,11,FALSE)</f>
        <v>24</v>
      </c>
      <c r="F639" t="str">
        <f>TEXT(VLOOKUP(A639,Raw_Data!A:L,5,FALSE),"mmm")</f>
        <v>Jul</v>
      </c>
    </row>
    <row r="640" spans="1:6" x14ac:dyDescent="0.35">
      <c r="A640" s="3" t="s">
        <v>1102</v>
      </c>
      <c r="B640" t="str">
        <f>VLOOKUP(A640,Raw_Data!A:L,6,FALSE)</f>
        <v>Vacuum Cleaner</v>
      </c>
      <c r="C640" t="str">
        <f>VLOOKUP(A640,Raw_Data!A:L,3,FALSE)</f>
        <v>Peru</v>
      </c>
      <c r="D640" s="3">
        <f>VLOOKUP(A640,Raw_Data!A:L,12,FALSE)</f>
        <v>654</v>
      </c>
      <c r="E640" s="3">
        <f>VLOOKUP(A640,Raw_Data!A:L,11,FALSE)</f>
        <v>3</v>
      </c>
      <c r="F640" t="str">
        <f>TEXT(VLOOKUP(A640,Raw_Data!A:L,5,FALSE),"mmm")</f>
        <v>Oct</v>
      </c>
    </row>
    <row r="641" spans="1:6" x14ac:dyDescent="0.35">
      <c r="A641" s="3" t="s">
        <v>1104</v>
      </c>
      <c r="B641" t="str">
        <f>VLOOKUP(A641,Raw_Data!A:L,6,FALSE)</f>
        <v>Air conditioner</v>
      </c>
      <c r="C641" t="str">
        <f>VLOOKUP(A641,Raw_Data!A:L,3,FALSE)</f>
        <v>South Korea</v>
      </c>
      <c r="D641" s="3">
        <f>VLOOKUP(A641,Raw_Data!A:L,12,FALSE)</f>
        <v>43008</v>
      </c>
      <c r="E641" s="3">
        <f>VLOOKUP(A641,Raw_Data!A:L,11,FALSE)</f>
        <v>64</v>
      </c>
      <c r="F641" t="str">
        <f>TEXT(VLOOKUP(A641,Raw_Data!A:L,5,FALSE),"mmm")</f>
        <v>Oct</v>
      </c>
    </row>
    <row r="642" spans="1:6" x14ac:dyDescent="0.35">
      <c r="A642" s="3" t="s">
        <v>1105</v>
      </c>
      <c r="B642" t="str">
        <f>VLOOKUP(A642,Raw_Data!A:L,6,FALSE)</f>
        <v>Refrigerator</v>
      </c>
      <c r="C642" t="str">
        <f>VLOOKUP(A642,Raw_Data!A:L,3,FALSE)</f>
        <v>Malaysia</v>
      </c>
      <c r="D642" s="3">
        <f>VLOOKUP(A642,Raw_Data!A:L,12,FALSE)</f>
        <v>92150</v>
      </c>
      <c r="E642" s="3">
        <f>VLOOKUP(A642,Raw_Data!A:L,11,FALSE)</f>
        <v>97</v>
      </c>
      <c r="F642" t="str">
        <f>TEXT(VLOOKUP(A642,Raw_Data!A:L,5,FALSE),"mmm")</f>
        <v>Nov</v>
      </c>
    </row>
    <row r="643" spans="1:6" x14ac:dyDescent="0.35">
      <c r="A643" s="3" t="s">
        <v>1106</v>
      </c>
      <c r="B643" t="str">
        <f>VLOOKUP(A643,Raw_Data!A:L,6,FALSE)</f>
        <v>Blender</v>
      </c>
      <c r="C643" t="str">
        <f>VLOOKUP(A643,Raw_Data!A:L,3,FALSE)</f>
        <v>Romania</v>
      </c>
      <c r="D643" s="3">
        <f>VLOOKUP(A643,Raw_Data!A:L,12,FALSE)</f>
        <v>850</v>
      </c>
      <c r="E643" s="3">
        <f>VLOOKUP(A643,Raw_Data!A:L,11,FALSE)</f>
        <v>17</v>
      </c>
      <c r="F643" t="str">
        <f>TEXT(VLOOKUP(A643,Raw_Data!A:L,5,FALSE),"mmm")</f>
        <v>Jan</v>
      </c>
    </row>
    <row r="644" spans="1:6" x14ac:dyDescent="0.35">
      <c r="A644" s="3" t="s">
        <v>1107</v>
      </c>
      <c r="B644" t="str">
        <f>VLOOKUP(A644,Raw_Data!A:L,6,FALSE)</f>
        <v>Air conditioner</v>
      </c>
      <c r="C644" t="str">
        <f>VLOOKUP(A644,Raw_Data!A:L,3,FALSE)</f>
        <v>Mexico</v>
      </c>
      <c r="D644" s="3">
        <f>VLOOKUP(A644,Raw_Data!A:L,12,FALSE)</f>
        <v>50127</v>
      </c>
      <c r="E644" s="3">
        <f>VLOOKUP(A644,Raw_Data!A:L,11,FALSE)</f>
        <v>77</v>
      </c>
      <c r="F644" t="str">
        <f>TEXT(VLOOKUP(A644,Raw_Data!A:L,5,FALSE),"mmm")</f>
        <v>Oct</v>
      </c>
    </row>
    <row r="645" spans="1:6" x14ac:dyDescent="0.35">
      <c r="A645" s="3" t="s">
        <v>1108</v>
      </c>
      <c r="B645" t="str">
        <f>VLOOKUP(A645,Raw_Data!A:L,6,FALSE)</f>
        <v>Dishwasher</v>
      </c>
      <c r="C645" t="str">
        <f>VLOOKUP(A645,Raw_Data!A:L,3,FALSE)</f>
        <v>Turkey</v>
      </c>
      <c r="D645" s="3">
        <f>VLOOKUP(A645,Raw_Data!A:L,12,FALSE)</f>
        <v>21390</v>
      </c>
      <c r="E645" s="3">
        <f>VLOOKUP(A645,Raw_Data!A:L,11,FALSE)</f>
        <v>46</v>
      </c>
      <c r="F645" t="str">
        <f>TEXT(VLOOKUP(A645,Raw_Data!A:L,5,FALSE),"mmm")</f>
        <v>Dec</v>
      </c>
    </row>
    <row r="646" spans="1:6" x14ac:dyDescent="0.35">
      <c r="A646" s="3" t="s">
        <v>1110</v>
      </c>
      <c r="B646" t="str">
        <f>VLOOKUP(A646,Raw_Data!A:L,6,FALSE)</f>
        <v>Blender</v>
      </c>
      <c r="C646" t="str">
        <f>VLOOKUP(A646,Raw_Data!A:L,3,FALSE)</f>
        <v>South Korea</v>
      </c>
      <c r="D646" s="3">
        <f>VLOOKUP(A646,Raw_Data!A:L,12,FALSE)</f>
        <v>96</v>
      </c>
      <c r="E646" s="3">
        <f>VLOOKUP(A646,Raw_Data!A:L,11,FALSE)</f>
        <v>2</v>
      </c>
      <c r="F646" t="str">
        <f>TEXT(VLOOKUP(A646,Raw_Data!A:L,5,FALSE),"mmm")</f>
        <v>Jan</v>
      </c>
    </row>
    <row r="647" spans="1:6" x14ac:dyDescent="0.35">
      <c r="A647" s="3" t="s">
        <v>1112</v>
      </c>
      <c r="B647" t="str">
        <f>VLOOKUP(A647,Raw_Data!A:L,6,FALSE)</f>
        <v>Ceiling fan</v>
      </c>
      <c r="C647" t="str">
        <f>VLOOKUP(A647,Raw_Data!A:L,3,FALSE)</f>
        <v>USA</v>
      </c>
      <c r="D647" s="3">
        <f>VLOOKUP(A647,Raw_Data!A:L,12,FALSE)</f>
        <v>12240</v>
      </c>
      <c r="E647" s="3">
        <f>VLOOKUP(A647,Raw_Data!A:L,11,FALSE)</f>
        <v>85</v>
      </c>
      <c r="F647" t="str">
        <f>TEXT(VLOOKUP(A647,Raw_Data!A:L,5,FALSE),"mmm")</f>
        <v>Dec</v>
      </c>
    </row>
    <row r="648" spans="1:6" x14ac:dyDescent="0.35">
      <c r="A648" s="3" t="s">
        <v>1113</v>
      </c>
      <c r="B648" t="str">
        <f>VLOOKUP(A648,Raw_Data!A:L,6,FALSE)</f>
        <v>Toaster</v>
      </c>
      <c r="C648" t="str">
        <f>VLOOKUP(A648,Raw_Data!A:L,3,FALSE)</f>
        <v>Israel</v>
      </c>
      <c r="D648" s="3">
        <f>VLOOKUP(A648,Raw_Data!A:L,12,FALSE)</f>
        <v>3174</v>
      </c>
      <c r="E648" s="3">
        <f>VLOOKUP(A648,Raw_Data!A:L,11,FALSE)</f>
        <v>69</v>
      </c>
      <c r="F648" t="str">
        <f>TEXT(VLOOKUP(A648,Raw_Data!A:L,5,FALSE),"mmm")</f>
        <v>Jul</v>
      </c>
    </row>
    <row r="649" spans="1:6" x14ac:dyDescent="0.35">
      <c r="A649" s="3" t="s">
        <v>1114</v>
      </c>
      <c r="B649" t="str">
        <f>VLOOKUP(A649,Raw_Data!A:L,6,FALSE)</f>
        <v>Microwave</v>
      </c>
      <c r="C649" t="str">
        <f>VLOOKUP(A649,Raw_Data!A:L,3,FALSE)</f>
        <v>France</v>
      </c>
      <c r="D649" s="3">
        <f>VLOOKUP(A649,Raw_Data!A:L,12,FALSE)</f>
        <v>2030</v>
      </c>
      <c r="E649" s="3">
        <f>VLOOKUP(A649,Raw_Data!A:L,11,FALSE)</f>
        <v>29</v>
      </c>
      <c r="F649" t="str">
        <f>TEXT(VLOOKUP(A649,Raw_Data!A:L,5,FALSE),"mmm")</f>
        <v>Aug</v>
      </c>
    </row>
    <row r="650" spans="1:6" x14ac:dyDescent="0.35">
      <c r="A650" s="3" t="s">
        <v>1115</v>
      </c>
      <c r="B650" t="str">
        <f>VLOOKUP(A650,Raw_Data!A:L,6,FALSE)</f>
        <v>Washing Machine</v>
      </c>
      <c r="C650" t="str">
        <f>VLOOKUP(A650,Raw_Data!A:L,3,FALSE)</f>
        <v>USA</v>
      </c>
      <c r="D650" s="3">
        <f>VLOOKUP(A650,Raw_Data!A:L,12,FALSE)</f>
        <v>14744</v>
      </c>
      <c r="E650" s="3">
        <f>VLOOKUP(A650,Raw_Data!A:L,11,FALSE)</f>
        <v>19</v>
      </c>
      <c r="F650" t="str">
        <f>TEXT(VLOOKUP(A650,Raw_Data!A:L,5,FALSE),"mmm")</f>
        <v>Oct</v>
      </c>
    </row>
    <row r="651" spans="1:6" x14ac:dyDescent="0.35">
      <c r="A651" s="3" t="s">
        <v>1116</v>
      </c>
      <c r="B651" t="str">
        <f>VLOOKUP(A651,Raw_Data!A:L,6,FALSE)</f>
        <v>Blender</v>
      </c>
      <c r="C651" t="str">
        <f>VLOOKUP(A651,Raw_Data!A:L,3,FALSE)</f>
        <v>Colombia</v>
      </c>
      <c r="D651" s="3">
        <f>VLOOKUP(A651,Raw_Data!A:L,12,FALSE)</f>
        <v>3948</v>
      </c>
      <c r="E651" s="3">
        <f>VLOOKUP(A651,Raw_Data!A:L,11,FALSE)</f>
        <v>84</v>
      </c>
      <c r="F651" t="str">
        <f>TEXT(VLOOKUP(A651,Raw_Data!A:L,5,FALSE),"mmm")</f>
        <v>Aug</v>
      </c>
    </row>
    <row r="652" spans="1:6" x14ac:dyDescent="0.35">
      <c r="A652" s="3" t="s">
        <v>1117</v>
      </c>
      <c r="B652" t="str">
        <f>VLOOKUP(A652,Raw_Data!A:L,6,FALSE)</f>
        <v>Blender</v>
      </c>
      <c r="C652" t="str">
        <f>VLOOKUP(A652,Raw_Data!A:L,3,FALSE)</f>
        <v>India</v>
      </c>
      <c r="D652" s="3">
        <f>VLOOKUP(A652,Raw_Data!A:L,12,FALSE)</f>
        <v>1400</v>
      </c>
      <c r="E652" s="3">
        <f>VLOOKUP(A652,Raw_Data!A:L,11,FALSE)</f>
        <v>28</v>
      </c>
      <c r="F652" t="str">
        <f>TEXT(VLOOKUP(A652,Raw_Data!A:L,5,FALSE),"mmm")</f>
        <v>Oct</v>
      </c>
    </row>
    <row r="653" spans="1:6" x14ac:dyDescent="0.35">
      <c r="A653" s="3" t="s">
        <v>1118</v>
      </c>
      <c r="B653" t="str">
        <f>VLOOKUP(A653,Raw_Data!A:L,6,FALSE)</f>
        <v>Blender</v>
      </c>
      <c r="C653" t="str">
        <f>VLOOKUP(A653,Raw_Data!A:L,3,FALSE)</f>
        <v>Saudi Arabia</v>
      </c>
      <c r="D653" s="3">
        <f>VLOOKUP(A653,Raw_Data!A:L,12,FALSE)</f>
        <v>4080</v>
      </c>
      <c r="E653" s="3">
        <f>VLOOKUP(A653,Raw_Data!A:L,11,FALSE)</f>
        <v>85</v>
      </c>
      <c r="F653" t="str">
        <f>TEXT(VLOOKUP(A653,Raw_Data!A:L,5,FALSE),"mmm")</f>
        <v>Nov</v>
      </c>
    </row>
    <row r="654" spans="1:6" x14ac:dyDescent="0.35">
      <c r="A654" s="3" t="s">
        <v>1119</v>
      </c>
      <c r="B654" t="str">
        <f>VLOOKUP(A654,Raw_Data!A:L,6,FALSE)</f>
        <v>Toaster</v>
      </c>
      <c r="C654" t="str">
        <f>VLOOKUP(A654,Raw_Data!A:L,3,FALSE)</f>
        <v>Australia</v>
      </c>
      <c r="D654" s="3">
        <f>VLOOKUP(A654,Raw_Data!A:L,12,FALSE)</f>
        <v>1053</v>
      </c>
      <c r="E654" s="3">
        <f>VLOOKUP(A654,Raw_Data!A:L,11,FALSE)</f>
        <v>27</v>
      </c>
      <c r="F654" t="str">
        <f>TEXT(VLOOKUP(A654,Raw_Data!A:L,5,FALSE),"mmm")</f>
        <v>Apr</v>
      </c>
    </row>
    <row r="655" spans="1:6" x14ac:dyDescent="0.35">
      <c r="A655" s="3" t="s">
        <v>1120</v>
      </c>
      <c r="B655" t="str">
        <f>VLOOKUP(A655,Raw_Data!A:L,6,FALSE)</f>
        <v>Oven</v>
      </c>
      <c r="C655" t="str">
        <f>VLOOKUP(A655,Raw_Data!A:L,3,FALSE)</f>
        <v>Vietnam</v>
      </c>
      <c r="D655" s="3">
        <f>VLOOKUP(A655,Raw_Data!A:L,12,FALSE)</f>
        <v>32000</v>
      </c>
      <c r="E655" s="3">
        <f>VLOOKUP(A655,Raw_Data!A:L,11,FALSE)</f>
        <v>64</v>
      </c>
      <c r="F655" t="str">
        <f>TEXT(VLOOKUP(A655,Raw_Data!A:L,5,FALSE),"mmm")</f>
        <v>Feb</v>
      </c>
    </row>
    <row r="656" spans="1:6" x14ac:dyDescent="0.35">
      <c r="A656" s="3" t="s">
        <v>1121</v>
      </c>
      <c r="B656" t="str">
        <f>VLOOKUP(A656,Raw_Data!A:L,6,FALSE)</f>
        <v>Coffee grinder</v>
      </c>
      <c r="C656" t="str">
        <f>VLOOKUP(A656,Raw_Data!A:L,3,FALSE)</f>
        <v>USA</v>
      </c>
      <c r="D656" s="3">
        <f>VLOOKUP(A656,Raw_Data!A:L,12,FALSE)</f>
        <v>1856</v>
      </c>
      <c r="E656" s="3">
        <f>VLOOKUP(A656,Raw_Data!A:L,11,FALSE)</f>
        <v>29</v>
      </c>
      <c r="F656" t="str">
        <f>TEXT(VLOOKUP(A656,Raw_Data!A:L,5,FALSE),"mmm")</f>
        <v>Apr</v>
      </c>
    </row>
    <row r="657" spans="1:6" x14ac:dyDescent="0.35">
      <c r="A657" s="3" t="s">
        <v>1122</v>
      </c>
      <c r="B657" t="str">
        <f>VLOOKUP(A657,Raw_Data!A:L,6,FALSE)</f>
        <v>Oven</v>
      </c>
      <c r="C657" t="str">
        <f>VLOOKUP(A657,Raw_Data!A:L,3,FALSE)</f>
        <v>Germany</v>
      </c>
      <c r="D657" s="3">
        <f>VLOOKUP(A657,Raw_Data!A:L,12,FALSE)</f>
        <v>34155</v>
      </c>
      <c r="E657" s="3">
        <f>VLOOKUP(A657,Raw_Data!A:L,11,FALSE)</f>
        <v>69</v>
      </c>
      <c r="F657" t="str">
        <f>TEXT(VLOOKUP(A657,Raw_Data!A:L,5,FALSE),"mmm")</f>
        <v>Aug</v>
      </c>
    </row>
    <row r="658" spans="1:6" x14ac:dyDescent="0.35">
      <c r="A658" s="3" t="s">
        <v>1123</v>
      </c>
      <c r="B658" t="str">
        <f>VLOOKUP(A658,Raw_Data!A:L,6,FALSE)</f>
        <v>Microwave</v>
      </c>
      <c r="C658" t="str">
        <f>VLOOKUP(A658,Raw_Data!A:L,3,FALSE)</f>
        <v>Mexico</v>
      </c>
      <c r="D658" s="3">
        <f>VLOOKUP(A658,Raw_Data!A:L,12,FALSE)</f>
        <v>2380</v>
      </c>
      <c r="E658" s="3">
        <f>VLOOKUP(A658,Raw_Data!A:L,11,FALSE)</f>
        <v>34</v>
      </c>
      <c r="F658" t="str">
        <f>TEXT(VLOOKUP(A658,Raw_Data!A:L,5,FALSE),"mmm")</f>
        <v>Sep</v>
      </c>
    </row>
    <row r="659" spans="1:6" x14ac:dyDescent="0.35">
      <c r="A659" s="3" t="s">
        <v>1124</v>
      </c>
      <c r="B659" t="str">
        <f>VLOOKUP(A659,Raw_Data!A:L,6,FALSE)</f>
        <v>Iron</v>
      </c>
      <c r="C659" t="str">
        <f>VLOOKUP(A659,Raw_Data!A:L,3,FALSE)</f>
        <v>Turkey</v>
      </c>
      <c r="D659" s="3">
        <f>VLOOKUP(A659,Raw_Data!A:L,12,FALSE)</f>
        <v>609</v>
      </c>
      <c r="E659" s="3">
        <f>VLOOKUP(A659,Raw_Data!A:L,11,FALSE)</f>
        <v>21</v>
      </c>
      <c r="F659" t="str">
        <f>TEXT(VLOOKUP(A659,Raw_Data!A:L,5,FALSE),"mmm")</f>
        <v>Feb</v>
      </c>
    </row>
    <row r="660" spans="1:6" x14ac:dyDescent="0.35">
      <c r="A660" s="3" t="s">
        <v>1126</v>
      </c>
      <c r="B660" t="str">
        <f>VLOOKUP(A660,Raw_Data!A:L,6,FALSE)</f>
        <v>Washing Machine</v>
      </c>
      <c r="C660" t="str">
        <f>VLOOKUP(A660,Raw_Data!A:L,3,FALSE)</f>
        <v>Chile</v>
      </c>
      <c r="D660" s="3">
        <f>VLOOKUP(A660,Raw_Data!A:L,12,FALSE)</f>
        <v>48280</v>
      </c>
      <c r="E660" s="3">
        <f>VLOOKUP(A660,Raw_Data!A:L,11,FALSE)</f>
        <v>71</v>
      </c>
      <c r="F660" t="str">
        <f>TEXT(VLOOKUP(A660,Raw_Data!A:L,5,FALSE),"mmm")</f>
        <v>Sep</v>
      </c>
    </row>
    <row r="661" spans="1:6" x14ac:dyDescent="0.35">
      <c r="A661" s="3" t="s">
        <v>1127</v>
      </c>
      <c r="B661" t="str">
        <f>VLOOKUP(A661,Raw_Data!A:L,6,FALSE)</f>
        <v>Toaster</v>
      </c>
      <c r="C661" t="str">
        <f>VLOOKUP(A661,Raw_Data!A:L,3,FALSE)</f>
        <v>Japan</v>
      </c>
      <c r="D661" s="3">
        <f>VLOOKUP(A661,Raw_Data!A:L,12,FALSE)</f>
        <v>882</v>
      </c>
      <c r="E661" s="3">
        <f>VLOOKUP(A661,Raw_Data!A:L,11,FALSE)</f>
        <v>18</v>
      </c>
      <c r="F661" t="str">
        <f>TEXT(VLOOKUP(A661,Raw_Data!A:L,5,FALSE),"mmm")</f>
        <v>Aug</v>
      </c>
    </row>
    <row r="662" spans="1:6" x14ac:dyDescent="0.35">
      <c r="A662" s="3" t="s">
        <v>1129</v>
      </c>
      <c r="B662" t="str">
        <f>VLOOKUP(A662,Raw_Data!A:L,6,FALSE)</f>
        <v>Oven</v>
      </c>
      <c r="C662" t="str">
        <f>VLOOKUP(A662,Raw_Data!A:L,3,FALSE)</f>
        <v>USA</v>
      </c>
      <c r="D662" s="3">
        <f>VLOOKUP(A662,Raw_Data!A:L,12,FALSE)</f>
        <v>27720</v>
      </c>
      <c r="E662" s="3">
        <f>VLOOKUP(A662,Raw_Data!A:L,11,FALSE)</f>
        <v>56</v>
      </c>
      <c r="F662" t="str">
        <f>TEXT(VLOOKUP(A662,Raw_Data!A:L,5,FALSE),"mmm")</f>
        <v>Jan</v>
      </c>
    </row>
    <row r="663" spans="1:6" x14ac:dyDescent="0.35">
      <c r="A663" s="3" t="s">
        <v>1131</v>
      </c>
      <c r="B663" t="str">
        <f>VLOOKUP(A663,Raw_Data!A:L,6,FALSE)</f>
        <v>Refrigerator</v>
      </c>
      <c r="C663" t="str">
        <f>VLOOKUP(A663,Raw_Data!A:L,3,FALSE)</f>
        <v>Australia</v>
      </c>
      <c r="D663" s="3">
        <f>VLOOKUP(A663,Raw_Data!A:L,12,FALSE)</f>
        <v>12240</v>
      </c>
      <c r="E663" s="3">
        <f>VLOOKUP(A663,Raw_Data!A:L,11,FALSE)</f>
        <v>24</v>
      </c>
      <c r="F663" t="str">
        <f>TEXT(VLOOKUP(A663,Raw_Data!A:L,5,FALSE),"mmm")</f>
        <v>Oct</v>
      </c>
    </row>
    <row r="664" spans="1:6" x14ac:dyDescent="0.35">
      <c r="A664" s="3" t="s">
        <v>1133</v>
      </c>
      <c r="B664" t="str">
        <f>VLOOKUP(A664,Raw_Data!A:L,6,FALSE)</f>
        <v>Oven</v>
      </c>
      <c r="C664" t="str">
        <f>VLOOKUP(A664,Raw_Data!A:L,3,FALSE)</f>
        <v>Mexico</v>
      </c>
      <c r="D664" s="3">
        <f>VLOOKUP(A664,Raw_Data!A:L,12,FALSE)</f>
        <v>35145</v>
      </c>
      <c r="E664" s="3">
        <f>VLOOKUP(A664,Raw_Data!A:L,11,FALSE)</f>
        <v>71</v>
      </c>
      <c r="F664" t="str">
        <f>TEXT(VLOOKUP(A664,Raw_Data!A:L,5,FALSE),"mmm")</f>
        <v>Sep</v>
      </c>
    </row>
    <row r="665" spans="1:6" x14ac:dyDescent="0.35">
      <c r="A665" s="3" t="s">
        <v>1134</v>
      </c>
      <c r="B665" t="str">
        <f>VLOOKUP(A665,Raw_Data!A:L,6,FALSE)</f>
        <v>Iron</v>
      </c>
      <c r="C665" t="str">
        <f>VLOOKUP(A665,Raw_Data!A:L,3,FALSE)</f>
        <v>Argentina</v>
      </c>
      <c r="D665" s="3">
        <f>VLOOKUP(A665,Raw_Data!A:L,12,FALSE)</f>
        <v>2236</v>
      </c>
      <c r="E665" s="3">
        <f>VLOOKUP(A665,Raw_Data!A:L,11,FALSE)</f>
        <v>86</v>
      </c>
      <c r="F665" t="str">
        <f>TEXT(VLOOKUP(A665,Raw_Data!A:L,5,FALSE),"mmm")</f>
        <v>Oct</v>
      </c>
    </row>
    <row r="666" spans="1:6" x14ac:dyDescent="0.35">
      <c r="A666" s="3" t="s">
        <v>1135</v>
      </c>
      <c r="B666" t="str">
        <f>VLOOKUP(A666,Raw_Data!A:L,6,FALSE)</f>
        <v>Washing Machine</v>
      </c>
      <c r="C666" t="str">
        <f>VLOOKUP(A666,Raw_Data!A:L,3,FALSE)</f>
        <v>Japan</v>
      </c>
      <c r="D666" s="3">
        <f>VLOOKUP(A666,Raw_Data!A:L,12,FALSE)</f>
        <v>24272</v>
      </c>
      <c r="E666" s="3">
        <f>VLOOKUP(A666,Raw_Data!A:L,11,FALSE)</f>
        <v>37</v>
      </c>
      <c r="F666" t="str">
        <f>TEXT(VLOOKUP(A666,Raw_Data!A:L,5,FALSE),"mmm")</f>
        <v>Nov</v>
      </c>
    </row>
    <row r="667" spans="1:6" x14ac:dyDescent="0.35">
      <c r="A667" s="3" t="s">
        <v>1137</v>
      </c>
      <c r="B667" t="str">
        <f>VLOOKUP(A667,Raw_Data!A:L,6,FALSE)</f>
        <v>Ceiling fan</v>
      </c>
      <c r="C667" t="str">
        <f>VLOOKUP(A667,Raw_Data!A:L,3,FALSE)</f>
        <v>UK</v>
      </c>
      <c r="D667" s="3">
        <f>VLOOKUP(A667,Raw_Data!A:L,12,FALSE)</f>
        <v>11844</v>
      </c>
      <c r="E667" s="3">
        <f>VLOOKUP(A667,Raw_Data!A:L,11,FALSE)</f>
        <v>84</v>
      </c>
      <c r="F667" t="str">
        <f>TEXT(VLOOKUP(A667,Raw_Data!A:L,5,FALSE),"mmm")</f>
        <v>Jan</v>
      </c>
    </row>
    <row r="668" spans="1:6" x14ac:dyDescent="0.35">
      <c r="A668" s="3" t="s">
        <v>1138</v>
      </c>
      <c r="B668" t="str">
        <f>VLOOKUP(A668,Raw_Data!A:L,6,FALSE)</f>
        <v>Microwave</v>
      </c>
      <c r="C668" t="str">
        <f>VLOOKUP(A668,Raw_Data!A:L,3,FALSE)</f>
        <v>Canada</v>
      </c>
      <c r="D668" s="3">
        <f>VLOOKUP(A668,Raw_Data!A:L,12,FALSE)</f>
        <v>720</v>
      </c>
      <c r="E668" s="3">
        <f>VLOOKUP(A668,Raw_Data!A:L,11,FALSE)</f>
        <v>9</v>
      </c>
      <c r="F668" t="str">
        <f>TEXT(VLOOKUP(A668,Raw_Data!A:L,5,FALSE),"mmm")</f>
        <v>Feb</v>
      </c>
    </row>
    <row r="669" spans="1:6" x14ac:dyDescent="0.35">
      <c r="A669" s="3" t="s">
        <v>1139</v>
      </c>
      <c r="B669" t="str">
        <f>VLOOKUP(A669,Raw_Data!A:L,6,FALSE)</f>
        <v>Washing Machine</v>
      </c>
      <c r="C669" t="str">
        <f>VLOOKUP(A669,Raw_Data!A:L,3,FALSE)</f>
        <v>UAE</v>
      </c>
      <c r="D669" s="3">
        <f>VLOOKUP(A669,Raw_Data!A:L,12,FALSE)</f>
        <v>40768</v>
      </c>
      <c r="E669" s="3">
        <f>VLOOKUP(A669,Raw_Data!A:L,11,FALSE)</f>
        <v>52</v>
      </c>
      <c r="F669" t="str">
        <f>TEXT(VLOOKUP(A669,Raw_Data!A:L,5,FALSE),"mmm")</f>
        <v>Oct</v>
      </c>
    </row>
    <row r="670" spans="1:6" x14ac:dyDescent="0.35">
      <c r="A670" s="3" t="s">
        <v>1140</v>
      </c>
      <c r="B670" t="str">
        <f>VLOOKUP(A670,Raw_Data!A:L,6,FALSE)</f>
        <v>Washing Machine</v>
      </c>
      <c r="C670" t="str">
        <f>VLOOKUP(A670,Raw_Data!A:L,3,FALSE)</f>
        <v>Thailand</v>
      </c>
      <c r="D670" s="3">
        <f>VLOOKUP(A670,Raw_Data!A:L,12,FALSE)</f>
        <v>9312</v>
      </c>
      <c r="E670" s="3">
        <f>VLOOKUP(A670,Raw_Data!A:L,11,FALSE)</f>
        <v>12</v>
      </c>
      <c r="F670" t="str">
        <f>TEXT(VLOOKUP(A670,Raw_Data!A:L,5,FALSE),"mmm")</f>
        <v>Nov</v>
      </c>
    </row>
    <row r="671" spans="1:6" x14ac:dyDescent="0.35">
      <c r="A671" s="3" t="s">
        <v>1141</v>
      </c>
      <c r="B671" t="str">
        <f>VLOOKUP(A671,Raw_Data!A:L,6,FALSE)</f>
        <v>Coffee grinder</v>
      </c>
      <c r="C671" t="str">
        <f>VLOOKUP(A671,Raw_Data!A:L,3,FALSE)</f>
        <v>Germany</v>
      </c>
      <c r="D671" s="3">
        <f>VLOOKUP(A671,Raw_Data!A:L,12,FALSE)</f>
        <v>4347</v>
      </c>
      <c r="E671" s="3">
        <f>VLOOKUP(A671,Raw_Data!A:L,11,FALSE)</f>
        <v>63</v>
      </c>
      <c r="F671" t="str">
        <f>TEXT(VLOOKUP(A671,Raw_Data!A:L,5,FALSE),"mmm")</f>
        <v>Apr</v>
      </c>
    </row>
    <row r="672" spans="1:6" x14ac:dyDescent="0.35">
      <c r="A672" s="3" t="s">
        <v>1142</v>
      </c>
      <c r="B672" t="str">
        <f>VLOOKUP(A672,Raw_Data!A:L,6,FALSE)</f>
        <v>Washing Machine</v>
      </c>
      <c r="C672" t="str">
        <f>VLOOKUP(A672,Raw_Data!A:L,3,FALSE)</f>
        <v>Chile</v>
      </c>
      <c r="D672" s="3">
        <f>VLOOKUP(A672,Raw_Data!A:L,12,FALSE)</f>
        <v>18328</v>
      </c>
      <c r="E672" s="3">
        <f>VLOOKUP(A672,Raw_Data!A:L,11,FALSE)</f>
        <v>29</v>
      </c>
      <c r="F672" t="str">
        <f>TEXT(VLOOKUP(A672,Raw_Data!A:L,5,FALSE),"mmm")</f>
        <v>Feb</v>
      </c>
    </row>
    <row r="673" spans="1:6" x14ac:dyDescent="0.35">
      <c r="A673" s="3" t="s">
        <v>1143</v>
      </c>
      <c r="B673" t="str">
        <f>VLOOKUP(A673,Raw_Data!A:L,6,FALSE)</f>
        <v>Oven</v>
      </c>
      <c r="C673" t="str">
        <f>VLOOKUP(A673,Raw_Data!A:L,3,FALSE)</f>
        <v>Australia</v>
      </c>
      <c r="D673" s="3">
        <f>VLOOKUP(A673,Raw_Data!A:L,12,FALSE)</f>
        <v>43500</v>
      </c>
      <c r="E673" s="3">
        <f>VLOOKUP(A673,Raw_Data!A:L,11,FALSE)</f>
        <v>87</v>
      </c>
      <c r="F673" t="str">
        <f>TEXT(VLOOKUP(A673,Raw_Data!A:L,5,FALSE),"mmm")</f>
        <v>Nov</v>
      </c>
    </row>
    <row r="674" spans="1:6" x14ac:dyDescent="0.35">
      <c r="A674" s="3" t="s">
        <v>1145</v>
      </c>
      <c r="B674" t="str">
        <f>VLOOKUP(A674,Raw_Data!A:L,6,FALSE)</f>
        <v>Oven</v>
      </c>
      <c r="C674" t="str">
        <f>VLOOKUP(A674,Raw_Data!A:L,3,FALSE)</f>
        <v>Canada</v>
      </c>
      <c r="D674" s="3">
        <f>VLOOKUP(A674,Raw_Data!A:L,12,FALSE)</f>
        <v>30870</v>
      </c>
      <c r="E674" s="3">
        <f>VLOOKUP(A674,Raw_Data!A:L,11,FALSE)</f>
        <v>63</v>
      </c>
      <c r="F674" t="str">
        <f>TEXT(VLOOKUP(A674,Raw_Data!A:L,5,FALSE),"mmm")</f>
        <v>Aug</v>
      </c>
    </row>
    <row r="675" spans="1:6" x14ac:dyDescent="0.35">
      <c r="A675" s="3" t="s">
        <v>1146</v>
      </c>
      <c r="B675" t="str">
        <f>VLOOKUP(A675,Raw_Data!A:L,6,FALSE)</f>
        <v>Coffee grinder</v>
      </c>
      <c r="C675" t="str">
        <f>VLOOKUP(A675,Raw_Data!A:L,3,FALSE)</f>
        <v>Peru</v>
      </c>
      <c r="D675" s="3">
        <f>VLOOKUP(A675,Raw_Data!A:L,12,FALSE)</f>
        <v>1600</v>
      </c>
      <c r="E675" s="3">
        <f>VLOOKUP(A675,Raw_Data!A:L,11,FALSE)</f>
        <v>25</v>
      </c>
      <c r="F675" t="str">
        <f>TEXT(VLOOKUP(A675,Raw_Data!A:L,5,FALSE),"mmm")</f>
        <v>Aug</v>
      </c>
    </row>
    <row r="676" spans="1:6" x14ac:dyDescent="0.35">
      <c r="A676" s="3" t="s">
        <v>1148</v>
      </c>
      <c r="B676" t="str">
        <f>VLOOKUP(A676,Raw_Data!A:L,6,FALSE)</f>
        <v>Blender</v>
      </c>
      <c r="C676" t="str">
        <f>VLOOKUP(A676,Raw_Data!A:L,3,FALSE)</f>
        <v>Romania</v>
      </c>
      <c r="D676" s="3">
        <f>VLOOKUP(A676,Raw_Data!A:L,12,FALSE)</f>
        <v>3850</v>
      </c>
      <c r="E676" s="3">
        <f>VLOOKUP(A676,Raw_Data!A:L,11,FALSE)</f>
        <v>77</v>
      </c>
      <c r="F676" t="str">
        <f>TEXT(VLOOKUP(A676,Raw_Data!A:L,5,FALSE),"mmm")</f>
        <v>Mar</v>
      </c>
    </row>
    <row r="677" spans="1:6" x14ac:dyDescent="0.35">
      <c r="A677" s="3" t="s">
        <v>1149</v>
      </c>
      <c r="B677" t="str">
        <f>VLOOKUP(A677,Raw_Data!A:L,6,FALSE)</f>
        <v>Toaster</v>
      </c>
      <c r="C677" t="str">
        <f>VLOOKUP(A677,Raw_Data!A:L,3,FALSE)</f>
        <v>Romania</v>
      </c>
      <c r="D677" s="3">
        <f>VLOOKUP(A677,Raw_Data!A:L,12,FALSE)</f>
        <v>4224</v>
      </c>
      <c r="E677" s="3">
        <f>VLOOKUP(A677,Raw_Data!A:L,11,FALSE)</f>
        <v>88</v>
      </c>
      <c r="F677" t="str">
        <f>TEXT(VLOOKUP(A677,Raw_Data!A:L,5,FALSE),"mmm")</f>
        <v>Nov</v>
      </c>
    </row>
    <row r="678" spans="1:6" x14ac:dyDescent="0.35">
      <c r="A678" s="3" t="s">
        <v>1150</v>
      </c>
      <c r="B678" t="str">
        <f>VLOOKUP(A678,Raw_Data!A:L,6,FALSE)</f>
        <v>Dishwasher</v>
      </c>
      <c r="C678" t="str">
        <f>VLOOKUP(A678,Raw_Data!A:L,3,FALSE)</f>
        <v>Ireland</v>
      </c>
      <c r="D678" s="3">
        <f>VLOOKUP(A678,Raw_Data!A:L,12,FALSE)</f>
        <v>41580</v>
      </c>
      <c r="E678" s="3">
        <f>VLOOKUP(A678,Raw_Data!A:L,11,FALSE)</f>
        <v>84</v>
      </c>
      <c r="F678" t="str">
        <f>TEXT(VLOOKUP(A678,Raw_Data!A:L,5,FALSE),"mmm")</f>
        <v>Aug</v>
      </c>
    </row>
    <row r="679" spans="1:6" x14ac:dyDescent="0.35">
      <c r="A679" s="3" t="s">
        <v>1152</v>
      </c>
      <c r="B679" t="str">
        <f>VLOOKUP(A679,Raw_Data!A:L,6,FALSE)</f>
        <v>Washing Machine</v>
      </c>
      <c r="C679" t="str">
        <f>VLOOKUP(A679,Raw_Data!A:L,3,FALSE)</f>
        <v>Spain</v>
      </c>
      <c r="D679" s="3">
        <f>VLOOKUP(A679,Raw_Data!A:L,12,FALSE)</f>
        <v>10640</v>
      </c>
      <c r="E679" s="3">
        <f>VLOOKUP(A679,Raw_Data!A:L,11,FALSE)</f>
        <v>14</v>
      </c>
      <c r="F679" t="str">
        <f>TEXT(VLOOKUP(A679,Raw_Data!A:L,5,FALSE),"mmm")</f>
        <v>Mar</v>
      </c>
    </row>
    <row r="680" spans="1:6" x14ac:dyDescent="0.35">
      <c r="A680" s="3" t="s">
        <v>1154</v>
      </c>
      <c r="B680" t="str">
        <f>VLOOKUP(A680,Raw_Data!A:L,6,FALSE)</f>
        <v>Coffee grinder</v>
      </c>
      <c r="C680" t="str">
        <f>VLOOKUP(A680,Raw_Data!A:L,3,FALSE)</f>
        <v>USA</v>
      </c>
      <c r="D680" s="3">
        <f>VLOOKUP(A680,Raw_Data!A:L,12,FALSE)</f>
        <v>1755</v>
      </c>
      <c r="E680" s="3">
        <f>VLOOKUP(A680,Raw_Data!A:L,11,FALSE)</f>
        <v>27</v>
      </c>
      <c r="F680" t="str">
        <f>TEXT(VLOOKUP(A680,Raw_Data!A:L,5,FALSE),"mmm")</f>
        <v>Feb</v>
      </c>
    </row>
    <row r="681" spans="1:6" x14ac:dyDescent="0.35">
      <c r="A681" s="3" t="s">
        <v>1155</v>
      </c>
      <c r="B681" t="str">
        <f>VLOOKUP(A681,Raw_Data!A:L,6,FALSE)</f>
        <v>Coffee grinder</v>
      </c>
      <c r="C681" t="str">
        <f>VLOOKUP(A681,Raw_Data!A:L,3,FALSE)</f>
        <v>Japan</v>
      </c>
      <c r="D681" s="3">
        <f>VLOOKUP(A681,Raw_Data!A:L,12,FALSE)</f>
        <v>469</v>
      </c>
      <c r="E681" s="3">
        <f>VLOOKUP(A681,Raw_Data!A:L,11,FALSE)</f>
        <v>7</v>
      </c>
      <c r="F681" t="str">
        <f>TEXT(VLOOKUP(A681,Raw_Data!A:L,5,FALSE),"mmm")</f>
        <v>Nov</v>
      </c>
    </row>
    <row r="682" spans="1:6" x14ac:dyDescent="0.35">
      <c r="A682" s="3" t="s">
        <v>1157</v>
      </c>
      <c r="B682" t="str">
        <f>VLOOKUP(A682,Raw_Data!A:L,6,FALSE)</f>
        <v>Oven</v>
      </c>
      <c r="C682" t="str">
        <f>VLOOKUP(A682,Raw_Data!A:L,3,FALSE)</f>
        <v>USA</v>
      </c>
      <c r="D682" s="3">
        <f>VLOOKUP(A682,Raw_Data!A:L,12,FALSE)</f>
        <v>40180</v>
      </c>
      <c r="E682" s="3">
        <f>VLOOKUP(A682,Raw_Data!A:L,11,FALSE)</f>
        <v>82</v>
      </c>
      <c r="F682" t="str">
        <f>TEXT(VLOOKUP(A682,Raw_Data!A:L,5,FALSE),"mmm")</f>
        <v>Apr</v>
      </c>
    </row>
    <row r="683" spans="1:6" x14ac:dyDescent="0.35">
      <c r="A683" s="3" t="s">
        <v>1159</v>
      </c>
      <c r="B683" t="str">
        <f>VLOOKUP(A683,Raw_Data!A:L,6,FALSE)</f>
        <v>Ceiling fan</v>
      </c>
      <c r="C683" t="str">
        <f>VLOOKUP(A683,Raw_Data!A:L,3,FALSE)</f>
        <v>Russia</v>
      </c>
      <c r="D683" s="3">
        <f>VLOOKUP(A683,Raw_Data!A:L,12,FALSE)</f>
        <v>1470</v>
      </c>
      <c r="E683" s="3">
        <f>VLOOKUP(A683,Raw_Data!A:L,11,FALSE)</f>
        <v>10</v>
      </c>
      <c r="F683" t="str">
        <f>TEXT(VLOOKUP(A683,Raw_Data!A:L,5,FALSE),"mmm")</f>
        <v>May</v>
      </c>
    </row>
    <row r="684" spans="1:6" x14ac:dyDescent="0.35">
      <c r="A684" s="3" t="s">
        <v>1161</v>
      </c>
      <c r="B684" t="str">
        <f>VLOOKUP(A684,Raw_Data!A:L,6,FALSE)</f>
        <v>Oven</v>
      </c>
      <c r="C684" t="str">
        <f>VLOOKUP(A684,Raw_Data!A:L,3,FALSE)</f>
        <v>UAE</v>
      </c>
      <c r="D684" s="3">
        <f>VLOOKUP(A684,Raw_Data!A:L,12,FALSE)</f>
        <v>28000</v>
      </c>
      <c r="E684" s="3">
        <f>VLOOKUP(A684,Raw_Data!A:L,11,FALSE)</f>
        <v>56</v>
      </c>
      <c r="F684" t="str">
        <f>TEXT(VLOOKUP(A684,Raw_Data!A:L,5,FALSE),"mmm")</f>
        <v>Dec</v>
      </c>
    </row>
    <row r="685" spans="1:6" x14ac:dyDescent="0.35">
      <c r="A685" s="3" t="s">
        <v>1162</v>
      </c>
      <c r="B685" t="str">
        <f>VLOOKUP(A685,Raw_Data!A:L,6,FALSE)</f>
        <v>Iron</v>
      </c>
      <c r="C685" t="str">
        <f>VLOOKUP(A685,Raw_Data!A:L,3,FALSE)</f>
        <v>USA</v>
      </c>
      <c r="D685" s="3">
        <f>VLOOKUP(A685,Raw_Data!A:L,12,FALSE)</f>
        <v>2744</v>
      </c>
      <c r="E685" s="3">
        <f>VLOOKUP(A685,Raw_Data!A:L,11,FALSE)</f>
        <v>98</v>
      </c>
      <c r="F685" t="str">
        <f>TEXT(VLOOKUP(A685,Raw_Data!A:L,5,FALSE),"mmm")</f>
        <v>Nov</v>
      </c>
    </row>
    <row r="686" spans="1:6" x14ac:dyDescent="0.35">
      <c r="A686" s="3" t="s">
        <v>1163</v>
      </c>
      <c r="B686" t="str">
        <f>VLOOKUP(A686,Raw_Data!A:L,6,FALSE)</f>
        <v>Washing Machine</v>
      </c>
      <c r="C686" t="str">
        <f>VLOOKUP(A686,Raw_Data!A:L,3,FALSE)</f>
        <v>Japan</v>
      </c>
      <c r="D686" s="3">
        <f>VLOOKUP(A686,Raw_Data!A:L,12,FALSE)</f>
        <v>16200</v>
      </c>
      <c r="E686" s="3">
        <f>VLOOKUP(A686,Raw_Data!A:L,11,FALSE)</f>
        <v>27</v>
      </c>
      <c r="F686" t="str">
        <f>TEXT(VLOOKUP(A686,Raw_Data!A:L,5,FALSE),"mmm")</f>
        <v>Jul</v>
      </c>
    </row>
    <row r="687" spans="1:6" x14ac:dyDescent="0.35">
      <c r="A687" s="3" t="s">
        <v>1164</v>
      </c>
      <c r="B687" t="str">
        <f>VLOOKUP(A687,Raw_Data!A:L,6,FALSE)</f>
        <v>Washing Machine</v>
      </c>
      <c r="C687" t="str">
        <f>VLOOKUP(A687,Raw_Data!A:L,3,FALSE)</f>
        <v>South Korea</v>
      </c>
      <c r="D687" s="3">
        <f>VLOOKUP(A687,Raw_Data!A:L,12,FALSE)</f>
        <v>53544</v>
      </c>
      <c r="E687" s="3">
        <f>VLOOKUP(A687,Raw_Data!A:L,11,FALSE)</f>
        <v>97</v>
      </c>
      <c r="F687" t="str">
        <f>TEXT(VLOOKUP(A687,Raw_Data!A:L,5,FALSE),"mmm")</f>
        <v>Sep</v>
      </c>
    </row>
    <row r="688" spans="1:6" x14ac:dyDescent="0.35">
      <c r="A688" s="3" t="s">
        <v>1165</v>
      </c>
      <c r="B688" t="str">
        <f>VLOOKUP(A688,Raw_Data!A:L,6,FALSE)</f>
        <v>Blender</v>
      </c>
      <c r="C688" t="str">
        <f>VLOOKUP(A688,Raw_Data!A:L,3,FALSE)</f>
        <v>Israel</v>
      </c>
      <c r="D688" s="3">
        <f>VLOOKUP(A688,Raw_Data!A:L,12,FALSE)</f>
        <v>552</v>
      </c>
      <c r="E688" s="3">
        <f>VLOOKUP(A688,Raw_Data!A:L,11,FALSE)</f>
        <v>12</v>
      </c>
      <c r="F688" t="str">
        <f>TEXT(VLOOKUP(A688,Raw_Data!A:L,5,FALSE),"mmm")</f>
        <v>Feb</v>
      </c>
    </row>
    <row r="689" spans="1:6" x14ac:dyDescent="0.35">
      <c r="A689" s="3" t="s">
        <v>1166</v>
      </c>
      <c r="B689" t="str">
        <f>VLOOKUP(A689,Raw_Data!A:L,6,FALSE)</f>
        <v>Iron</v>
      </c>
      <c r="C689" t="str">
        <f>VLOOKUP(A689,Raw_Data!A:L,3,FALSE)</f>
        <v>Romania</v>
      </c>
      <c r="D689" s="3">
        <f>VLOOKUP(A689,Raw_Data!A:L,12,FALSE)</f>
        <v>551</v>
      </c>
      <c r="E689" s="3">
        <f>VLOOKUP(A689,Raw_Data!A:L,11,FALSE)</f>
        <v>19</v>
      </c>
      <c r="F689" t="str">
        <f>TEXT(VLOOKUP(A689,Raw_Data!A:L,5,FALSE),"mmm")</f>
        <v>Nov</v>
      </c>
    </row>
    <row r="690" spans="1:6" x14ac:dyDescent="0.35">
      <c r="A690" s="3" t="s">
        <v>1167</v>
      </c>
      <c r="B690" t="str">
        <f>VLOOKUP(A690,Raw_Data!A:L,6,FALSE)</f>
        <v>Washing Machine</v>
      </c>
      <c r="C690" t="str">
        <f>VLOOKUP(A690,Raw_Data!A:L,3,FALSE)</f>
        <v>UAE</v>
      </c>
      <c r="D690" s="3">
        <f>VLOOKUP(A690,Raw_Data!A:L,12,FALSE)</f>
        <v>19720</v>
      </c>
      <c r="E690" s="3">
        <f>VLOOKUP(A690,Raw_Data!A:L,11,FALSE)</f>
        <v>29</v>
      </c>
      <c r="F690" t="str">
        <f>TEXT(VLOOKUP(A690,Raw_Data!A:L,5,FALSE),"mmm")</f>
        <v>Feb</v>
      </c>
    </row>
    <row r="691" spans="1:6" x14ac:dyDescent="0.35">
      <c r="A691" s="3" t="s">
        <v>1169</v>
      </c>
      <c r="B691" t="str">
        <f>VLOOKUP(A691,Raw_Data!A:L,6,FALSE)</f>
        <v>Oven</v>
      </c>
      <c r="C691" t="str">
        <f>VLOOKUP(A691,Raw_Data!A:L,3,FALSE)</f>
        <v>China</v>
      </c>
      <c r="D691" s="3">
        <f>VLOOKUP(A691,Raw_Data!A:L,12,FALSE)</f>
        <v>14355</v>
      </c>
      <c r="E691" s="3">
        <f>VLOOKUP(A691,Raw_Data!A:L,11,FALSE)</f>
        <v>29</v>
      </c>
      <c r="F691" t="str">
        <f>TEXT(VLOOKUP(A691,Raw_Data!A:L,5,FALSE),"mmm")</f>
        <v>Aug</v>
      </c>
    </row>
    <row r="692" spans="1:6" x14ac:dyDescent="0.35">
      <c r="A692" s="3" t="s">
        <v>1170</v>
      </c>
      <c r="B692" t="str">
        <f>VLOOKUP(A692,Raw_Data!A:L,6,FALSE)</f>
        <v>Vacuum Cleaner</v>
      </c>
      <c r="C692" t="str">
        <f>VLOOKUP(A692,Raw_Data!A:L,3,FALSE)</f>
        <v>China</v>
      </c>
      <c r="D692" s="3">
        <f>VLOOKUP(A692,Raw_Data!A:L,12,FALSE)</f>
        <v>4510</v>
      </c>
      <c r="E692" s="3">
        <f>VLOOKUP(A692,Raw_Data!A:L,11,FALSE)</f>
        <v>22</v>
      </c>
      <c r="F692" t="str">
        <f>TEXT(VLOOKUP(A692,Raw_Data!A:L,5,FALSE),"mmm")</f>
        <v>Jul</v>
      </c>
    </row>
    <row r="693" spans="1:6" x14ac:dyDescent="0.35">
      <c r="A693" s="3" t="s">
        <v>1171</v>
      </c>
      <c r="B693" t="str">
        <f>VLOOKUP(A693,Raw_Data!A:L,6,FALSE)</f>
        <v>Toaster</v>
      </c>
      <c r="C693" t="str">
        <f>VLOOKUP(A693,Raw_Data!A:L,3,FALSE)</f>
        <v>South Africa</v>
      </c>
      <c r="D693" s="3">
        <f>VLOOKUP(A693,Raw_Data!A:L,12,FALSE)</f>
        <v>3024</v>
      </c>
      <c r="E693" s="3">
        <f>VLOOKUP(A693,Raw_Data!A:L,11,FALSE)</f>
        <v>63</v>
      </c>
      <c r="F693" t="str">
        <f>TEXT(VLOOKUP(A693,Raw_Data!A:L,5,FALSE),"mmm")</f>
        <v>Aug</v>
      </c>
    </row>
    <row r="694" spans="1:6" x14ac:dyDescent="0.35">
      <c r="A694" s="3" t="s">
        <v>1173</v>
      </c>
      <c r="B694" t="str">
        <f>VLOOKUP(A694,Raw_Data!A:L,6,FALSE)</f>
        <v>Microwave</v>
      </c>
      <c r="C694" t="str">
        <f>VLOOKUP(A694,Raw_Data!A:L,3,FALSE)</f>
        <v>Ireland</v>
      </c>
      <c r="D694" s="3">
        <f>VLOOKUP(A694,Raw_Data!A:L,12,FALSE)</f>
        <v>6474</v>
      </c>
      <c r="E694" s="3">
        <f>VLOOKUP(A694,Raw_Data!A:L,11,FALSE)</f>
        <v>83</v>
      </c>
      <c r="F694" t="str">
        <f>TEXT(VLOOKUP(A694,Raw_Data!A:L,5,FALSE),"mmm")</f>
        <v>Sep</v>
      </c>
    </row>
    <row r="695" spans="1:6" x14ac:dyDescent="0.35">
      <c r="A695" s="3" t="s">
        <v>1174</v>
      </c>
      <c r="B695" t="str">
        <f>VLOOKUP(A695,Raw_Data!A:L,6,FALSE)</f>
        <v>Washing Machine</v>
      </c>
      <c r="C695" t="str">
        <f>VLOOKUP(A695,Raw_Data!A:L,3,FALSE)</f>
        <v>Saudi Arabia</v>
      </c>
      <c r="D695" s="3">
        <f>VLOOKUP(A695,Raw_Data!A:L,12,FALSE)</f>
        <v>19872</v>
      </c>
      <c r="E695" s="3">
        <f>VLOOKUP(A695,Raw_Data!A:L,11,FALSE)</f>
        <v>36</v>
      </c>
      <c r="F695" t="str">
        <f>TEXT(VLOOKUP(A695,Raw_Data!A:L,5,FALSE),"mmm")</f>
        <v>May</v>
      </c>
    </row>
    <row r="696" spans="1:6" x14ac:dyDescent="0.35">
      <c r="A696" s="3" t="s">
        <v>1175</v>
      </c>
      <c r="B696" t="str">
        <f>VLOOKUP(A696,Raw_Data!A:L,6,FALSE)</f>
        <v>Oven</v>
      </c>
      <c r="C696" t="str">
        <f>VLOOKUP(A696,Raw_Data!A:L,3,FALSE)</f>
        <v>Austria</v>
      </c>
      <c r="D696" s="3">
        <f>VLOOKUP(A696,Raw_Data!A:L,12,FALSE)</f>
        <v>17820</v>
      </c>
      <c r="E696" s="3">
        <f>VLOOKUP(A696,Raw_Data!A:L,11,FALSE)</f>
        <v>36</v>
      </c>
      <c r="F696" t="str">
        <f>TEXT(VLOOKUP(A696,Raw_Data!A:L,5,FALSE),"mmm")</f>
        <v>Jul</v>
      </c>
    </row>
    <row r="697" spans="1:6" x14ac:dyDescent="0.35">
      <c r="A697" s="3" t="s">
        <v>1176</v>
      </c>
      <c r="B697" t="str">
        <f>VLOOKUP(A697,Raw_Data!A:L,6,FALSE)</f>
        <v>Refrigerator</v>
      </c>
      <c r="C697" t="str">
        <f>VLOOKUP(A697,Raw_Data!A:L,3,FALSE)</f>
        <v>USA</v>
      </c>
      <c r="D697" s="3">
        <f>VLOOKUP(A697,Raw_Data!A:L,12,FALSE)</f>
        <v>56000</v>
      </c>
      <c r="E697" s="3">
        <f>VLOOKUP(A697,Raw_Data!A:L,11,FALSE)</f>
        <v>56</v>
      </c>
      <c r="F697" t="str">
        <f>TEXT(VLOOKUP(A697,Raw_Data!A:L,5,FALSE),"mmm")</f>
        <v>Mar</v>
      </c>
    </row>
    <row r="698" spans="1:6" x14ac:dyDescent="0.35">
      <c r="A698" s="3" t="s">
        <v>1177</v>
      </c>
      <c r="B698" t="str">
        <f>VLOOKUP(A698,Raw_Data!A:L,6,FALSE)</f>
        <v>Toaster</v>
      </c>
      <c r="C698" t="str">
        <f>VLOOKUP(A698,Raw_Data!A:L,3,FALSE)</f>
        <v>Peru</v>
      </c>
      <c r="D698" s="3">
        <f>VLOOKUP(A698,Raw_Data!A:L,12,FALSE)</f>
        <v>1849</v>
      </c>
      <c r="E698" s="3">
        <f>VLOOKUP(A698,Raw_Data!A:L,11,FALSE)</f>
        <v>43</v>
      </c>
      <c r="F698" t="str">
        <f>TEXT(VLOOKUP(A698,Raw_Data!A:L,5,FALSE),"mmm")</f>
        <v>Jan</v>
      </c>
    </row>
    <row r="699" spans="1:6" x14ac:dyDescent="0.35">
      <c r="A699" s="3" t="s">
        <v>1179</v>
      </c>
      <c r="B699" t="str">
        <f>VLOOKUP(A699,Raw_Data!A:L,6,FALSE)</f>
        <v>Vacuum Cleaner</v>
      </c>
      <c r="C699" t="str">
        <f>VLOOKUP(A699,Raw_Data!A:L,3,FALSE)</f>
        <v>China</v>
      </c>
      <c r="D699" s="3">
        <f>VLOOKUP(A699,Raw_Data!A:L,12,FALSE)</f>
        <v>20250</v>
      </c>
      <c r="E699" s="3">
        <f>VLOOKUP(A699,Raw_Data!A:L,11,FALSE)</f>
        <v>81</v>
      </c>
      <c r="F699" t="str">
        <f>TEXT(VLOOKUP(A699,Raw_Data!A:L,5,FALSE),"mmm")</f>
        <v>Feb</v>
      </c>
    </row>
    <row r="700" spans="1:6" x14ac:dyDescent="0.35">
      <c r="A700" s="3" t="s">
        <v>1181</v>
      </c>
      <c r="B700" t="str">
        <f>VLOOKUP(A700,Raw_Data!A:L,6,FALSE)</f>
        <v>Iron</v>
      </c>
      <c r="C700" t="str">
        <f>VLOOKUP(A700,Raw_Data!A:L,3,FALSE)</f>
        <v>Egypt</v>
      </c>
      <c r="D700" s="3">
        <f>VLOOKUP(A700,Raw_Data!A:L,12,FALSE)</f>
        <v>1196</v>
      </c>
      <c r="E700" s="3">
        <f>VLOOKUP(A700,Raw_Data!A:L,11,FALSE)</f>
        <v>52</v>
      </c>
      <c r="F700" t="str">
        <f>TEXT(VLOOKUP(A700,Raw_Data!A:L,5,FALSE),"mmm")</f>
        <v>Aug</v>
      </c>
    </row>
    <row r="701" spans="1:6" x14ac:dyDescent="0.35">
      <c r="A701" s="3" t="s">
        <v>1182</v>
      </c>
      <c r="B701" t="str">
        <f>VLOOKUP(A701,Raw_Data!A:L,6,FALSE)</f>
        <v>Oven</v>
      </c>
      <c r="C701" t="str">
        <f>VLOOKUP(A701,Raw_Data!A:L,3,FALSE)</f>
        <v>Thailand</v>
      </c>
      <c r="D701" s="3">
        <f>VLOOKUP(A701,Raw_Data!A:L,12,FALSE)</f>
        <v>35770</v>
      </c>
      <c r="E701" s="3">
        <f>VLOOKUP(A701,Raw_Data!A:L,11,FALSE)</f>
        <v>73</v>
      </c>
      <c r="F701" t="str">
        <f>TEXT(VLOOKUP(A701,Raw_Data!A:L,5,FALSE),"mmm")</f>
        <v>Jan</v>
      </c>
    </row>
    <row r="702" spans="1:6" x14ac:dyDescent="0.35">
      <c r="A702" s="3" t="s">
        <v>1183</v>
      </c>
      <c r="B702" t="str">
        <f>VLOOKUP(A702,Raw_Data!A:L,6,FALSE)</f>
        <v>Dishwasher</v>
      </c>
      <c r="C702" t="str">
        <f>VLOOKUP(A702,Raw_Data!A:L,3,FALSE)</f>
        <v>Brazil</v>
      </c>
      <c r="D702" s="3">
        <f>VLOOKUP(A702,Raw_Data!A:L,12,FALSE)</f>
        <v>26775</v>
      </c>
      <c r="E702" s="3">
        <f>VLOOKUP(A702,Raw_Data!A:L,11,FALSE)</f>
        <v>63</v>
      </c>
      <c r="F702" t="str">
        <f>TEXT(VLOOKUP(A702,Raw_Data!A:L,5,FALSE),"mmm")</f>
        <v>Jun</v>
      </c>
    </row>
    <row r="703" spans="1:6" x14ac:dyDescent="0.35">
      <c r="A703" s="3" t="s">
        <v>1184</v>
      </c>
      <c r="B703" t="str">
        <f>VLOOKUP(A703,Raw_Data!A:L,6,FALSE)</f>
        <v>Vacuum Cleaner</v>
      </c>
      <c r="C703" t="str">
        <f>VLOOKUP(A703,Raw_Data!A:L,3,FALSE)</f>
        <v>UAE</v>
      </c>
      <c r="D703" s="3">
        <f>VLOOKUP(A703,Raw_Data!A:L,12,FALSE)</f>
        <v>6021</v>
      </c>
      <c r="E703" s="3">
        <f>VLOOKUP(A703,Raw_Data!A:L,11,FALSE)</f>
        <v>27</v>
      </c>
      <c r="F703" t="str">
        <f>TEXT(VLOOKUP(A703,Raw_Data!A:L,5,FALSE),"mmm")</f>
        <v>May</v>
      </c>
    </row>
    <row r="704" spans="1:6" x14ac:dyDescent="0.35">
      <c r="A704" s="3" t="s">
        <v>1185</v>
      </c>
      <c r="B704" t="str">
        <f>VLOOKUP(A704,Raw_Data!A:L,6,FALSE)</f>
        <v>Air conditioner</v>
      </c>
      <c r="C704" t="str">
        <f>VLOOKUP(A704,Raw_Data!A:L,3,FALSE)</f>
        <v>USA</v>
      </c>
      <c r="D704" s="3">
        <f>VLOOKUP(A704,Raw_Data!A:L,12,FALSE)</f>
        <v>55440</v>
      </c>
      <c r="E704" s="3">
        <f>VLOOKUP(A704,Raw_Data!A:L,11,FALSE)</f>
        <v>80</v>
      </c>
      <c r="F704" t="str">
        <f>TEXT(VLOOKUP(A704,Raw_Data!A:L,5,FALSE),"mmm")</f>
        <v>Oct</v>
      </c>
    </row>
    <row r="705" spans="1:6" x14ac:dyDescent="0.35">
      <c r="A705" s="3" t="s">
        <v>1187</v>
      </c>
      <c r="B705" t="str">
        <f>VLOOKUP(A705,Raw_Data!A:L,6,FALSE)</f>
        <v>Ceiling fan</v>
      </c>
      <c r="C705" t="str">
        <f>VLOOKUP(A705,Raw_Data!A:L,3,FALSE)</f>
        <v>USA</v>
      </c>
      <c r="D705" s="3">
        <f>VLOOKUP(A705,Raw_Data!A:L,12,FALSE)</f>
        <v>12201</v>
      </c>
      <c r="E705" s="3">
        <f>VLOOKUP(A705,Raw_Data!A:L,11,FALSE)</f>
        <v>83</v>
      </c>
      <c r="F705" t="str">
        <f>TEXT(VLOOKUP(A705,Raw_Data!A:L,5,FALSE),"mmm")</f>
        <v>Jul</v>
      </c>
    </row>
    <row r="706" spans="1:6" x14ac:dyDescent="0.35">
      <c r="A706" s="3" t="s">
        <v>1188</v>
      </c>
      <c r="B706" t="str">
        <f>VLOOKUP(A706,Raw_Data!A:L,6,FALSE)</f>
        <v>Iron</v>
      </c>
      <c r="C706" t="str">
        <f>VLOOKUP(A706,Raw_Data!A:L,3,FALSE)</f>
        <v>China</v>
      </c>
      <c r="D706" s="3">
        <f>VLOOKUP(A706,Raw_Data!A:L,12,FALSE)</f>
        <v>1742</v>
      </c>
      <c r="E706" s="3">
        <f>VLOOKUP(A706,Raw_Data!A:L,11,FALSE)</f>
        <v>67</v>
      </c>
      <c r="F706" t="str">
        <f>TEXT(VLOOKUP(A706,Raw_Data!A:L,5,FALSE),"mmm")</f>
        <v>Oct</v>
      </c>
    </row>
    <row r="707" spans="1:6" x14ac:dyDescent="0.35">
      <c r="A707" s="3" t="s">
        <v>1189</v>
      </c>
      <c r="B707" t="str">
        <f>VLOOKUP(A707,Raw_Data!A:L,6,FALSE)</f>
        <v>Iron</v>
      </c>
      <c r="C707" t="str">
        <f>VLOOKUP(A707,Raw_Data!A:L,3,FALSE)</f>
        <v>Austria</v>
      </c>
      <c r="D707" s="3">
        <f>VLOOKUP(A707,Raw_Data!A:L,12,FALSE)</f>
        <v>638</v>
      </c>
      <c r="E707" s="3">
        <f>VLOOKUP(A707,Raw_Data!A:L,11,FALSE)</f>
        <v>22</v>
      </c>
      <c r="F707" t="str">
        <f>TEXT(VLOOKUP(A707,Raw_Data!A:L,5,FALSE),"mmm")</f>
        <v>Aug</v>
      </c>
    </row>
    <row r="708" spans="1:6" x14ac:dyDescent="0.35">
      <c r="A708" s="3" t="s">
        <v>1190</v>
      </c>
      <c r="B708" t="str">
        <f>VLOOKUP(A708,Raw_Data!A:L,6,FALSE)</f>
        <v>Ceiling fan</v>
      </c>
      <c r="C708" t="str">
        <f>VLOOKUP(A708,Raw_Data!A:L,3,FALSE)</f>
        <v>China</v>
      </c>
      <c r="D708" s="3">
        <f>VLOOKUP(A708,Raw_Data!A:L,12,FALSE)</f>
        <v>2100</v>
      </c>
      <c r="E708" s="3">
        <f>VLOOKUP(A708,Raw_Data!A:L,11,FALSE)</f>
        <v>20</v>
      </c>
      <c r="F708" t="str">
        <f>TEXT(VLOOKUP(A708,Raw_Data!A:L,5,FALSE),"mmm")</f>
        <v>Oct</v>
      </c>
    </row>
    <row r="709" spans="1:6" x14ac:dyDescent="0.35">
      <c r="A709" s="3" t="s">
        <v>1191</v>
      </c>
      <c r="B709" t="str">
        <f>VLOOKUP(A709,Raw_Data!A:L,6,FALSE)</f>
        <v>Blender</v>
      </c>
      <c r="C709" t="str">
        <f>VLOOKUP(A709,Raw_Data!A:L,3,FALSE)</f>
        <v>Canada</v>
      </c>
      <c r="D709" s="3">
        <f>VLOOKUP(A709,Raw_Data!A:L,12,FALSE)</f>
        <v>4600</v>
      </c>
      <c r="E709" s="3">
        <f>VLOOKUP(A709,Raw_Data!A:L,11,FALSE)</f>
        <v>92</v>
      </c>
      <c r="F709" t="str">
        <f>TEXT(VLOOKUP(A709,Raw_Data!A:L,5,FALSE),"mmm")</f>
        <v>Feb</v>
      </c>
    </row>
    <row r="710" spans="1:6" x14ac:dyDescent="0.35">
      <c r="A710" s="3" t="s">
        <v>1192</v>
      </c>
      <c r="B710" t="str">
        <f>VLOOKUP(A710,Raw_Data!A:L,6,FALSE)</f>
        <v>Washing Machine</v>
      </c>
      <c r="C710" t="str">
        <f>VLOOKUP(A710,Raw_Data!A:L,3,FALSE)</f>
        <v>Romania</v>
      </c>
      <c r="D710" s="3">
        <f>VLOOKUP(A710,Raw_Data!A:L,12,FALSE)</f>
        <v>24000</v>
      </c>
      <c r="E710" s="3">
        <f>VLOOKUP(A710,Raw_Data!A:L,11,FALSE)</f>
        <v>50</v>
      </c>
      <c r="F710" t="str">
        <f>TEXT(VLOOKUP(A710,Raw_Data!A:L,5,FALSE),"mmm")</f>
        <v>Oct</v>
      </c>
    </row>
    <row r="711" spans="1:6" x14ac:dyDescent="0.35">
      <c r="A711" s="3" t="s">
        <v>1194</v>
      </c>
      <c r="B711" t="str">
        <f>VLOOKUP(A711,Raw_Data!A:L,6,FALSE)</f>
        <v>Oven</v>
      </c>
      <c r="C711" t="str">
        <f>VLOOKUP(A711,Raw_Data!A:L,3,FALSE)</f>
        <v>Argentina</v>
      </c>
      <c r="D711" s="3">
        <f>VLOOKUP(A711,Raw_Data!A:L,12,FALSE)</f>
        <v>16500</v>
      </c>
      <c r="E711" s="3">
        <f>VLOOKUP(A711,Raw_Data!A:L,11,FALSE)</f>
        <v>33</v>
      </c>
      <c r="F711" t="str">
        <f>TEXT(VLOOKUP(A711,Raw_Data!A:L,5,FALSE),"mmm")</f>
        <v>Apr</v>
      </c>
    </row>
    <row r="712" spans="1:6" x14ac:dyDescent="0.35">
      <c r="A712" s="3" t="s">
        <v>1195</v>
      </c>
      <c r="B712" t="str">
        <f>VLOOKUP(A712,Raw_Data!A:L,6,FALSE)</f>
        <v>Toaster</v>
      </c>
      <c r="C712" t="str">
        <f>VLOOKUP(A712,Raw_Data!A:L,3,FALSE)</f>
        <v>Canada</v>
      </c>
      <c r="D712" s="3">
        <f>VLOOKUP(A712,Raw_Data!A:L,12,FALSE)</f>
        <v>1600</v>
      </c>
      <c r="E712" s="3">
        <f>VLOOKUP(A712,Raw_Data!A:L,11,FALSE)</f>
        <v>40</v>
      </c>
      <c r="F712" t="str">
        <f>TEXT(VLOOKUP(A712,Raw_Data!A:L,5,FALSE),"mmm")</f>
        <v>Apr</v>
      </c>
    </row>
    <row r="713" spans="1:6" x14ac:dyDescent="0.35">
      <c r="A713" s="3" t="s">
        <v>1196</v>
      </c>
      <c r="B713" t="str">
        <f>VLOOKUP(A713,Raw_Data!A:L,6,FALSE)</f>
        <v>Refrigerator</v>
      </c>
      <c r="C713" t="str">
        <f>VLOOKUP(A713,Raw_Data!A:L,3,FALSE)</f>
        <v>USA</v>
      </c>
      <c r="D713" s="3">
        <f>VLOOKUP(A713,Raw_Data!A:L,12,FALSE)</f>
        <v>22320</v>
      </c>
      <c r="E713" s="3">
        <f>VLOOKUP(A713,Raw_Data!A:L,11,FALSE)</f>
        <v>36</v>
      </c>
      <c r="F713" t="str">
        <f>TEXT(VLOOKUP(A713,Raw_Data!A:L,5,FALSE),"mmm")</f>
        <v>Jul</v>
      </c>
    </row>
    <row r="714" spans="1:6" x14ac:dyDescent="0.35">
      <c r="A714" s="3" t="s">
        <v>1197</v>
      </c>
      <c r="B714" t="str">
        <f>VLOOKUP(A714,Raw_Data!A:L,6,FALSE)</f>
        <v>Toaster</v>
      </c>
      <c r="C714" t="str">
        <f>VLOOKUP(A714,Raw_Data!A:L,3,FALSE)</f>
        <v>Russia</v>
      </c>
      <c r="D714" s="3">
        <f>VLOOKUP(A714,Raw_Data!A:L,12,FALSE)</f>
        <v>3650</v>
      </c>
      <c r="E714" s="3">
        <f>VLOOKUP(A714,Raw_Data!A:L,11,FALSE)</f>
        <v>73</v>
      </c>
      <c r="F714" t="str">
        <f>TEXT(VLOOKUP(A714,Raw_Data!A:L,5,FALSE),"mmm")</f>
        <v>Apr</v>
      </c>
    </row>
    <row r="715" spans="1:6" x14ac:dyDescent="0.35">
      <c r="A715" s="3" t="s">
        <v>1198</v>
      </c>
      <c r="B715" t="str">
        <f>VLOOKUP(A715,Raw_Data!A:L,6,FALSE)</f>
        <v>Ceiling fan</v>
      </c>
      <c r="C715" t="str">
        <f>VLOOKUP(A715,Raw_Data!A:L,3,FALSE)</f>
        <v>India</v>
      </c>
      <c r="D715" s="3">
        <f>VLOOKUP(A715,Raw_Data!A:L,12,FALSE)</f>
        <v>4998</v>
      </c>
      <c r="E715" s="3">
        <f>VLOOKUP(A715,Raw_Data!A:L,11,FALSE)</f>
        <v>51</v>
      </c>
      <c r="F715" t="str">
        <f>TEXT(VLOOKUP(A715,Raw_Data!A:L,5,FALSE),"mmm")</f>
        <v>Aug</v>
      </c>
    </row>
    <row r="716" spans="1:6" x14ac:dyDescent="0.35">
      <c r="A716" s="3" t="s">
        <v>1199</v>
      </c>
      <c r="B716" t="str">
        <f>VLOOKUP(A716,Raw_Data!A:L,6,FALSE)</f>
        <v>Air conditioner</v>
      </c>
      <c r="C716" t="str">
        <f>VLOOKUP(A716,Raw_Data!A:L,3,FALSE)</f>
        <v>Spain</v>
      </c>
      <c r="D716" s="3">
        <f>VLOOKUP(A716,Raw_Data!A:L,12,FALSE)</f>
        <v>13300</v>
      </c>
      <c r="E716" s="3">
        <f>VLOOKUP(A716,Raw_Data!A:L,11,FALSE)</f>
        <v>19</v>
      </c>
      <c r="F716" t="str">
        <f>TEXT(VLOOKUP(A716,Raw_Data!A:L,5,FALSE),"mmm")</f>
        <v>Jul</v>
      </c>
    </row>
    <row r="717" spans="1:6" x14ac:dyDescent="0.35">
      <c r="A717" s="3" t="s">
        <v>1200</v>
      </c>
      <c r="B717" t="str">
        <f>VLOOKUP(A717,Raw_Data!A:L,6,FALSE)</f>
        <v>Toaster</v>
      </c>
      <c r="C717" t="str">
        <f>VLOOKUP(A717,Raw_Data!A:L,3,FALSE)</f>
        <v>Vietnam</v>
      </c>
      <c r="D717" s="3">
        <f>VLOOKUP(A717,Raw_Data!A:L,12,FALSE)</f>
        <v>1628</v>
      </c>
      <c r="E717" s="3">
        <f>VLOOKUP(A717,Raw_Data!A:L,11,FALSE)</f>
        <v>44</v>
      </c>
      <c r="F717" t="str">
        <f>TEXT(VLOOKUP(A717,Raw_Data!A:L,5,FALSE),"mmm")</f>
        <v>Apr</v>
      </c>
    </row>
    <row r="718" spans="1:6" x14ac:dyDescent="0.35">
      <c r="A718" s="3" t="s">
        <v>1201</v>
      </c>
      <c r="B718" t="str">
        <f>VLOOKUP(A718,Raw_Data!A:L,6,FALSE)</f>
        <v>Iron</v>
      </c>
      <c r="C718" t="str">
        <f>VLOOKUP(A718,Raw_Data!A:L,3,FALSE)</f>
        <v>Thailand</v>
      </c>
      <c r="D718" s="3">
        <f>VLOOKUP(A718,Raw_Data!A:L,12,FALSE)</f>
        <v>551</v>
      </c>
      <c r="E718" s="3">
        <f>VLOOKUP(A718,Raw_Data!A:L,11,FALSE)</f>
        <v>19</v>
      </c>
      <c r="F718" t="str">
        <f>TEXT(VLOOKUP(A718,Raw_Data!A:L,5,FALSE),"mmm")</f>
        <v>Jul</v>
      </c>
    </row>
    <row r="719" spans="1:6" x14ac:dyDescent="0.35">
      <c r="A719" s="3" t="s">
        <v>1202</v>
      </c>
      <c r="B719" t="str">
        <f>VLOOKUP(A719,Raw_Data!A:L,6,FALSE)</f>
        <v>Air conditioner</v>
      </c>
      <c r="C719" t="str">
        <f>VLOOKUP(A719,Raw_Data!A:L,3,FALSE)</f>
        <v>Russia</v>
      </c>
      <c r="D719" s="3">
        <f>VLOOKUP(A719,Raw_Data!A:L,12,FALSE)</f>
        <v>679</v>
      </c>
      <c r="E719" s="3">
        <f>VLOOKUP(A719,Raw_Data!A:L,11,FALSE)</f>
        <v>1</v>
      </c>
      <c r="F719" t="str">
        <f>TEXT(VLOOKUP(A719,Raw_Data!A:L,5,FALSE),"mmm")</f>
        <v>Oct</v>
      </c>
    </row>
    <row r="720" spans="1:6" x14ac:dyDescent="0.35">
      <c r="A720" s="3" t="s">
        <v>1203</v>
      </c>
      <c r="B720" t="str">
        <f>VLOOKUP(A720,Raw_Data!A:L,6,FALSE)</f>
        <v>Oven</v>
      </c>
      <c r="C720" t="str">
        <f>VLOOKUP(A720,Raw_Data!A:L,3,FALSE)</f>
        <v>Mexico</v>
      </c>
      <c r="D720" s="3">
        <f>VLOOKUP(A720,Raw_Data!A:L,12,FALSE)</f>
        <v>17820</v>
      </c>
      <c r="E720" s="3">
        <f>VLOOKUP(A720,Raw_Data!A:L,11,FALSE)</f>
        <v>36</v>
      </c>
      <c r="F720" t="str">
        <f>TEXT(VLOOKUP(A720,Raw_Data!A:L,5,FALSE),"mmm")</f>
        <v>Sep</v>
      </c>
    </row>
    <row r="721" spans="1:6" x14ac:dyDescent="0.35">
      <c r="A721" s="3" t="s">
        <v>1204</v>
      </c>
      <c r="B721" t="str">
        <f>VLOOKUP(A721,Raw_Data!A:L,6,FALSE)</f>
        <v>Blender</v>
      </c>
      <c r="C721" t="str">
        <f>VLOOKUP(A721,Raw_Data!A:L,3,FALSE)</f>
        <v>Canada</v>
      </c>
      <c r="D721" s="3">
        <f>VLOOKUP(A721,Raw_Data!A:L,12,FALSE)</f>
        <v>1512</v>
      </c>
      <c r="E721" s="3">
        <f>VLOOKUP(A721,Raw_Data!A:L,11,FALSE)</f>
        <v>42</v>
      </c>
      <c r="F721" t="str">
        <f>TEXT(VLOOKUP(A721,Raw_Data!A:L,5,FALSE),"mmm")</f>
        <v>Jul</v>
      </c>
    </row>
    <row r="722" spans="1:6" x14ac:dyDescent="0.35">
      <c r="A722" s="3" t="s">
        <v>1205</v>
      </c>
      <c r="B722" t="str">
        <f>VLOOKUP(A722,Raw_Data!A:L,6,FALSE)</f>
        <v>Toaster</v>
      </c>
      <c r="C722" t="str">
        <f>VLOOKUP(A722,Raw_Data!A:L,3,FALSE)</f>
        <v>UAE</v>
      </c>
      <c r="D722" s="3">
        <f>VLOOKUP(A722,Raw_Data!A:L,12,FALSE)</f>
        <v>3072</v>
      </c>
      <c r="E722" s="3">
        <f>VLOOKUP(A722,Raw_Data!A:L,11,FALSE)</f>
        <v>64</v>
      </c>
      <c r="F722" t="str">
        <f>TEXT(VLOOKUP(A722,Raw_Data!A:L,5,FALSE),"mmm")</f>
        <v>Jan</v>
      </c>
    </row>
    <row r="723" spans="1:6" x14ac:dyDescent="0.35">
      <c r="A723" s="3" t="s">
        <v>1206</v>
      </c>
      <c r="B723" t="str">
        <f>VLOOKUP(A723,Raw_Data!A:L,6,FALSE)</f>
        <v>Dishwasher</v>
      </c>
      <c r="C723" t="str">
        <f>VLOOKUP(A723,Raw_Data!A:L,3,FALSE)</f>
        <v>UK</v>
      </c>
      <c r="D723" s="3">
        <f>VLOOKUP(A723,Raw_Data!A:L,12,FALSE)</f>
        <v>11400</v>
      </c>
      <c r="E723" s="3">
        <f>VLOOKUP(A723,Raw_Data!A:L,11,FALSE)</f>
        <v>24</v>
      </c>
      <c r="F723" t="str">
        <f>TEXT(VLOOKUP(A723,Raw_Data!A:L,5,FALSE),"mmm")</f>
        <v>Dec</v>
      </c>
    </row>
    <row r="724" spans="1:6" x14ac:dyDescent="0.35">
      <c r="A724" s="3" t="s">
        <v>1208</v>
      </c>
      <c r="B724" t="str">
        <f>VLOOKUP(A724,Raw_Data!A:L,6,FALSE)</f>
        <v>Toaster</v>
      </c>
      <c r="C724" t="str">
        <f>VLOOKUP(A724,Raw_Data!A:L,3,FALSE)</f>
        <v>Austria</v>
      </c>
      <c r="D724" s="3">
        <f>VLOOKUP(A724,Raw_Data!A:L,12,FALSE)</f>
        <v>3354</v>
      </c>
      <c r="E724" s="3">
        <f>VLOOKUP(A724,Raw_Data!A:L,11,FALSE)</f>
        <v>78</v>
      </c>
      <c r="F724" t="str">
        <f>TEXT(VLOOKUP(A724,Raw_Data!A:L,5,FALSE),"mmm")</f>
        <v>Mar</v>
      </c>
    </row>
    <row r="725" spans="1:6" x14ac:dyDescent="0.35">
      <c r="A725" s="3" t="s">
        <v>1210</v>
      </c>
      <c r="B725" t="str">
        <f>VLOOKUP(A725,Raw_Data!A:L,6,FALSE)</f>
        <v>Vacuum Cleaner</v>
      </c>
      <c r="C725" t="str">
        <f>VLOOKUP(A725,Raw_Data!A:L,3,FALSE)</f>
        <v>Argentina</v>
      </c>
      <c r="D725" s="3">
        <f>VLOOKUP(A725,Raw_Data!A:L,12,FALSE)</f>
        <v>235</v>
      </c>
      <c r="E725" s="3">
        <f>VLOOKUP(A725,Raw_Data!A:L,11,FALSE)</f>
        <v>1</v>
      </c>
      <c r="F725" t="str">
        <f>TEXT(VLOOKUP(A725,Raw_Data!A:L,5,FALSE),"mmm")</f>
        <v>Feb</v>
      </c>
    </row>
    <row r="726" spans="1:6" x14ac:dyDescent="0.35">
      <c r="A726" s="3" t="s">
        <v>1211</v>
      </c>
      <c r="B726" t="str">
        <f>VLOOKUP(A726,Raw_Data!A:L,6,FALSE)</f>
        <v>Blender</v>
      </c>
      <c r="C726" t="str">
        <f>VLOOKUP(A726,Raw_Data!A:L,3,FALSE)</f>
        <v>France</v>
      </c>
      <c r="D726" s="3">
        <f>VLOOKUP(A726,Raw_Data!A:L,12,FALSE)</f>
        <v>2279</v>
      </c>
      <c r="E726" s="3">
        <f>VLOOKUP(A726,Raw_Data!A:L,11,FALSE)</f>
        <v>53</v>
      </c>
      <c r="F726" t="str">
        <f>TEXT(VLOOKUP(A726,Raw_Data!A:L,5,FALSE),"mmm")</f>
        <v>Apr</v>
      </c>
    </row>
    <row r="727" spans="1:6" x14ac:dyDescent="0.35">
      <c r="A727" s="3" t="s">
        <v>1212</v>
      </c>
      <c r="B727" t="str">
        <f>VLOOKUP(A727,Raw_Data!A:L,6,FALSE)</f>
        <v>Iron</v>
      </c>
      <c r="C727" t="str">
        <f>VLOOKUP(A727,Raw_Data!A:L,3,FALSE)</f>
        <v>Mexico</v>
      </c>
      <c r="D727" s="3">
        <f>VLOOKUP(A727,Raw_Data!A:L,12,FALSE)</f>
        <v>1924</v>
      </c>
      <c r="E727" s="3">
        <f>VLOOKUP(A727,Raw_Data!A:L,11,FALSE)</f>
        <v>74</v>
      </c>
      <c r="F727" t="str">
        <f>TEXT(VLOOKUP(A727,Raw_Data!A:L,5,FALSE),"mmm")</f>
        <v>Oct</v>
      </c>
    </row>
    <row r="728" spans="1:6" x14ac:dyDescent="0.35">
      <c r="A728" s="3" t="s">
        <v>1213</v>
      </c>
      <c r="B728" t="str">
        <f>VLOOKUP(A728,Raw_Data!A:L,6,FALSE)</f>
        <v>Coffee grinder</v>
      </c>
      <c r="C728" t="str">
        <f>VLOOKUP(A728,Raw_Data!A:L,3,FALSE)</f>
        <v>Mexico</v>
      </c>
      <c r="D728" s="3">
        <f>VLOOKUP(A728,Raw_Data!A:L,12,FALSE)</f>
        <v>4399</v>
      </c>
      <c r="E728" s="3">
        <f>VLOOKUP(A728,Raw_Data!A:L,11,FALSE)</f>
        <v>83</v>
      </c>
      <c r="F728" t="str">
        <f>TEXT(VLOOKUP(A728,Raw_Data!A:L,5,FALSE),"mmm")</f>
        <v>Sep</v>
      </c>
    </row>
    <row r="729" spans="1:6" x14ac:dyDescent="0.35">
      <c r="A729" s="3" t="s">
        <v>1214</v>
      </c>
      <c r="B729" t="str">
        <f>VLOOKUP(A729,Raw_Data!A:L,6,FALSE)</f>
        <v>Ceiling fan</v>
      </c>
      <c r="C729" t="str">
        <f>VLOOKUP(A729,Raw_Data!A:L,3,FALSE)</f>
        <v>Japan</v>
      </c>
      <c r="D729" s="3">
        <f>VLOOKUP(A729,Raw_Data!A:L,12,FALSE)</f>
        <v>5811</v>
      </c>
      <c r="E729" s="3">
        <f>VLOOKUP(A729,Raw_Data!A:L,11,FALSE)</f>
        <v>39</v>
      </c>
      <c r="F729" t="str">
        <f>TEXT(VLOOKUP(A729,Raw_Data!A:L,5,FALSE),"mmm")</f>
        <v>Jul</v>
      </c>
    </row>
    <row r="730" spans="1:6" x14ac:dyDescent="0.35">
      <c r="A730" s="3" t="s">
        <v>1215</v>
      </c>
      <c r="B730" t="str">
        <f>VLOOKUP(A730,Raw_Data!A:L,6,FALSE)</f>
        <v>Vacuum Cleaner</v>
      </c>
      <c r="C730" t="str">
        <f>VLOOKUP(A730,Raw_Data!A:L,3,FALSE)</f>
        <v>Italy</v>
      </c>
      <c r="D730" s="3">
        <f>VLOOKUP(A730,Raw_Data!A:L,12,FALSE)</f>
        <v>4104</v>
      </c>
      <c r="E730" s="3">
        <f>VLOOKUP(A730,Raw_Data!A:L,11,FALSE)</f>
        <v>18</v>
      </c>
      <c r="F730" t="str">
        <f>TEXT(VLOOKUP(A730,Raw_Data!A:L,5,FALSE),"mmm")</f>
        <v>May</v>
      </c>
    </row>
    <row r="731" spans="1:6" x14ac:dyDescent="0.35">
      <c r="A731" s="3" t="s">
        <v>1216</v>
      </c>
      <c r="B731" t="str">
        <f>VLOOKUP(A731,Raw_Data!A:L,6,FALSE)</f>
        <v>Coffee grinder</v>
      </c>
      <c r="C731" t="str">
        <f>VLOOKUP(A731,Raw_Data!A:L,3,FALSE)</f>
        <v>France</v>
      </c>
      <c r="D731" s="3">
        <f>VLOOKUP(A731,Raw_Data!A:L,12,FALSE)</f>
        <v>3328</v>
      </c>
      <c r="E731" s="3">
        <f>VLOOKUP(A731,Raw_Data!A:L,11,FALSE)</f>
        <v>52</v>
      </c>
      <c r="F731" t="str">
        <f>TEXT(VLOOKUP(A731,Raw_Data!A:L,5,FALSE),"mmm")</f>
        <v>May</v>
      </c>
    </row>
    <row r="732" spans="1:6" x14ac:dyDescent="0.35">
      <c r="A732" s="3" t="s">
        <v>1217</v>
      </c>
      <c r="B732" t="str">
        <f>VLOOKUP(A732,Raw_Data!A:L,6,FALSE)</f>
        <v>Iron</v>
      </c>
      <c r="C732" t="str">
        <f>VLOOKUP(A732,Raw_Data!A:L,3,FALSE)</f>
        <v>Turkey</v>
      </c>
      <c r="D732" s="3">
        <f>VLOOKUP(A732,Raw_Data!A:L,12,FALSE)</f>
        <v>1431</v>
      </c>
      <c r="E732" s="3">
        <f>VLOOKUP(A732,Raw_Data!A:L,11,FALSE)</f>
        <v>53</v>
      </c>
      <c r="F732" t="str">
        <f>TEXT(VLOOKUP(A732,Raw_Data!A:L,5,FALSE),"mmm")</f>
        <v>Jul</v>
      </c>
    </row>
    <row r="733" spans="1:6" x14ac:dyDescent="0.35">
      <c r="A733" s="3" t="s">
        <v>1218</v>
      </c>
      <c r="B733" t="str">
        <f>VLOOKUP(A733,Raw_Data!A:L,6,FALSE)</f>
        <v>Washing Machine</v>
      </c>
      <c r="C733" t="str">
        <f>VLOOKUP(A733,Raw_Data!A:L,3,FALSE)</f>
        <v>Israel</v>
      </c>
      <c r="D733" s="3">
        <f>VLOOKUP(A733,Raw_Data!A:L,12,FALSE)</f>
        <v>64152</v>
      </c>
      <c r="E733" s="3">
        <f>VLOOKUP(A733,Raw_Data!A:L,11,FALSE)</f>
        <v>99</v>
      </c>
      <c r="F733" t="str">
        <f>TEXT(VLOOKUP(A733,Raw_Data!A:L,5,FALSE),"mmm")</f>
        <v>Nov</v>
      </c>
    </row>
    <row r="734" spans="1:6" x14ac:dyDescent="0.35">
      <c r="A734" s="3" t="s">
        <v>1220</v>
      </c>
      <c r="B734" t="str">
        <f>VLOOKUP(A734,Raw_Data!A:L,6,FALSE)</f>
        <v>Iron</v>
      </c>
      <c r="C734" t="str">
        <f>VLOOKUP(A734,Raw_Data!A:L,3,FALSE)</f>
        <v>USA</v>
      </c>
      <c r="D734" s="3">
        <f>VLOOKUP(A734,Raw_Data!A:L,12,FALSE)</f>
        <v>210</v>
      </c>
      <c r="E734" s="3">
        <f>VLOOKUP(A734,Raw_Data!A:L,11,FALSE)</f>
        <v>7</v>
      </c>
      <c r="F734" t="str">
        <f>TEXT(VLOOKUP(A734,Raw_Data!A:L,5,FALSE),"mmm")</f>
        <v>May</v>
      </c>
    </row>
    <row r="735" spans="1:6" x14ac:dyDescent="0.35">
      <c r="A735" s="3" t="s">
        <v>1221</v>
      </c>
      <c r="B735" t="str">
        <f>VLOOKUP(A735,Raw_Data!A:L,6,FALSE)</f>
        <v>Washing Machine</v>
      </c>
      <c r="C735" t="str">
        <f>VLOOKUP(A735,Raw_Data!A:L,3,FALSE)</f>
        <v>UK</v>
      </c>
      <c r="D735" s="3">
        <f>VLOOKUP(A735,Raw_Data!A:L,12,FALSE)</f>
        <v>10736</v>
      </c>
      <c r="E735" s="3">
        <f>VLOOKUP(A735,Raw_Data!A:L,11,FALSE)</f>
        <v>22</v>
      </c>
      <c r="F735" t="str">
        <f>TEXT(VLOOKUP(A735,Raw_Data!A:L,5,FALSE),"mmm")</f>
        <v>Apr</v>
      </c>
    </row>
    <row r="736" spans="1:6" x14ac:dyDescent="0.35">
      <c r="A736" s="3" t="s">
        <v>1223</v>
      </c>
      <c r="B736" t="str">
        <f>VLOOKUP(A736,Raw_Data!A:L,6,FALSE)</f>
        <v>Air conditioner</v>
      </c>
      <c r="C736" t="str">
        <f>VLOOKUP(A736,Raw_Data!A:L,3,FALSE)</f>
        <v>Israel</v>
      </c>
      <c r="D736" s="3">
        <f>VLOOKUP(A736,Raw_Data!A:L,12,FALSE)</f>
        <v>45318</v>
      </c>
      <c r="E736" s="3">
        <f>VLOOKUP(A736,Raw_Data!A:L,11,FALSE)</f>
        <v>83</v>
      </c>
      <c r="F736" t="str">
        <f>TEXT(VLOOKUP(A736,Raw_Data!A:L,5,FALSE),"mmm")</f>
        <v>May</v>
      </c>
    </row>
    <row r="737" spans="1:6" x14ac:dyDescent="0.35">
      <c r="A737" s="3" t="s">
        <v>1224</v>
      </c>
      <c r="B737" t="str">
        <f>VLOOKUP(A737,Raw_Data!A:L,6,FALSE)</f>
        <v>Vacuum Cleaner</v>
      </c>
      <c r="C737" t="str">
        <f>VLOOKUP(A737,Raw_Data!A:L,3,FALSE)</f>
        <v>USA</v>
      </c>
      <c r="D737" s="3">
        <f>VLOOKUP(A737,Raw_Data!A:L,12,FALSE)</f>
        <v>21576</v>
      </c>
      <c r="E737" s="3">
        <f>VLOOKUP(A737,Raw_Data!A:L,11,FALSE)</f>
        <v>87</v>
      </c>
      <c r="F737" t="str">
        <f>TEXT(VLOOKUP(A737,Raw_Data!A:L,5,FALSE),"mmm")</f>
        <v>Sep</v>
      </c>
    </row>
    <row r="738" spans="1:6" x14ac:dyDescent="0.35">
      <c r="A738" s="3" t="s">
        <v>1225</v>
      </c>
      <c r="B738" t="str">
        <f>VLOOKUP(A738,Raw_Data!A:L,6,FALSE)</f>
        <v>Vacuum Cleaner</v>
      </c>
      <c r="C738" t="str">
        <f>VLOOKUP(A738,Raw_Data!A:L,3,FALSE)</f>
        <v>Czech Republic</v>
      </c>
      <c r="D738" s="3">
        <f>VLOOKUP(A738,Raw_Data!A:L,12,FALSE)</f>
        <v>243</v>
      </c>
      <c r="E738" s="3">
        <f>VLOOKUP(A738,Raw_Data!A:L,11,FALSE)</f>
        <v>1</v>
      </c>
      <c r="F738" t="str">
        <f>TEXT(VLOOKUP(A738,Raw_Data!A:L,5,FALSE),"mmm")</f>
        <v>Aug</v>
      </c>
    </row>
    <row r="739" spans="1:6" x14ac:dyDescent="0.35">
      <c r="A739" s="3" t="s">
        <v>1226</v>
      </c>
      <c r="B739" t="str">
        <f>VLOOKUP(A739,Raw_Data!A:L,6,FALSE)</f>
        <v>Toaster</v>
      </c>
      <c r="C739" t="str">
        <f>VLOOKUP(A739,Raw_Data!A:L,3,FALSE)</f>
        <v>Thailand</v>
      </c>
      <c r="D739" s="3">
        <f>VLOOKUP(A739,Raw_Data!A:L,12,FALSE)</f>
        <v>3724</v>
      </c>
      <c r="E739" s="3">
        <f>VLOOKUP(A739,Raw_Data!A:L,11,FALSE)</f>
        <v>76</v>
      </c>
      <c r="F739" t="str">
        <f>TEXT(VLOOKUP(A739,Raw_Data!A:L,5,FALSE),"mmm")</f>
        <v>Dec</v>
      </c>
    </row>
    <row r="740" spans="1:6" x14ac:dyDescent="0.35">
      <c r="A740" s="3" t="s">
        <v>1227</v>
      </c>
      <c r="B740" t="str">
        <f>VLOOKUP(A740,Raw_Data!A:L,6,FALSE)</f>
        <v>Vacuum Cleaner</v>
      </c>
      <c r="C740" t="str">
        <f>VLOOKUP(A740,Raw_Data!A:L,3,FALSE)</f>
        <v>USA</v>
      </c>
      <c r="D740" s="3">
        <f>VLOOKUP(A740,Raw_Data!A:L,12,FALSE)</f>
        <v>3750</v>
      </c>
      <c r="E740" s="3">
        <f>VLOOKUP(A740,Raw_Data!A:L,11,FALSE)</f>
        <v>15</v>
      </c>
      <c r="F740" t="str">
        <f>TEXT(VLOOKUP(A740,Raw_Data!A:L,5,FALSE),"mmm")</f>
        <v>Aug</v>
      </c>
    </row>
    <row r="741" spans="1:6" x14ac:dyDescent="0.35">
      <c r="A741" s="3" t="s">
        <v>1228</v>
      </c>
      <c r="B741" t="str">
        <f>VLOOKUP(A741,Raw_Data!A:L,6,FALSE)</f>
        <v>Toaster</v>
      </c>
      <c r="C741" t="str">
        <f>VLOOKUP(A741,Raw_Data!A:L,3,FALSE)</f>
        <v>Turkey</v>
      </c>
      <c r="D741" s="3">
        <f>VLOOKUP(A741,Raw_Data!A:L,12,FALSE)</f>
        <v>705</v>
      </c>
      <c r="E741" s="3">
        <f>VLOOKUP(A741,Raw_Data!A:L,11,FALSE)</f>
        <v>15</v>
      </c>
      <c r="F741" t="str">
        <f>TEXT(VLOOKUP(A741,Raw_Data!A:L,5,FALSE),"mmm")</f>
        <v>Jan</v>
      </c>
    </row>
    <row r="742" spans="1:6" x14ac:dyDescent="0.35">
      <c r="A742" s="3" t="s">
        <v>1229</v>
      </c>
      <c r="B742" t="str">
        <f>VLOOKUP(A742,Raw_Data!A:L,6,FALSE)</f>
        <v>Air conditioner</v>
      </c>
      <c r="C742" t="str">
        <f>VLOOKUP(A742,Raw_Data!A:L,3,FALSE)</f>
        <v>USA</v>
      </c>
      <c r="D742" s="3">
        <f>VLOOKUP(A742,Raw_Data!A:L,12,FALSE)</f>
        <v>9660</v>
      </c>
      <c r="E742" s="3">
        <f>VLOOKUP(A742,Raw_Data!A:L,11,FALSE)</f>
        <v>15</v>
      </c>
      <c r="F742" t="str">
        <f>TEXT(VLOOKUP(A742,Raw_Data!A:L,5,FALSE),"mmm")</f>
        <v>Jun</v>
      </c>
    </row>
    <row r="743" spans="1:6" x14ac:dyDescent="0.35">
      <c r="A743" s="3" t="s">
        <v>1230</v>
      </c>
      <c r="B743" t="str">
        <f>VLOOKUP(A743,Raw_Data!A:L,6,FALSE)</f>
        <v>Oven</v>
      </c>
      <c r="C743" t="str">
        <f>VLOOKUP(A743,Raw_Data!A:L,3,FALSE)</f>
        <v>Vietnam</v>
      </c>
      <c r="D743" s="3">
        <f>VLOOKUP(A743,Raw_Data!A:L,12,FALSE)</f>
        <v>14355</v>
      </c>
      <c r="E743" s="3">
        <f>VLOOKUP(A743,Raw_Data!A:L,11,FALSE)</f>
        <v>29</v>
      </c>
      <c r="F743" t="str">
        <f>TEXT(VLOOKUP(A743,Raw_Data!A:L,5,FALSE),"mmm")</f>
        <v>Nov</v>
      </c>
    </row>
    <row r="744" spans="1:6" x14ac:dyDescent="0.35">
      <c r="A744" s="3" t="s">
        <v>1231</v>
      </c>
      <c r="B744" t="str">
        <f>VLOOKUP(A744,Raw_Data!A:L,6,FALSE)</f>
        <v>Air conditioner</v>
      </c>
      <c r="C744" t="str">
        <f>VLOOKUP(A744,Raw_Data!A:L,3,FALSE)</f>
        <v>India</v>
      </c>
      <c r="D744" s="3">
        <f>VLOOKUP(A744,Raw_Data!A:L,12,FALSE)</f>
        <v>14168</v>
      </c>
      <c r="E744" s="3">
        <f>VLOOKUP(A744,Raw_Data!A:L,11,FALSE)</f>
        <v>22</v>
      </c>
      <c r="F744" t="str">
        <f>TEXT(VLOOKUP(A744,Raw_Data!A:L,5,FALSE),"mmm")</f>
        <v>May</v>
      </c>
    </row>
    <row r="745" spans="1:6" x14ac:dyDescent="0.35">
      <c r="A745" s="3" t="s">
        <v>1232</v>
      </c>
      <c r="B745" t="str">
        <f>VLOOKUP(A745,Raw_Data!A:L,6,FALSE)</f>
        <v>Air conditioner</v>
      </c>
      <c r="C745" t="str">
        <f>VLOOKUP(A745,Raw_Data!A:L,3,FALSE)</f>
        <v>Israel</v>
      </c>
      <c r="D745" s="3">
        <f>VLOOKUP(A745,Raw_Data!A:L,12,FALSE)</f>
        <v>33852</v>
      </c>
      <c r="E745" s="3">
        <f>VLOOKUP(A745,Raw_Data!A:L,11,FALSE)</f>
        <v>52</v>
      </c>
      <c r="F745" t="str">
        <f>TEXT(VLOOKUP(A745,Raw_Data!A:L,5,FALSE),"mmm")</f>
        <v>May</v>
      </c>
    </row>
    <row r="746" spans="1:6" x14ac:dyDescent="0.35">
      <c r="A746" s="3" t="s">
        <v>1234</v>
      </c>
      <c r="B746" t="str">
        <f>VLOOKUP(A746,Raw_Data!A:L,6,FALSE)</f>
        <v>Washing Machine</v>
      </c>
      <c r="C746" t="str">
        <f>VLOOKUP(A746,Raw_Data!A:L,3,FALSE)</f>
        <v>Vietnam</v>
      </c>
      <c r="D746" s="3">
        <f>VLOOKUP(A746,Raw_Data!A:L,12,FALSE)</f>
        <v>9776</v>
      </c>
      <c r="E746" s="3">
        <f>VLOOKUP(A746,Raw_Data!A:L,11,FALSE)</f>
        <v>13</v>
      </c>
      <c r="F746" t="str">
        <f>TEXT(VLOOKUP(A746,Raw_Data!A:L,5,FALSE),"mmm")</f>
        <v>Sep</v>
      </c>
    </row>
    <row r="747" spans="1:6" x14ac:dyDescent="0.35">
      <c r="A747" s="3" t="s">
        <v>1235</v>
      </c>
      <c r="B747" t="str">
        <f>VLOOKUP(A747,Raw_Data!A:L,6,FALSE)</f>
        <v>Vacuum Cleaner</v>
      </c>
      <c r="C747" t="str">
        <f>VLOOKUP(A747,Raw_Data!A:L,3,FALSE)</f>
        <v>France</v>
      </c>
      <c r="D747" s="3">
        <f>VLOOKUP(A747,Raw_Data!A:L,12,FALSE)</f>
        <v>699</v>
      </c>
      <c r="E747" s="3">
        <f>VLOOKUP(A747,Raw_Data!A:L,11,FALSE)</f>
        <v>3</v>
      </c>
      <c r="F747" t="str">
        <f>TEXT(VLOOKUP(A747,Raw_Data!A:L,5,FALSE),"mmm")</f>
        <v>Apr</v>
      </c>
    </row>
    <row r="748" spans="1:6" x14ac:dyDescent="0.35">
      <c r="A748" s="3" t="s">
        <v>1237</v>
      </c>
      <c r="B748" t="str">
        <f>VLOOKUP(A748,Raw_Data!A:L,6,FALSE)</f>
        <v>Washing Machine</v>
      </c>
      <c r="C748" t="str">
        <f>VLOOKUP(A748,Raw_Data!A:L,3,FALSE)</f>
        <v>Saudi Arabia</v>
      </c>
      <c r="D748" s="3">
        <f>VLOOKUP(A748,Raw_Data!A:L,12,FALSE)</f>
        <v>35040</v>
      </c>
      <c r="E748" s="3">
        <f>VLOOKUP(A748,Raw_Data!A:L,11,FALSE)</f>
        <v>73</v>
      </c>
      <c r="F748" t="str">
        <f>TEXT(VLOOKUP(A748,Raw_Data!A:L,5,FALSE),"mmm")</f>
        <v>Nov</v>
      </c>
    </row>
    <row r="749" spans="1:6" x14ac:dyDescent="0.35">
      <c r="A749" s="3" t="s">
        <v>1238</v>
      </c>
      <c r="B749" t="str">
        <f>VLOOKUP(A749,Raw_Data!A:L,6,FALSE)</f>
        <v>Refrigerator</v>
      </c>
      <c r="C749" t="str">
        <f>VLOOKUP(A749,Raw_Data!A:L,3,FALSE)</f>
        <v>Saudi Arabia</v>
      </c>
      <c r="D749" s="3">
        <f>VLOOKUP(A749,Raw_Data!A:L,12,FALSE)</f>
        <v>15390</v>
      </c>
      <c r="E749" s="3">
        <f>VLOOKUP(A749,Raw_Data!A:L,11,FALSE)</f>
        <v>19</v>
      </c>
      <c r="F749" t="str">
        <f>TEXT(VLOOKUP(A749,Raw_Data!A:L,5,FALSE),"mmm")</f>
        <v>Oct</v>
      </c>
    </row>
    <row r="750" spans="1:6" x14ac:dyDescent="0.35">
      <c r="A750" s="3" t="s">
        <v>1239</v>
      </c>
      <c r="B750" t="str">
        <f>VLOOKUP(A750,Raw_Data!A:L,6,FALSE)</f>
        <v>Washing Machine</v>
      </c>
      <c r="C750" t="str">
        <f>VLOOKUP(A750,Raw_Data!A:L,3,FALSE)</f>
        <v>Mexico</v>
      </c>
      <c r="D750" s="3">
        <f>VLOOKUP(A750,Raw_Data!A:L,12,FALSE)</f>
        <v>51888</v>
      </c>
      <c r="E750" s="3">
        <f>VLOOKUP(A750,Raw_Data!A:L,11,FALSE)</f>
        <v>94</v>
      </c>
      <c r="F750" t="str">
        <f>TEXT(VLOOKUP(A750,Raw_Data!A:L,5,FALSE),"mmm")</f>
        <v>Jun</v>
      </c>
    </row>
    <row r="751" spans="1:6" x14ac:dyDescent="0.35">
      <c r="A751" s="3" t="s">
        <v>1241</v>
      </c>
      <c r="B751" t="str">
        <f>VLOOKUP(A751,Raw_Data!A:L,6,FALSE)</f>
        <v>Blender</v>
      </c>
      <c r="C751" t="str">
        <f>VLOOKUP(A751,Raw_Data!A:L,3,FALSE)</f>
        <v>Mexico</v>
      </c>
      <c r="D751" s="3">
        <f>VLOOKUP(A751,Raw_Data!A:L,12,FALSE)</f>
        <v>3744</v>
      </c>
      <c r="E751" s="3">
        <f>VLOOKUP(A751,Raw_Data!A:L,11,FALSE)</f>
        <v>78</v>
      </c>
      <c r="F751" t="str">
        <f>TEXT(VLOOKUP(A751,Raw_Data!A:L,5,FALSE),"mmm")</f>
        <v>Dec</v>
      </c>
    </row>
    <row r="752" spans="1:6" x14ac:dyDescent="0.35">
      <c r="A752" s="3" t="s">
        <v>1242</v>
      </c>
      <c r="B752" t="str">
        <f>VLOOKUP(A752,Raw_Data!A:L,6,FALSE)</f>
        <v>Coffee grinder</v>
      </c>
      <c r="C752" t="str">
        <f>VLOOKUP(A752,Raw_Data!A:L,3,FALSE)</f>
        <v>China</v>
      </c>
      <c r="D752" s="3">
        <f>VLOOKUP(A752,Raw_Data!A:L,12,FALSE)</f>
        <v>2030</v>
      </c>
      <c r="E752" s="3">
        <f>VLOOKUP(A752,Raw_Data!A:L,11,FALSE)</f>
        <v>29</v>
      </c>
      <c r="F752" t="str">
        <f>TEXT(VLOOKUP(A752,Raw_Data!A:L,5,FALSE),"mmm")</f>
        <v>Mar</v>
      </c>
    </row>
    <row r="753" spans="1:6" x14ac:dyDescent="0.35">
      <c r="A753" s="3" t="s">
        <v>1243</v>
      </c>
      <c r="B753" t="str">
        <f>VLOOKUP(A753,Raw_Data!A:L,6,FALSE)</f>
        <v>Refrigerator</v>
      </c>
      <c r="C753" t="str">
        <f>VLOOKUP(A753,Raw_Data!A:L,3,FALSE)</f>
        <v>Australia</v>
      </c>
      <c r="D753" s="3">
        <f>VLOOKUP(A753,Raw_Data!A:L,12,FALSE)</f>
        <v>13020</v>
      </c>
      <c r="E753" s="3">
        <f>VLOOKUP(A753,Raw_Data!A:L,11,FALSE)</f>
        <v>14</v>
      </c>
      <c r="F753" t="str">
        <f>TEXT(VLOOKUP(A753,Raw_Data!A:L,5,FALSE),"mmm")</f>
        <v>Mar</v>
      </c>
    </row>
    <row r="754" spans="1:6" x14ac:dyDescent="0.35">
      <c r="A754" s="3" t="s">
        <v>1245</v>
      </c>
      <c r="B754" t="str">
        <f>VLOOKUP(A754,Raw_Data!A:L,6,FALSE)</f>
        <v>Vacuum Cleaner</v>
      </c>
      <c r="C754" t="str">
        <f>VLOOKUP(A754,Raw_Data!A:L,3,FALSE)</f>
        <v>Germany</v>
      </c>
      <c r="D754" s="3">
        <f>VLOOKUP(A754,Raw_Data!A:L,12,FALSE)</f>
        <v>18250</v>
      </c>
      <c r="E754" s="3">
        <f>VLOOKUP(A754,Raw_Data!A:L,11,FALSE)</f>
        <v>73</v>
      </c>
      <c r="F754" t="str">
        <f>TEXT(VLOOKUP(A754,Raw_Data!A:L,5,FALSE),"mmm")</f>
        <v>Nov</v>
      </c>
    </row>
    <row r="755" spans="1:6" x14ac:dyDescent="0.35">
      <c r="A755" s="3" t="s">
        <v>1246</v>
      </c>
      <c r="B755" t="str">
        <f>VLOOKUP(A755,Raw_Data!A:L,6,FALSE)</f>
        <v>Air conditioner</v>
      </c>
      <c r="C755" t="str">
        <f>VLOOKUP(A755,Raw_Data!A:L,3,FALSE)</f>
        <v>China</v>
      </c>
      <c r="D755" s="3">
        <f>VLOOKUP(A755,Raw_Data!A:L,12,FALSE)</f>
        <v>19229</v>
      </c>
      <c r="E755" s="3">
        <f>VLOOKUP(A755,Raw_Data!A:L,11,FALSE)</f>
        <v>41</v>
      </c>
      <c r="F755" t="str">
        <f>TEXT(VLOOKUP(A755,Raw_Data!A:L,5,FALSE),"mmm")</f>
        <v>Dec</v>
      </c>
    </row>
    <row r="756" spans="1:6" x14ac:dyDescent="0.35">
      <c r="A756" s="3" t="s">
        <v>1247</v>
      </c>
      <c r="B756" t="str">
        <f>VLOOKUP(A756,Raw_Data!A:L,6,FALSE)</f>
        <v>Coffee grinder</v>
      </c>
      <c r="C756" t="str">
        <f>VLOOKUP(A756,Raw_Data!A:L,3,FALSE)</f>
        <v>Romania</v>
      </c>
      <c r="D756" s="3">
        <f>VLOOKUP(A756,Raw_Data!A:L,12,FALSE)</f>
        <v>2691</v>
      </c>
      <c r="E756" s="3">
        <f>VLOOKUP(A756,Raw_Data!A:L,11,FALSE)</f>
        <v>39</v>
      </c>
      <c r="F756" t="str">
        <f>TEXT(VLOOKUP(A756,Raw_Data!A:L,5,FALSE),"mmm")</f>
        <v>Nov</v>
      </c>
    </row>
    <row r="757" spans="1:6" x14ac:dyDescent="0.35">
      <c r="A757" s="3" t="s">
        <v>1249</v>
      </c>
      <c r="B757" t="str">
        <f>VLOOKUP(A757,Raw_Data!A:L,6,FALSE)</f>
        <v>Air conditioner</v>
      </c>
      <c r="C757" t="str">
        <f>VLOOKUP(A757,Raw_Data!A:L,3,FALSE)</f>
        <v>Greece</v>
      </c>
      <c r="D757" s="3">
        <f>VLOOKUP(A757,Raw_Data!A:L,12,FALSE)</f>
        <v>61740</v>
      </c>
      <c r="E757" s="3">
        <f>VLOOKUP(A757,Raw_Data!A:L,11,FALSE)</f>
        <v>98</v>
      </c>
      <c r="F757" t="str">
        <f>TEXT(VLOOKUP(A757,Raw_Data!A:L,5,FALSE),"mmm")</f>
        <v>Jun</v>
      </c>
    </row>
    <row r="758" spans="1:6" x14ac:dyDescent="0.35">
      <c r="A758" s="3" t="s">
        <v>1251</v>
      </c>
      <c r="B758" t="str">
        <f>VLOOKUP(A758,Raw_Data!A:L,6,FALSE)</f>
        <v>Microwave</v>
      </c>
      <c r="C758" t="str">
        <f>VLOOKUP(A758,Raw_Data!A:L,3,FALSE)</f>
        <v>India</v>
      </c>
      <c r="D758" s="3">
        <f>VLOOKUP(A758,Raw_Data!A:L,12,FALSE)</f>
        <v>4524</v>
      </c>
      <c r="E758" s="3">
        <f>VLOOKUP(A758,Raw_Data!A:L,11,FALSE)</f>
        <v>58</v>
      </c>
      <c r="F758" t="str">
        <f>TEXT(VLOOKUP(A758,Raw_Data!A:L,5,FALSE),"mmm")</f>
        <v>Nov</v>
      </c>
    </row>
    <row r="759" spans="1:6" x14ac:dyDescent="0.35">
      <c r="A759" s="3" t="s">
        <v>1252</v>
      </c>
      <c r="B759" t="str">
        <f>VLOOKUP(A759,Raw_Data!A:L,6,FALSE)</f>
        <v>Toaster</v>
      </c>
      <c r="C759" t="str">
        <f>VLOOKUP(A759,Raw_Data!A:L,3,FALSE)</f>
        <v>Mexico</v>
      </c>
      <c r="D759" s="3">
        <f>VLOOKUP(A759,Raw_Data!A:L,12,FALSE)</f>
        <v>392</v>
      </c>
      <c r="E759" s="3">
        <f>VLOOKUP(A759,Raw_Data!A:L,11,FALSE)</f>
        <v>8</v>
      </c>
      <c r="F759" t="str">
        <f>TEXT(VLOOKUP(A759,Raw_Data!A:L,5,FALSE),"mmm")</f>
        <v>Jul</v>
      </c>
    </row>
    <row r="760" spans="1:6" x14ac:dyDescent="0.35">
      <c r="A760" s="3" t="s">
        <v>1253</v>
      </c>
      <c r="B760" t="str">
        <f>VLOOKUP(A760,Raw_Data!A:L,6,FALSE)</f>
        <v>Refrigerator</v>
      </c>
      <c r="C760" t="str">
        <f>VLOOKUP(A760,Raw_Data!A:L,3,FALSE)</f>
        <v>Colombia</v>
      </c>
      <c r="D760" s="3">
        <f>VLOOKUP(A760,Raw_Data!A:L,12,FALSE)</f>
        <v>39750</v>
      </c>
      <c r="E760" s="3">
        <f>VLOOKUP(A760,Raw_Data!A:L,11,FALSE)</f>
        <v>53</v>
      </c>
      <c r="F760" t="str">
        <f>TEXT(VLOOKUP(A760,Raw_Data!A:L,5,FALSE),"mmm")</f>
        <v>Aug</v>
      </c>
    </row>
    <row r="761" spans="1:6" x14ac:dyDescent="0.35">
      <c r="A761" s="3" t="s">
        <v>1254</v>
      </c>
      <c r="B761" t="str">
        <f>VLOOKUP(A761,Raw_Data!A:L,6,FALSE)</f>
        <v>Toaster</v>
      </c>
      <c r="C761" t="str">
        <f>VLOOKUP(A761,Raw_Data!A:L,3,FALSE)</f>
        <v>Israel</v>
      </c>
      <c r="D761" s="3">
        <f>VLOOKUP(A761,Raw_Data!A:L,12,FALSE)</f>
        <v>2812</v>
      </c>
      <c r="E761" s="3">
        <f>VLOOKUP(A761,Raw_Data!A:L,11,FALSE)</f>
        <v>76</v>
      </c>
      <c r="F761" t="str">
        <f>TEXT(VLOOKUP(A761,Raw_Data!A:L,5,FALSE),"mmm")</f>
        <v>Aug</v>
      </c>
    </row>
    <row r="762" spans="1:6" x14ac:dyDescent="0.35">
      <c r="A762" s="3" t="s">
        <v>1255</v>
      </c>
      <c r="B762" t="str">
        <f>VLOOKUP(A762,Raw_Data!A:L,6,FALSE)</f>
        <v>Iron</v>
      </c>
      <c r="C762" t="str">
        <f>VLOOKUP(A762,Raw_Data!A:L,3,FALSE)</f>
        <v>Poland</v>
      </c>
      <c r="D762" s="3">
        <f>VLOOKUP(A762,Raw_Data!A:L,12,FALSE)</f>
        <v>2044</v>
      </c>
      <c r="E762" s="3">
        <f>VLOOKUP(A762,Raw_Data!A:L,11,FALSE)</f>
        <v>73</v>
      </c>
      <c r="F762" t="str">
        <f>TEXT(VLOOKUP(A762,Raw_Data!A:L,5,FALSE),"mmm")</f>
        <v>Aug</v>
      </c>
    </row>
    <row r="763" spans="1:6" x14ac:dyDescent="0.35">
      <c r="A763" s="3" t="s">
        <v>1256</v>
      </c>
      <c r="B763" t="str">
        <f>VLOOKUP(A763,Raw_Data!A:L,6,FALSE)</f>
        <v>Oven</v>
      </c>
      <c r="C763" t="str">
        <f>VLOOKUP(A763,Raw_Data!A:L,3,FALSE)</f>
        <v>China</v>
      </c>
      <c r="D763" s="3">
        <f>VLOOKUP(A763,Raw_Data!A:L,12,FALSE)</f>
        <v>13000</v>
      </c>
      <c r="E763" s="3">
        <f>VLOOKUP(A763,Raw_Data!A:L,11,FALSE)</f>
        <v>26</v>
      </c>
      <c r="F763" t="str">
        <f>TEXT(VLOOKUP(A763,Raw_Data!A:L,5,FALSE),"mmm")</f>
        <v>Feb</v>
      </c>
    </row>
    <row r="764" spans="1:6" x14ac:dyDescent="0.35">
      <c r="A764" s="3" t="s">
        <v>1257</v>
      </c>
      <c r="B764" t="str">
        <f>VLOOKUP(A764,Raw_Data!A:L,6,FALSE)</f>
        <v>Iron</v>
      </c>
      <c r="C764" t="str">
        <f>VLOOKUP(A764,Raw_Data!A:L,3,FALSE)</f>
        <v>Thailand</v>
      </c>
      <c r="D764" s="3">
        <f>VLOOKUP(A764,Raw_Data!A:L,12,FALSE)</f>
        <v>2900</v>
      </c>
      <c r="E764" s="3">
        <f>VLOOKUP(A764,Raw_Data!A:L,11,FALSE)</f>
        <v>100</v>
      </c>
      <c r="F764" t="str">
        <f>TEXT(VLOOKUP(A764,Raw_Data!A:L,5,FALSE),"mmm")</f>
        <v>Dec</v>
      </c>
    </row>
    <row r="765" spans="1:6" x14ac:dyDescent="0.35">
      <c r="A765" s="3" t="s">
        <v>1258</v>
      </c>
      <c r="B765" t="str">
        <f>VLOOKUP(A765,Raw_Data!A:L,6,FALSE)</f>
        <v>Ceiling fan</v>
      </c>
      <c r="C765" t="str">
        <f>VLOOKUP(A765,Raw_Data!A:L,3,FALSE)</f>
        <v>USA</v>
      </c>
      <c r="D765" s="3">
        <f>VLOOKUP(A765,Raw_Data!A:L,12,FALSE)</f>
        <v>5830</v>
      </c>
      <c r="E765" s="3">
        <f>VLOOKUP(A765,Raw_Data!A:L,11,FALSE)</f>
        <v>53</v>
      </c>
      <c r="F765" t="str">
        <f>TEXT(VLOOKUP(A765,Raw_Data!A:L,5,FALSE),"mmm")</f>
        <v>Sep</v>
      </c>
    </row>
    <row r="766" spans="1:6" x14ac:dyDescent="0.35">
      <c r="A766" s="3" t="s">
        <v>1260</v>
      </c>
      <c r="B766" t="str">
        <f>VLOOKUP(A766,Raw_Data!A:L,6,FALSE)</f>
        <v>Coffee grinder</v>
      </c>
      <c r="C766" t="str">
        <f>VLOOKUP(A766,Raw_Data!A:L,3,FALSE)</f>
        <v>Saudi Arabia</v>
      </c>
      <c r="D766" s="3">
        <f>VLOOKUP(A766,Raw_Data!A:L,12,FALSE)</f>
        <v>2150</v>
      </c>
      <c r="E766" s="3">
        <f>VLOOKUP(A766,Raw_Data!A:L,11,FALSE)</f>
        <v>43</v>
      </c>
      <c r="F766" t="str">
        <f>TEXT(VLOOKUP(A766,Raw_Data!A:L,5,FALSE),"mmm")</f>
        <v>Jun</v>
      </c>
    </row>
    <row r="767" spans="1:6" x14ac:dyDescent="0.35">
      <c r="A767" s="3" t="s">
        <v>1261</v>
      </c>
      <c r="B767" t="str">
        <f>VLOOKUP(A767,Raw_Data!A:L,6,FALSE)</f>
        <v>Washing Machine</v>
      </c>
      <c r="C767" t="str">
        <f>VLOOKUP(A767,Raw_Data!A:L,3,FALSE)</f>
        <v>Germany</v>
      </c>
      <c r="D767" s="3">
        <f>VLOOKUP(A767,Raw_Data!A:L,12,FALSE)</f>
        <v>44840</v>
      </c>
      <c r="E767" s="3">
        <f>VLOOKUP(A767,Raw_Data!A:L,11,FALSE)</f>
        <v>59</v>
      </c>
      <c r="F767" t="str">
        <f>TEXT(VLOOKUP(A767,Raw_Data!A:L,5,FALSE),"mmm")</f>
        <v>Feb</v>
      </c>
    </row>
    <row r="768" spans="1:6" x14ac:dyDescent="0.35">
      <c r="A768" s="3" t="s">
        <v>1263</v>
      </c>
      <c r="B768" t="str">
        <f>VLOOKUP(A768,Raw_Data!A:L,6,FALSE)</f>
        <v>Coffee grinder</v>
      </c>
      <c r="C768" t="str">
        <f>VLOOKUP(A768,Raw_Data!A:L,3,FALSE)</f>
        <v>Netherlands</v>
      </c>
      <c r="D768" s="3">
        <f>VLOOKUP(A768,Raw_Data!A:L,12,FALSE)</f>
        <v>4012</v>
      </c>
      <c r="E768" s="3">
        <f>VLOOKUP(A768,Raw_Data!A:L,11,FALSE)</f>
        <v>59</v>
      </c>
      <c r="F768" t="str">
        <f>TEXT(VLOOKUP(A768,Raw_Data!A:L,5,FALSE),"mmm")</f>
        <v>Oct</v>
      </c>
    </row>
    <row r="769" spans="1:6" x14ac:dyDescent="0.35">
      <c r="A769" s="3" t="s">
        <v>1264</v>
      </c>
      <c r="B769" t="str">
        <f>VLOOKUP(A769,Raw_Data!A:L,6,FALSE)</f>
        <v>Refrigerator</v>
      </c>
      <c r="C769" t="str">
        <f>VLOOKUP(A769,Raw_Data!A:L,3,FALSE)</f>
        <v>Mexico</v>
      </c>
      <c r="D769" s="3">
        <f>VLOOKUP(A769,Raw_Data!A:L,12,FALSE)</f>
        <v>93120</v>
      </c>
      <c r="E769" s="3">
        <f>VLOOKUP(A769,Raw_Data!A:L,11,FALSE)</f>
        <v>97</v>
      </c>
      <c r="F769" t="str">
        <f>TEXT(VLOOKUP(A769,Raw_Data!A:L,5,FALSE),"mmm")</f>
        <v>Feb</v>
      </c>
    </row>
    <row r="770" spans="1:6" x14ac:dyDescent="0.35">
      <c r="A770" s="3" t="s">
        <v>1265</v>
      </c>
      <c r="B770" t="str">
        <f>VLOOKUP(A770,Raw_Data!A:L,6,FALSE)</f>
        <v>Microwave</v>
      </c>
      <c r="C770" t="str">
        <f>VLOOKUP(A770,Raw_Data!A:L,3,FALSE)</f>
        <v>UK</v>
      </c>
      <c r="D770" s="3">
        <f>VLOOKUP(A770,Raw_Data!A:L,12,FALSE)</f>
        <v>4640</v>
      </c>
      <c r="E770" s="3">
        <f>VLOOKUP(A770,Raw_Data!A:L,11,FALSE)</f>
        <v>58</v>
      </c>
      <c r="F770" t="str">
        <f>TEXT(VLOOKUP(A770,Raw_Data!A:L,5,FALSE),"mmm")</f>
        <v>Dec</v>
      </c>
    </row>
    <row r="771" spans="1:6" x14ac:dyDescent="0.35">
      <c r="A771" s="3" t="s">
        <v>1266</v>
      </c>
      <c r="B771" t="str">
        <f>VLOOKUP(A771,Raw_Data!A:L,6,FALSE)</f>
        <v>Washing Machine</v>
      </c>
      <c r="C771" t="str">
        <f>VLOOKUP(A771,Raw_Data!A:L,3,FALSE)</f>
        <v>Austria</v>
      </c>
      <c r="D771" s="3">
        <f>VLOOKUP(A771,Raw_Data!A:L,12,FALSE)</f>
        <v>2328</v>
      </c>
      <c r="E771" s="3">
        <f>VLOOKUP(A771,Raw_Data!A:L,11,FALSE)</f>
        <v>3</v>
      </c>
      <c r="F771" t="str">
        <f>TEXT(VLOOKUP(A771,Raw_Data!A:L,5,FALSE),"mmm")</f>
        <v>Sep</v>
      </c>
    </row>
    <row r="772" spans="1:6" x14ac:dyDescent="0.35">
      <c r="A772" s="3" t="s">
        <v>1268</v>
      </c>
      <c r="B772" t="str">
        <f>VLOOKUP(A772,Raw_Data!A:L,6,FALSE)</f>
        <v>Washing Machine</v>
      </c>
      <c r="C772" t="str">
        <f>VLOOKUP(A772,Raw_Data!A:L,3,FALSE)</f>
        <v>Japan</v>
      </c>
      <c r="D772" s="3">
        <f>VLOOKUP(A772,Raw_Data!A:L,12,FALSE)</f>
        <v>40320</v>
      </c>
      <c r="E772" s="3">
        <f>VLOOKUP(A772,Raw_Data!A:L,11,FALSE)</f>
        <v>72</v>
      </c>
      <c r="F772" t="str">
        <f>TEXT(VLOOKUP(A772,Raw_Data!A:L,5,FALSE),"mmm")</f>
        <v>Aug</v>
      </c>
    </row>
    <row r="773" spans="1:6" x14ac:dyDescent="0.35">
      <c r="A773" s="3" t="s">
        <v>1269</v>
      </c>
      <c r="B773" t="str">
        <f>VLOOKUP(A773,Raw_Data!A:L,6,FALSE)</f>
        <v>Blender</v>
      </c>
      <c r="C773" t="str">
        <f>VLOOKUP(A773,Raw_Data!A:L,3,FALSE)</f>
        <v>UK</v>
      </c>
      <c r="D773" s="3">
        <f>VLOOKUP(A773,Raw_Data!A:L,12,FALSE)</f>
        <v>92</v>
      </c>
      <c r="E773" s="3">
        <f>VLOOKUP(A773,Raw_Data!A:L,11,FALSE)</f>
        <v>2</v>
      </c>
      <c r="F773" t="str">
        <f>TEXT(VLOOKUP(A773,Raw_Data!A:L,5,FALSE),"mmm")</f>
        <v>Oct</v>
      </c>
    </row>
    <row r="774" spans="1:6" x14ac:dyDescent="0.35">
      <c r="A774" s="3" t="s">
        <v>1270</v>
      </c>
      <c r="B774" t="str">
        <f>VLOOKUP(A774,Raw_Data!A:L,6,FALSE)</f>
        <v>Coffee grinder</v>
      </c>
      <c r="C774" t="str">
        <f>VLOOKUP(A774,Raw_Data!A:L,3,FALSE)</f>
        <v>USA</v>
      </c>
      <c r="D774" s="3">
        <f>VLOOKUP(A774,Raw_Data!A:L,12,FALSE)</f>
        <v>3933</v>
      </c>
      <c r="E774" s="3">
        <f>VLOOKUP(A774,Raw_Data!A:L,11,FALSE)</f>
        <v>69</v>
      </c>
      <c r="F774" t="str">
        <f>TEXT(VLOOKUP(A774,Raw_Data!A:L,5,FALSE),"mmm")</f>
        <v>Apr</v>
      </c>
    </row>
    <row r="775" spans="1:6" x14ac:dyDescent="0.35">
      <c r="A775" s="3" t="s">
        <v>1271</v>
      </c>
      <c r="B775" t="str">
        <f>VLOOKUP(A775,Raw_Data!A:L,6,FALSE)</f>
        <v>Microwave</v>
      </c>
      <c r="C775" t="str">
        <f>VLOOKUP(A775,Raw_Data!A:L,3,FALSE)</f>
        <v>Israel</v>
      </c>
      <c r="D775" s="3">
        <f>VLOOKUP(A775,Raw_Data!A:L,12,FALSE)</f>
        <v>6552</v>
      </c>
      <c r="E775" s="3">
        <f>VLOOKUP(A775,Raw_Data!A:L,11,FALSE)</f>
        <v>84</v>
      </c>
      <c r="F775" t="str">
        <f>TEXT(VLOOKUP(A775,Raw_Data!A:L,5,FALSE),"mmm")</f>
        <v>May</v>
      </c>
    </row>
    <row r="776" spans="1:6" x14ac:dyDescent="0.35">
      <c r="A776" s="3" t="s">
        <v>1272</v>
      </c>
      <c r="B776" t="str">
        <f>VLOOKUP(A776,Raw_Data!A:L,6,FALSE)</f>
        <v>Microwave</v>
      </c>
      <c r="C776" t="str">
        <f>VLOOKUP(A776,Raw_Data!A:L,3,FALSE)</f>
        <v>Czech Republic</v>
      </c>
      <c r="D776" s="3">
        <f>VLOOKUP(A776,Raw_Data!A:L,12,FALSE)</f>
        <v>780</v>
      </c>
      <c r="E776" s="3">
        <f>VLOOKUP(A776,Raw_Data!A:L,11,FALSE)</f>
        <v>10</v>
      </c>
      <c r="F776" t="str">
        <f>TEXT(VLOOKUP(A776,Raw_Data!A:L,5,FALSE),"mmm")</f>
        <v>Sep</v>
      </c>
    </row>
    <row r="777" spans="1:6" x14ac:dyDescent="0.35">
      <c r="A777" s="3" t="s">
        <v>1273</v>
      </c>
      <c r="B777" t="str">
        <f>VLOOKUP(A777,Raw_Data!A:L,6,FALSE)</f>
        <v>Vacuum Cleaner</v>
      </c>
      <c r="C777" t="str">
        <f>VLOOKUP(A777,Raw_Data!A:L,3,FALSE)</f>
        <v>Ireland</v>
      </c>
      <c r="D777" s="3">
        <f>VLOOKUP(A777,Raw_Data!A:L,12,FALSE)</f>
        <v>7750</v>
      </c>
      <c r="E777" s="3">
        <f>VLOOKUP(A777,Raw_Data!A:L,11,FALSE)</f>
        <v>31</v>
      </c>
      <c r="F777" t="str">
        <f>TEXT(VLOOKUP(A777,Raw_Data!A:L,5,FALSE),"mmm")</f>
        <v>Jul</v>
      </c>
    </row>
    <row r="778" spans="1:6" x14ac:dyDescent="0.35">
      <c r="A778" s="3" t="s">
        <v>1274</v>
      </c>
      <c r="B778" t="str">
        <f>VLOOKUP(A778,Raw_Data!A:L,6,FALSE)</f>
        <v>Iron</v>
      </c>
      <c r="C778" t="str">
        <f>VLOOKUP(A778,Raw_Data!A:L,3,FALSE)</f>
        <v>USA</v>
      </c>
      <c r="D778" s="3">
        <f>VLOOKUP(A778,Raw_Data!A:L,12,FALSE)</f>
        <v>2465</v>
      </c>
      <c r="E778" s="3">
        <f>VLOOKUP(A778,Raw_Data!A:L,11,FALSE)</f>
        <v>85</v>
      </c>
      <c r="F778" t="str">
        <f>TEXT(VLOOKUP(A778,Raw_Data!A:L,5,FALSE),"mmm")</f>
        <v>Jul</v>
      </c>
    </row>
    <row r="779" spans="1:6" x14ac:dyDescent="0.35">
      <c r="A779" s="3" t="s">
        <v>1275</v>
      </c>
      <c r="B779" t="str">
        <f>VLOOKUP(A779,Raw_Data!A:L,6,FALSE)</f>
        <v>Blender</v>
      </c>
      <c r="C779" t="str">
        <f>VLOOKUP(A779,Raw_Data!A:L,3,FALSE)</f>
        <v>Czech Republic</v>
      </c>
      <c r="D779" s="3">
        <f>VLOOKUP(A779,Raw_Data!A:L,12,FALSE)</f>
        <v>2673</v>
      </c>
      <c r="E779" s="3">
        <f>VLOOKUP(A779,Raw_Data!A:L,11,FALSE)</f>
        <v>81</v>
      </c>
      <c r="F779" t="str">
        <f>TEXT(VLOOKUP(A779,Raw_Data!A:L,5,FALSE),"mmm")</f>
        <v>Aug</v>
      </c>
    </row>
    <row r="780" spans="1:6" x14ac:dyDescent="0.35">
      <c r="A780" s="3" t="s">
        <v>1277</v>
      </c>
      <c r="B780" t="str">
        <f>VLOOKUP(A780,Raw_Data!A:L,6,FALSE)</f>
        <v>Refrigerator</v>
      </c>
      <c r="C780" t="str">
        <f>VLOOKUP(A780,Raw_Data!A:L,3,FALSE)</f>
        <v>Netherlands</v>
      </c>
      <c r="D780" s="3">
        <f>VLOOKUP(A780,Raw_Data!A:L,12,FALSE)</f>
        <v>65120</v>
      </c>
      <c r="E780" s="3">
        <f>VLOOKUP(A780,Raw_Data!A:L,11,FALSE)</f>
        <v>74</v>
      </c>
      <c r="F780" t="str">
        <f>TEXT(VLOOKUP(A780,Raw_Data!A:L,5,FALSE),"mmm")</f>
        <v>Feb</v>
      </c>
    </row>
    <row r="781" spans="1:6" x14ac:dyDescent="0.35">
      <c r="A781" s="3" t="s">
        <v>1279</v>
      </c>
      <c r="B781" t="str">
        <f>VLOOKUP(A781,Raw_Data!A:L,6,FALSE)</f>
        <v>Dishwasher</v>
      </c>
      <c r="C781" t="str">
        <f>VLOOKUP(A781,Raw_Data!A:L,3,FALSE)</f>
        <v>Japan</v>
      </c>
      <c r="D781" s="3">
        <f>VLOOKUP(A781,Raw_Data!A:L,12,FALSE)</f>
        <v>17690</v>
      </c>
      <c r="E781" s="3">
        <f>VLOOKUP(A781,Raw_Data!A:L,11,FALSE)</f>
        <v>58</v>
      </c>
      <c r="F781" t="str">
        <f>TEXT(VLOOKUP(A781,Raw_Data!A:L,5,FALSE),"mmm")</f>
        <v>Oct</v>
      </c>
    </row>
    <row r="782" spans="1:6" x14ac:dyDescent="0.35">
      <c r="A782" s="3" t="s">
        <v>1280</v>
      </c>
      <c r="B782" t="str">
        <f>VLOOKUP(A782,Raw_Data!A:L,6,FALSE)</f>
        <v>Air conditioner</v>
      </c>
      <c r="C782" t="str">
        <f>VLOOKUP(A782,Raw_Data!A:L,3,FALSE)</f>
        <v>Ireland</v>
      </c>
      <c r="D782" s="3">
        <f>VLOOKUP(A782,Raw_Data!A:L,12,FALSE)</f>
        <v>11305</v>
      </c>
      <c r="E782" s="3">
        <f>VLOOKUP(A782,Raw_Data!A:L,11,FALSE)</f>
        <v>17</v>
      </c>
      <c r="F782" t="str">
        <f>TEXT(VLOOKUP(A782,Raw_Data!A:L,5,FALSE),"mmm")</f>
        <v>Jun</v>
      </c>
    </row>
    <row r="783" spans="1:6" x14ac:dyDescent="0.35">
      <c r="A783" s="3" t="s">
        <v>1281</v>
      </c>
      <c r="B783" t="str">
        <f>VLOOKUP(A783,Raw_Data!A:L,6,FALSE)</f>
        <v>Dishwasher</v>
      </c>
      <c r="C783" t="str">
        <f>VLOOKUP(A783,Raw_Data!A:L,3,FALSE)</f>
        <v>UAE</v>
      </c>
      <c r="D783" s="3">
        <f>VLOOKUP(A783,Raw_Data!A:L,12,FALSE)</f>
        <v>2200</v>
      </c>
      <c r="E783" s="3">
        <f>VLOOKUP(A783,Raw_Data!A:L,11,FALSE)</f>
        <v>22</v>
      </c>
      <c r="F783" t="str">
        <f>TEXT(VLOOKUP(A783,Raw_Data!A:L,5,FALSE),"mmm")</f>
        <v>Feb</v>
      </c>
    </row>
    <row r="784" spans="1:6" x14ac:dyDescent="0.35">
      <c r="A784" s="3" t="s">
        <v>1283</v>
      </c>
      <c r="B784" t="str">
        <f>VLOOKUP(A784,Raw_Data!A:L,6,FALSE)</f>
        <v>Oven</v>
      </c>
      <c r="C784" t="str">
        <f>VLOOKUP(A784,Raw_Data!A:L,3,FALSE)</f>
        <v>South Africa</v>
      </c>
      <c r="D784" s="3">
        <f>VLOOKUP(A784,Raw_Data!A:L,12,FALSE)</f>
        <v>25000</v>
      </c>
      <c r="E784" s="3">
        <f>VLOOKUP(A784,Raw_Data!A:L,11,FALSE)</f>
        <v>50</v>
      </c>
      <c r="F784" t="str">
        <f>TEXT(VLOOKUP(A784,Raw_Data!A:L,5,FALSE),"mmm")</f>
        <v>Mar</v>
      </c>
    </row>
    <row r="785" spans="1:6" x14ac:dyDescent="0.35">
      <c r="A785" s="3" t="s">
        <v>1284</v>
      </c>
      <c r="B785" t="str">
        <f>VLOOKUP(A785,Raw_Data!A:L,6,FALSE)</f>
        <v>Microwave</v>
      </c>
      <c r="C785" t="str">
        <f>VLOOKUP(A785,Raw_Data!A:L,3,FALSE)</f>
        <v>China</v>
      </c>
      <c r="D785" s="3">
        <f>VLOOKUP(A785,Raw_Data!A:L,12,FALSE)</f>
        <v>3315</v>
      </c>
      <c r="E785" s="3">
        <f>VLOOKUP(A785,Raw_Data!A:L,11,FALSE)</f>
        <v>51</v>
      </c>
      <c r="F785" t="str">
        <f>TEXT(VLOOKUP(A785,Raw_Data!A:L,5,FALSE),"mmm")</f>
        <v>Oct</v>
      </c>
    </row>
    <row r="786" spans="1:6" x14ac:dyDescent="0.35">
      <c r="A786" s="3" t="s">
        <v>1286</v>
      </c>
      <c r="B786" t="str">
        <f>VLOOKUP(A786,Raw_Data!A:L,6,FALSE)</f>
        <v>Air conditioner</v>
      </c>
      <c r="C786" t="str">
        <f>VLOOKUP(A786,Raw_Data!A:L,3,FALSE)</f>
        <v>USA</v>
      </c>
      <c r="D786" s="3">
        <f>VLOOKUP(A786,Raw_Data!A:L,12,FALSE)</f>
        <v>34503</v>
      </c>
      <c r="E786" s="3">
        <f>VLOOKUP(A786,Raw_Data!A:L,11,FALSE)</f>
        <v>53</v>
      </c>
      <c r="F786" t="str">
        <f>TEXT(VLOOKUP(A786,Raw_Data!A:L,5,FALSE),"mmm")</f>
        <v>Apr</v>
      </c>
    </row>
    <row r="787" spans="1:6" x14ac:dyDescent="0.35">
      <c r="A787" s="3" t="s">
        <v>1288</v>
      </c>
      <c r="B787" t="str">
        <f>VLOOKUP(A787,Raw_Data!A:L,6,FALSE)</f>
        <v>Ceiling fan</v>
      </c>
      <c r="C787" t="str">
        <f>VLOOKUP(A787,Raw_Data!A:L,3,FALSE)</f>
        <v>China</v>
      </c>
      <c r="D787" s="3">
        <f>VLOOKUP(A787,Raw_Data!A:L,12,FALSE)</f>
        <v>6909</v>
      </c>
      <c r="E787" s="3">
        <f>VLOOKUP(A787,Raw_Data!A:L,11,FALSE)</f>
        <v>49</v>
      </c>
      <c r="F787" t="str">
        <f>TEXT(VLOOKUP(A787,Raw_Data!A:L,5,FALSE),"mmm")</f>
        <v>May</v>
      </c>
    </row>
    <row r="788" spans="1:6" x14ac:dyDescent="0.35">
      <c r="A788" s="3" t="s">
        <v>1289</v>
      </c>
      <c r="B788" t="str">
        <f>VLOOKUP(A788,Raw_Data!A:L,6,FALSE)</f>
        <v>Vacuum Cleaner</v>
      </c>
      <c r="C788" t="str">
        <f>VLOOKUP(A788,Raw_Data!A:L,3,FALSE)</f>
        <v>China</v>
      </c>
      <c r="D788" s="3">
        <f>VLOOKUP(A788,Raw_Data!A:L,12,FALSE)</f>
        <v>11760</v>
      </c>
      <c r="E788" s="3">
        <f>VLOOKUP(A788,Raw_Data!A:L,11,FALSE)</f>
        <v>49</v>
      </c>
      <c r="F788" t="str">
        <f>TEXT(VLOOKUP(A788,Raw_Data!A:L,5,FALSE),"mmm")</f>
        <v>Aug</v>
      </c>
    </row>
    <row r="789" spans="1:6" x14ac:dyDescent="0.35">
      <c r="A789" s="3" t="s">
        <v>1290</v>
      </c>
      <c r="B789" t="str">
        <f>VLOOKUP(A789,Raw_Data!A:L,6,FALSE)</f>
        <v>Coffee grinder</v>
      </c>
      <c r="C789" t="str">
        <f>VLOOKUP(A789,Raw_Data!A:L,3,FALSE)</f>
        <v>China</v>
      </c>
      <c r="D789" s="3">
        <f>VLOOKUP(A789,Raw_Data!A:L,12,FALSE)</f>
        <v>2793</v>
      </c>
      <c r="E789" s="3">
        <f>VLOOKUP(A789,Raw_Data!A:L,11,FALSE)</f>
        <v>49</v>
      </c>
      <c r="F789" t="str">
        <f>TEXT(VLOOKUP(A789,Raw_Data!A:L,5,FALSE),"mmm")</f>
        <v>Dec</v>
      </c>
    </row>
    <row r="790" spans="1:6" x14ac:dyDescent="0.35">
      <c r="A790" s="3" t="s">
        <v>1292</v>
      </c>
      <c r="B790" t="str">
        <f>VLOOKUP(A790,Raw_Data!A:L,6,FALSE)</f>
        <v>Oven</v>
      </c>
      <c r="C790" t="str">
        <f>VLOOKUP(A790,Raw_Data!A:L,3,FALSE)</f>
        <v>USA</v>
      </c>
      <c r="D790" s="3">
        <f>VLOOKUP(A790,Raw_Data!A:L,12,FALSE)</f>
        <v>35145</v>
      </c>
      <c r="E790" s="3">
        <f>VLOOKUP(A790,Raw_Data!A:L,11,FALSE)</f>
        <v>71</v>
      </c>
      <c r="F790" t="str">
        <f>TEXT(VLOOKUP(A790,Raw_Data!A:L,5,FALSE),"mmm")</f>
        <v>Sep</v>
      </c>
    </row>
    <row r="791" spans="1:6" x14ac:dyDescent="0.35">
      <c r="A791" s="3" t="s">
        <v>1294</v>
      </c>
      <c r="B791" t="str">
        <f>VLOOKUP(A791,Raw_Data!A:L,6,FALSE)</f>
        <v>Iron</v>
      </c>
      <c r="C791" t="str">
        <f>VLOOKUP(A791,Raw_Data!A:L,3,FALSE)</f>
        <v>South Korea</v>
      </c>
      <c r="D791" s="3">
        <f>VLOOKUP(A791,Raw_Data!A:L,12,FALSE)</f>
        <v>2262</v>
      </c>
      <c r="E791" s="3">
        <f>VLOOKUP(A791,Raw_Data!A:L,11,FALSE)</f>
        <v>78</v>
      </c>
      <c r="F791" t="str">
        <f>TEXT(VLOOKUP(A791,Raw_Data!A:L,5,FALSE),"mmm")</f>
        <v>Mar</v>
      </c>
    </row>
    <row r="792" spans="1:6" x14ac:dyDescent="0.35">
      <c r="A792" s="3" t="s">
        <v>1295</v>
      </c>
      <c r="B792" t="str">
        <f>VLOOKUP(A792,Raw_Data!A:L,6,FALSE)</f>
        <v>Air conditioner</v>
      </c>
      <c r="C792" t="str">
        <f>VLOOKUP(A792,Raw_Data!A:L,3,FALSE)</f>
        <v>USA</v>
      </c>
      <c r="D792" s="3">
        <f>VLOOKUP(A792,Raw_Data!A:L,12,FALSE)</f>
        <v>17255</v>
      </c>
      <c r="E792" s="3">
        <f>VLOOKUP(A792,Raw_Data!A:L,11,FALSE)</f>
        <v>29</v>
      </c>
      <c r="F792" t="str">
        <f>TEXT(VLOOKUP(A792,Raw_Data!A:L,5,FALSE),"mmm")</f>
        <v>Oct</v>
      </c>
    </row>
    <row r="793" spans="1:6" x14ac:dyDescent="0.35">
      <c r="A793" s="3" t="s">
        <v>1297</v>
      </c>
      <c r="B793" t="str">
        <f>VLOOKUP(A793,Raw_Data!A:L,6,FALSE)</f>
        <v>Vacuum Cleaner</v>
      </c>
      <c r="C793" t="str">
        <f>VLOOKUP(A793,Raw_Data!A:L,3,FALSE)</f>
        <v>Italy</v>
      </c>
      <c r="D793" s="3">
        <f>VLOOKUP(A793,Raw_Data!A:L,12,FALSE)</f>
        <v>8520</v>
      </c>
      <c r="E793" s="3">
        <f>VLOOKUP(A793,Raw_Data!A:L,11,FALSE)</f>
        <v>40</v>
      </c>
      <c r="F793" t="str">
        <f>TEXT(VLOOKUP(A793,Raw_Data!A:L,5,FALSE),"mmm")</f>
        <v>Nov</v>
      </c>
    </row>
    <row r="794" spans="1:6" x14ac:dyDescent="0.35">
      <c r="A794" s="3" t="s">
        <v>1298</v>
      </c>
      <c r="B794" t="str">
        <f>VLOOKUP(A794,Raw_Data!A:L,6,FALSE)</f>
        <v>Ceiling fan</v>
      </c>
      <c r="C794" t="str">
        <f>VLOOKUP(A794,Raw_Data!A:L,3,FALSE)</f>
        <v>India</v>
      </c>
      <c r="D794" s="3">
        <f>VLOOKUP(A794,Raw_Data!A:L,12,FALSE)</f>
        <v>258</v>
      </c>
      <c r="E794" s="3">
        <f>VLOOKUP(A794,Raw_Data!A:L,11,FALSE)</f>
        <v>2</v>
      </c>
      <c r="F794" t="str">
        <f>TEXT(VLOOKUP(A794,Raw_Data!A:L,5,FALSE),"mmm")</f>
        <v>Oct</v>
      </c>
    </row>
    <row r="795" spans="1:6" x14ac:dyDescent="0.35">
      <c r="A795" s="3" t="s">
        <v>1299</v>
      </c>
      <c r="B795" t="str">
        <f>VLOOKUP(A795,Raw_Data!A:L,6,FALSE)</f>
        <v>Iron</v>
      </c>
      <c r="C795" t="str">
        <f>VLOOKUP(A795,Raw_Data!A:L,3,FALSE)</f>
        <v>South Korea</v>
      </c>
      <c r="D795" s="3">
        <f>VLOOKUP(A795,Raw_Data!A:L,12,FALSE)</f>
        <v>493</v>
      </c>
      <c r="E795" s="3">
        <f>VLOOKUP(A795,Raw_Data!A:L,11,FALSE)</f>
        <v>17</v>
      </c>
      <c r="F795" t="str">
        <f>TEXT(VLOOKUP(A795,Raw_Data!A:L,5,FALSE),"mmm")</f>
        <v>Jan</v>
      </c>
    </row>
    <row r="796" spans="1:6" x14ac:dyDescent="0.35">
      <c r="A796" s="3" t="s">
        <v>1300</v>
      </c>
      <c r="B796" t="str">
        <f>VLOOKUP(A796,Raw_Data!A:L,6,FALSE)</f>
        <v>Blender</v>
      </c>
      <c r="C796" t="str">
        <f>VLOOKUP(A796,Raw_Data!A:L,3,FALSE)</f>
        <v>Russia</v>
      </c>
      <c r="D796" s="3">
        <f>VLOOKUP(A796,Raw_Data!A:L,12,FALSE)</f>
        <v>833</v>
      </c>
      <c r="E796" s="3">
        <f>VLOOKUP(A796,Raw_Data!A:L,11,FALSE)</f>
        <v>17</v>
      </c>
      <c r="F796" t="str">
        <f>TEXT(VLOOKUP(A796,Raw_Data!A:L,5,FALSE),"mmm")</f>
        <v>Sep</v>
      </c>
    </row>
    <row r="797" spans="1:6" x14ac:dyDescent="0.35">
      <c r="A797" s="3" t="s">
        <v>1301</v>
      </c>
      <c r="B797" t="str">
        <f>VLOOKUP(A797,Raw_Data!A:L,6,FALSE)</f>
        <v>Dishwasher</v>
      </c>
      <c r="C797" t="str">
        <f>VLOOKUP(A797,Raw_Data!A:L,3,FALSE)</f>
        <v>France</v>
      </c>
      <c r="D797" s="3">
        <f>VLOOKUP(A797,Raw_Data!A:L,12,FALSE)</f>
        <v>7030</v>
      </c>
      <c r="E797" s="3">
        <f>VLOOKUP(A797,Raw_Data!A:L,11,FALSE)</f>
        <v>19</v>
      </c>
      <c r="F797" t="str">
        <f>TEXT(VLOOKUP(A797,Raw_Data!A:L,5,FALSE),"mmm")</f>
        <v>Jun</v>
      </c>
    </row>
    <row r="798" spans="1:6" x14ac:dyDescent="0.35">
      <c r="A798" s="3" t="s">
        <v>1302</v>
      </c>
      <c r="B798" t="str">
        <f>VLOOKUP(A798,Raw_Data!A:L,6,FALSE)</f>
        <v>Iron</v>
      </c>
      <c r="C798" t="str">
        <f>VLOOKUP(A798,Raw_Data!A:L,3,FALSE)</f>
        <v>Canada</v>
      </c>
      <c r="D798" s="3">
        <f>VLOOKUP(A798,Raw_Data!A:L,12,FALSE)</f>
        <v>260</v>
      </c>
      <c r="E798" s="3">
        <f>VLOOKUP(A798,Raw_Data!A:L,11,FALSE)</f>
        <v>10</v>
      </c>
      <c r="F798" t="str">
        <f>TEXT(VLOOKUP(A798,Raw_Data!A:L,5,FALSE),"mmm")</f>
        <v>Jan</v>
      </c>
    </row>
    <row r="799" spans="1:6" x14ac:dyDescent="0.35">
      <c r="A799" s="3" t="s">
        <v>1303</v>
      </c>
      <c r="B799" t="str">
        <f>VLOOKUP(A799,Raw_Data!A:L,6,FALSE)</f>
        <v>Vacuum Cleaner</v>
      </c>
      <c r="C799" t="str">
        <f>VLOOKUP(A799,Raw_Data!A:L,3,FALSE)</f>
        <v>Germany</v>
      </c>
      <c r="D799" s="3">
        <f>VLOOKUP(A799,Raw_Data!A:L,12,FALSE)</f>
        <v>17010</v>
      </c>
      <c r="E799" s="3">
        <f>VLOOKUP(A799,Raw_Data!A:L,11,FALSE)</f>
        <v>70</v>
      </c>
      <c r="F799" t="str">
        <f>TEXT(VLOOKUP(A799,Raw_Data!A:L,5,FALSE),"mmm")</f>
        <v>Sep</v>
      </c>
    </row>
    <row r="800" spans="1:6" x14ac:dyDescent="0.35">
      <c r="A800" s="3" t="s">
        <v>1304</v>
      </c>
      <c r="B800" t="str">
        <f>VLOOKUP(A800,Raw_Data!A:L,6,FALSE)</f>
        <v>Refrigerator</v>
      </c>
      <c r="C800" t="str">
        <f>VLOOKUP(A800,Raw_Data!A:L,3,FALSE)</f>
        <v>China</v>
      </c>
      <c r="D800" s="3">
        <f>VLOOKUP(A800,Raw_Data!A:L,12,FALSE)</f>
        <v>25900</v>
      </c>
      <c r="E800" s="3">
        <f>VLOOKUP(A800,Raw_Data!A:L,11,FALSE)</f>
        <v>37</v>
      </c>
      <c r="F800" t="str">
        <f>TEXT(VLOOKUP(A800,Raw_Data!A:L,5,FALSE),"mmm")</f>
        <v>Feb</v>
      </c>
    </row>
    <row r="801" spans="1:6" x14ac:dyDescent="0.35">
      <c r="A801" s="3" t="s">
        <v>1306</v>
      </c>
      <c r="B801" t="str">
        <f>VLOOKUP(A801,Raw_Data!A:L,6,FALSE)</f>
        <v>Blender</v>
      </c>
      <c r="C801" t="str">
        <f>VLOOKUP(A801,Raw_Data!A:L,3,FALSE)</f>
        <v>USA</v>
      </c>
      <c r="D801" s="3">
        <f>VLOOKUP(A801,Raw_Data!A:L,12,FALSE)</f>
        <v>172</v>
      </c>
      <c r="E801" s="3">
        <f>VLOOKUP(A801,Raw_Data!A:L,11,FALSE)</f>
        <v>4</v>
      </c>
      <c r="F801" t="str">
        <f>TEXT(VLOOKUP(A801,Raw_Data!A:L,5,FALSE),"mmm")</f>
        <v>Nov</v>
      </c>
    </row>
    <row r="802" spans="1:6" x14ac:dyDescent="0.35">
      <c r="A802" s="3" t="s">
        <v>1307</v>
      </c>
      <c r="B802" t="str">
        <f>VLOOKUP(A802,Raw_Data!A:L,6,FALSE)</f>
        <v>Washing Machine</v>
      </c>
      <c r="C802" t="str">
        <f>VLOOKUP(A802,Raw_Data!A:L,3,FALSE)</f>
        <v>Argentina</v>
      </c>
      <c r="D802" s="3">
        <f>VLOOKUP(A802,Raw_Data!A:L,12,FALSE)</f>
        <v>19800</v>
      </c>
      <c r="E802" s="3">
        <f>VLOOKUP(A802,Raw_Data!A:L,11,FALSE)</f>
        <v>45</v>
      </c>
      <c r="F802" t="str">
        <f>TEXT(VLOOKUP(A802,Raw_Data!A:L,5,FALSE),"mmm")</f>
        <v>Jul</v>
      </c>
    </row>
    <row r="803" spans="1:6" x14ac:dyDescent="0.35">
      <c r="A803" s="3" t="s">
        <v>1308</v>
      </c>
      <c r="B803" t="str">
        <f>VLOOKUP(A803,Raw_Data!A:L,6,FALSE)</f>
        <v>Microwave</v>
      </c>
      <c r="C803" t="str">
        <f>VLOOKUP(A803,Raw_Data!A:L,3,FALSE)</f>
        <v>UK</v>
      </c>
      <c r="D803" s="3">
        <f>VLOOKUP(A803,Raw_Data!A:L,12,FALSE)</f>
        <v>3440</v>
      </c>
      <c r="E803" s="3">
        <f>VLOOKUP(A803,Raw_Data!A:L,11,FALSE)</f>
        <v>43</v>
      </c>
      <c r="F803" t="str">
        <f>TEXT(VLOOKUP(A803,Raw_Data!A:L,5,FALSE),"mmm")</f>
        <v>Mar</v>
      </c>
    </row>
    <row r="804" spans="1:6" x14ac:dyDescent="0.35">
      <c r="A804" s="3" t="s">
        <v>1309</v>
      </c>
      <c r="B804" t="str">
        <f>VLOOKUP(A804,Raw_Data!A:L,6,FALSE)</f>
        <v>Coffee grinder</v>
      </c>
      <c r="C804" t="str">
        <f>VLOOKUP(A804,Raw_Data!A:L,3,FALSE)</f>
        <v>USA</v>
      </c>
      <c r="D804" s="3">
        <f>VLOOKUP(A804,Raw_Data!A:L,12,FALSE)</f>
        <v>1134</v>
      </c>
      <c r="E804" s="3">
        <f>VLOOKUP(A804,Raw_Data!A:L,11,FALSE)</f>
        <v>18</v>
      </c>
      <c r="F804" t="str">
        <f>TEXT(VLOOKUP(A804,Raw_Data!A:L,5,FALSE),"mmm")</f>
        <v>Sep</v>
      </c>
    </row>
    <row r="805" spans="1:6" x14ac:dyDescent="0.35">
      <c r="A805" s="3" t="s">
        <v>1310</v>
      </c>
      <c r="B805" t="str">
        <f>VLOOKUP(A805,Raw_Data!A:L,6,FALSE)</f>
        <v>Air conditioner</v>
      </c>
      <c r="C805" t="str">
        <f>VLOOKUP(A805,Raw_Data!A:L,3,FALSE)</f>
        <v>Israel</v>
      </c>
      <c r="D805" s="3">
        <f>VLOOKUP(A805,Raw_Data!A:L,12,FALSE)</f>
        <v>19488</v>
      </c>
      <c r="E805" s="3">
        <f>VLOOKUP(A805,Raw_Data!A:L,11,FALSE)</f>
        <v>29</v>
      </c>
      <c r="F805" t="str">
        <f>TEXT(VLOOKUP(A805,Raw_Data!A:L,5,FALSE),"mmm")</f>
        <v>Jan</v>
      </c>
    </row>
    <row r="806" spans="1:6" x14ac:dyDescent="0.35">
      <c r="A806" s="3" t="s">
        <v>1311</v>
      </c>
      <c r="B806" t="str">
        <f>VLOOKUP(A806,Raw_Data!A:L,6,FALSE)</f>
        <v>Oven</v>
      </c>
      <c r="C806" t="str">
        <f>VLOOKUP(A806,Raw_Data!A:L,3,FALSE)</f>
        <v>Brazil</v>
      </c>
      <c r="D806" s="3">
        <f>VLOOKUP(A806,Raw_Data!A:L,12,FALSE)</f>
        <v>10290</v>
      </c>
      <c r="E806" s="3">
        <f>VLOOKUP(A806,Raw_Data!A:L,11,FALSE)</f>
        <v>21</v>
      </c>
      <c r="F806" t="str">
        <f>TEXT(VLOOKUP(A806,Raw_Data!A:L,5,FALSE),"mmm")</f>
        <v>Mar</v>
      </c>
    </row>
    <row r="807" spans="1:6" x14ac:dyDescent="0.35">
      <c r="A807" s="3" t="s">
        <v>1312</v>
      </c>
      <c r="B807" t="str">
        <f>VLOOKUP(A807,Raw_Data!A:L,6,FALSE)</f>
        <v>Washing Machine</v>
      </c>
      <c r="C807" t="str">
        <f>VLOOKUP(A807,Raw_Data!A:L,3,FALSE)</f>
        <v>Germany</v>
      </c>
      <c r="D807" s="3">
        <f>VLOOKUP(A807,Raw_Data!A:L,12,FALSE)</f>
        <v>47952</v>
      </c>
      <c r="E807" s="3">
        <f>VLOOKUP(A807,Raw_Data!A:L,11,FALSE)</f>
        <v>81</v>
      </c>
      <c r="F807" t="str">
        <f>TEXT(VLOOKUP(A807,Raw_Data!A:L,5,FALSE),"mmm")</f>
        <v>Nov</v>
      </c>
    </row>
    <row r="808" spans="1:6" x14ac:dyDescent="0.35">
      <c r="A808" s="3" t="s">
        <v>1313</v>
      </c>
      <c r="B808" t="str">
        <f>VLOOKUP(A808,Raw_Data!A:L,6,FALSE)</f>
        <v>Toaster</v>
      </c>
      <c r="C808" t="str">
        <f>VLOOKUP(A808,Raw_Data!A:L,3,FALSE)</f>
        <v>Germany</v>
      </c>
      <c r="D808" s="3">
        <f>VLOOKUP(A808,Raw_Data!A:L,12,FALSE)</f>
        <v>3956</v>
      </c>
      <c r="E808" s="3">
        <f>VLOOKUP(A808,Raw_Data!A:L,11,FALSE)</f>
        <v>86</v>
      </c>
      <c r="F808" t="str">
        <f>TEXT(VLOOKUP(A808,Raw_Data!A:L,5,FALSE),"mmm")</f>
        <v>Feb</v>
      </c>
    </row>
    <row r="809" spans="1:6" x14ac:dyDescent="0.35">
      <c r="A809" s="3" t="s">
        <v>1314</v>
      </c>
      <c r="B809" t="str">
        <f>VLOOKUP(A809,Raw_Data!A:L,6,FALSE)</f>
        <v>Blender</v>
      </c>
      <c r="C809" t="str">
        <f>VLOOKUP(A809,Raw_Data!A:L,3,FALSE)</f>
        <v>Peru</v>
      </c>
      <c r="D809" s="3">
        <f>VLOOKUP(A809,Raw_Data!A:L,12,FALSE)</f>
        <v>4700</v>
      </c>
      <c r="E809" s="3">
        <f>VLOOKUP(A809,Raw_Data!A:L,11,FALSE)</f>
        <v>94</v>
      </c>
      <c r="F809" t="str">
        <f>TEXT(VLOOKUP(A809,Raw_Data!A:L,5,FALSE),"mmm")</f>
        <v>Feb</v>
      </c>
    </row>
    <row r="810" spans="1:6" x14ac:dyDescent="0.35">
      <c r="A810" s="3" t="s">
        <v>1315</v>
      </c>
      <c r="B810" t="str">
        <f>VLOOKUP(A810,Raw_Data!A:L,6,FALSE)</f>
        <v>Blender</v>
      </c>
      <c r="C810" t="str">
        <f>VLOOKUP(A810,Raw_Data!A:L,3,FALSE)</f>
        <v>USA</v>
      </c>
      <c r="D810" s="3">
        <f>VLOOKUP(A810,Raw_Data!A:L,12,FALSE)</f>
        <v>1200</v>
      </c>
      <c r="E810" s="3">
        <f>VLOOKUP(A810,Raw_Data!A:L,11,FALSE)</f>
        <v>25</v>
      </c>
      <c r="F810" t="str">
        <f>TEXT(VLOOKUP(A810,Raw_Data!A:L,5,FALSE),"mmm")</f>
        <v>Apr</v>
      </c>
    </row>
    <row r="811" spans="1:6" x14ac:dyDescent="0.35">
      <c r="A811" s="3" t="s">
        <v>1316</v>
      </c>
      <c r="B811" t="str">
        <f>VLOOKUP(A811,Raw_Data!A:L,6,FALSE)</f>
        <v>Blender</v>
      </c>
      <c r="C811" t="str">
        <f>VLOOKUP(A811,Raw_Data!A:L,3,FALSE)</f>
        <v>Australia</v>
      </c>
      <c r="D811" s="3">
        <f>VLOOKUP(A811,Raw_Data!A:L,12,FALSE)</f>
        <v>4089</v>
      </c>
      <c r="E811" s="3">
        <f>VLOOKUP(A811,Raw_Data!A:L,11,FALSE)</f>
        <v>87</v>
      </c>
      <c r="F811" t="str">
        <f>TEXT(VLOOKUP(A811,Raw_Data!A:L,5,FALSE),"mmm")</f>
        <v>Sep</v>
      </c>
    </row>
    <row r="812" spans="1:6" x14ac:dyDescent="0.35">
      <c r="A812" s="3" t="s">
        <v>1317</v>
      </c>
      <c r="B812" t="str">
        <f>VLOOKUP(A812,Raw_Data!A:L,6,FALSE)</f>
        <v>Coffee grinder</v>
      </c>
      <c r="C812" t="str">
        <f>VLOOKUP(A812,Raw_Data!A:L,3,FALSE)</f>
        <v>Peru</v>
      </c>
      <c r="D812" s="3">
        <f>VLOOKUP(A812,Raw_Data!A:L,12,FALSE)</f>
        <v>630</v>
      </c>
      <c r="E812" s="3">
        <f>VLOOKUP(A812,Raw_Data!A:L,11,FALSE)</f>
        <v>10</v>
      </c>
      <c r="F812" t="str">
        <f>TEXT(VLOOKUP(A812,Raw_Data!A:L,5,FALSE),"mmm")</f>
        <v>Jul</v>
      </c>
    </row>
    <row r="813" spans="1:6" x14ac:dyDescent="0.35">
      <c r="A813" s="3" t="s">
        <v>1318</v>
      </c>
      <c r="B813" t="str">
        <f>VLOOKUP(A813,Raw_Data!A:L,6,FALSE)</f>
        <v>Vacuum Cleaner</v>
      </c>
      <c r="C813" t="str">
        <f>VLOOKUP(A813,Raw_Data!A:L,3,FALSE)</f>
        <v>France</v>
      </c>
      <c r="D813" s="3">
        <f>VLOOKUP(A813,Raw_Data!A:L,12,FALSE)</f>
        <v>9477</v>
      </c>
      <c r="E813" s="3">
        <f>VLOOKUP(A813,Raw_Data!A:L,11,FALSE)</f>
        <v>39</v>
      </c>
      <c r="F813" t="str">
        <f>TEXT(VLOOKUP(A813,Raw_Data!A:L,5,FALSE),"mmm")</f>
        <v>Dec</v>
      </c>
    </row>
    <row r="814" spans="1:6" x14ac:dyDescent="0.35">
      <c r="A814" s="3" t="s">
        <v>1320</v>
      </c>
      <c r="B814" t="str">
        <f>VLOOKUP(A814,Raw_Data!A:L,6,FALSE)</f>
        <v>Oven</v>
      </c>
      <c r="C814" t="str">
        <f>VLOOKUP(A814,Raw_Data!A:L,3,FALSE)</f>
        <v>USA</v>
      </c>
      <c r="D814" s="3">
        <f>VLOOKUP(A814,Raw_Data!A:L,12,FALSE)</f>
        <v>43500</v>
      </c>
      <c r="E814" s="3">
        <f>VLOOKUP(A814,Raw_Data!A:L,11,FALSE)</f>
        <v>87</v>
      </c>
      <c r="F814" t="str">
        <f>TEXT(VLOOKUP(A814,Raw_Data!A:L,5,FALSE),"mmm")</f>
        <v>May</v>
      </c>
    </row>
    <row r="815" spans="1:6" x14ac:dyDescent="0.35">
      <c r="A815" s="3" t="s">
        <v>1321</v>
      </c>
      <c r="B815" t="str">
        <f>VLOOKUP(A815,Raw_Data!A:L,6,FALSE)</f>
        <v>Oven</v>
      </c>
      <c r="C815" t="str">
        <f>VLOOKUP(A815,Raw_Data!A:L,3,FALSE)</f>
        <v>Czech Republic</v>
      </c>
      <c r="D815" s="3">
        <f>VLOOKUP(A815,Raw_Data!A:L,12,FALSE)</f>
        <v>26235</v>
      </c>
      <c r="E815" s="3">
        <f>VLOOKUP(A815,Raw_Data!A:L,11,FALSE)</f>
        <v>53</v>
      </c>
      <c r="F815" t="str">
        <f>TEXT(VLOOKUP(A815,Raw_Data!A:L,5,FALSE),"mmm")</f>
        <v>Nov</v>
      </c>
    </row>
    <row r="816" spans="1:6" x14ac:dyDescent="0.35">
      <c r="A816" s="3" t="s">
        <v>1322</v>
      </c>
      <c r="B816" t="str">
        <f>VLOOKUP(A816,Raw_Data!A:L,6,FALSE)</f>
        <v>Washing Machine</v>
      </c>
      <c r="C816" t="str">
        <f>VLOOKUP(A816,Raw_Data!A:L,3,FALSE)</f>
        <v>China</v>
      </c>
      <c r="D816" s="3">
        <f>VLOOKUP(A816,Raw_Data!A:L,12,FALSE)</f>
        <v>54432</v>
      </c>
      <c r="E816" s="3">
        <f>VLOOKUP(A816,Raw_Data!A:L,11,FALSE)</f>
        <v>84</v>
      </c>
      <c r="F816" t="str">
        <f>TEXT(VLOOKUP(A816,Raw_Data!A:L,5,FALSE),"mmm")</f>
        <v>Jul</v>
      </c>
    </row>
    <row r="817" spans="1:6" x14ac:dyDescent="0.35">
      <c r="A817" s="3" t="s">
        <v>1324</v>
      </c>
      <c r="B817" t="str">
        <f>VLOOKUP(A817,Raw_Data!A:L,6,FALSE)</f>
        <v>Iron</v>
      </c>
      <c r="C817" t="str">
        <f>VLOOKUP(A817,Raw_Data!A:L,3,FALSE)</f>
        <v>Argentina</v>
      </c>
      <c r="D817" s="3">
        <f>VLOOKUP(A817,Raw_Data!A:L,12,FALSE)</f>
        <v>120</v>
      </c>
      <c r="E817" s="3">
        <f>VLOOKUP(A817,Raw_Data!A:L,11,FALSE)</f>
        <v>6</v>
      </c>
      <c r="F817" t="str">
        <f>TEXT(VLOOKUP(A817,Raw_Data!A:L,5,FALSE),"mmm")</f>
        <v>Mar</v>
      </c>
    </row>
    <row r="818" spans="1:6" x14ac:dyDescent="0.35">
      <c r="A818" s="3" t="s">
        <v>1325</v>
      </c>
      <c r="B818" t="str">
        <f>VLOOKUP(A818,Raw_Data!A:L,6,FALSE)</f>
        <v>Air conditioner</v>
      </c>
      <c r="C818" t="str">
        <f>VLOOKUP(A818,Raw_Data!A:L,3,FALSE)</f>
        <v>China</v>
      </c>
      <c r="D818" s="3">
        <f>VLOOKUP(A818,Raw_Data!A:L,12,FALSE)</f>
        <v>12012</v>
      </c>
      <c r="E818" s="3">
        <f>VLOOKUP(A818,Raw_Data!A:L,11,FALSE)</f>
        <v>26</v>
      </c>
      <c r="F818" t="str">
        <f>TEXT(VLOOKUP(A818,Raw_Data!A:L,5,FALSE),"mmm")</f>
        <v>Mar</v>
      </c>
    </row>
    <row r="819" spans="1:6" x14ac:dyDescent="0.35">
      <c r="A819" s="3" t="s">
        <v>1326</v>
      </c>
      <c r="B819" t="str">
        <f>VLOOKUP(A819,Raw_Data!A:L,6,FALSE)</f>
        <v>Iron</v>
      </c>
      <c r="C819" t="str">
        <f>VLOOKUP(A819,Raw_Data!A:L,3,FALSE)</f>
        <v>UAE</v>
      </c>
      <c r="D819" s="3">
        <f>VLOOKUP(A819,Raw_Data!A:L,12,FALSE)</f>
        <v>2668</v>
      </c>
      <c r="E819" s="3">
        <f>VLOOKUP(A819,Raw_Data!A:L,11,FALSE)</f>
        <v>92</v>
      </c>
      <c r="F819" t="str">
        <f>TEXT(VLOOKUP(A819,Raw_Data!A:L,5,FALSE),"mmm")</f>
        <v>Jul</v>
      </c>
    </row>
    <row r="820" spans="1:6" x14ac:dyDescent="0.35">
      <c r="A820" s="3" t="s">
        <v>1327</v>
      </c>
      <c r="B820" t="str">
        <f>VLOOKUP(A820,Raw_Data!A:L,6,FALSE)</f>
        <v>Coffee grinder</v>
      </c>
      <c r="C820" t="str">
        <f>VLOOKUP(A820,Raw_Data!A:L,3,FALSE)</f>
        <v>Germany</v>
      </c>
      <c r="D820" s="3">
        <f>VLOOKUP(A820,Raw_Data!A:L,12,FALSE)</f>
        <v>396</v>
      </c>
      <c r="E820" s="3">
        <f>VLOOKUP(A820,Raw_Data!A:L,11,FALSE)</f>
        <v>6</v>
      </c>
      <c r="F820" t="str">
        <f>TEXT(VLOOKUP(A820,Raw_Data!A:L,5,FALSE),"mmm")</f>
        <v>Jan</v>
      </c>
    </row>
    <row r="821" spans="1:6" x14ac:dyDescent="0.35">
      <c r="A821" s="3" t="s">
        <v>1328</v>
      </c>
      <c r="B821" t="str">
        <f>VLOOKUP(A821,Raw_Data!A:L,6,FALSE)</f>
        <v>Refrigerator</v>
      </c>
      <c r="C821" t="str">
        <f>VLOOKUP(A821,Raw_Data!A:L,3,FALSE)</f>
        <v>UAE</v>
      </c>
      <c r="D821" s="3">
        <f>VLOOKUP(A821,Raw_Data!A:L,12,FALSE)</f>
        <v>2070</v>
      </c>
      <c r="E821" s="3">
        <f>VLOOKUP(A821,Raw_Data!A:L,11,FALSE)</f>
        <v>3</v>
      </c>
      <c r="F821" t="str">
        <f>TEXT(VLOOKUP(A821,Raw_Data!A:L,5,FALSE),"mmm")</f>
        <v>Aug</v>
      </c>
    </row>
    <row r="822" spans="1:6" x14ac:dyDescent="0.35">
      <c r="A822" s="3" t="s">
        <v>1329</v>
      </c>
      <c r="B822" t="str">
        <f>VLOOKUP(A822,Raw_Data!A:L,6,FALSE)</f>
        <v>Coffee grinder</v>
      </c>
      <c r="C822" t="str">
        <f>VLOOKUP(A822,Raw_Data!A:L,3,FALSE)</f>
        <v>Mexico</v>
      </c>
      <c r="D822" s="3">
        <f>VLOOKUP(A822,Raw_Data!A:L,12,FALSE)</f>
        <v>4002</v>
      </c>
      <c r="E822" s="3">
        <f>VLOOKUP(A822,Raw_Data!A:L,11,FALSE)</f>
        <v>58</v>
      </c>
      <c r="F822" t="str">
        <f>TEXT(VLOOKUP(A822,Raw_Data!A:L,5,FALSE),"mmm")</f>
        <v>Oct</v>
      </c>
    </row>
    <row r="823" spans="1:6" x14ac:dyDescent="0.35">
      <c r="A823" s="3" t="s">
        <v>1330</v>
      </c>
      <c r="B823" t="str">
        <f>VLOOKUP(A823,Raw_Data!A:L,6,FALSE)</f>
        <v>Iron</v>
      </c>
      <c r="C823" t="str">
        <f>VLOOKUP(A823,Raw_Data!A:L,3,FALSE)</f>
        <v>Poland</v>
      </c>
      <c r="D823" s="3">
        <f>VLOOKUP(A823,Raw_Data!A:L,12,FALSE)</f>
        <v>2673</v>
      </c>
      <c r="E823" s="3">
        <f>VLOOKUP(A823,Raw_Data!A:L,11,FALSE)</f>
        <v>99</v>
      </c>
      <c r="F823" t="str">
        <f>TEXT(VLOOKUP(A823,Raw_Data!A:L,5,FALSE),"mmm")</f>
        <v>Nov</v>
      </c>
    </row>
    <row r="824" spans="1:6" x14ac:dyDescent="0.35">
      <c r="A824" s="3" t="s">
        <v>1331</v>
      </c>
      <c r="B824" t="str">
        <f>VLOOKUP(A824,Raw_Data!A:L,6,FALSE)</f>
        <v>Vacuum Cleaner</v>
      </c>
      <c r="C824" t="str">
        <f>VLOOKUP(A824,Raw_Data!A:L,3,FALSE)</f>
        <v>China</v>
      </c>
      <c r="D824" s="3">
        <f>VLOOKUP(A824,Raw_Data!A:L,12,FALSE)</f>
        <v>14625</v>
      </c>
      <c r="E824" s="3">
        <f>VLOOKUP(A824,Raw_Data!A:L,11,FALSE)</f>
        <v>65</v>
      </c>
      <c r="F824" t="str">
        <f>TEXT(VLOOKUP(A824,Raw_Data!A:L,5,FALSE),"mmm")</f>
        <v>Sep</v>
      </c>
    </row>
    <row r="825" spans="1:6" x14ac:dyDescent="0.35">
      <c r="A825" s="3" t="s">
        <v>1332</v>
      </c>
      <c r="B825" t="str">
        <f>VLOOKUP(A825,Raw_Data!A:L,6,FALSE)</f>
        <v>Oven</v>
      </c>
      <c r="C825" t="str">
        <f>VLOOKUP(A825,Raw_Data!A:L,3,FALSE)</f>
        <v>Argentina</v>
      </c>
      <c r="D825" s="3">
        <f>VLOOKUP(A825,Raw_Data!A:L,12,FALSE)</f>
        <v>49500</v>
      </c>
      <c r="E825" s="3">
        <f>VLOOKUP(A825,Raw_Data!A:L,11,FALSE)</f>
        <v>99</v>
      </c>
      <c r="F825" t="str">
        <f>TEXT(VLOOKUP(A825,Raw_Data!A:L,5,FALSE),"mmm")</f>
        <v>Jan</v>
      </c>
    </row>
    <row r="826" spans="1:6" x14ac:dyDescent="0.35">
      <c r="A826" s="3" t="s">
        <v>1333</v>
      </c>
      <c r="B826" t="str">
        <f>VLOOKUP(A826,Raw_Data!A:L,6,FALSE)</f>
        <v>Blender</v>
      </c>
      <c r="C826" t="str">
        <f>VLOOKUP(A826,Raw_Data!A:L,3,FALSE)</f>
        <v>Israel</v>
      </c>
      <c r="D826" s="3">
        <f>VLOOKUP(A826,Raw_Data!A:L,12,FALSE)</f>
        <v>1665</v>
      </c>
      <c r="E826" s="3">
        <f>VLOOKUP(A826,Raw_Data!A:L,11,FALSE)</f>
        <v>37</v>
      </c>
      <c r="F826" t="str">
        <f>TEXT(VLOOKUP(A826,Raw_Data!A:L,5,FALSE),"mmm")</f>
        <v>Oct</v>
      </c>
    </row>
    <row r="827" spans="1:6" x14ac:dyDescent="0.35">
      <c r="A827" s="3" t="s">
        <v>1334</v>
      </c>
      <c r="B827" t="str">
        <f>VLOOKUP(A827,Raw_Data!A:L,6,FALSE)</f>
        <v>Ceiling fan</v>
      </c>
      <c r="C827" t="str">
        <f>VLOOKUP(A827,Raw_Data!A:L,3,FALSE)</f>
        <v>France</v>
      </c>
      <c r="D827" s="3">
        <f>VLOOKUP(A827,Raw_Data!A:L,12,FALSE)</f>
        <v>12330</v>
      </c>
      <c r="E827" s="3">
        <f>VLOOKUP(A827,Raw_Data!A:L,11,FALSE)</f>
        <v>90</v>
      </c>
      <c r="F827" t="str">
        <f>TEXT(VLOOKUP(A827,Raw_Data!A:L,5,FALSE),"mmm")</f>
        <v>Apr</v>
      </c>
    </row>
    <row r="828" spans="1:6" x14ac:dyDescent="0.35">
      <c r="A828" s="3" t="s">
        <v>1336</v>
      </c>
      <c r="B828" t="str">
        <f>VLOOKUP(A828,Raw_Data!A:L,6,FALSE)</f>
        <v>Dishwasher</v>
      </c>
      <c r="C828" t="str">
        <f>VLOOKUP(A828,Raw_Data!A:L,3,FALSE)</f>
        <v>Turkey</v>
      </c>
      <c r="D828" s="3">
        <f>VLOOKUP(A828,Raw_Data!A:L,12,FALSE)</f>
        <v>45045</v>
      </c>
      <c r="E828" s="3">
        <f>VLOOKUP(A828,Raw_Data!A:L,11,FALSE)</f>
        <v>99</v>
      </c>
      <c r="F828" t="str">
        <f>TEXT(VLOOKUP(A828,Raw_Data!A:L,5,FALSE),"mmm")</f>
        <v>Mar</v>
      </c>
    </row>
    <row r="829" spans="1:6" x14ac:dyDescent="0.35">
      <c r="A829" s="3" t="s">
        <v>1337</v>
      </c>
      <c r="B829" t="str">
        <f>VLOOKUP(A829,Raw_Data!A:L,6,FALSE)</f>
        <v>Oven</v>
      </c>
      <c r="C829" t="str">
        <f>VLOOKUP(A829,Raw_Data!A:L,3,FALSE)</f>
        <v>UK</v>
      </c>
      <c r="D829" s="3">
        <f>VLOOKUP(A829,Raw_Data!A:L,12,FALSE)</f>
        <v>500</v>
      </c>
      <c r="E829" s="3">
        <f>VLOOKUP(A829,Raw_Data!A:L,11,FALSE)</f>
        <v>1</v>
      </c>
      <c r="F829" t="str">
        <f>TEXT(VLOOKUP(A829,Raw_Data!A:L,5,FALSE),"mmm")</f>
        <v>Dec</v>
      </c>
    </row>
    <row r="830" spans="1:6" x14ac:dyDescent="0.35">
      <c r="A830" s="3" t="s">
        <v>1338</v>
      </c>
      <c r="B830" t="str">
        <f>VLOOKUP(A830,Raw_Data!A:L,6,FALSE)</f>
        <v>Air conditioner</v>
      </c>
      <c r="C830" t="str">
        <f>VLOOKUP(A830,Raw_Data!A:L,3,FALSE)</f>
        <v>Japan</v>
      </c>
      <c r="D830" s="3">
        <f>VLOOKUP(A830,Raw_Data!A:L,12,FALSE)</f>
        <v>37352</v>
      </c>
      <c r="E830" s="3">
        <f>VLOOKUP(A830,Raw_Data!A:L,11,FALSE)</f>
        <v>58</v>
      </c>
      <c r="F830" t="str">
        <f>TEXT(VLOOKUP(A830,Raw_Data!A:L,5,FALSE),"mmm")</f>
        <v>Dec</v>
      </c>
    </row>
    <row r="831" spans="1:6" x14ac:dyDescent="0.35">
      <c r="A831" s="3" t="s">
        <v>1339</v>
      </c>
      <c r="B831" t="str">
        <f>VLOOKUP(A831,Raw_Data!A:L,6,FALSE)</f>
        <v>Ceiling fan</v>
      </c>
      <c r="C831" t="str">
        <f>VLOOKUP(A831,Raw_Data!A:L,3,FALSE)</f>
        <v>China</v>
      </c>
      <c r="D831" s="3">
        <f>VLOOKUP(A831,Raw_Data!A:L,12,FALSE)</f>
        <v>10086</v>
      </c>
      <c r="E831" s="3">
        <f>VLOOKUP(A831,Raw_Data!A:L,11,FALSE)</f>
        <v>82</v>
      </c>
      <c r="F831" t="str">
        <f>TEXT(VLOOKUP(A831,Raw_Data!A:L,5,FALSE),"mmm")</f>
        <v>Jan</v>
      </c>
    </row>
    <row r="832" spans="1:6" x14ac:dyDescent="0.35">
      <c r="A832" s="3" t="s">
        <v>1340</v>
      </c>
      <c r="B832" t="str">
        <f>VLOOKUP(A832,Raw_Data!A:L,6,FALSE)</f>
        <v>Dishwasher</v>
      </c>
      <c r="C832" t="str">
        <f>VLOOKUP(A832,Raw_Data!A:L,3,FALSE)</f>
        <v>Russia</v>
      </c>
      <c r="D832" s="3">
        <f>VLOOKUP(A832,Raw_Data!A:L,12,FALSE)</f>
        <v>22325</v>
      </c>
      <c r="E832" s="3">
        <f>VLOOKUP(A832,Raw_Data!A:L,11,FALSE)</f>
        <v>47</v>
      </c>
      <c r="F832" t="str">
        <f>TEXT(VLOOKUP(A832,Raw_Data!A:L,5,FALSE),"mmm")</f>
        <v>Nov</v>
      </c>
    </row>
    <row r="833" spans="1:6" x14ac:dyDescent="0.35">
      <c r="A833" s="3" t="s">
        <v>1341</v>
      </c>
      <c r="B833" t="str">
        <f>VLOOKUP(A833,Raw_Data!A:L,6,FALSE)</f>
        <v>Refrigerator</v>
      </c>
      <c r="C833" t="str">
        <f>VLOOKUP(A833,Raw_Data!A:L,3,FALSE)</f>
        <v>Austria</v>
      </c>
      <c r="D833" s="3">
        <f>VLOOKUP(A833,Raw_Data!A:L,12,FALSE)</f>
        <v>58500</v>
      </c>
      <c r="E833" s="3">
        <f>VLOOKUP(A833,Raw_Data!A:L,11,FALSE)</f>
        <v>78</v>
      </c>
      <c r="F833" t="str">
        <f>TEXT(VLOOKUP(A833,Raw_Data!A:L,5,FALSE),"mmm")</f>
        <v>Jan</v>
      </c>
    </row>
    <row r="834" spans="1:6" x14ac:dyDescent="0.35">
      <c r="A834" s="3" t="s">
        <v>1343</v>
      </c>
      <c r="B834" t="str">
        <f>VLOOKUP(A834,Raw_Data!A:L,6,FALSE)</f>
        <v>Ceiling fan</v>
      </c>
      <c r="C834" t="str">
        <f>VLOOKUP(A834,Raw_Data!A:L,3,FALSE)</f>
        <v>Japan</v>
      </c>
      <c r="D834" s="3">
        <f>VLOOKUP(A834,Raw_Data!A:L,12,FALSE)</f>
        <v>10050</v>
      </c>
      <c r="E834" s="3">
        <f>VLOOKUP(A834,Raw_Data!A:L,11,FALSE)</f>
        <v>67</v>
      </c>
      <c r="F834" t="str">
        <f>TEXT(VLOOKUP(A834,Raw_Data!A:L,5,FALSE),"mmm")</f>
        <v>Apr</v>
      </c>
    </row>
    <row r="835" spans="1:6" x14ac:dyDescent="0.35">
      <c r="A835" s="3" t="s">
        <v>1345</v>
      </c>
      <c r="B835" t="str">
        <f>VLOOKUP(A835,Raw_Data!A:L,6,FALSE)</f>
        <v>Coffee grinder</v>
      </c>
      <c r="C835" t="str">
        <f>VLOOKUP(A835,Raw_Data!A:L,3,FALSE)</f>
        <v>Austria</v>
      </c>
      <c r="D835" s="3">
        <f>VLOOKUP(A835,Raw_Data!A:L,12,FALSE)</f>
        <v>2331</v>
      </c>
      <c r="E835" s="3">
        <f>VLOOKUP(A835,Raw_Data!A:L,11,FALSE)</f>
        <v>37</v>
      </c>
      <c r="F835" t="str">
        <f>TEXT(VLOOKUP(A835,Raw_Data!A:L,5,FALSE),"mmm")</f>
        <v>Dec</v>
      </c>
    </row>
    <row r="836" spans="1:6" x14ac:dyDescent="0.35">
      <c r="A836" s="3" t="s">
        <v>1347</v>
      </c>
      <c r="B836" t="str">
        <f>VLOOKUP(A836,Raw_Data!A:L,6,FALSE)</f>
        <v>Coffee grinder</v>
      </c>
      <c r="C836" t="str">
        <f>VLOOKUP(A836,Raw_Data!A:L,3,FALSE)</f>
        <v>Czech Republic</v>
      </c>
      <c r="D836" s="3">
        <f>VLOOKUP(A836,Raw_Data!A:L,12,FALSE)</f>
        <v>1311</v>
      </c>
      <c r="E836" s="3">
        <f>VLOOKUP(A836,Raw_Data!A:L,11,FALSE)</f>
        <v>23</v>
      </c>
      <c r="F836" t="str">
        <f>TEXT(VLOOKUP(A836,Raw_Data!A:L,5,FALSE),"mmm")</f>
        <v>Dec</v>
      </c>
    </row>
    <row r="837" spans="1:6" x14ac:dyDescent="0.35">
      <c r="A837" s="3" t="s">
        <v>1348</v>
      </c>
      <c r="B837" t="str">
        <f>VLOOKUP(A837,Raw_Data!A:L,6,FALSE)</f>
        <v>Ceiling fan</v>
      </c>
      <c r="C837" t="str">
        <f>VLOOKUP(A837,Raw_Data!A:L,3,FALSE)</f>
        <v>France</v>
      </c>
      <c r="D837" s="3">
        <f>VLOOKUP(A837,Raw_Data!A:L,12,FALSE)</f>
        <v>8294</v>
      </c>
      <c r="E837" s="3">
        <f>VLOOKUP(A837,Raw_Data!A:L,11,FALSE)</f>
        <v>58</v>
      </c>
      <c r="F837" t="str">
        <f>TEXT(VLOOKUP(A837,Raw_Data!A:L,5,FALSE),"mmm")</f>
        <v>Feb</v>
      </c>
    </row>
    <row r="838" spans="1:6" x14ac:dyDescent="0.35">
      <c r="A838" s="3" t="s">
        <v>1350</v>
      </c>
      <c r="B838" t="str">
        <f>VLOOKUP(A838,Raw_Data!A:L,6,FALSE)</f>
        <v>Iron</v>
      </c>
      <c r="C838" t="str">
        <f>VLOOKUP(A838,Raw_Data!A:L,3,FALSE)</f>
        <v>Canada</v>
      </c>
      <c r="D838" s="3">
        <f>VLOOKUP(A838,Raw_Data!A:L,12,FALSE)</f>
        <v>1971</v>
      </c>
      <c r="E838" s="3">
        <f>VLOOKUP(A838,Raw_Data!A:L,11,FALSE)</f>
        <v>73</v>
      </c>
      <c r="F838" t="str">
        <f>TEXT(VLOOKUP(A838,Raw_Data!A:L,5,FALSE),"mmm")</f>
        <v>Jul</v>
      </c>
    </row>
    <row r="839" spans="1:6" x14ac:dyDescent="0.35">
      <c r="A839" s="3" t="s">
        <v>1351</v>
      </c>
      <c r="B839" t="str">
        <f>VLOOKUP(A839,Raw_Data!A:L,6,FALSE)</f>
        <v>Washing Machine</v>
      </c>
      <c r="C839" t="str">
        <f>VLOOKUP(A839,Raw_Data!A:L,3,FALSE)</f>
        <v>Italy</v>
      </c>
      <c r="D839" s="3">
        <f>VLOOKUP(A839,Raw_Data!A:L,12,FALSE)</f>
        <v>40824</v>
      </c>
      <c r="E839" s="3">
        <f>VLOOKUP(A839,Raw_Data!A:L,11,FALSE)</f>
        <v>63</v>
      </c>
      <c r="F839" t="str">
        <f>TEXT(VLOOKUP(A839,Raw_Data!A:L,5,FALSE),"mmm")</f>
        <v>Apr</v>
      </c>
    </row>
    <row r="840" spans="1:6" x14ac:dyDescent="0.35">
      <c r="A840" s="3" t="s">
        <v>1353</v>
      </c>
      <c r="B840" t="str">
        <f>VLOOKUP(A840,Raw_Data!A:L,6,FALSE)</f>
        <v>Refrigerator</v>
      </c>
      <c r="C840" t="str">
        <f>VLOOKUP(A840,Raw_Data!A:L,3,FALSE)</f>
        <v>Ireland</v>
      </c>
      <c r="D840" s="3">
        <f>VLOOKUP(A840,Raw_Data!A:L,12,FALSE)</f>
        <v>49470</v>
      </c>
      <c r="E840" s="3">
        <f>VLOOKUP(A840,Raw_Data!A:L,11,FALSE)</f>
        <v>51</v>
      </c>
      <c r="F840" t="str">
        <f>TEXT(VLOOKUP(A840,Raw_Data!A:L,5,FALSE),"mmm")</f>
        <v>Jan</v>
      </c>
    </row>
    <row r="841" spans="1:6" x14ac:dyDescent="0.35">
      <c r="A841" s="3" t="s">
        <v>1354</v>
      </c>
      <c r="B841" t="str">
        <f>VLOOKUP(A841,Raw_Data!A:L,6,FALSE)</f>
        <v>Coffee grinder</v>
      </c>
      <c r="C841" t="str">
        <f>VLOOKUP(A841,Raw_Data!A:L,3,FALSE)</f>
        <v>Colombia</v>
      </c>
      <c r="D841" s="3">
        <f>VLOOKUP(A841,Raw_Data!A:L,12,FALSE)</f>
        <v>4087</v>
      </c>
      <c r="E841" s="3">
        <f>VLOOKUP(A841,Raw_Data!A:L,11,FALSE)</f>
        <v>61</v>
      </c>
      <c r="F841" t="str">
        <f>TEXT(VLOOKUP(A841,Raw_Data!A:L,5,FALSE),"mmm")</f>
        <v>Jun</v>
      </c>
    </row>
    <row r="842" spans="1:6" x14ac:dyDescent="0.35">
      <c r="A842" s="3" t="s">
        <v>1355</v>
      </c>
      <c r="B842" t="str">
        <f>VLOOKUP(A842,Raw_Data!A:L,6,FALSE)</f>
        <v>Refrigerator</v>
      </c>
      <c r="C842" t="str">
        <f>VLOOKUP(A842,Raw_Data!A:L,3,FALSE)</f>
        <v>Japan</v>
      </c>
      <c r="D842" s="3">
        <f>VLOOKUP(A842,Raw_Data!A:L,12,FALSE)</f>
        <v>45390</v>
      </c>
      <c r="E842" s="3">
        <f>VLOOKUP(A842,Raw_Data!A:L,11,FALSE)</f>
        <v>51</v>
      </c>
      <c r="F842" t="str">
        <f>TEXT(VLOOKUP(A842,Raw_Data!A:L,5,FALSE),"mmm")</f>
        <v>Aug</v>
      </c>
    </row>
    <row r="843" spans="1:6" x14ac:dyDescent="0.35">
      <c r="A843" s="3" t="s">
        <v>1356</v>
      </c>
      <c r="B843" t="str">
        <f>VLOOKUP(A843,Raw_Data!A:L,6,FALSE)</f>
        <v>Air conditioner</v>
      </c>
      <c r="C843" t="str">
        <f>VLOOKUP(A843,Raw_Data!A:L,3,FALSE)</f>
        <v>USA</v>
      </c>
      <c r="D843" s="3">
        <f>VLOOKUP(A843,Raw_Data!A:L,12,FALSE)</f>
        <v>12376</v>
      </c>
      <c r="E843" s="3">
        <f>VLOOKUP(A843,Raw_Data!A:L,11,FALSE)</f>
        <v>26</v>
      </c>
      <c r="F843" t="str">
        <f>TEXT(VLOOKUP(A843,Raw_Data!A:L,5,FALSE),"mmm")</f>
        <v>Aug</v>
      </c>
    </row>
    <row r="844" spans="1:6" x14ac:dyDescent="0.35">
      <c r="A844" s="3" t="s">
        <v>1357</v>
      </c>
      <c r="B844" t="str">
        <f>VLOOKUP(A844,Raw_Data!A:L,6,FALSE)</f>
        <v>Coffee grinder</v>
      </c>
      <c r="C844" t="str">
        <f>VLOOKUP(A844,Raw_Data!A:L,3,FALSE)</f>
        <v>South Africa</v>
      </c>
      <c r="D844" s="3">
        <f>VLOOKUP(A844,Raw_Data!A:L,12,FALSE)</f>
        <v>3588</v>
      </c>
      <c r="E844" s="3">
        <f>VLOOKUP(A844,Raw_Data!A:L,11,FALSE)</f>
        <v>69</v>
      </c>
      <c r="F844" t="str">
        <f>TEXT(VLOOKUP(A844,Raw_Data!A:L,5,FALSE),"mmm")</f>
        <v>Jul</v>
      </c>
    </row>
    <row r="845" spans="1:6" x14ac:dyDescent="0.35">
      <c r="A845" s="3" t="s">
        <v>1358</v>
      </c>
      <c r="B845" t="str">
        <f>VLOOKUP(A845,Raw_Data!A:L,6,FALSE)</f>
        <v>Air conditioner</v>
      </c>
      <c r="C845" t="str">
        <f>VLOOKUP(A845,Raw_Data!A:L,3,FALSE)</f>
        <v>Japan</v>
      </c>
      <c r="D845" s="3">
        <f>VLOOKUP(A845,Raw_Data!A:L,12,FALSE)</f>
        <v>58310</v>
      </c>
      <c r="E845" s="3">
        <f>VLOOKUP(A845,Raw_Data!A:L,11,FALSE)</f>
        <v>85</v>
      </c>
      <c r="F845" t="str">
        <f>TEXT(VLOOKUP(A845,Raw_Data!A:L,5,FALSE),"mmm")</f>
        <v>Oct</v>
      </c>
    </row>
    <row r="846" spans="1:6" x14ac:dyDescent="0.35">
      <c r="A846" s="3" t="s">
        <v>1359</v>
      </c>
      <c r="B846" t="str">
        <f>VLOOKUP(A846,Raw_Data!A:L,6,FALSE)</f>
        <v>Refrigerator</v>
      </c>
      <c r="C846" t="str">
        <f>VLOOKUP(A846,Raw_Data!A:L,3,FALSE)</f>
        <v>USA</v>
      </c>
      <c r="D846" s="3">
        <f>VLOOKUP(A846,Raw_Data!A:L,12,FALSE)</f>
        <v>640</v>
      </c>
      <c r="E846" s="3">
        <f>VLOOKUP(A846,Raw_Data!A:L,11,FALSE)</f>
        <v>1</v>
      </c>
      <c r="F846" t="str">
        <f>TEXT(VLOOKUP(A846,Raw_Data!A:L,5,FALSE),"mmm")</f>
        <v>May</v>
      </c>
    </row>
    <row r="847" spans="1:6" x14ac:dyDescent="0.35">
      <c r="A847" s="3" t="s">
        <v>1360</v>
      </c>
      <c r="B847" t="str">
        <f>VLOOKUP(A847,Raw_Data!A:L,6,FALSE)</f>
        <v>Dishwasher</v>
      </c>
      <c r="C847" t="str">
        <f>VLOOKUP(A847,Raw_Data!A:L,3,FALSE)</f>
        <v>Japan</v>
      </c>
      <c r="D847" s="3">
        <f>VLOOKUP(A847,Raw_Data!A:L,12,FALSE)</f>
        <v>24640</v>
      </c>
      <c r="E847" s="3">
        <f>VLOOKUP(A847,Raw_Data!A:L,11,FALSE)</f>
        <v>56</v>
      </c>
      <c r="F847" t="str">
        <f>TEXT(VLOOKUP(A847,Raw_Data!A:L,5,FALSE),"mmm")</f>
        <v>Feb</v>
      </c>
    </row>
    <row r="848" spans="1:6" x14ac:dyDescent="0.35">
      <c r="A848" s="3" t="s">
        <v>1361</v>
      </c>
      <c r="B848" t="str">
        <f>VLOOKUP(A848,Raw_Data!A:L,6,FALSE)</f>
        <v>Microwave</v>
      </c>
      <c r="C848" t="str">
        <f>VLOOKUP(A848,Raw_Data!A:L,3,FALSE)</f>
        <v>Vietnam</v>
      </c>
      <c r="D848" s="3">
        <f>VLOOKUP(A848,Raw_Data!A:L,12,FALSE)</f>
        <v>7125</v>
      </c>
      <c r="E848" s="3">
        <f>VLOOKUP(A848,Raw_Data!A:L,11,FALSE)</f>
        <v>95</v>
      </c>
      <c r="F848" t="str">
        <f>TEXT(VLOOKUP(A848,Raw_Data!A:L,5,FALSE),"mmm")</f>
        <v>Dec</v>
      </c>
    </row>
    <row r="849" spans="1:6" x14ac:dyDescent="0.35">
      <c r="A849" s="3" t="s">
        <v>1362</v>
      </c>
      <c r="B849" t="str">
        <f>VLOOKUP(A849,Raw_Data!A:L,6,FALSE)</f>
        <v>Ceiling fan</v>
      </c>
      <c r="C849" t="str">
        <f>VLOOKUP(A849,Raw_Data!A:L,3,FALSE)</f>
        <v>Turkey</v>
      </c>
      <c r="D849" s="3">
        <f>VLOOKUP(A849,Raw_Data!A:L,12,FALSE)</f>
        <v>9504</v>
      </c>
      <c r="E849" s="3">
        <f>VLOOKUP(A849,Raw_Data!A:L,11,FALSE)</f>
        <v>66</v>
      </c>
      <c r="F849" t="str">
        <f>TEXT(VLOOKUP(A849,Raw_Data!A:L,5,FALSE),"mmm")</f>
        <v>Nov</v>
      </c>
    </row>
    <row r="850" spans="1:6" x14ac:dyDescent="0.35">
      <c r="A850" s="3" t="s">
        <v>1363</v>
      </c>
      <c r="B850" t="str">
        <f>VLOOKUP(A850,Raw_Data!A:L,6,FALSE)</f>
        <v>Iron</v>
      </c>
      <c r="C850" t="str">
        <f>VLOOKUP(A850,Raw_Data!A:L,3,FALSE)</f>
        <v>Chile</v>
      </c>
      <c r="D850" s="3">
        <f>VLOOKUP(A850,Raw_Data!A:L,12,FALSE)</f>
        <v>780</v>
      </c>
      <c r="E850" s="3">
        <f>VLOOKUP(A850,Raw_Data!A:L,11,FALSE)</f>
        <v>30</v>
      </c>
      <c r="F850" t="str">
        <f>TEXT(VLOOKUP(A850,Raw_Data!A:L,5,FALSE),"mmm")</f>
        <v>Dec</v>
      </c>
    </row>
    <row r="851" spans="1:6" x14ac:dyDescent="0.35">
      <c r="A851" s="3" t="s">
        <v>1364</v>
      </c>
      <c r="B851" t="str">
        <f>VLOOKUP(A851,Raw_Data!A:L,6,FALSE)</f>
        <v>Microwave</v>
      </c>
      <c r="C851" t="str">
        <f>VLOOKUP(A851,Raw_Data!A:L,3,FALSE)</f>
        <v>Japan</v>
      </c>
      <c r="D851" s="3">
        <f>VLOOKUP(A851,Raw_Data!A:L,12,FALSE)</f>
        <v>2812</v>
      </c>
      <c r="E851" s="3">
        <f>VLOOKUP(A851,Raw_Data!A:L,11,FALSE)</f>
        <v>38</v>
      </c>
      <c r="F851" t="str">
        <f>TEXT(VLOOKUP(A851,Raw_Data!A:L,5,FALSE),"mmm")</f>
        <v>Jan</v>
      </c>
    </row>
    <row r="852" spans="1:6" x14ac:dyDescent="0.35">
      <c r="A852" s="3" t="s">
        <v>1365</v>
      </c>
      <c r="B852" t="str">
        <f>VLOOKUP(A852,Raw_Data!A:L,6,FALSE)</f>
        <v>Vacuum Cleaner</v>
      </c>
      <c r="C852" t="str">
        <f>VLOOKUP(A852,Raw_Data!A:L,3,FALSE)</f>
        <v>China</v>
      </c>
      <c r="D852" s="3">
        <f>VLOOKUP(A852,Raw_Data!A:L,12,FALSE)</f>
        <v>19600</v>
      </c>
      <c r="E852" s="3">
        <f>VLOOKUP(A852,Raw_Data!A:L,11,FALSE)</f>
        <v>80</v>
      </c>
      <c r="F852" t="str">
        <f>TEXT(VLOOKUP(A852,Raw_Data!A:L,5,FALSE),"mmm")</f>
        <v>Jul</v>
      </c>
    </row>
    <row r="853" spans="1:6" x14ac:dyDescent="0.35">
      <c r="A853" s="3" t="s">
        <v>1366</v>
      </c>
      <c r="B853" t="str">
        <f>VLOOKUP(A853,Raw_Data!A:L,6,FALSE)</f>
        <v>Refrigerator</v>
      </c>
      <c r="C853" t="str">
        <f>VLOOKUP(A853,Raw_Data!A:L,3,FALSE)</f>
        <v>Germany</v>
      </c>
      <c r="D853" s="3">
        <f>VLOOKUP(A853,Raw_Data!A:L,12,FALSE)</f>
        <v>7520</v>
      </c>
      <c r="E853" s="3">
        <f>VLOOKUP(A853,Raw_Data!A:L,11,FALSE)</f>
        <v>8</v>
      </c>
      <c r="F853" t="str">
        <f>TEXT(VLOOKUP(A853,Raw_Data!A:L,5,FALSE),"mmm")</f>
        <v>Jun</v>
      </c>
    </row>
    <row r="854" spans="1:6" x14ac:dyDescent="0.35">
      <c r="A854" s="3" t="s">
        <v>1367</v>
      </c>
      <c r="B854" t="str">
        <f>VLOOKUP(A854,Raw_Data!A:L,6,FALSE)</f>
        <v>Toaster</v>
      </c>
      <c r="C854" t="str">
        <f>VLOOKUP(A854,Raw_Data!A:L,3,FALSE)</f>
        <v>Austria</v>
      </c>
      <c r="D854" s="3">
        <f>VLOOKUP(A854,Raw_Data!A:L,12,FALSE)</f>
        <v>2700</v>
      </c>
      <c r="E854" s="3">
        <f>VLOOKUP(A854,Raw_Data!A:L,11,FALSE)</f>
        <v>54</v>
      </c>
      <c r="F854" t="str">
        <f>TEXT(VLOOKUP(A854,Raw_Data!A:L,5,FALSE),"mmm")</f>
        <v>Jun</v>
      </c>
    </row>
    <row r="855" spans="1:6" x14ac:dyDescent="0.35">
      <c r="A855" s="3" t="s">
        <v>1368</v>
      </c>
      <c r="B855" t="str">
        <f>VLOOKUP(A855,Raw_Data!A:L,6,FALSE)</f>
        <v>Toaster</v>
      </c>
      <c r="C855" t="str">
        <f>VLOOKUP(A855,Raw_Data!A:L,3,FALSE)</f>
        <v>Vietnam</v>
      </c>
      <c r="D855" s="3">
        <f>VLOOKUP(A855,Raw_Data!A:L,12,FALSE)</f>
        <v>2852</v>
      </c>
      <c r="E855" s="3">
        <f>VLOOKUP(A855,Raw_Data!A:L,11,FALSE)</f>
        <v>62</v>
      </c>
      <c r="F855" t="str">
        <f>TEXT(VLOOKUP(A855,Raw_Data!A:L,5,FALSE),"mmm")</f>
        <v>Jun</v>
      </c>
    </row>
    <row r="856" spans="1:6" x14ac:dyDescent="0.35">
      <c r="A856" s="3" t="s">
        <v>1369</v>
      </c>
      <c r="B856" t="str">
        <f>VLOOKUP(A856,Raw_Data!A:L,6,FALSE)</f>
        <v>Air conditioner</v>
      </c>
      <c r="C856" t="str">
        <f>VLOOKUP(A856,Raw_Data!A:L,3,FALSE)</f>
        <v>UAE</v>
      </c>
      <c r="D856" s="3">
        <f>VLOOKUP(A856,Raw_Data!A:L,12,FALSE)</f>
        <v>5985</v>
      </c>
      <c r="E856" s="3">
        <f>VLOOKUP(A856,Raw_Data!A:L,11,FALSE)</f>
        <v>9</v>
      </c>
      <c r="F856" t="str">
        <f>TEXT(VLOOKUP(A856,Raw_Data!A:L,5,FALSE),"mmm")</f>
        <v>Aug</v>
      </c>
    </row>
    <row r="857" spans="1:6" x14ac:dyDescent="0.35">
      <c r="A857" s="3" t="s">
        <v>1370</v>
      </c>
      <c r="B857" t="str">
        <f>VLOOKUP(A857,Raw_Data!A:L,6,FALSE)</f>
        <v>Refrigerator</v>
      </c>
      <c r="C857" t="str">
        <f>VLOOKUP(A857,Raw_Data!A:L,3,FALSE)</f>
        <v>UK</v>
      </c>
      <c r="D857" s="3">
        <f>VLOOKUP(A857,Raw_Data!A:L,12,FALSE)</f>
        <v>16150</v>
      </c>
      <c r="E857" s="3">
        <f>VLOOKUP(A857,Raw_Data!A:L,11,FALSE)</f>
        <v>17</v>
      </c>
      <c r="F857" t="str">
        <f>TEXT(VLOOKUP(A857,Raw_Data!A:L,5,FALSE),"mmm")</f>
        <v>Mar</v>
      </c>
    </row>
    <row r="858" spans="1:6" x14ac:dyDescent="0.35">
      <c r="A858" s="3" t="s">
        <v>1371</v>
      </c>
      <c r="B858" t="str">
        <f>VLOOKUP(A858,Raw_Data!A:L,6,FALSE)</f>
        <v>Ceiling fan</v>
      </c>
      <c r="C858" t="str">
        <f>VLOOKUP(A858,Raw_Data!A:L,3,FALSE)</f>
        <v>Poland</v>
      </c>
      <c r="D858" s="3">
        <f>VLOOKUP(A858,Raw_Data!A:L,12,FALSE)</f>
        <v>4590</v>
      </c>
      <c r="E858" s="3">
        <f>VLOOKUP(A858,Raw_Data!A:L,11,FALSE)</f>
        <v>34</v>
      </c>
      <c r="F858" t="str">
        <f>TEXT(VLOOKUP(A858,Raw_Data!A:L,5,FALSE),"mmm")</f>
        <v>Mar</v>
      </c>
    </row>
    <row r="859" spans="1:6" x14ac:dyDescent="0.35">
      <c r="A859" s="3" t="s">
        <v>1372</v>
      </c>
      <c r="B859" t="str">
        <f>VLOOKUP(A859,Raw_Data!A:L,6,FALSE)</f>
        <v>Iron</v>
      </c>
      <c r="C859" t="str">
        <f>VLOOKUP(A859,Raw_Data!A:L,3,FALSE)</f>
        <v>USA</v>
      </c>
      <c r="D859" s="3">
        <f>VLOOKUP(A859,Raw_Data!A:L,12,FALSE)</f>
        <v>928</v>
      </c>
      <c r="E859" s="3">
        <f>VLOOKUP(A859,Raw_Data!A:L,11,FALSE)</f>
        <v>32</v>
      </c>
      <c r="F859" t="str">
        <f>TEXT(VLOOKUP(A859,Raw_Data!A:L,5,FALSE),"mmm")</f>
        <v>Mar</v>
      </c>
    </row>
    <row r="860" spans="1:6" x14ac:dyDescent="0.35">
      <c r="A860" s="3" t="s">
        <v>1373</v>
      </c>
      <c r="B860" t="str">
        <f>VLOOKUP(A860,Raw_Data!A:L,6,FALSE)</f>
        <v>Vacuum Cleaner</v>
      </c>
      <c r="C860" t="str">
        <f>VLOOKUP(A860,Raw_Data!A:L,3,FALSE)</f>
        <v>Austria</v>
      </c>
      <c r="D860" s="3">
        <f>VLOOKUP(A860,Raw_Data!A:L,12,FALSE)</f>
        <v>21627</v>
      </c>
      <c r="E860" s="3">
        <f>VLOOKUP(A860,Raw_Data!A:L,11,FALSE)</f>
        <v>89</v>
      </c>
      <c r="F860" t="str">
        <f>TEXT(VLOOKUP(A860,Raw_Data!A:L,5,FALSE),"mmm")</f>
        <v>Jul</v>
      </c>
    </row>
    <row r="861" spans="1:6" x14ac:dyDescent="0.35">
      <c r="A861" s="3" t="s">
        <v>1375</v>
      </c>
      <c r="B861" t="str">
        <f>VLOOKUP(A861,Raw_Data!A:L,6,FALSE)</f>
        <v>Iron</v>
      </c>
      <c r="C861" t="str">
        <f>VLOOKUP(A861,Raw_Data!A:L,3,FALSE)</f>
        <v>Japan</v>
      </c>
      <c r="D861" s="3">
        <f>VLOOKUP(A861,Raw_Data!A:L,12,FALSE)</f>
        <v>1508</v>
      </c>
      <c r="E861" s="3">
        <f>VLOOKUP(A861,Raw_Data!A:L,11,FALSE)</f>
        <v>52</v>
      </c>
      <c r="F861" t="str">
        <f>TEXT(VLOOKUP(A861,Raw_Data!A:L,5,FALSE),"mmm")</f>
        <v>Apr</v>
      </c>
    </row>
    <row r="862" spans="1:6" x14ac:dyDescent="0.35">
      <c r="A862" s="3" t="s">
        <v>1376</v>
      </c>
      <c r="B862" t="str">
        <f>VLOOKUP(A862,Raw_Data!A:L,6,FALSE)</f>
        <v>Dishwasher</v>
      </c>
      <c r="C862" t="str">
        <f>VLOOKUP(A862,Raw_Data!A:L,3,FALSE)</f>
        <v>China</v>
      </c>
      <c r="D862" s="3">
        <f>VLOOKUP(A862,Raw_Data!A:L,12,FALSE)</f>
        <v>7350</v>
      </c>
      <c r="E862" s="3">
        <f>VLOOKUP(A862,Raw_Data!A:L,11,FALSE)</f>
        <v>15</v>
      </c>
      <c r="F862" t="str">
        <f>TEXT(VLOOKUP(A862,Raw_Data!A:L,5,FALSE),"mmm")</f>
        <v>Dec</v>
      </c>
    </row>
    <row r="863" spans="1:6" x14ac:dyDescent="0.35">
      <c r="A863" s="3" t="s">
        <v>1377</v>
      </c>
      <c r="B863" t="str">
        <f>VLOOKUP(A863,Raw_Data!A:L,6,FALSE)</f>
        <v>Air conditioner</v>
      </c>
      <c r="C863" t="str">
        <f>VLOOKUP(A863,Raw_Data!A:L,3,FALSE)</f>
        <v>Canada</v>
      </c>
      <c r="D863" s="3">
        <f>VLOOKUP(A863,Raw_Data!A:L,12,FALSE)</f>
        <v>17836</v>
      </c>
      <c r="E863" s="3">
        <f>VLOOKUP(A863,Raw_Data!A:L,11,FALSE)</f>
        <v>26</v>
      </c>
      <c r="F863" t="str">
        <f>TEXT(VLOOKUP(A863,Raw_Data!A:L,5,FALSE),"mmm")</f>
        <v>Nov</v>
      </c>
    </row>
    <row r="864" spans="1:6" x14ac:dyDescent="0.35">
      <c r="A864" s="3" t="s">
        <v>1378</v>
      </c>
      <c r="B864" t="str">
        <f>VLOOKUP(A864,Raw_Data!A:L,6,FALSE)</f>
        <v>Microwave</v>
      </c>
      <c r="C864" t="str">
        <f>VLOOKUP(A864,Raw_Data!A:L,3,FALSE)</f>
        <v>India</v>
      </c>
      <c r="D864" s="3">
        <f>VLOOKUP(A864,Raw_Data!A:L,12,FALSE)</f>
        <v>4050</v>
      </c>
      <c r="E864" s="3">
        <f>VLOOKUP(A864,Raw_Data!A:L,11,FALSE)</f>
        <v>54</v>
      </c>
      <c r="F864" t="str">
        <f>TEXT(VLOOKUP(A864,Raw_Data!A:L,5,FALSE),"mmm")</f>
        <v>May</v>
      </c>
    </row>
    <row r="865" spans="1:6" x14ac:dyDescent="0.35">
      <c r="A865" s="3" t="s">
        <v>1379</v>
      </c>
      <c r="B865" t="str">
        <f>VLOOKUP(A865,Raw_Data!A:L,6,FALSE)</f>
        <v>Vacuum Cleaner</v>
      </c>
      <c r="C865" t="str">
        <f>VLOOKUP(A865,Raw_Data!A:L,3,FALSE)</f>
        <v>India</v>
      </c>
      <c r="D865" s="3">
        <f>VLOOKUP(A865,Raw_Data!A:L,12,FALSE)</f>
        <v>10927</v>
      </c>
      <c r="E865" s="3">
        <f>VLOOKUP(A865,Raw_Data!A:L,11,FALSE)</f>
        <v>49</v>
      </c>
      <c r="F865" t="str">
        <f>TEXT(VLOOKUP(A865,Raw_Data!A:L,5,FALSE),"mmm")</f>
        <v>May</v>
      </c>
    </row>
    <row r="866" spans="1:6" x14ac:dyDescent="0.35">
      <c r="A866" s="3" t="s">
        <v>1380</v>
      </c>
      <c r="B866" t="str">
        <f>VLOOKUP(A866,Raw_Data!A:L,6,FALSE)</f>
        <v>Dishwasher</v>
      </c>
      <c r="C866" t="str">
        <f>VLOOKUP(A866,Raw_Data!A:L,3,FALSE)</f>
        <v>UK</v>
      </c>
      <c r="D866" s="3">
        <f>VLOOKUP(A866,Raw_Data!A:L,12,FALSE)</f>
        <v>12960</v>
      </c>
      <c r="E866" s="3">
        <f>VLOOKUP(A866,Raw_Data!A:L,11,FALSE)</f>
        <v>27</v>
      </c>
      <c r="F866" t="str">
        <f>TEXT(VLOOKUP(A866,Raw_Data!A:L,5,FALSE),"mmm")</f>
        <v>Apr</v>
      </c>
    </row>
    <row r="867" spans="1:6" x14ac:dyDescent="0.35">
      <c r="A867" s="3" t="s">
        <v>1381</v>
      </c>
      <c r="B867" t="str">
        <f>VLOOKUP(A867,Raw_Data!A:L,6,FALSE)</f>
        <v>Blender</v>
      </c>
      <c r="C867" t="str">
        <f>VLOOKUP(A867,Raw_Data!A:L,3,FALSE)</f>
        <v>Japan</v>
      </c>
      <c r="D867" s="3">
        <f>VLOOKUP(A867,Raw_Data!A:L,12,FALSE)</f>
        <v>2150</v>
      </c>
      <c r="E867" s="3">
        <f>VLOOKUP(A867,Raw_Data!A:L,11,FALSE)</f>
        <v>43</v>
      </c>
      <c r="F867" t="str">
        <f>TEXT(VLOOKUP(A867,Raw_Data!A:L,5,FALSE),"mmm")</f>
        <v>Apr</v>
      </c>
    </row>
    <row r="868" spans="1:6" x14ac:dyDescent="0.35">
      <c r="A868" s="3" t="s">
        <v>1382</v>
      </c>
      <c r="B868" t="str">
        <f>VLOOKUP(A868,Raw_Data!A:L,6,FALSE)</f>
        <v>Toaster</v>
      </c>
      <c r="C868" t="str">
        <f>VLOOKUP(A868,Raw_Data!A:L,3,FALSE)</f>
        <v>China</v>
      </c>
      <c r="D868" s="3">
        <f>VLOOKUP(A868,Raw_Data!A:L,12,FALSE)</f>
        <v>1470</v>
      </c>
      <c r="E868" s="3">
        <f>VLOOKUP(A868,Raw_Data!A:L,11,FALSE)</f>
        <v>35</v>
      </c>
      <c r="F868" t="str">
        <f>TEXT(VLOOKUP(A868,Raw_Data!A:L,5,FALSE),"mmm")</f>
        <v>Sep</v>
      </c>
    </row>
    <row r="869" spans="1:6" x14ac:dyDescent="0.35">
      <c r="A869" s="3" t="s">
        <v>1383</v>
      </c>
      <c r="B869" t="str">
        <f>VLOOKUP(A869,Raw_Data!A:L,6,FALSE)</f>
        <v>Iron</v>
      </c>
      <c r="C869" t="str">
        <f>VLOOKUP(A869,Raw_Data!A:L,3,FALSE)</f>
        <v>Canada</v>
      </c>
      <c r="D869" s="3">
        <f>VLOOKUP(A869,Raw_Data!A:L,12,FALSE)</f>
        <v>882</v>
      </c>
      <c r="E869" s="3">
        <f>VLOOKUP(A869,Raw_Data!A:L,11,FALSE)</f>
        <v>42</v>
      </c>
      <c r="F869" t="str">
        <f>TEXT(VLOOKUP(A869,Raw_Data!A:L,5,FALSE),"mmm")</f>
        <v>Jan</v>
      </c>
    </row>
    <row r="870" spans="1:6" x14ac:dyDescent="0.35">
      <c r="A870" s="3" t="s">
        <v>1384</v>
      </c>
      <c r="B870" t="str">
        <f>VLOOKUP(A870,Raw_Data!A:L,6,FALSE)</f>
        <v>Oven</v>
      </c>
      <c r="C870" t="str">
        <f>VLOOKUP(A870,Raw_Data!A:L,3,FALSE)</f>
        <v>USA</v>
      </c>
      <c r="D870" s="3">
        <f>VLOOKUP(A870,Raw_Data!A:L,12,FALSE)</f>
        <v>1500</v>
      </c>
      <c r="E870" s="3">
        <f>VLOOKUP(A870,Raw_Data!A:L,11,FALSE)</f>
        <v>3</v>
      </c>
      <c r="F870" t="str">
        <f>TEXT(VLOOKUP(A870,Raw_Data!A:L,5,FALSE),"mmm")</f>
        <v>Jul</v>
      </c>
    </row>
    <row r="871" spans="1:6" x14ac:dyDescent="0.35">
      <c r="A871" s="3" t="s">
        <v>1385</v>
      </c>
      <c r="B871" t="str">
        <f>VLOOKUP(A871,Raw_Data!A:L,6,FALSE)</f>
        <v>Washing Machine</v>
      </c>
      <c r="C871" t="str">
        <f>VLOOKUP(A871,Raw_Data!A:L,3,FALSE)</f>
        <v>USA</v>
      </c>
      <c r="D871" s="3">
        <f>VLOOKUP(A871,Raw_Data!A:L,12,FALSE)</f>
        <v>46768</v>
      </c>
      <c r="E871" s="3">
        <f>VLOOKUP(A871,Raw_Data!A:L,11,FALSE)</f>
        <v>74</v>
      </c>
      <c r="F871" t="str">
        <f>TEXT(VLOOKUP(A871,Raw_Data!A:L,5,FALSE),"mmm")</f>
        <v>Dec</v>
      </c>
    </row>
    <row r="872" spans="1:6" x14ac:dyDescent="0.35">
      <c r="A872" s="3" t="s">
        <v>1386</v>
      </c>
      <c r="B872" t="str">
        <f>VLOOKUP(A872,Raw_Data!A:L,6,FALSE)</f>
        <v>Blender</v>
      </c>
      <c r="C872" t="str">
        <f>VLOOKUP(A872,Raw_Data!A:L,3,FALSE)</f>
        <v>Japan</v>
      </c>
      <c r="D872" s="3">
        <f>VLOOKUP(A872,Raw_Data!A:L,12,FALSE)</f>
        <v>506</v>
      </c>
      <c r="E872" s="3">
        <f>VLOOKUP(A872,Raw_Data!A:L,11,FALSE)</f>
        <v>11</v>
      </c>
      <c r="F872" t="str">
        <f>TEXT(VLOOKUP(A872,Raw_Data!A:L,5,FALSE),"mmm")</f>
        <v>Feb</v>
      </c>
    </row>
    <row r="873" spans="1:6" x14ac:dyDescent="0.35">
      <c r="A873" s="3" t="s">
        <v>1387</v>
      </c>
      <c r="B873" t="str">
        <f>VLOOKUP(A873,Raw_Data!A:L,6,FALSE)</f>
        <v>Toaster</v>
      </c>
      <c r="C873" t="str">
        <f>VLOOKUP(A873,Raw_Data!A:L,3,FALSE)</f>
        <v>China</v>
      </c>
      <c r="D873" s="3">
        <f>VLOOKUP(A873,Raw_Data!A:L,12,FALSE)</f>
        <v>4368</v>
      </c>
      <c r="E873" s="3">
        <f>VLOOKUP(A873,Raw_Data!A:L,11,FALSE)</f>
        <v>91</v>
      </c>
      <c r="F873" t="str">
        <f>TEXT(VLOOKUP(A873,Raw_Data!A:L,5,FALSE),"mmm")</f>
        <v>Oct</v>
      </c>
    </row>
    <row r="874" spans="1:6" x14ac:dyDescent="0.35">
      <c r="A874" s="3" t="s">
        <v>1388</v>
      </c>
      <c r="B874" t="str">
        <f>VLOOKUP(A874,Raw_Data!A:L,6,FALSE)</f>
        <v>Washing Machine</v>
      </c>
      <c r="C874" t="str">
        <f>VLOOKUP(A874,Raw_Data!A:L,3,FALSE)</f>
        <v>USA</v>
      </c>
      <c r="D874" s="3">
        <f>VLOOKUP(A874,Raw_Data!A:L,12,FALSE)</f>
        <v>45408</v>
      </c>
      <c r="E874" s="3">
        <f>VLOOKUP(A874,Raw_Data!A:L,11,FALSE)</f>
        <v>86</v>
      </c>
      <c r="F874" t="str">
        <f>TEXT(VLOOKUP(A874,Raw_Data!A:L,5,FALSE),"mmm")</f>
        <v>Aug</v>
      </c>
    </row>
    <row r="875" spans="1:6" x14ac:dyDescent="0.35">
      <c r="A875" s="3" t="s">
        <v>1389</v>
      </c>
      <c r="B875" t="str">
        <f>VLOOKUP(A875,Raw_Data!A:L,6,FALSE)</f>
        <v>Blender</v>
      </c>
      <c r="C875" t="str">
        <f>VLOOKUP(A875,Raw_Data!A:L,3,FALSE)</f>
        <v>Ireland</v>
      </c>
      <c r="D875" s="3">
        <f>VLOOKUP(A875,Raw_Data!A:L,12,FALSE)</f>
        <v>1316</v>
      </c>
      <c r="E875" s="3">
        <f>VLOOKUP(A875,Raw_Data!A:L,11,FALSE)</f>
        <v>28</v>
      </c>
      <c r="F875" t="str">
        <f>TEXT(VLOOKUP(A875,Raw_Data!A:L,5,FALSE),"mmm")</f>
        <v>Jan</v>
      </c>
    </row>
    <row r="876" spans="1:6" x14ac:dyDescent="0.35">
      <c r="A876" s="3" t="s">
        <v>1390</v>
      </c>
      <c r="B876" t="str">
        <f>VLOOKUP(A876,Raw_Data!A:L,6,FALSE)</f>
        <v>Ceiling fan</v>
      </c>
      <c r="C876" t="str">
        <f>VLOOKUP(A876,Raw_Data!A:L,3,FALSE)</f>
        <v>China</v>
      </c>
      <c r="D876" s="3">
        <f>VLOOKUP(A876,Raw_Data!A:L,12,FALSE)</f>
        <v>11610</v>
      </c>
      <c r="E876" s="3">
        <f>VLOOKUP(A876,Raw_Data!A:L,11,FALSE)</f>
        <v>90</v>
      </c>
      <c r="F876" t="str">
        <f>TEXT(VLOOKUP(A876,Raw_Data!A:L,5,FALSE),"mmm")</f>
        <v>Jan</v>
      </c>
    </row>
    <row r="877" spans="1:6" x14ac:dyDescent="0.35">
      <c r="A877" s="3" t="s">
        <v>1391</v>
      </c>
      <c r="B877" t="str">
        <f>VLOOKUP(A877,Raw_Data!A:L,6,FALSE)</f>
        <v>Air conditioner</v>
      </c>
      <c r="C877" t="str">
        <f>VLOOKUP(A877,Raw_Data!A:L,3,FALSE)</f>
        <v>Argentina</v>
      </c>
      <c r="D877" s="3">
        <f>VLOOKUP(A877,Raw_Data!A:L,12,FALSE)</f>
        <v>25564</v>
      </c>
      <c r="E877" s="3">
        <f>VLOOKUP(A877,Raw_Data!A:L,11,FALSE)</f>
        <v>44</v>
      </c>
      <c r="F877" t="str">
        <f>TEXT(VLOOKUP(A877,Raw_Data!A:L,5,FALSE),"mmm")</f>
        <v>Nov</v>
      </c>
    </row>
    <row r="878" spans="1:6" x14ac:dyDescent="0.35">
      <c r="A878" s="3" t="s">
        <v>1392</v>
      </c>
      <c r="B878" t="str">
        <f>VLOOKUP(A878,Raw_Data!A:L,6,FALSE)</f>
        <v>Iron</v>
      </c>
      <c r="C878" t="str">
        <f>VLOOKUP(A878,Raw_Data!A:L,3,FALSE)</f>
        <v>China</v>
      </c>
      <c r="D878" s="3">
        <f>VLOOKUP(A878,Raw_Data!A:L,12,FALSE)</f>
        <v>783</v>
      </c>
      <c r="E878" s="3">
        <f>VLOOKUP(A878,Raw_Data!A:L,11,FALSE)</f>
        <v>29</v>
      </c>
      <c r="F878" t="str">
        <f>TEXT(VLOOKUP(A878,Raw_Data!A:L,5,FALSE),"mmm")</f>
        <v>Jan</v>
      </c>
    </row>
    <row r="879" spans="1:6" x14ac:dyDescent="0.35">
      <c r="A879" s="3" t="s">
        <v>1393</v>
      </c>
      <c r="B879" t="str">
        <f>VLOOKUP(A879,Raw_Data!A:L,6,FALSE)</f>
        <v>Microwave</v>
      </c>
      <c r="C879" t="str">
        <f>VLOOKUP(A879,Raw_Data!A:L,3,FALSE)</f>
        <v>Japan</v>
      </c>
      <c r="D879" s="3">
        <f>VLOOKUP(A879,Raw_Data!A:L,12,FALSE)</f>
        <v>2175</v>
      </c>
      <c r="E879" s="3">
        <f>VLOOKUP(A879,Raw_Data!A:L,11,FALSE)</f>
        <v>29</v>
      </c>
      <c r="F879" t="str">
        <f>TEXT(VLOOKUP(A879,Raw_Data!A:L,5,FALSE),"mmm")</f>
        <v>Nov</v>
      </c>
    </row>
    <row r="880" spans="1:6" x14ac:dyDescent="0.35">
      <c r="A880" s="3" t="s">
        <v>1394</v>
      </c>
      <c r="B880" t="str">
        <f>VLOOKUP(A880,Raw_Data!A:L,6,FALSE)</f>
        <v>Washing Machine</v>
      </c>
      <c r="C880" t="str">
        <f>VLOOKUP(A880,Raw_Data!A:L,3,FALSE)</f>
        <v>Japan</v>
      </c>
      <c r="D880" s="3">
        <f>VLOOKUP(A880,Raw_Data!A:L,12,FALSE)</f>
        <v>49312</v>
      </c>
      <c r="E880" s="3">
        <f>VLOOKUP(A880,Raw_Data!A:L,11,FALSE)</f>
        <v>67</v>
      </c>
      <c r="F880" t="str">
        <f>TEXT(VLOOKUP(A880,Raw_Data!A:L,5,FALSE),"mmm")</f>
        <v>Oct</v>
      </c>
    </row>
    <row r="881" spans="1:6" x14ac:dyDescent="0.35">
      <c r="A881" s="3" t="s">
        <v>1395</v>
      </c>
      <c r="B881" t="str">
        <f>VLOOKUP(A881,Raw_Data!A:L,6,FALSE)</f>
        <v>Refrigerator</v>
      </c>
      <c r="C881" t="str">
        <f>VLOOKUP(A881,Raw_Data!A:L,3,FALSE)</f>
        <v>South Korea</v>
      </c>
      <c r="D881" s="3">
        <f>VLOOKUP(A881,Raw_Data!A:L,12,FALSE)</f>
        <v>29040</v>
      </c>
      <c r="E881" s="3">
        <f>VLOOKUP(A881,Raw_Data!A:L,11,FALSE)</f>
        <v>33</v>
      </c>
      <c r="F881" t="str">
        <f>TEXT(VLOOKUP(A881,Raw_Data!A:L,5,FALSE),"mmm")</f>
        <v>Mar</v>
      </c>
    </row>
    <row r="882" spans="1:6" x14ac:dyDescent="0.35">
      <c r="A882" s="3" t="s">
        <v>1396</v>
      </c>
      <c r="B882" t="str">
        <f>VLOOKUP(A882,Raw_Data!A:L,6,FALSE)</f>
        <v>Toaster</v>
      </c>
      <c r="C882" t="str">
        <f>VLOOKUP(A882,Raw_Data!A:L,3,FALSE)</f>
        <v>Greece</v>
      </c>
      <c r="D882" s="3">
        <f>VLOOKUP(A882,Raw_Data!A:L,12,FALSE)</f>
        <v>3744</v>
      </c>
      <c r="E882" s="3">
        <f>VLOOKUP(A882,Raw_Data!A:L,11,FALSE)</f>
        <v>78</v>
      </c>
      <c r="F882" t="str">
        <f>TEXT(VLOOKUP(A882,Raw_Data!A:L,5,FALSE),"mmm")</f>
        <v>Aug</v>
      </c>
    </row>
    <row r="883" spans="1:6" x14ac:dyDescent="0.35">
      <c r="A883" s="3" t="s">
        <v>1397</v>
      </c>
      <c r="B883" t="str">
        <f>VLOOKUP(A883,Raw_Data!A:L,6,FALSE)</f>
        <v>Blender</v>
      </c>
      <c r="C883" t="str">
        <f>VLOOKUP(A883,Raw_Data!A:L,3,FALSE)</f>
        <v>Mexico</v>
      </c>
      <c r="D883" s="3">
        <f>VLOOKUP(A883,Raw_Data!A:L,12,FALSE)</f>
        <v>3185</v>
      </c>
      <c r="E883" s="3">
        <f>VLOOKUP(A883,Raw_Data!A:L,11,FALSE)</f>
        <v>65</v>
      </c>
      <c r="F883" t="str">
        <f>TEXT(VLOOKUP(A883,Raw_Data!A:L,5,FALSE),"mmm")</f>
        <v>Sep</v>
      </c>
    </row>
    <row r="884" spans="1:6" x14ac:dyDescent="0.35">
      <c r="A884" s="3" t="s">
        <v>1398</v>
      </c>
      <c r="B884" t="str">
        <f>VLOOKUP(A884,Raw_Data!A:L,6,FALSE)</f>
        <v>Iron</v>
      </c>
      <c r="C884" t="str">
        <f>VLOOKUP(A884,Raw_Data!A:L,3,FALSE)</f>
        <v>Peru</v>
      </c>
      <c r="D884" s="3">
        <f>VLOOKUP(A884,Raw_Data!A:L,12,FALSE)</f>
        <v>1836</v>
      </c>
      <c r="E884" s="3">
        <f>VLOOKUP(A884,Raw_Data!A:L,11,FALSE)</f>
        <v>68</v>
      </c>
      <c r="F884" t="str">
        <f>TEXT(VLOOKUP(A884,Raw_Data!A:L,5,FALSE),"mmm")</f>
        <v>Apr</v>
      </c>
    </row>
    <row r="885" spans="1:6" x14ac:dyDescent="0.35">
      <c r="A885" s="3" t="s">
        <v>1399</v>
      </c>
      <c r="B885" t="str">
        <f>VLOOKUP(A885,Raw_Data!A:L,6,FALSE)</f>
        <v>Refrigerator</v>
      </c>
      <c r="C885" t="str">
        <f>VLOOKUP(A885,Raw_Data!A:L,3,FALSE)</f>
        <v>Israel</v>
      </c>
      <c r="D885" s="3">
        <f>VLOOKUP(A885,Raw_Data!A:L,12,FALSE)</f>
        <v>79050</v>
      </c>
      <c r="E885" s="3">
        <f>VLOOKUP(A885,Raw_Data!A:L,11,FALSE)</f>
        <v>93</v>
      </c>
      <c r="F885" t="str">
        <f>TEXT(VLOOKUP(A885,Raw_Data!A:L,5,FALSE),"mmm")</f>
        <v>Nov</v>
      </c>
    </row>
    <row r="886" spans="1:6" x14ac:dyDescent="0.35">
      <c r="A886" s="3" t="s">
        <v>1400</v>
      </c>
      <c r="B886" t="str">
        <f>VLOOKUP(A886,Raw_Data!A:L,6,FALSE)</f>
        <v>Refrigerator</v>
      </c>
      <c r="C886" t="str">
        <f>VLOOKUP(A886,Raw_Data!A:L,3,FALSE)</f>
        <v>Argentina</v>
      </c>
      <c r="D886" s="3">
        <f>VLOOKUP(A886,Raw_Data!A:L,12,FALSE)</f>
        <v>1120</v>
      </c>
      <c r="E886" s="3">
        <f>VLOOKUP(A886,Raw_Data!A:L,11,FALSE)</f>
        <v>2</v>
      </c>
      <c r="F886" t="str">
        <f>TEXT(VLOOKUP(A886,Raw_Data!A:L,5,FALSE),"mmm")</f>
        <v>Apr</v>
      </c>
    </row>
    <row r="887" spans="1:6" x14ac:dyDescent="0.35">
      <c r="A887" s="3" t="s">
        <v>1402</v>
      </c>
      <c r="B887" t="str">
        <f>VLOOKUP(A887,Raw_Data!A:L,6,FALSE)</f>
        <v>Iron</v>
      </c>
      <c r="C887" t="str">
        <f>VLOOKUP(A887,Raw_Data!A:L,3,FALSE)</f>
        <v>India</v>
      </c>
      <c r="D887" s="3">
        <f>VLOOKUP(A887,Raw_Data!A:L,12,FALSE)</f>
        <v>2450</v>
      </c>
      <c r="E887" s="3">
        <f>VLOOKUP(A887,Raw_Data!A:L,11,FALSE)</f>
        <v>98</v>
      </c>
      <c r="F887" t="str">
        <f>TEXT(VLOOKUP(A887,Raw_Data!A:L,5,FALSE),"mmm")</f>
        <v>May</v>
      </c>
    </row>
    <row r="888" spans="1:6" x14ac:dyDescent="0.35">
      <c r="A888" s="3" t="s">
        <v>1403</v>
      </c>
      <c r="B888" t="str">
        <f>VLOOKUP(A888,Raw_Data!A:L,6,FALSE)</f>
        <v>Toaster</v>
      </c>
      <c r="C888" t="str">
        <f>VLOOKUP(A888,Raw_Data!A:L,3,FALSE)</f>
        <v>Japan</v>
      </c>
      <c r="D888" s="3">
        <f>VLOOKUP(A888,Raw_Data!A:L,12,FALSE)</f>
        <v>368</v>
      </c>
      <c r="E888" s="3">
        <f>VLOOKUP(A888,Raw_Data!A:L,11,FALSE)</f>
        <v>8</v>
      </c>
      <c r="F888" t="str">
        <f>TEXT(VLOOKUP(A888,Raw_Data!A:L,5,FALSE),"mmm")</f>
        <v>Mar</v>
      </c>
    </row>
    <row r="889" spans="1:6" x14ac:dyDescent="0.35">
      <c r="A889" s="3" t="s">
        <v>1405</v>
      </c>
      <c r="B889" t="str">
        <f>VLOOKUP(A889,Raw_Data!A:L,6,FALSE)</f>
        <v>Dishwasher</v>
      </c>
      <c r="C889" t="str">
        <f>VLOOKUP(A889,Raw_Data!A:L,3,FALSE)</f>
        <v>Mexico</v>
      </c>
      <c r="D889" s="3">
        <f>VLOOKUP(A889,Raw_Data!A:L,12,FALSE)</f>
        <v>16775</v>
      </c>
      <c r="E889" s="3">
        <f>VLOOKUP(A889,Raw_Data!A:L,11,FALSE)</f>
        <v>55</v>
      </c>
      <c r="F889" t="str">
        <f>TEXT(VLOOKUP(A889,Raw_Data!A:L,5,FALSE),"mmm")</f>
        <v>Jan</v>
      </c>
    </row>
    <row r="890" spans="1:6" x14ac:dyDescent="0.35">
      <c r="A890" s="3" t="s">
        <v>1407</v>
      </c>
      <c r="B890" t="str">
        <f>VLOOKUP(A890,Raw_Data!A:L,6,FALSE)</f>
        <v>Blender</v>
      </c>
      <c r="C890" t="str">
        <f>VLOOKUP(A890,Raw_Data!A:L,3,FALSE)</f>
        <v>Malaysia</v>
      </c>
      <c r="D890" s="3">
        <f>VLOOKUP(A890,Raw_Data!A:L,12,FALSE)</f>
        <v>336</v>
      </c>
      <c r="E890" s="3">
        <f>VLOOKUP(A890,Raw_Data!A:L,11,FALSE)</f>
        <v>7</v>
      </c>
      <c r="F890" t="str">
        <f>TEXT(VLOOKUP(A890,Raw_Data!A:L,5,FALSE),"mmm")</f>
        <v>Mar</v>
      </c>
    </row>
    <row r="891" spans="1:6" x14ac:dyDescent="0.35">
      <c r="A891" s="3" t="s">
        <v>1408</v>
      </c>
      <c r="B891" t="str">
        <f>VLOOKUP(A891,Raw_Data!A:L,6,FALSE)</f>
        <v>Dishwasher</v>
      </c>
      <c r="C891" t="str">
        <f>VLOOKUP(A891,Raw_Data!A:L,3,FALSE)</f>
        <v>Czech Republic</v>
      </c>
      <c r="D891" s="3">
        <f>VLOOKUP(A891,Raw_Data!A:L,12,FALSE)</f>
        <v>40455</v>
      </c>
      <c r="E891" s="3">
        <f>VLOOKUP(A891,Raw_Data!A:L,11,FALSE)</f>
        <v>93</v>
      </c>
      <c r="F891" t="str">
        <f>TEXT(VLOOKUP(A891,Raw_Data!A:L,5,FALSE),"mmm")</f>
        <v>Feb</v>
      </c>
    </row>
    <row r="892" spans="1:6" x14ac:dyDescent="0.35">
      <c r="A892" s="3" t="s">
        <v>1410</v>
      </c>
      <c r="B892" t="str">
        <f>VLOOKUP(A892,Raw_Data!A:L,6,FALSE)</f>
        <v>Oven</v>
      </c>
      <c r="C892" t="str">
        <f>VLOOKUP(A892,Raw_Data!A:L,3,FALSE)</f>
        <v>Turkey</v>
      </c>
      <c r="D892" s="3">
        <f>VLOOKUP(A892,Raw_Data!A:L,12,FALSE)</f>
        <v>40000</v>
      </c>
      <c r="E892" s="3">
        <f>VLOOKUP(A892,Raw_Data!A:L,11,FALSE)</f>
        <v>80</v>
      </c>
      <c r="F892" t="str">
        <f>TEXT(VLOOKUP(A892,Raw_Data!A:L,5,FALSE),"mmm")</f>
        <v>Jan</v>
      </c>
    </row>
    <row r="893" spans="1:6" x14ac:dyDescent="0.35">
      <c r="A893" s="3" t="s">
        <v>1411</v>
      </c>
      <c r="B893" t="str">
        <f>VLOOKUP(A893,Raw_Data!A:L,6,FALSE)</f>
        <v>Coffee grinder</v>
      </c>
      <c r="C893" t="str">
        <f>VLOOKUP(A893,Raw_Data!A:L,3,FALSE)</f>
        <v>USA</v>
      </c>
      <c r="D893" s="3">
        <f>VLOOKUP(A893,Raw_Data!A:L,12,FALSE)</f>
        <v>5478</v>
      </c>
      <c r="E893" s="3">
        <f>VLOOKUP(A893,Raw_Data!A:L,11,FALSE)</f>
        <v>83</v>
      </c>
      <c r="F893" t="str">
        <f>TEXT(VLOOKUP(A893,Raw_Data!A:L,5,FALSE),"mmm")</f>
        <v>Sep</v>
      </c>
    </row>
    <row r="894" spans="1:6" x14ac:dyDescent="0.35">
      <c r="A894" s="3" t="s">
        <v>1413</v>
      </c>
      <c r="B894" t="str">
        <f>VLOOKUP(A894,Raw_Data!A:L,6,FALSE)</f>
        <v>Coffee grinder</v>
      </c>
      <c r="C894" t="str">
        <f>VLOOKUP(A894,Raw_Data!A:L,3,FALSE)</f>
        <v>Australia</v>
      </c>
      <c r="D894" s="3">
        <f>VLOOKUP(A894,Raw_Data!A:L,12,FALSE)</f>
        <v>420</v>
      </c>
      <c r="E894" s="3">
        <f>VLOOKUP(A894,Raw_Data!A:L,11,FALSE)</f>
        <v>6</v>
      </c>
      <c r="F894" t="str">
        <f>TEXT(VLOOKUP(A894,Raw_Data!A:L,5,FALSE),"mmm")</f>
        <v>Apr</v>
      </c>
    </row>
    <row r="895" spans="1:6" x14ac:dyDescent="0.35">
      <c r="A895" s="3" t="s">
        <v>1414</v>
      </c>
      <c r="B895" t="str">
        <f>VLOOKUP(A895,Raw_Data!A:L,6,FALSE)</f>
        <v>Microwave</v>
      </c>
      <c r="C895" t="str">
        <f>VLOOKUP(A895,Raw_Data!A:L,3,FALSE)</f>
        <v>India</v>
      </c>
      <c r="D895" s="3">
        <f>VLOOKUP(A895,Raw_Data!A:L,12,FALSE)</f>
        <v>7426</v>
      </c>
      <c r="E895" s="3">
        <f>VLOOKUP(A895,Raw_Data!A:L,11,FALSE)</f>
        <v>94</v>
      </c>
      <c r="F895" t="str">
        <f>TEXT(VLOOKUP(A895,Raw_Data!A:L,5,FALSE),"mmm")</f>
        <v>Dec</v>
      </c>
    </row>
    <row r="896" spans="1:6" x14ac:dyDescent="0.35">
      <c r="A896" s="3" t="s">
        <v>1416</v>
      </c>
      <c r="B896" t="str">
        <f>VLOOKUP(A896,Raw_Data!A:L,6,FALSE)</f>
        <v>Iron</v>
      </c>
      <c r="C896" t="str">
        <f>VLOOKUP(A896,Raw_Data!A:L,3,FALSE)</f>
        <v>France</v>
      </c>
      <c r="D896" s="3">
        <f>VLOOKUP(A896,Raw_Data!A:L,12,FALSE)</f>
        <v>476</v>
      </c>
      <c r="E896" s="3">
        <f>VLOOKUP(A896,Raw_Data!A:L,11,FALSE)</f>
        <v>17</v>
      </c>
      <c r="F896" t="str">
        <f>TEXT(VLOOKUP(A896,Raw_Data!A:L,5,FALSE),"mmm")</f>
        <v>Feb</v>
      </c>
    </row>
    <row r="897" spans="1:6" x14ac:dyDescent="0.35">
      <c r="A897" s="3" t="s">
        <v>1417</v>
      </c>
      <c r="B897" t="str">
        <f>VLOOKUP(A897,Raw_Data!A:L,6,FALSE)</f>
        <v>Dishwasher</v>
      </c>
      <c r="C897" t="str">
        <f>VLOOKUP(A897,Raw_Data!A:L,3,FALSE)</f>
        <v>France</v>
      </c>
      <c r="D897" s="3">
        <f>VLOOKUP(A897,Raw_Data!A:L,12,FALSE)</f>
        <v>24735</v>
      </c>
      <c r="E897" s="3">
        <f>VLOOKUP(A897,Raw_Data!A:L,11,FALSE)</f>
        <v>51</v>
      </c>
      <c r="F897" t="str">
        <f>TEXT(VLOOKUP(A897,Raw_Data!A:L,5,FALSE),"mmm")</f>
        <v>Sep</v>
      </c>
    </row>
    <row r="898" spans="1:6" x14ac:dyDescent="0.35">
      <c r="A898" s="3" t="s">
        <v>1418</v>
      </c>
      <c r="B898" t="str">
        <f>VLOOKUP(A898,Raw_Data!A:L,6,FALSE)</f>
        <v>Coffee grinder</v>
      </c>
      <c r="C898" t="str">
        <f>VLOOKUP(A898,Raw_Data!A:L,3,FALSE)</f>
        <v>Spain</v>
      </c>
      <c r="D898" s="3">
        <f>VLOOKUP(A898,Raw_Data!A:L,12,FALSE)</f>
        <v>3886</v>
      </c>
      <c r="E898" s="3">
        <f>VLOOKUP(A898,Raw_Data!A:L,11,FALSE)</f>
        <v>58</v>
      </c>
      <c r="F898" t="str">
        <f>TEXT(VLOOKUP(A898,Raw_Data!A:L,5,FALSE),"mmm")</f>
        <v>Feb</v>
      </c>
    </row>
    <row r="899" spans="1:6" x14ac:dyDescent="0.35">
      <c r="A899" s="3" t="s">
        <v>1419</v>
      </c>
      <c r="B899" t="str">
        <f>VLOOKUP(A899,Raw_Data!A:L,6,FALSE)</f>
        <v>Ceiling fan</v>
      </c>
      <c r="C899" t="str">
        <f>VLOOKUP(A899,Raw_Data!A:L,3,FALSE)</f>
        <v>Ireland</v>
      </c>
      <c r="D899" s="3">
        <f>VLOOKUP(A899,Raw_Data!A:L,12,FALSE)</f>
        <v>429</v>
      </c>
      <c r="E899" s="3">
        <f>VLOOKUP(A899,Raw_Data!A:L,11,FALSE)</f>
        <v>3</v>
      </c>
      <c r="F899" t="str">
        <f>TEXT(VLOOKUP(A899,Raw_Data!A:L,5,FALSE),"mmm")</f>
        <v>May</v>
      </c>
    </row>
    <row r="900" spans="1:6" x14ac:dyDescent="0.35">
      <c r="A900" s="3" t="s">
        <v>1420</v>
      </c>
      <c r="B900" t="str">
        <f>VLOOKUP(A900,Raw_Data!A:L,6,FALSE)</f>
        <v>Refrigerator</v>
      </c>
      <c r="C900" t="str">
        <f>VLOOKUP(A900,Raw_Data!A:L,3,FALSE)</f>
        <v>Australia</v>
      </c>
      <c r="D900" s="3">
        <f>VLOOKUP(A900,Raw_Data!A:L,12,FALSE)</f>
        <v>29640</v>
      </c>
      <c r="E900" s="3">
        <f>VLOOKUP(A900,Raw_Data!A:L,11,FALSE)</f>
        <v>52</v>
      </c>
      <c r="F900" t="str">
        <f>TEXT(VLOOKUP(A900,Raw_Data!A:L,5,FALSE),"mmm")</f>
        <v>Feb</v>
      </c>
    </row>
    <row r="901" spans="1:6" x14ac:dyDescent="0.35">
      <c r="A901" s="3" t="s">
        <v>1421</v>
      </c>
      <c r="B901" t="str">
        <f>VLOOKUP(A901,Raw_Data!A:L,6,FALSE)</f>
        <v>Vacuum Cleaner</v>
      </c>
      <c r="C901" t="str">
        <f>VLOOKUP(A901,Raw_Data!A:L,3,FALSE)</f>
        <v>Poland</v>
      </c>
      <c r="D901" s="3">
        <f>VLOOKUP(A901,Raw_Data!A:L,12,FALSE)</f>
        <v>15510</v>
      </c>
      <c r="E901" s="3">
        <f>VLOOKUP(A901,Raw_Data!A:L,11,FALSE)</f>
        <v>66</v>
      </c>
      <c r="F901" t="str">
        <f>TEXT(VLOOKUP(A901,Raw_Data!A:L,5,FALSE),"mmm")</f>
        <v>Jul</v>
      </c>
    </row>
    <row r="902" spans="1:6" x14ac:dyDescent="0.35">
      <c r="A902" s="3" t="s">
        <v>1423</v>
      </c>
      <c r="B902" t="str">
        <f>VLOOKUP(A902,Raw_Data!A:L,6,FALSE)</f>
        <v>Washing Machine</v>
      </c>
      <c r="C902" t="str">
        <f>VLOOKUP(A902,Raw_Data!A:L,3,FALSE)</f>
        <v>Egypt</v>
      </c>
      <c r="D902" s="3">
        <f>VLOOKUP(A902,Raw_Data!A:L,12,FALSE)</f>
        <v>76000</v>
      </c>
      <c r="E902" s="3">
        <f>VLOOKUP(A902,Raw_Data!A:L,11,FALSE)</f>
        <v>100</v>
      </c>
      <c r="F902" t="str">
        <f>TEXT(VLOOKUP(A902,Raw_Data!A:L,5,FALSE),"mmm")</f>
        <v>Nov</v>
      </c>
    </row>
    <row r="903" spans="1:6" x14ac:dyDescent="0.35">
      <c r="A903" s="3" t="s">
        <v>1424</v>
      </c>
      <c r="B903" t="str">
        <f>VLOOKUP(A903,Raw_Data!A:L,6,FALSE)</f>
        <v>Iron</v>
      </c>
      <c r="C903" t="str">
        <f>VLOOKUP(A903,Raw_Data!A:L,3,FALSE)</f>
        <v>Israel</v>
      </c>
      <c r="D903" s="3">
        <f>VLOOKUP(A903,Raw_Data!A:L,12,FALSE)</f>
        <v>759</v>
      </c>
      <c r="E903" s="3">
        <f>VLOOKUP(A903,Raw_Data!A:L,11,FALSE)</f>
        <v>33</v>
      </c>
      <c r="F903" t="str">
        <f>TEXT(VLOOKUP(A903,Raw_Data!A:L,5,FALSE),"mmm")</f>
        <v>Mar</v>
      </c>
    </row>
    <row r="904" spans="1:6" x14ac:dyDescent="0.35">
      <c r="A904" s="3" t="s">
        <v>1426</v>
      </c>
      <c r="B904" t="str">
        <f>VLOOKUP(A904,Raw_Data!A:L,6,FALSE)</f>
        <v>Iron</v>
      </c>
      <c r="C904" t="str">
        <f>VLOOKUP(A904,Raw_Data!A:L,3,FALSE)</f>
        <v>USA</v>
      </c>
      <c r="D904" s="3">
        <f>VLOOKUP(A904,Raw_Data!A:L,12,FALSE)</f>
        <v>338</v>
      </c>
      <c r="E904" s="3">
        <f>VLOOKUP(A904,Raw_Data!A:L,11,FALSE)</f>
        <v>13</v>
      </c>
      <c r="F904" t="str">
        <f>TEXT(VLOOKUP(A904,Raw_Data!A:L,5,FALSE),"mmm")</f>
        <v>Nov</v>
      </c>
    </row>
    <row r="905" spans="1:6" x14ac:dyDescent="0.35">
      <c r="A905" s="3" t="s">
        <v>1427</v>
      </c>
      <c r="B905" t="str">
        <f>VLOOKUP(A905,Raw_Data!A:L,6,FALSE)</f>
        <v>Coffee grinder</v>
      </c>
      <c r="C905" t="str">
        <f>VLOOKUP(A905,Raw_Data!A:L,3,FALSE)</f>
        <v>China</v>
      </c>
      <c r="D905" s="3">
        <f>VLOOKUP(A905,Raw_Data!A:L,12,FALSE)</f>
        <v>2508</v>
      </c>
      <c r="E905" s="3">
        <f>VLOOKUP(A905,Raw_Data!A:L,11,FALSE)</f>
        <v>44</v>
      </c>
      <c r="F905" t="str">
        <f>TEXT(VLOOKUP(A905,Raw_Data!A:L,5,FALSE),"mmm")</f>
        <v>Apr</v>
      </c>
    </row>
    <row r="906" spans="1:6" x14ac:dyDescent="0.35">
      <c r="A906" s="3" t="s">
        <v>1428</v>
      </c>
      <c r="B906" t="str">
        <f>VLOOKUP(A906,Raw_Data!A:L,6,FALSE)</f>
        <v>Washing Machine</v>
      </c>
      <c r="C906" t="str">
        <f>VLOOKUP(A906,Raw_Data!A:L,3,FALSE)</f>
        <v>Turkey</v>
      </c>
      <c r="D906" s="3">
        <f>VLOOKUP(A906,Raw_Data!A:L,12,FALSE)</f>
        <v>45056</v>
      </c>
      <c r="E906" s="3">
        <f>VLOOKUP(A906,Raw_Data!A:L,11,FALSE)</f>
        <v>88</v>
      </c>
      <c r="F906" t="str">
        <f>TEXT(VLOOKUP(A906,Raw_Data!A:L,5,FALSE),"mmm")</f>
        <v>May</v>
      </c>
    </row>
    <row r="907" spans="1:6" x14ac:dyDescent="0.35">
      <c r="A907" s="3" t="s">
        <v>1429</v>
      </c>
      <c r="B907" t="str">
        <f>VLOOKUP(A907,Raw_Data!A:L,6,FALSE)</f>
        <v>Oven</v>
      </c>
      <c r="C907" t="str">
        <f>VLOOKUP(A907,Raw_Data!A:L,3,FALSE)</f>
        <v>Australia</v>
      </c>
      <c r="D907" s="3">
        <f>VLOOKUP(A907,Raw_Data!A:L,12,FALSE)</f>
        <v>36500</v>
      </c>
      <c r="E907" s="3">
        <f>VLOOKUP(A907,Raw_Data!A:L,11,FALSE)</f>
        <v>73</v>
      </c>
      <c r="F907" t="str">
        <f>TEXT(VLOOKUP(A907,Raw_Data!A:L,5,FALSE),"mmm")</f>
        <v>Feb</v>
      </c>
    </row>
    <row r="908" spans="1:6" x14ac:dyDescent="0.35">
      <c r="A908" s="3" t="s">
        <v>1430</v>
      </c>
      <c r="B908" t="str">
        <f>VLOOKUP(A908,Raw_Data!A:L,6,FALSE)</f>
        <v>Air conditioner</v>
      </c>
      <c r="C908" t="str">
        <f>VLOOKUP(A908,Raw_Data!A:L,3,FALSE)</f>
        <v>USA</v>
      </c>
      <c r="D908" s="3">
        <f>VLOOKUP(A908,Raw_Data!A:L,12,FALSE)</f>
        <v>18270</v>
      </c>
      <c r="E908" s="3">
        <f>VLOOKUP(A908,Raw_Data!A:L,11,FALSE)</f>
        <v>30</v>
      </c>
      <c r="F908" t="str">
        <f>TEXT(VLOOKUP(A908,Raw_Data!A:L,5,FALSE),"mmm")</f>
        <v>Jan</v>
      </c>
    </row>
    <row r="909" spans="1:6" x14ac:dyDescent="0.35">
      <c r="A909" s="3" t="s">
        <v>1431</v>
      </c>
      <c r="B909" t="str">
        <f>VLOOKUP(A909,Raw_Data!A:L,6,FALSE)</f>
        <v>Toaster</v>
      </c>
      <c r="C909" t="str">
        <f>VLOOKUP(A909,Raw_Data!A:L,3,FALSE)</f>
        <v>Austria</v>
      </c>
      <c r="D909" s="3">
        <f>VLOOKUP(A909,Raw_Data!A:L,12,FALSE)</f>
        <v>864</v>
      </c>
      <c r="E909" s="3">
        <f>VLOOKUP(A909,Raw_Data!A:L,11,FALSE)</f>
        <v>18</v>
      </c>
      <c r="F909" t="str">
        <f>TEXT(VLOOKUP(A909,Raw_Data!A:L,5,FALSE),"mmm")</f>
        <v>Dec</v>
      </c>
    </row>
    <row r="910" spans="1:6" x14ac:dyDescent="0.35">
      <c r="A910" s="3" t="s">
        <v>1432</v>
      </c>
      <c r="B910" t="str">
        <f>VLOOKUP(A910,Raw_Data!A:L,6,FALSE)</f>
        <v>Iron</v>
      </c>
      <c r="C910" t="str">
        <f>VLOOKUP(A910,Raw_Data!A:L,3,FALSE)</f>
        <v>USA</v>
      </c>
      <c r="D910" s="3">
        <f>VLOOKUP(A910,Raw_Data!A:L,12,FALSE)</f>
        <v>676</v>
      </c>
      <c r="E910" s="3">
        <f>VLOOKUP(A910,Raw_Data!A:L,11,FALSE)</f>
        <v>26</v>
      </c>
      <c r="F910" t="str">
        <f>TEXT(VLOOKUP(A910,Raw_Data!A:L,5,FALSE),"mmm")</f>
        <v>Jan</v>
      </c>
    </row>
    <row r="911" spans="1:6" x14ac:dyDescent="0.35">
      <c r="A911" s="3" t="s">
        <v>1434</v>
      </c>
      <c r="B911" t="str">
        <f>VLOOKUP(A911,Raw_Data!A:L,6,FALSE)</f>
        <v>Oven</v>
      </c>
      <c r="C911" t="str">
        <f>VLOOKUP(A911,Raw_Data!A:L,3,FALSE)</f>
        <v>Mexico</v>
      </c>
      <c r="D911" s="3">
        <f>VLOOKUP(A911,Raw_Data!A:L,12,FALSE)</f>
        <v>19000</v>
      </c>
      <c r="E911" s="3">
        <f>VLOOKUP(A911,Raw_Data!A:L,11,FALSE)</f>
        <v>38</v>
      </c>
      <c r="F911" t="str">
        <f>TEXT(VLOOKUP(A911,Raw_Data!A:L,5,FALSE),"mmm")</f>
        <v>Apr</v>
      </c>
    </row>
    <row r="912" spans="1:6" x14ac:dyDescent="0.35">
      <c r="A912" s="3" t="s">
        <v>1435</v>
      </c>
      <c r="B912" t="str">
        <f>VLOOKUP(A912,Raw_Data!A:L,6,FALSE)</f>
        <v>Washing Machine</v>
      </c>
      <c r="C912" t="str">
        <f>VLOOKUP(A912,Raw_Data!A:L,3,FALSE)</f>
        <v>Thailand</v>
      </c>
      <c r="D912" s="3">
        <f>VLOOKUP(A912,Raw_Data!A:L,12,FALSE)</f>
        <v>45152</v>
      </c>
      <c r="E912" s="3">
        <f>VLOOKUP(A912,Raw_Data!A:L,11,FALSE)</f>
        <v>68</v>
      </c>
      <c r="F912" t="str">
        <f>TEXT(VLOOKUP(A912,Raw_Data!A:L,5,FALSE),"mmm")</f>
        <v>Sep</v>
      </c>
    </row>
    <row r="913" spans="1:6" x14ac:dyDescent="0.35">
      <c r="A913" s="3" t="s">
        <v>1436</v>
      </c>
      <c r="B913" t="str">
        <f>VLOOKUP(A913,Raw_Data!A:L,6,FALSE)</f>
        <v>Air conditioner</v>
      </c>
      <c r="C913" t="str">
        <f>VLOOKUP(A913,Raw_Data!A:L,3,FALSE)</f>
        <v>Romania</v>
      </c>
      <c r="D913" s="3">
        <f>VLOOKUP(A913,Raw_Data!A:L,12,FALSE)</f>
        <v>33271</v>
      </c>
      <c r="E913" s="3">
        <f>VLOOKUP(A913,Raw_Data!A:L,11,FALSE)</f>
        <v>49</v>
      </c>
      <c r="F913" t="str">
        <f>TEXT(VLOOKUP(A913,Raw_Data!A:L,5,FALSE),"mmm")</f>
        <v>Feb</v>
      </c>
    </row>
    <row r="914" spans="1:6" x14ac:dyDescent="0.35">
      <c r="A914" s="3" t="s">
        <v>1437</v>
      </c>
      <c r="B914" t="str">
        <f>VLOOKUP(A914,Raw_Data!A:L,6,FALSE)</f>
        <v>Vacuum Cleaner</v>
      </c>
      <c r="C914" t="str">
        <f>VLOOKUP(A914,Raw_Data!A:L,3,FALSE)</f>
        <v>USA</v>
      </c>
      <c r="D914" s="3">
        <f>VLOOKUP(A914,Raw_Data!A:L,12,FALSE)</f>
        <v>10098</v>
      </c>
      <c r="E914" s="3">
        <f>VLOOKUP(A914,Raw_Data!A:L,11,FALSE)</f>
        <v>51</v>
      </c>
      <c r="F914" t="str">
        <f>TEXT(VLOOKUP(A914,Raw_Data!A:L,5,FALSE),"mmm")</f>
        <v>Apr</v>
      </c>
    </row>
    <row r="915" spans="1:6" x14ac:dyDescent="0.35">
      <c r="A915" s="3" t="s">
        <v>1439</v>
      </c>
      <c r="B915" t="str">
        <f>VLOOKUP(A915,Raw_Data!A:L,6,FALSE)</f>
        <v>Oven</v>
      </c>
      <c r="C915" t="str">
        <f>VLOOKUP(A915,Raw_Data!A:L,3,FALSE)</f>
        <v>Argentina</v>
      </c>
      <c r="D915" s="3">
        <f>VLOOKUP(A915,Raw_Data!A:L,12,FALSE)</f>
        <v>44500</v>
      </c>
      <c r="E915" s="3">
        <f>VLOOKUP(A915,Raw_Data!A:L,11,FALSE)</f>
        <v>89</v>
      </c>
      <c r="F915" t="str">
        <f>TEXT(VLOOKUP(A915,Raw_Data!A:L,5,FALSE),"mmm")</f>
        <v>Apr</v>
      </c>
    </row>
    <row r="916" spans="1:6" x14ac:dyDescent="0.35">
      <c r="A916" s="3" t="s">
        <v>1440</v>
      </c>
      <c r="B916" t="str">
        <f>VLOOKUP(A916,Raw_Data!A:L,6,FALSE)</f>
        <v>Oven</v>
      </c>
      <c r="C916" t="str">
        <f>VLOOKUP(A916,Raw_Data!A:L,3,FALSE)</f>
        <v>UK</v>
      </c>
      <c r="D916" s="3">
        <f>VLOOKUP(A916,Raw_Data!A:L,12,FALSE)</f>
        <v>39000</v>
      </c>
      <c r="E916" s="3">
        <f>VLOOKUP(A916,Raw_Data!A:L,11,FALSE)</f>
        <v>78</v>
      </c>
      <c r="F916" t="str">
        <f>TEXT(VLOOKUP(A916,Raw_Data!A:L,5,FALSE),"mmm")</f>
        <v>Dec</v>
      </c>
    </row>
    <row r="917" spans="1:6" x14ac:dyDescent="0.35">
      <c r="A917" s="3" t="s">
        <v>1441</v>
      </c>
      <c r="B917" t="str">
        <f>VLOOKUP(A917,Raw_Data!A:L,6,FALSE)</f>
        <v>Dishwasher</v>
      </c>
      <c r="C917" t="str">
        <f>VLOOKUP(A917,Raw_Data!A:L,3,FALSE)</f>
        <v>Mexico</v>
      </c>
      <c r="D917" s="3">
        <f>VLOOKUP(A917,Raw_Data!A:L,12,FALSE)</f>
        <v>35100</v>
      </c>
      <c r="E917" s="3">
        <f>VLOOKUP(A917,Raw_Data!A:L,11,FALSE)</f>
        <v>78</v>
      </c>
      <c r="F917" t="str">
        <f>TEXT(VLOOKUP(A917,Raw_Data!A:L,5,FALSE),"mmm")</f>
        <v>Jan</v>
      </c>
    </row>
    <row r="918" spans="1:6" x14ac:dyDescent="0.35">
      <c r="A918" s="3" t="s">
        <v>1442</v>
      </c>
      <c r="B918" t="str">
        <f>VLOOKUP(A918,Raw_Data!A:L,6,FALSE)</f>
        <v>Iron</v>
      </c>
      <c r="C918" t="str">
        <f>VLOOKUP(A918,Raw_Data!A:L,3,FALSE)</f>
        <v>France</v>
      </c>
      <c r="D918" s="3">
        <f>VLOOKUP(A918,Raw_Data!A:L,12,FALSE)</f>
        <v>1508</v>
      </c>
      <c r="E918" s="3">
        <f>VLOOKUP(A918,Raw_Data!A:L,11,FALSE)</f>
        <v>52</v>
      </c>
      <c r="F918" t="str">
        <f>TEXT(VLOOKUP(A918,Raw_Data!A:L,5,FALSE),"mmm")</f>
        <v>Apr</v>
      </c>
    </row>
    <row r="919" spans="1:6" x14ac:dyDescent="0.35">
      <c r="A919" s="3" t="s">
        <v>1443</v>
      </c>
      <c r="B919" t="str">
        <f>VLOOKUP(A919,Raw_Data!A:L,6,FALSE)</f>
        <v>Oven</v>
      </c>
      <c r="C919" t="str">
        <f>VLOOKUP(A919,Raw_Data!A:L,3,FALSE)</f>
        <v>USA</v>
      </c>
      <c r="D919" s="3">
        <f>VLOOKUP(A919,Raw_Data!A:L,12,FALSE)</f>
        <v>28000</v>
      </c>
      <c r="E919" s="3">
        <f>VLOOKUP(A919,Raw_Data!A:L,11,FALSE)</f>
        <v>56</v>
      </c>
      <c r="F919" t="str">
        <f>TEXT(VLOOKUP(A919,Raw_Data!A:L,5,FALSE),"mmm")</f>
        <v>Dec</v>
      </c>
    </row>
    <row r="920" spans="1:6" x14ac:dyDescent="0.35">
      <c r="A920" s="3" t="s">
        <v>1444</v>
      </c>
      <c r="B920" t="str">
        <f>VLOOKUP(A920,Raw_Data!A:L,6,FALSE)</f>
        <v>Vacuum Cleaner</v>
      </c>
      <c r="C920" t="str">
        <f>VLOOKUP(A920,Raw_Data!A:L,3,FALSE)</f>
        <v>Saudi Arabia</v>
      </c>
      <c r="D920" s="3">
        <f>VLOOKUP(A920,Raw_Data!A:L,12,FALSE)</f>
        <v>7200</v>
      </c>
      <c r="E920" s="3">
        <f>VLOOKUP(A920,Raw_Data!A:L,11,FALSE)</f>
        <v>32</v>
      </c>
      <c r="F920" t="str">
        <f>TEXT(VLOOKUP(A920,Raw_Data!A:L,5,FALSE),"mmm")</f>
        <v>Aug</v>
      </c>
    </row>
    <row r="921" spans="1:6" x14ac:dyDescent="0.35">
      <c r="A921" s="3" t="s">
        <v>1445</v>
      </c>
      <c r="B921" t="str">
        <f>VLOOKUP(A921,Raw_Data!A:L,6,FALSE)</f>
        <v>Microwave</v>
      </c>
      <c r="C921" t="str">
        <f>VLOOKUP(A921,Raw_Data!A:L,3,FALSE)</f>
        <v>Russia</v>
      </c>
      <c r="D921" s="3">
        <f>VLOOKUP(A921,Raw_Data!A:L,12,FALSE)</f>
        <v>1794</v>
      </c>
      <c r="E921" s="3">
        <f>VLOOKUP(A921,Raw_Data!A:L,11,FALSE)</f>
        <v>23</v>
      </c>
      <c r="F921" t="str">
        <f>TEXT(VLOOKUP(A921,Raw_Data!A:L,5,FALSE),"mmm")</f>
        <v>Sep</v>
      </c>
    </row>
    <row r="922" spans="1:6" x14ac:dyDescent="0.35">
      <c r="A922" s="3" t="s">
        <v>1446</v>
      </c>
      <c r="B922" t="str">
        <f>VLOOKUP(A922,Raw_Data!A:L,6,FALSE)</f>
        <v>Blender</v>
      </c>
      <c r="C922" t="str">
        <f>VLOOKUP(A922,Raw_Data!A:L,3,FALSE)</f>
        <v>Turkey</v>
      </c>
      <c r="D922" s="3">
        <f>VLOOKUP(A922,Raw_Data!A:L,12,FALSE)</f>
        <v>256</v>
      </c>
      <c r="E922" s="3">
        <f>VLOOKUP(A922,Raw_Data!A:L,11,FALSE)</f>
        <v>8</v>
      </c>
      <c r="F922" t="str">
        <f>TEXT(VLOOKUP(A922,Raw_Data!A:L,5,FALSE),"mmm")</f>
        <v>Nov</v>
      </c>
    </row>
    <row r="923" spans="1:6" x14ac:dyDescent="0.35">
      <c r="A923" s="3" t="s">
        <v>1447</v>
      </c>
      <c r="B923" t="str">
        <f>VLOOKUP(A923,Raw_Data!A:L,6,FALSE)</f>
        <v>Blender</v>
      </c>
      <c r="C923" t="str">
        <f>VLOOKUP(A923,Raw_Data!A:L,3,FALSE)</f>
        <v>UAE</v>
      </c>
      <c r="D923" s="3">
        <f>VLOOKUP(A923,Raw_Data!A:L,12,FALSE)</f>
        <v>2952</v>
      </c>
      <c r="E923" s="3">
        <f>VLOOKUP(A923,Raw_Data!A:L,11,FALSE)</f>
        <v>72</v>
      </c>
      <c r="F923" t="str">
        <f>TEXT(VLOOKUP(A923,Raw_Data!A:L,5,FALSE),"mmm")</f>
        <v>Dec</v>
      </c>
    </row>
    <row r="924" spans="1:6" x14ac:dyDescent="0.35">
      <c r="A924" s="3" t="s">
        <v>1448</v>
      </c>
      <c r="B924" t="str">
        <f>VLOOKUP(A924,Raw_Data!A:L,6,FALSE)</f>
        <v>Coffee grinder</v>
      </c>
      <c r="C924" t="str">
        <f>VLOOKUP(A924,Raw_Data!A:L,3,FALSE)</f>
        <v>Brazil</v>
      </c>
      <c r="D924" s="3">
        <f>VLOOKUP(A924,Raw_Data!A:L,12,FALSE)</f>
        <v>2220</v>
      </c>
      <c r="E924" s="3">
        <f>VLOOKUP(A924,Raw_Data!A:L,11,FALSE)</f>
        <v>37</v>
      </c>
      <c r="F924" t="str">
        <f>TEXT(VLOOKUP(A924,Raw_Data!A:L,5,FALSE),"mmm")</f>
        <v>Jun</v>
      </c>
    </row>
    <row r="925" spans="1:6" x14ac:dyDescent="0.35">
      <c r="A925" s="3" t="s">
        <v>1449</v>
      </c>
      <c r="B925" t="str">
        <f>VLOOKUP(A925,Raw_Data!A:L,6,FALSE)</f>
        <v>Coffee grinder</v>
      </c>
      <c r="C925" t="str">
        <f>VLOOKUP(A925,Raw_Data!A:L,3,FALSE)</f>
        <v>Japan</v>
      </c>
      <c r="D925" s="3">
        <f>VLOOKUP(A925,Raw_Data!A:L,12,FALSE)</f>
        <v>2277</v>
      </c>
      <c r="E925" s="3">
        <f>VLOOKUP(A925,Raw_Data!A:L,11,FALSE)</f>
        <v>33</v>
      </c>
      <c r="F925" t="str">
        <f>TEXT(VLOOKUP(A925,Raw_Data!A:L,5,FALSE),"mmm")</f>
        <v>Apr</v>
      </c>
    </row>
    <row r="926" spans="1:6" x14ac:dyDescent="0.35">
      <c r="A926" s="3" t="s">
        <v>1450</v>
      </c>
      <c r="B926" t="str">
        <f>VLOOKUP(A926,Raw_Data!A:L,6,FALSE)</f>
        <v>Dishwasher</v>
      </c>
      <c r="C926" t="str">
        <f>VLOOKUP(A926,Raw_Data!A:L,3,FALSE)</f>
        <v>UK</v>
      </c>
      <c r="D926" s="3">
        <f>VLOOKUP(A926,Raw_Data!A:L,12,FALSE)</f>
        <v>12740</v>
      </c>
      <c r="E926" s="3">
        <f>VLOOKUP(A926,Raw_Data!A:L,11,FALSE)</f>
        <v>26</v>
      </c>
      <c r="F926" t="str">
        <f>TEXT(VLOOKUP(A926,Raw_Data!A:L,5,FALSE),"mmm")</f>
        <v>Jul</v>
      </c>
    </row>
    <row r="927" spans="1:6" x14ac:dyDescent="0.35">
      <c r="A927" s="3" t="s">
        <v>1451</v>
      </c>
      <c r="B927" t="str">
        <f>VLOOKUP(A927,Raw_Data!A:L,6,FALSE)</f>
        <v>Coffee grinder</v>
      </c>
      <c r="C927" t="str">
        <f>VLOOKUP(A927,Raw_Data!A:L,3,FALSE)</f>
        <v>Japan</v>
      </c>
      <c r="D927" s="3">
        <f>VLOOKUP(A927,Raw_Data!A:L,12,FALSE)</f>
        <v>4623</v>
      </c>
      <c r="E927" s="3">
        <f>VLOOKUP(A927,Raw_Data!A:L,11,FALSE)</f>
        <v>67</v>
      </c>
      <c r="F927" t="str">
        <f>TEXT(VLOOKUP(A927,Raw_Data!A:L,5,FALSE),"mmm")</f>
        <v>Feb</v>
      </c>
    </row>
    <row r="928" spans="1:6" x14ac:dyDescent="0.35">
      <c r="A928" s="3" t="s">
        <v>1452</v>
      </c>
      <c r="B928" t="str">
        <f>VLOOKUP(A928,Raw_Data!A:L,6,FALSE)</f>
        <v>Refrigerator</v>
      </c>
      <c r="C928" t="str">
        <f>VLOOKUP(A928,Raw_Data!A:L,3,FALSE)</f>
        <v>South Africa</v>
      </c>
      <c r="D928" s="3">
        <f>VLOOKUP(A928,Raw_Data!A:L,12,FALSE)</f>
        <v>51840</v>
      </c>
      <c r="E928" s="3">
        <f>VLOOKUP(A928,Raw_Data!A:L,11,FALSE)</f>
        <v>81</v>
      </c>
      <c r="F928" t="str">
        <f>TEXT(VLOOKUP(A928,Raw_Data!A:L,5,FALSE),"mmm")</f>
        <v>Jul</v>
      </c>
    </row>
    <row r="929" spans="1:6" x14ac:dyDescent="0.35">
      <c r="A929" s="3" t="s">
        <v>1453</v>
      </c>
      <c r="B929" t="str">
        <f>VLOOKUP(A929,Raw_Data!A:L,6,FALSE)</f>
        <v>Refrigerator</v>
      </c>
      <c r="C929" t="str">
        <f>VLOOKUP(A929,Raw_Data!A:L,3,FALSE)</f>
        <v>Thailand</v>
      </c>
      <c r="D929" s="3">
        <f>VLOOKUP(A929,Raw_Data!A:L,12,FALSE)</f>
        <v>53000</v>
      </c>
      <c r="E929" s="3">
        <f>VLOOKUP(A929,Raw_Data!A:L,11,FALSE)</f>
        <v>53</v>
      </c>
      <c r="F929" t="str">
        <f>TEXT(VLOOKUP(A929,Raw_Data!A:L,5,FALSE),"mmm")</f>
        <v>Oct</v>
      </c>
    </row>
    <row r="930" spans="1:6" x14ac:dyDescent="0.35">
      <c r="A930" s="3" t="s">
        <v>1454</v>
      </c>
      <c r="B930" t="str">
        <f>VLOOKUP(A930,Raw_Data!A:L,6,FALSE)</f>
        <v>Microwave</v>
      </c>
      <c r="C930" t="str">
        <f>VLOOKUP(A930,Raw_Data!A:L,3,FALSE)</f>
        <v>Spain</v>
      </c>
      <c r="D930" s="3">
        <f>VLOOKUP(A930,Raw_Data!A:L,12,FALSE)</f>
        <v>3010</v>
      </c>
      <c r="E930" s="3">
        <f>VLOOKUP(A930,Raw_Data!A:L,11,FALSE)</f>
        <v>43</v>
      </c>
      <c r="F930" t="str">
        <f>TEXT(VLOOKUP(A930,Raw_Data!A:L,5,FALSE),"mmm")</f>
        <v>Aug</v>
      </c>
    </row>
    <row r="931" spans="1:6" x14ac:dyDescent="0.35">
      <c r="A931" s="3" t="s">
        <v>1455</v>
      </c>
      <c r="B931" t="str">
        <f>VLOOKUP(A931,Raw_Data!A:L,6,FALSE)</f>
        <v>Ceiling fan</v>
      </c>
      <c r="C931" t="str">
        <f>VLOOKUP(A931,Raw_Data!A:L,3,FALSE)</f>
        <v>Peru</v>
      </c>
      <c r="D931" s="3">
        <f>VLOOKUP(A931,Raw_Data!A:L,12,FALSE)</f>
        <v>5130</v>
      </c>
      <c r="E931" s="3">
        <f>VLOOKUP(A931,Raw_Data!A:L,11,FALSE)</f>
        <v>38</v>
      </c>
      <c r="F931" t="str">
        <f>TEXT(VLOOKUP(A931,Raw_Data!A:L,5,FALSE),"mmm")</f>
        <v>Dec</v>
      </c>
    </row>
    <row r="932" spans="1:6" x14ac:dyDescent="0.35">
      <c r="A932" s="3" t="s">
        <v>1456</v>
      </c>
      <c r="B932" t="str">
        <f>VLOOKUP(A932,Raw_Data!A:L,6,FALSE)</f>
        <v>Air conditioner</v>
      </c>
      <c r="C932" t="str">
        <f>VLOOKUP(A932,Raw_Data!A:L,3,FALSE)</f>
        <v>Netherlands</v>
      </c>
      <c r="D932" s="3">
        <f>VLOOKUP(A932,Raw_Data!A:L,12,FALSE)</f>
        <v>13706</v>
      </c>
      <c r="E932" s="3">
        <f>VLOOKUP(A932,Raw_Data!A:L,11,FALSE)</f>
        <v>22</v>
      </c>
      <c r="F932" t="str">
        <f>TEXT(VLOOKUP(A932,Raw_Data!A:L,5,FALSE),"mmm")</f>
        <v>Aug</v>
      </c>
    </row>
    <row r="933" spans="1:6" x14ac:dyDescent="0.35">
      <c r="A933" s="3" t="s">
        <v>1458</v>
      </c>
      <c r="B933" t="str">
        <f>VLOOKUP(A933,Raw_Data!A:L,6,FALSE)</f>
        <v>Vacuum Cleaner</v>
      </c>
      <c r="C933" t="str">
        <f>VLOOKUP(A933,Raw_Data!A:L,3,FALSE)</f>
        <v>Greece</v>
      </c>
      <c r="D933" s="3">
        <f>VLOOKUP(A933,Raw_Data!A:L,12,FALSE)</f>
        <v>5635</v>
      </c>
      <c r="E933" s="3">
        <f>VLOOKUP(A933,Raw_Data!A:L,11,FALSE)</f>
        <v>23</v>
      </c>
      <c r="F933" t="str">
        <f>TEXT(VLOOKUP(A933,Raw_Data!A:L,5,FALSE),"mmm")</f>
        <v>Jun</v>
      </c>
    </row>
    <row r="934" spans="1:6" x14ac:dyDescent="0.35">
      <c r="A934" s="3" t="s">
        <v>1460</v>
      </c>
      <c r="B934" t="str">
        <f>VLOOKUP(A934,Raw_Data!A:L,6,FALSE)</f>
        <v>Dishwasher</v>
      </c>
      <c r="C934" t="str">
        <f>VLOOKUP(A934,Raw_Data!A:L,3,FALSE)</f>
        <v>Egypt</v>
      </c>
      <c r="D934" s="3">
        <f>VLOOKUP(A934,Raw_Data!A:L,12,FALSE)</f>
        <v>21000</v>
      </c>
      <c r="E934" s="3">
        <f>VLOOKUP(A934,Raw_Data!A:L,11,FALSE)</f>
        <v>42</v>
      </c>
      <c r="F934" t="str">
        <f>TEXT(VLOOKUP(A934,Raw_Data!A:L,5,FALSE),"mmm")</f>
        <v>Jan</v>
      </c>
    </row>
    <row r="935" spans="1:6" x14ac:dyDescent="0.35">
      <c r="A935" s="3" t="s">
        <v>1461</v>
      </c>
      <c r="B935" t="str">
        <f>VLOOKUP(A935,Raw_Data!A:L,6,FALSE)</f>
        <v>Air conditioner</v>
      </c>
      <c r="C935" t="str">
        <f>VLOOKUP(A935,Raw_Data!A:L,3,FALSE)</f>
        <v>France</v>
      </c>
      <c r="D935" s="3">
        <f>VLOOKUP(A935,Raw_Data!A:L,12,FALSE)</f>
        <v>14700</v>
      </c>
      <c r="E935" s="3">
        <f>VLOOKUP(A935,Raw_Data!A:L,11,FALSE)</f>
        <v>21</v>
      </c>
      <c r="F935" t="str">
        <f>TEXT(VLOOKUP(A935,Raw_Data!A:L,5,FALSE),"mmm")</f>
        <v>May</v>
      </c>
    </row>
    <row r="936" spans="1:6" x14ac:dyDescent="0.35">
      <c r="A936" s="3" t="s">
        <v>1462</v>
      </c>
      <c r="B936" t="str">
        <f>VLOOKUP(A936,Raw_Data!A:L,6,FALSE)</f>
        <v>Dishwasher</v>
      </c>
      <c r="C936" t="str">
        <f>VLOOKUP(A936,Raw_Data!A:L,3,FALSE)</f>
        <v>South Africa</v>
      </c>
      <c r="D936" s="3">
        <f>VLOOKUP(A936,Raw_Data!A:L,12,FALSE)</f>
        <v>22080</v>
      </c>
      <c r="E936" s="3">
        <f>VLOOKUP(A936,Raw_Data!A:L,11,FALSE)</f>
        <v>46</v>
      </c>
      <c r="F936" t="str">
        <f>TEXT(VLOOKUP(A936,Raw_Data!A:L,5,FALSE),"mmm")</f>
        <v>Jun</v>
      </c>
    </row>
    <row r="937" spans="1:6" x14ac:dyDescent="0.35">
      <c r="A937" s="3" t="s">
        <v>1463</v>
      </c>
      <c r="B937" t="str">
        <f>VLOOKUP(A937,Raw_Data!A:L,6,FALSE)</f>
        <v>Vacuum Cleaner</v>
      </c>
      <c r="C937" t="str">
        <f>VLOOKUP(A937,Raw_Data!A:L,3,FALSE)</f>
        <v>South Africa</v>
      </c>
      <c r="D937" s="3">
        <f>VLOOKUP(A937,Raw_Data!A:L,12,FALSE)</f>
        <v>5832</v>
      </c>
      <c r="E937" s="3">
        <f>VLOOKUP(A937,Raw_Data!A:L,11,FALSE)</f>
        <v>24</v>
      </c>
      <c r="F937" t="str">
        <f>TEXT(VLOOKUP(A937,Raw_Data!A:L,5,FALSE),"mmm")</f>
        <v>Feb</v>
      </c>
    </row>
    <row r="938" spans="1:6" x14ac:dyDescent="0.35">
      <c r="A938" s="3" t="s">
        <v>1464</v>
      </c>
      <c r="B938" t="str">
        <f>VLOOKUP(A938,Raw_Data!A:L,6,FALSE)</f>
        <v>Refrigerator</v>
      </c>
      <c r="C938" t="str">
        <f>VLOOKUP(A938,Raw_Data!A:L,3,FALSE)</f>
        <v>Mexico</v>
      </c>
      <c r="D938" s="3">
        <f>VLOOKUP(A938,Raw_Data!A:L,12,FALSE)</f>
        <v>47500</v>
      </c>
      <c r="E938" s="3">
        <f>VLOOKUP(A938,Raw_Data!A:L,11,FALSE)</f>
        <v>50</v>
      </c>
      <c r="F938" t="str">
        <f>TEXT(VLOOKUP(A938,Raw_Data!A:L,5,FALSE),"mmm")</f>
        <v>Feb</v>
      </c>
    </row>
    <row r="939" spans="1:6" x14ac:dyDescent="0.35">
      <c r="A939" s="3" t="s">
        <v>1465</v>
      </c>
      <c r="B939" t="str">
        <f>VLOOKUP(A939,Raw_Data!A:L,6,FALSE)</f>
        <v>Blender</v>
      </c>
      <c r="C939" t="str">
        <f>VLOOKUP(A939,Raw_Data!A:L,3,FALSE)</f>
        <v>Israel</v>
      </c>
      <c r="D939" s="3">
        <f>VLOOKUP(A939,Raw_Data!A:L,12,FALSE)</f>
        <v>2115</v>
      </c>
      <c r="E939" s="3">
        <f>VLOOKUP(A939,Raw_Data!A:L,11,FALSE)</f>
        <v>45</v>
      </c>
      <c r="F939" t="str">
        <f>TEXT(VLOOKUP(A939,Raw_Data!A:L,5,FALSE),"mmm")</f>
        <v>Mar</v>
      </c>
    </row>
    <row r="940" spans="1:6" x14ac:dyDescent="0.35">
      <c r="A940" s="3" t="s">
        <v>1466</v>
      </c>
      <c r="B940" t="str">
        <f>VLOOKUP(A940,Raw_Data!A:L,6,FALSE)</f>
        <v>Iron</v>
      </c>
      <c r="C940" t="str">
        <f>VLOOKUP(A940,Raw_Data!A:L,3,FALSE)</f>
        <v>USA</v>
      </c>
      <c r="D940" s="3">
        <f>VLOOKUP(A940,Raw_Data!A:L,12,FALSE)</f>
        <v>1161</v>
      </c>
      <c r="E940" s="3">
        <f>VLOOKUP(A940,Raw_Data!A:L,11,FALSE)</f>
        <v>43</v>
      </c>
      <c r="F940" t="str">
        <f>TEXT(VLOOKUP(A940,Raw_Data!A:L,5,FALSE),"mmm")</f>
        <v>Sep</v>
      </c>
    </row>
    <row r="941" spans="1:6" x14ac:dyDescent="0.35">
      <c r="A941" s="3" t="s">
        <v>1467</v>
      </c>
      <c r="B941" t="str">
        <f>VLOOKUP(A941,Raw_Data!A:L,6,FALSE)</f>
        <v>Iron</v>
      </c>
      <c r="C941" t="str">
        <f>VLOOKUP(A941,Raw_Data!A:L,3,FALSE)</f>
        <v>Spain</v>
      </c>
      <c r="D941" s="3">
        <f>VLOOKUP(A941,Raw_Data!A:L,12,FALSE)</f>
        <v>1392</v>
      </c>
      <c r="E941" s="3">
        <f>VLOOKUP(A941,Raw_Data!A:L,11,FALSE)</f>
        <v>48</v>
      </c>
      <c r="F941" t="str">
        <f>TEXT(VLOOKUP(A941,Raw_Data!A:L,5,FALSE),"mmm")</f>
        <v>Mar</v>
      </c>
    </row>
    <row r="942" spans="1:6" x14ac:dyDescent="0.35">
      <c r="A942" s="3" t="s">
        <v>1468</v>
      </c>
      <c r="B942" t="str">
        <f>VLOOKUP(A942,Raw_Data!A:L,6,FALSE)</f>
        <v>Microwave</v>
      </c>
      <c r="C942" t="str">
        <f>VLOOKUP(A942,Raw_Data!A:L,3,FALSE)</f>
        <v>Romania</v>
      </c>
      <c r="D942" s="3">
        <f>VLOOKUP(A942,Raw_Data!A:L,12,FALSE)</f>
        <v>1672</v>
      </c>
      <c r="E942" s="3">
        <f>VLOOKUP(A942,Raw_Data!A:L,11,FALSE)</f>
        <v>22</v>
      </c>
      <c r="F942" t="str">
        <f>TEXT(VLOOKUP(A942,Raw_Data!A:L,5,FALSE),"mmm")</f>
        <v>Oct</v>
      </c>
    </row>
    <row r="943" spans="1:6" x14ac:dyDescent="0.35">
      <c r="A943" s="3" t="s">
        <v>1470</v>
      </c>
      <c r="B943" t="str">
        <f>VLOOKUP(A943,Raw_Data!A:L,6,FALSE)</f>
        <v>Coffee grinder</v>
      </c>
      <c r="C943" t="str">
        <f>VLOOKUP(A943,Raw_Data!A:L,3,FALSE)</f>
        <v>Romania</v>
      </c>
      <c r="D943" s="3">
        <f>VLOOKUP(A943,Raw_Data!A:L,12,FALSE)</f>
        <v>4485</v>
      </c>
      <c r="E943" s="3">
        <f>VLOOKUP(A943,Raw_Data!A:L,11,FALSE)</f>
        <v>65</v>
      </c>
      <c r="F943" t="str">
        <f>TEXT(VLOOKUP(A943,Raw_Data!A:L,5,FALSE),"mmm")</f>
        <v>Jan</v>
      </c>
    </row>
    <row r="944" spans="1:6" x14ac:dyDescent="0.35">
      <c r="A944" s="3" t="s">
        <v>1471</v>
      </c>
      <c r="B944" t="str">
        <f>VLOOKUP(A944,Raw_Data!A:L,6,FALSE)</f>
        <v>Microwave</v>
      </c>
      <c r="C944" t="str">
        <f>VLOOKUP(A944,Raw_Data!A:L,3,FALSE)</f>
        <v>USA</v>
      </c>
      <c r="D944" s="3">
        <f>VLOOKUP(A944,Raw_Data!A:L,12,FALSE)</f>
        <v>5016</v>
      </c>
      <c r="E944" s="3">
        <f>VLOOKUP(A944,Raw_Data!A:L,11,FALSE)</f>
        <v>66</v>
      </c>
      <c r="F944" t="str">
        <f>TEXT(VLOOKUP(A944,Raw_Data!A:L,5,FALSE),"mmm")</f>
        <v>Jan</v>
      </c>
    </row>
    <row r="945" spans="1:6" x14ac:dyDescent="0.35">
      <c r="A945" s="3" t="s">
        <v>1472</v>
      </c>
      <c r="B945" t="str">
        <f>VLOOKUP(A945,Raw_Data!A:L,6,FALSE)</f>
        <v>Dishwasher</v>
      </c>
      <c r="C945" t="str">
        <f>VLOOKUP(A945,Raw_Data!A:L,3,FALSE)</f>
        <v>Israel</v>
      </c>
      <c r="D945" s="3">
        <f>VLOOKUP(A945,Raw_Data!A:L,12,FALSE)</f>
        <v>34830</v>
      </c>
      <c r="E945" s="3">
        <f>VLOOKUP(A945,Raw_Data!A:L,11,FALSE)</f>
        <v>81</v>
      </c>
      <c r="F945" t="str">
        <f>TEXT(VLOOKUP(A945,Raw_Data!A:L,5,FALSE),"mmm")</f>
        <v>Oct</v>
      </c>
    </row>
    <row r="946" spans="1:6" x14ac:dyDescent="0.35">
      <c r="A946" s="3" t="s">
        <v>1473</v>
      </c>
      <c r="B946" t="str">
        <f>VLOOKUP(A946,Raw_Data!A:L,6,FALSE)</f>
        <v>Iron</v>
      </c>
      <c r="C946" t="str">
        <f>VLOOKUP(A946,Raw_Data!A:L,3,FALSE)</f>
        <v>South Africa</v>
      </c>
      <c r="D946" s="3">
        <f>VLOOKUP(A946,Raw_Data!A:L,12,FALSE)</f>
        <v>2436</v>
      </c>
      <c r="E946" s="3">
        <f>VLOOKUP(A946,Raw_Data!A:L,11,FALSE)</f>
        <v>87</v>
      </c>
      <c r="F946" t="str">
        <f>TEXT(VLOOKUP(A946,Raw_Data!A:L,5,FALSE),"mmm")</f>
        <v>May</v>
      </c>
    </row>
    <row r="947" spans="1:6" x14ac:dyDescent="0.35">
      <c r="A947" s="3" t="s">
        <v>1474</v>
      </c>
      <c r="B947" t="str">
        <f>VLOOKUP(A947,Raw_Data!A:L,6,FALSE)</f>
        <v>Toaster</v>
      </c>
      <c r="C947" t="str">
        <f>VLOOKUP(A947,Raw_Data!A:L,3,FALSE)</f>
        <v>Japan</v>
      </c>
      <c r="D947" s="3">
        <f>VLOOKUP(A947,Raw_Data!A:L,12,FALSE)</f>
        <v>855</v>
      </c>
      <c r="E947" s="3">
        <f>VLOOKUP(A947,Raw_Data!A:L,11,FALSE)</f>
        <v>19</v>
      </c>
      <c r="F947" t="str">
        <f>TEXT(VLOOKUP(A947,Raw_Data!A:L,5,FALSE),"mmm")</f>
        <v>Oct</v>
      </c>
    </row>
    <row r="948" spans="1:6" x14ac:dyDescent="0.35">
      <c r="A948" s="3" t="s">
        <v>1475</v>
      </c>
      <c r="B948" t="str">
        <f>VLOOKUP(A948,Raw_Data!A:L,6,FALSE)</f>
        <v>Coffee grinder</v>
      </c>
      <c r="C948" t="str">
        <f>VLOOKUP(A948,Raw_Data!A:L,3,FALSE)</f>
        <v>Japan</v>
      </c>
      <c r="D948" s="3">
        <f>VLOOKUP(A948,Raw_Data!A:L,12,FALSE)</f>
        <v>3762</v>
      </c>
      <c r="E948" s="3">
        <f>VLOOKUP(A948,Raw_Data!A:L,11,FALSE)</f>
        <v>66</v>
      </c>
      <c r="F948" t="str">
        <f>TEXT(VLOOKUP(A948,Raw_Data!A:L,5,FALSE),"mmm")</f>
        <v>Feb</v>
      </c>
    </row>
    <row r="949" spans="1:6" x14ac:dyDescent="0.35">
      <c r="A949" s="3" t="s">
        <v>1477</v>
      </c>
      <c r="B949" t="str">
        <f>VLOOKUP(A949,Raw_Data!A:L,6,FALSE)</f>
        <v>Refrigerator</v>
      </c>
      <c r="C949" t="str">
        <f>VLOOKUP(A949,Raw_Data!A:L,3,FALSE)</f>
        <v>Argentina</v>
      </c>
      <c r="D949" s="3">
        <f>VLOOKUP(A949,Raw_Data!A:L,12,FALSE)</f>
        <v>69350</v>
      </c>
      <c r="E949" s="3">
        <f>VLOOKUP(A949,Raw_Data!A:L,11,FALSE)</f>
        <v>95</v>
      </c>
      <c r="F949" t="str">
        <f>TEXT(VLOOKUP(A949,Raw_Data!A:L,5,FALSE),"mmm")</f>
        <v>Jun</v>
      </c>
    </row>
    <row r="950" spans="1:6" x14ac:dyDescent="0.35">
      <c r="A950" s="3" t="s">
        <v>1478</v>
      </c>
      <c r="B950" t="str">
        <f>VLOOKUP(A950,Raw_Data!A:L,6,FALSE)</f>
        <v>Refrigerator</v>
      </c>
      <c r="C950" t="str">
        <f>VLOOKUP(A950,Raw_Data!A:L,3,FALSE)</f>
        <v>Colombia</v>
      </c>
      <c r="D950" s="3">
        <f>VLOOKUP(A950,Raw_Data!A:L,12,FALSE)</f>
        <v>4260</v>
      </c>
      <c r="E950" s="3">
        <f>VLOOKUP(A950,Raw_Data!A:L,11,FALSE)</f>
        <v>6</v>
      </c>
      <c r="F950" t="str">
        <f>TEXT(VLOOKUP(A950,Raw_Data!A:L,5,FALSE),"mmm")</f>
        <v>Jun</v>
      </c>
    </row>
    <row r="951" spans="1:6" x14ac:dyDescent="0.35">
      <c r="A951" s="3" t="s">
        <v>1480</v>
      </c>
      <c r="B951" t="str">
        <f>VLOOKUP(A951,Raw_Data!A:L,6,FALSE)</f>
        <v>Dishwasher</v>
      </c>
      <c r="C951" t="str">
        <f>VLOOKUP(A951,Raw_Data!A:L,3,FALSE)</f>
        <v>UK</v>
      </c>
      <c r="D951" s="3">
        <f>VLOOKUP(A951,Raw_Data!A:L,12,FALSE)</f>
        <v>32500</v>
      </c>
      <c r="E951" s="3">
        <f>VLOOKUP(A951,Raw_Data!A:L,11,FALSE)</f>
        <v>65</v>
      </c>
      <c r="F951" t="str">
        <f>TEXT(VLOOKUP(A951,Raw_Data!A:L,5,FALSE),"mmm")</f>
        <v>Aug</v>
      </c>
    </row>
    <row r="952" spans="1:6" x14ac:dyDescent="0.35">
      <c r="A952" s="3" t="s">
        <v>1481</v>
      </c>
      <c r="B952" t="str">
        <f>VLOOKUP(A952,Raw_Data!A:L,6,FALSE)</f>
        <v>Air conditioner</v>
      </c>
      <c r="C952" t="str">
        <f>VLOOKUP(A952,Raw_Data!A:L,3,FALSE)</f>
        <v>Colombia</v>
      </c>
      <c r="D952" s="3">
        <f>VLOOKUP(A952,Raw_Data!A:L,12,FALSE)</f>
        <v>53361</v>
      </c>
      <c r="E952" s="3">
        <f>VLOOKUP(A952,Raw_Data!A:L,11,FALSE)</f>
        <v>77</v>
      </c>
      <c r="F952" t="str">
        <f>TEXT(VLOOKUP(A952,Raw_Data!A:L,5,FALSE),"mmm")</f>
        <v>May</v>
      </c>
    </row>
    <row r="953" spans="1:6" x14ac:dyDescent="0.35">
      <c r="A953" s="3" t="s">
        <v>1482</v>
      </c>
      <c r="B953" t="str">
        <f>VLOOKUP(A953,Raw_Data!A:L,6,FALSE)</f>
        <v>Microwave</v>
      </c>
      <c r="C953" t="str">
        <f>VLOOKUP(A953,Raw_Data!A:L,3,FALSE)</f>
        <v>USA</v>
      </c>
      <c r="D953" s="3">
        <f>VLOOKUP(A953,Raw_Data!A:L,12,FALSE)</f>
        <v>4928</v>
      </c>
      <c r="E953" s="3">
        <f>VLOOKUP(A953,Raw_Data!A:L,11,FALSE)</f>
        <v>88</v>
      </c>
      <c r="F953" t="str">
        <f>TEXT(VLOOKUP(A953,Raw_Data!A:L,5,FALSE),"mmm")</f>
        <v>Dec</v>
      </c>
    </row>
    <row r="954" spans="1:6" x14ac:dyDescent="0.35">
      <c r="A954" s="3" t="s">
        <v>1483</v>
      </c>
      <c r="B954" t="str">
        <f>VLOOKUP(A954,Raw_Data!A:L,6,FALSE)</f>
        <v>Iron</v>
      </c>
      <c r="C954" t="str">
        <f>VLOOKUP(A954,Raw_Data!A:L,3,FALSE)</f>
        <v>China</v>
      </c>
      <c r="D954" s="3">
        <f>VLOOKUP(A954,Raw_Data!A:L,12,FALSE)</f>
        <v>81</v>
      </c>
      <c r="E954" s="3">
        <f>VLOOKUP(A954,Raw_Data!A:L,11,FALSE)</f>
        <v>3</v>
      </c>
      <c r="F954" t="str">
        <f>TEXT(VLOOKUP(A954,Raw_Data!A:L,5,FALSE),"mmm")</f>
        <v>Jun</v>
      </c>
    </row>
    <row r="955" spans="1:6" x14ac:dyDescent="0.35">
      <c r="A955" s="3" t="s">
        <v>1484</v>
      </c>
      <c r="B955" t="str">
        <f>VLOOKUP(A955,Raw_Data!A:L,6,FALSE)</f>
        <v>Coffee grinder</v>
      </c>
      <c r="C955" t="str">
        <f>VLOOKUP(A955,Raw_Data!A:L,3,FALSE)</f>
        <v>Mexico</v>
      </c>
      <c r="D955" s="3">
        <f>VLOOKUP(A955,Raw_Data!A:L,12,FALSE)</f>
        <v>3685</v>
      </c>
      <c r="E955" s="3">
        <f>VLOOKUP(A955,Raw_Data!A:L,11,FALSE)</f>
        <v>55</v>
      </c>
      <c r="F955" t="str">
        <f>TEXT(VLOOKUP(A955,Raw_Data!A:L,5,FALSE),"mmm")</f>
        <v>Jun</v>
      </c>
    </row>
    <row r="956" spans="1:6" x14ac:dyDescent="0.35">
      <c r="A956" s="3" t="s">
        <v>1485</v>
      </c>
      <c r="B956" t="str">
        <f>VLOOKUP(A956,Raw_Data!A:L,6,FALSE)</f>
        <v>Blender</v>
      </c>
      <c r="C956" t="str">
        <f>VLOOKUP(A956,Raw_Data!A:L,3,FALSE)</f>
        <v>USA</v>
      </c>
      <c r="D956" s="3">
        <f>VLOOKUP(A956,Raw_Data!A:L,12,FALSE)</f>
        <v>1914</v>
      </c>
      <c r="E956" s="3">
        <f>VLOOKUP(A956,Raw_Data!A:L,11,FALSE)</f>
        <v>58</v>
      </c>
      <c r="F956" t="str">
        <f>TEXT(VLOOKUP(A956,Raw_Data!A:L,5,FALSE),"mmm")</f>
        <v>Nov</v>
      </c>
    </row>
    <row r="957" spans="1:6" x14ac:dyDescent="0.35">
      <c r="A957" s="3" t="s">
        <v>1486</v>
      </c>
      <c r="B957" t="str">
        <f>VLOOKUP(A957,Raw_Data!A:L,6,FALSE)</f>
        <v>Microwave</v>
      </c>
      <c r="C957" t="str">
        <f>VLOOKUP(A957,Raw_Data!A:L,3,FALSE)</f>
        <v>Malaysia</v>
      </c>
      <c r="D957" s="3">
        <f>VLOOKUP(A957,Raw_Data!A:L,12,FALSE)</f>
        <v>2418</v>
      </c>
      <c r="E957" s="3">
        <f>VLOOKUP(A957,Raw_Data!A:L,11,FALSE)</f>
        <v>31</v>
      </c>
      <c r="F957" t="str">
        <f>TEXT(VLOOKUP(A957,Raw_Data!A:L,5,FALSE),"mmm")</f>
        <v>Aug</v>
      </c>
    </row>
    <row r="958" spans="1:6" x14ac:dyDescent="0.35">
      <c r="A958" s="3" t="s">
        <v>1487</v>
      </c>
      <c r="B958" t="str">
        <f>VLOOKUP(A958,Raw_Data!A:L,6,FALSE)</f>
        <v>Toaster</v>
      </c>
      <c r="C958" t="str">
        <f>VLOOKUP(A958,Raw_Data!A:L,3,FALSE)</f>
        <v>Mexico</v>
      </c>
      <c r="D958" s="3">
        <f>VLOOKUP(A958,Raw_Data!A:L,12,FALSE)</f>
        <v>1225</v>
      </c>
      <c r="E958" s="3">
        <f>VLOOKUP(A958,Raw_Data!A:L,11,FALSE)</f>
        <v>25</v>
      </c>
      <c r="F958" t="str">
        <f>TEXT(VLOOKUP(A958,Raw_Data!A:L,5,FALSE),"mmm")</f>
        <v>Feb</v>
      </c>
    </row>
    <row r="959" spans="1:6" x14ac:dyDescent="0.35">
      <c r="A959" s="3" t="s">
        <v>1488</v>
      </c>
      <c r="B959" t="str">
        <f>VLOOKUP(A959,Raw_Data!A:L,6,FALSE)</f>
        <v>Microwave</v>
      </c>
      <c r="C959" t="str">
        <f>VLOOKUP(A959,Raw_Data!A:L,3,FALSE)</f>
        <v>Poland</v>
      </c>
      <c r="D959" s="3">
        <f>VLOOKUP(A959,Raw_Data!A:L,12,FALSE)</f>
        <v>6624</v>
      </c>
      <c r="E959" s="3">
        <f>VLOOKUP(A959,Raw_Data!A:L,11,FALSE)</f>
        <v>96</v>
      </c>
      <c r="F959" t="str">
        <f>TEXT(VLOOKUP(A959,Raw_Data!A:L,5,FALSE),"mmm")</f>
        <v>Feb</v>
      </c>
    </row>
    <row r="960" spans="1:6" x14ac:dyDescent="0.35">
      <c r="A960" s="3" t="s">
        <v>1489</v>
      </c>
      <c r="B960" t="str">
        <f>VLOOKUP(A960,Raw_Data!A:L,6,FALSE)</f>
        <v>Blender</v>
      </c>
      <c r="C960" t="str">
        <f>VLOOKUP(A960,Raw_Data!A:L,3,FALSE)</f>
        <v>UAE</v>
      </c>
      <c r="D960" s="3">
        <f>VLOOKUP(A960,Raw_Data!A:L,12,FALSE)</f>
        <v>224</v>
      </c>
      <c r="E960" s="3">
        <f>VLOOKUP(A960,Raw_Data!A:L,11,FALSE)</f>
        <v>7</v>
      </c>
      <c r="F960" t="str">
        <f>TEXT(VLOOKUP(A960,Raw_Data!A:L,5,FALSE),"mmm")</f>
        <v>Sep</v>
      </c>
    </row>
    <row r="961" spans="1:6" x14ac:dyDescent="0.35">
      <c r="A961" s="3" t="s">
        <v>1490</v>
      </c>
      <c r="B961" t="str">
        <f>VLOOKUP(A961,Raw_Data!A:L,6,FALSE)</f>
        <v>Refrigerator</v>
      </c>
      <c r="C961" t="str">
        <f>VLOOKUP(A961,Raw_Data!A:L,3,FALSE)</f>
        <v>Mexico</v>
      </c>
      <c r="D961" s="3">
        <f>VLOOKUP(A961,Raw_Data!A:L,12,FALSE)</f>
        <v>21460</v>
      </c>
      <c r="E961" s="3">
        <f>VLOOKUP(A961,Raw_Data!A:L,11,FALSE)</f>
        <v>37</v>
      </c>
      <c r="F961" t="str">
        <f>TEXT(VLOOKUP(A961,Raw_Data!A:L,5,FALSE),"mmm")</f>
        <v>Jan</v>
      </c>
    </row>
    <row r="962" spans="1:6" x14ac:dyDescent="0.35">
      <c r="A962" s="3" t="s">
        <v>1491</v>
      </c>
      <c r="B962" t="str">
        <f>VLOOKUP(A962,Raw_Data!A:L,6,FALSE)</f>
        <v>Air conditioner</v>
      </c>
      <c r="C962" t="str">
        <f>VLOOKUP(A962,Raw_Data!A:L,3,FALSE)</f>
        <v>Spain</v>
      </c>
      <c r="D962" s="3">
        <f>VLOOKUP(A962,Raw_Data!A:L,12,FALSE)</f>
        <v>51156</v>
      </c>
      <c r="E962" s="3">
        <f>VLOOKUP(A962,Raw_Data!A:L,11,FALSE)</f>
        <v>84</v>
      </c>
      <c r="F962" t="str">
        <f>TEXT(VLOOKUP(A962,Raw_Data!A:L,5,FALSE),"mmm")</f>
        <v>Jun</v>
      </c>
    </row>
    <row r="963" spans="1:6" x14ac:dyDescent="0.35">
      <c r="A963" s="3" t="s">
        <v>1492</v>
      </c>
      <c r="B963" t="str">
        <f>VLOOKUP(A963,Raw_Data!A:L,6,FALSE)</f>
        <v>Dishwasher</v>
      </c>
      <c r="C963" t="str">
        <f>VLOOKUP(A963,Raw_Data!A:L,3,FALSE)</f>
        <v>France</v>
      </c>
      <c r="D963" s="3">
        <f>VLOOKUP(A963,Raw_Data!A:L,12,FALSE)</f>
        <v>20160</v>
      </c>
      <c r="E963" s="3">
        <f>VLOOKUP(A963,Raw_Data!A:L,11,FALSE)</f>
        <v>42</v>
      </c>
      <c r="F963" t="str">
        <f>TEXT(VLOOKUP(A963,Raw_Data!A:L,5,FALSE),"mmm")</f>
        <v>Apr</v>
      </c>
    </row>
    <row r="964" spans="1:6" x14ac:dyDescent="0.35">
      <c r="A964" s="3" t="s">
        <v>1493</v>
      </c>
      <c r="B964" t="str">
        <f>VLOOKUP(A964,Raw_Data!A:L,6,FALSE)</f>
        <v>Blender</v>
      </c>
      <c r="C964" t="str">
        <f>VLOOKUP(A964,Raw_Data!A:L,3,FALSE)</f>
        <v>Israel</v>
      </c>
      <c r="D964" s="3">
        <f>VLOOKUP(A964,Raw_Data!A:L,12,FALSE)</f>
        <v>225</v>
      </c>
      <c r="E964" s="3">
        <f>VLOOKUP(A964,Raw_Data!A:L,11,FALSE)</f>
        <v>5</v>
      </c>
      <c r="F964" t="str">
        <f>TEXT(VLOOKUP(A964,Raw_Data!A:L,5,FALSE),"mmm")</f>
        <v>Sep</v>
      </c>
    </row>
    <row r="965" spans="1:6" x14ac:dyDescent="0.35">
      <c r="A965" s="3" t="s">
        <v>1495</v>
      </c>
      <c r="B965" t="str">
        <f>VLOOKUP(A965,Raw_Data!A:L,6,FALSE)</f>
        <v>Toaster</v>
      </c>
      <c r="C965" t="str">
        <f>VLOOKUP(A965,Raw_Data!A:L,3,FALSE)</f>
        <v>Japan</v>
      </c>
      <c r="D965" s="3">
        <f>VLOOKUP(A965,Raw_Data!A:L,12,FALSE)</f>
        <v>2368</v>
      </c>
      <c r="E965" s="3">
        <f>VLOOKUP(A965,Raw_Data!A:L,11,FALSE)</f>
        <v>64</v>
      </c>
      <c r="F965" t="str">
        <f>TEXT(VLOOKUP(A965,Raw_Data!A:L,5,FALSE),"mmm")</f>
        <v>Jun</v>
      </c>
    </row>
    <row r="966" spans="1:6" x14ac:dyDescent="0.35">
      <c r="A966" s="3" t="s">
        <v>1496</v>
      </c>
      <c r="B966" t="str">
        <f>VLOOKUP(A966,Raw_Data!A:L,6,FALSE)</f>
        <v>Dishwasher</v>
      </c>
      <c r="C966" t="str">
        <f>VLOOKUP(A966,Raw_Data!A:L,3,FALSE)</f>
        <v>UK</v>
      </c>
      <c r="D966" s="3">
        <f>VLOOKUP(A966,Raw_Data!A:L,12,FALSE)</f>
        <v>14560</v>
      </c>
      <c r="E966" s="3">
        <f>VLOOKUP(A966,Raw_Data!A:L,11,FALSE)</f>
        <v>32</v>
      </c>
      <c r="F966" t="str">
        <f>TEXT(VLOOKUP(A966,Raw_Data!A:L,5,FALSE),"mmm")</f>
        <v>Jun</v>
      </c>
    </row>
    <row r="967" spans="1:6" x14ac:dyDescent="0.35">
      <c r="A967" s="3" t="s">
        <v>1498</v>
      </c>
      <c r="B967" t="str">
        <f>VLOOKUP(A967,Raw_Data!A:L,6,FALSE)</f>
        <v>Blender</v>
      </c>
      <c r="C967" t="str">
        <f>VLOOKUP(A967,Raw_Data!A:L,3,FALSE)</f>
        <v>Saudi Arabia</v>
      </c>
      <c r="D967" s="3">
        <f>VLOOKUP(A967,Raw_Data!A:L,12,FALSE)</f>
        <v>3053</v>
      </c>
      <c r="E967" s="3">
        <f>VLOOKUP(A967,Raw_Data!A:L,11,FALSE)</f>
        <v>71</v>
      </c>
      <c r="F967" t="str">
        <f>TEXT(VLOOKUP(A967,Raw_Data!A:L,5,FALSE),"mmm")</f>
        <v>Sep</v>
      </c>
    </row>
    <row r="968" spans="1:6" x14ac:dyDescent="0.35">
      <c r="A968" s="3" t="s">
        <v>1499</v>
      </c>
      <c r="B968" t="str">
        <f>VLOOKUP(A968,Raw_Data!A:L,6,FALSE)</f>
        <v>Refrigerator</v>
      </c>
      <c r="C968" t="str">
        <f>VLOOKUP(A968,Raw_Data!A:L,3,FALSE)</f>
        <v>UK</v>
      </c>
      <c r="D968" s="3">
        <f>VLOOKUP(A968,Raw_Data!A:L,12,FALSE)</f>
        <v>46020</v>
      </c>
      <c r="E968" s="3">
        <f>VLOOKUP(A968,Raw_Data!A:L,11,FALSE)</f>
        <v>59</v>
      </c>
      <c r="F968" t="str">
        <f>TEXT(VLOOKUP(A968,Raw_Data!A:L,5,FALSE),"mmm")</f>
        <v>Oct</v>
      </c>
    </row>
    <row r="969" spans="1:6" x14ac:dyDescent="0.35">
      <c r="A969" s="3" t="s">
        <v>1500</v>
      </c>
      <c r="B969" t="str">
        <f>VLOOKUP(A969,Raw_Data!A:L,6,FALSE)</f>
        <v>Refrigerator</v>
      </c>
      <c r="C969" t="str">
        <f>VLOOKUP(A969,Raw_Data!A:L,3,FALSE)</f>
        <v>Egypt</v>
      </c>
      <c r="D969" s="3">
        <f>VLOOKUP(A969,Raw_Data!A:L,12,FALSE)</f>
        <v>9380</v>
      </c>
      <c r="E969" s="3">
        <f>VLOOKUP(A969,Raw_Data!A:L,11,FALSE)</f>
        <v>14</v>
      </c>
      <c r="F969" t="str">
        <f>TEXT(VLOOKUP(A969,Raw_Data!A:L,5,FALSE),"mmm")</f>
        <v>Sep</v>
      </c>
    </row>
    <row r="970" spans="1:6" x14ac:dyDescent="0.35">
      <c r="A970" s="3" t="s">
        <v>1501</v>
      </c>
      <c r="B970" t="str">
        <f>VLOOKUP(A970,Raw_Data!A:L,6,FALSE)</f>
        <v>Microwave</v>
      </c>
      <c r="C970" t="str">
        <f>VLOOKUP(A970,Raw_Data!A:L,3,FALSE)</f>
        <v>Canada</v>
      </c>
      <c r="D970" s="3">
        <f>VLOOKUP(A970,Raw_Data!A:L,12,FALSE)</f>
        <v>5236</v>
      </c>
      <c r="E970" s="3">
        <f>VLOOKUP(A970,Raw_Data!A:L,11,FALSE)</f>
        <v>68</v>
      </c>
      <c r="F970" t="str">
        <f>TEXT(VLOOKUP(A970,Raw_Data!A:L,5,FALSE),"mmm")</f>
        <v>Oct</v>
      </c>
    </row>
    <row r="971" spans="1:6" x14ac:dyDescent="0.35">
      <c r="A971" s="3" t="s">
        <v>1502</v>
      </c>
      <c r="B971" t="str">
        <f>VLOOKUP(A971,Raw_Data!A:L,6,FALSE)</f>
        <v>Iron</v>
      </c>
      <c r="C971" t="str">
        <f>VLOOKUP(A971,Raw_Data!A:L,3,FALSE)</f>
        <v>Mexico</v>
      </c>
      <c r="D971" s="3">
        <f>VLOOKUP(A971,Raw_Data!A:L,12,FALSE)</f>
        <v>667</v>
      </c>
      <c r="E971" s="3">
        <f>VLOOKUP(A971,Raw_Data!A:L,11,FALSE)</f>
        <v>23</v>
      </c>
      <c r="F971" t="str">
        <f>TEXT(VLOOKUP(A971,Raw_Data!A:L,5,FALSE),"mmm")</f>
        <v>Sep</v>
      </c>
    </row>
    <row r="972" spans="1:6" x14ac:dyDescent="0.35">
      <c r="A972" s="3" t="s">
        <v>1504</v>
      </c>
      <c r="B972" t="str">
        <f>VLOOKUP(A972,Raw_Data!A:L,6,FALSE)</f>
        <v>Vacuum Cleaner</v>
      </c>
      <c r="C972" t="str">
        <f>VLOOKUP(A972,Raw_Data!A:L,3,FALSE)</f>
        <v>Japan</v>
      </c>
      <c r="D972" s="3">
        <f>VLOOKUP(A972,Raw_Data!A:L,12,FALSE)</f>
        <v>20025</v>
      </c>
      <c r="E972" s="3">
        <f>VLOOKUP(A972,Raw_Data!A:L,11,FALSE)</f>
        <v>89</v>
      </c>
      <c r="F972" t="str">
        <f>TEXT(VLOOKUP(A972,Raw_Data!A:L,5,FALSE),"mmm")</f>
        <v>Apr</v>
      </c>
    </row>
    <row r="973" spans="1:6" x14ac:dyDescent="0.35">
      <c r="A973" s="3" t="s">
        <v>1505</v>
      </c>
      <c r="B973" t="str">
        <f>VLOOKUP(A973,Raw_Data!A:L,6,FALSE)</f>
        <v>Vacuum Cleaner</v>
      </c>
      <c r="C973" t="str">
        <f>VLOOKUP(A973,Raw_Data!A:L,3,FALSE)</f>
        <v>Germany</v>
      </c>
      <c r="D973" s="3">
        <f>VLOOKUP(A973,Raw_Data!A:L,12,FALSE)</f>
        <v>15732</v>
      </c>
      <c r="E973" s="3">
        <f>VLOOKUP(A973,Raw_Data!A:L,11,FALSE)</f>
        <v>69</v>
      </c>
      <c r="F973" t="str">
        <f>TEXT(VLOOKUP(A973,Raw_Data!A:L,5,FALSE),"mmm")</f>
        <v>Sep</v>
      </c>
    </row>
    <row r="974" spans="1:6" x14ac:dyDescent="0.35">
      <c r="A974" s="3" t="s">
        <v>1506</v>
      </c>
      <c r="B974" t="str">
        <f>VLOOKUP(A974,Raw_Data!A:L,6,FALSE)</f>
        <v>Vacuum Cleaner</v>
      </c>
      <c r="C974" t="str">
        <f>VLOOKUP(A974,Raw_Data!A:L,3,FALSE)</f>
        <v>Austria</v>
      </c>
      <c r="D974" s="3">
        <f>VLOOKUP(A974,Raw_Data!A:L,12,FALSE)</f>
        <v>7425</v>
      </c>
      <c r="E974" s="3">
        <f>VLOOKUP(A974,Raw_Data!A:L,11,FALSE)</f>
        <v>33</v>
      </c>
      <c r="F974" t="str">
        <f>TEXT(VLOOKUP(A974,Raw_Data!A:L,5,FALSE),"mmm")</f>
        <v>Jul</v>
      </c>
    </row>
    <row r="975" spans="1:6" x14ac:dyDescent="0.35">
      <c r="A975" s="3" t="s">
        <v>1507</v>
      </c>
      <c r="B975" t="str">
        <f>VLOOKUP(A975,Raw_Data!A:L,6,FALSE)</f>
        <v>Iron</v>
      </c>
      <c r="C975" t="str">
        <f>VLOOKUP(A975,Raw_Data!A:L,3,FALSE)</f>
        <v>Austria</v>
      </c>
      <c r="D975" s="3">
        <f>VLOOKUP(A975,Raw_Data!A:L,12,FALSE)</f>
        <v>2408</v>
      </c>
      <c r="E975" s="3">
        <f>VLOOKUP(A975,Raw_Data!A:L,11,FALSE)</f>
        <v>86</v>
      </c>
      <c r="F975" t="str">
        <f>TEXT(VLOOKUP(A975,Raw_Data!A:L,5,FALSE),"mmm")</f>
        <v>Oct</v>
      </c>
    </row>
    <row r="976" spans="1:6" x14ac:dyDescent="0.35">
      <c r="A976" s="3" t="s">
        <v>1508</v>
      </c>
      <c r="B976" t="str">
        <f>VLOOKUP(A976,Raw_Data!A:L,6,FALSE)</f>
        <v>Microwave</v>
      </c>
      <c r="C976" t="str">
        <f>VLOOKUP(A976,Raw_Data!A:L,3,FALSE)</f>
        <v>Canada</v>
      </c>
      <c r="D976" s="3">
        <f>VLOOKUP(A976,Raw_Data!A:L,12,FALSE)</f>
        <v>2808</v>
      </c>
      <c r="E976" s="3">
        <f>VLOOKUP(A976,Raw_Data!A:L,11,FALSE)</f>
        <v>39</v>
      </c>
      <c r="F976" t="str">
        <f>TEXT(VLOOKUP(A976,Raw_Data!A:L,5,FALSE),"mmm")</f>
        <v>Nov</v>
      </c>
    </row>
    <row r="977" spans="1:6" x14ac:dyDescent="0.35">
      <c r="A977" s="3" t="s">
        <v>1509</v>
      </c>
      <c r="B977" t="str">
        <f>VLOOKUP(A977,Raw_Data!A:L,6,FALSE)</f>
        <v>Coffee grinder</v>
      </c>
      <c r="C977" t="str">
        <f>VLOOKUP(A977,Raw_Data!A:L,3,FALSE)</f>
        <v>China</v>
      </c>
      <c r="D977" s="3">
        <f>VLOOKUP(A977,Raw_Data!A:L,12,FALSE)</f>
        <v>6138</v>
      </c>
      <c r="E977" s="3">
        <f>VLOOKUP(A977,Raw_Data!A:L,11,FALSE)</f>
        <v>99</v>
      </c>
      <c r="F977" t="str">
        <f>TEXT(VLOOKUP(A977,Raw_Data!A:L,5,FALSE),"mmm")</f>
        <v>Jul</v>
      </c>
    </row>
    <row r="978" spans="1:6" x14ac:dyDescent="0.35">
      <c r="A978" s="3" t="s">
        <v>1510</v>
      </c>
      <c r="B978" t="str">
        <f>VLOOKUP(A978,Raw_Data!A:L,6,FALSE)</f>
        <v>Blender</v>
      </c>
      <c r="C978" t="str">
        <f>VLOOKUP(A978,Raw_Data!A:L,3,FALSE)</f>
        <v>Czech Republic</v>
      </c>
      <c r="D978" s="3">
        <f>VLOOKUP(A978,Raw_Data!A:L,12,FALSE)</f>
        <v>992</v>
      </c>
      <c r="E978" s="3">
        <f>VLOOKUP(A978,Raw_Data!A:L,11,FALSE)</f>
        <v>32</v>
      </c>
      <c r="F978" t="str">
        <f>TEXT(VLOOKUP(A978,Raw_Data!A:L,5,FALSE),"mmm")</f>
        <v>Jan</v>
      </c>
    </row>
    <row r="979" spans="1:6" x14ac:dyDescent="0.35">
      <c r="A979" s="3" t="s">
        <v>1511</v>
      </c>
      <c r="B979" t="str">
        <f>VLOOKUP(A979,Raw_Data!A:L,6,FALSE)</f>
        <v>Vacuum Cleaner</v>
      </c>
      <c r="C979" t="str">
        <f>VLOOKUP(A979,Raw_Data!A:L,3,FALSE)</f>
        <v>Poland</v>
      </c>
      <c r="D979" s="3">
        <f>VLOOKUP(A979,Raw_Data!A:L,12,FALSE)</f>
        <v>9690</v>
      </c>
      <c r="E979" s="3">
        <f>VLOOKUP(A979,Raw_Data!A:L,11,FALSE)</f>
        <v>51</v>
      </c>
      <c r="F979" t="str">
        <f>TEXT(VLOOKUP(A979,Raw_Data!A:L,5,FALSE),"mmm")</f>
        <v>Jun</v>
      </c>
    </row>
    <row r="980" spans="1:6" x14ac:dyDescent="0.35">
      <c r="A980" s="3" t="s">
        <v>1512</v>
      </c>
      <c r="B980" t="str">
        <f>VLOOKUP(A980,Raw_Data!A:L,6,FALSE)</f>
        <v>Microwave</v>
      </c>
      <c r="C980" t="str">
        <f>VLOOKUP(A980,Raw_Data!A:L,3,FALSE)</f>
        <v>Vietnam</v>
      </c>
      <c r="D980" s="3">
        <f>VLOOKUP(A980,Raw_Data!A:L,12,FALSE)</f>
        <v>2730</v>
      </c>
      <c r="E980" s="3">
        <f>VLOOKUP(A980,Raw_Data!A:L,11,FALSE)</f>
        <v>35</v>
      </c>
      <c r="F980" t="str">
        <f>TEXT(VLOOKUP(A980,Raw_Data!A:L,5,FALSE),"mmm")</f>
        <v>Apr</v>
      </c>
    </row>
    <row r="981" spans="1:6" x14ac:dyDescent="0.35">
      <c r="A981" s="3" t="s">
        <v>1513</v>
      </c>
      <c r="B981" t="str">
        <f>VLOOKUP(A981,Raw_Data!A:L,6,FALSE)</f>
        <v>Air conditioner</v>
      </c>
      <c r="C981" t="str">
        <f>VLOOKUP(A981,Raw_Data!A:L,3,FALSE)</f>
        <v>Japan</v>
      </c>
      <c r="D981" s="3">
        <f>VLOOKUP(A981,Raw_Data!A:L,12,FALSE)</f>
        <v>19530</v>
      </c>
      <c r="E981" s="3">
        <f>VLOOKUP(A981,Raw_Data!A:L,11,FALSE)</f>
        <v>30</v>
      </c>
      <c r="F981" t="str">
        <f>TEXT(VLOOKUP(A981,Raw_Data!A:L,5,FALSE),"mmm")</f>
        <v>Feb</v>
      </c>
    </row>
    <row r="982" spans="1:6" x14ac:dyDescent="0.35">
      <c r="A982" s="3" t="s">
        <v>1515</v>
      </c>
      <c r="B982" t="str">
        <f>VLOOKUP(A982,Raw_Data!A:L,6,FALSE)</f>
        <v>Microwave</v>
      </c>
      <c r="C982" t="str">
        <f>VLOOKUP(A982,Raw_Data!A:L,3,FALSE)</f>
        <v>Austria</v>
      </c>
      <c r="D982" s="3">
        <f>VLOOKUP(A982,Raw_Data!A:L,12,FALSE)</f>
        <v>3780</v>
      </c>
      <c r="E982" s="3">
        <f>VLOOKUP(A982,Raw_Data!A:L,11,FALSE)</f>
        <v>54</v>
      </c>
      <c r="F982" t="str">
        <f>TEXT(VLOOKUP(A982,Raw_Data!A:L,5,FALSE),"mmm")</f>
        <v>Jan</v>
      </c>
    </row>
    <row r="983" spans="1:6" x14ac:dyDescent="0.35">
      <c r="A983" s="3" t="s">
        <v>1516</v>
      </c>
      <c r="B983" t="str">
        <f>VLOOKUP(A983,Raw_Data!A:L,6,FALSE)</f>
        <v>Coffee grinder</v>
      </c>
      <c r="C983" t="str">
        <f>VLOOKUP(A983,Raw_Data!A:L,3,FALSE)</f>
        <v>USA</v>
      </c>
      <c r="D983" s="3">
        <f>VLOOKUP(A983,Raw_Data!A:L,12,FALSE)</f>
        <v>1280</v>
      </c>
      <c r="E983" s="3">
        <f>VLOOKUP(A983,Raw_Data!A:L,11,FALSE)</f>
        <v>20</v>
      </c>
      <c r="F983" t="str">
        <f>TEXT(VLOOKUP(A983,Raw_Data!A:L,5,FALSE),"mmm")</f>
        <v>Sep</v>
      </c>
    </row>
    <row r="984" spans="1:6" x14ac:dyDescent="0.35">
      <c r="A984" s="3" t="s">
        <v>1517</v>
      </c>
      <c r="B984" t="str">
        <f>VLOOKUP(A984,Raw_Data!A:L,6,FALSE)</f>
        <v>Iron</v>
      </c>
      <c r="C984" t="str">
        <f>VLOOKUP(A984,Raw_Data!A:L,3,FALSE)</f>
        <v>Greece</v>
      </c>
      <c r="D984" s="3">
        <f>VLOOKUP(A984,Raw_Data!A:L,12,FALSE)</f>
        <v>90</v>
      </c>
      <c r="E984" s="3">
        <f>VLOOKUP(A984,Raw_Data!A:L,11,FALSE)</f>
        <v>3</v>
      </c>
      <c r="F984" t="str">
        <f>TEXT(VLOOKUP(A984,Raw_Data!A:L,5,FALSE),"mmm")</f>
        <v>Jun</v>
      </c>
    </row>
    <row r="985" spans="1:6" x14ac:dyDescent="0.35">
      <c r="A985" s="3" t="s">
        <v>1518</v>
      </c>
      <c r="B985" t="str">
        <f>VLOOKUP(A985,Raw_Data!A:L,6,FALSE)</f>
        <v>Oven</v>
      </c>
      <c r="C985" t="str">
        <f>VLOOKUP(A985,Raw_Data!A:L,3,FALSE)</f>
        <v>India</v>
      </c>
      <c r="D985" s="3">
        <f>VLOOKUP(A985,Raw_Data!A:L,12,FALSE)</f>
        <v>30380</v>
      </c>
      <c r="E985" s="3">
        <f>VLOOKUP(A985,Raw_Data!A:L,11,FALSE)</f>
        <v>62</v>
      </c>
      <c r="F985" t="str">
        <f>TEXT(VLOOKUP(A985,Raw_Data!A:L,5,FALSE),"mmm")</f>
        <v>Nov</v>
      </c>
    </row>
    <row r="986" spans="1:6" x14ac:dyDescent="0.35">
      <c r="A986" s="3" t="s">
        <v>1519</v>
      </c>
      <c r="B986" t="str">
        <f>VLOOKUP(A986,Raw_Data!A:L,6,FALSE)</f>
        <v>Ceiling fan</v>
      </c>
      <c r="C986" t="str">
        <f>VLOOKUP(A986,Raw_Data!A:L,3,FALSE)</f>
        <v>France</v>
      </c>
      <c r="D986" s="3">
        <f>VLOOKUP(A986,Raw_Data!A:L,12,FALSE)</f>
        <v>8418</v>
      </c>
      <c r="E986" s="3">
        <f>VLOOKUP(A986,Raw_Data!A:L,11,FALSE)</f>
        <v>61</v>
      </c>
      <c r="F986" t="str">
        <f>TEXT(VLOOKUP(A986,Raw_Data!A:L,5,FALSE),"mmm")</f>
        <v>Oct</v>
      </c>
    </row>
    <row r="987" spans="1:6" x14ac:dyDescent="0.35">
      <c r="A987" s="3" t="s">
        <v>1520</v>
      </c>
      <c r="B987" t="str">
        <f>VLOOKUP(A987,Raw_Data!A:L,6,FALSE)</f>
        <v>Vacuum Cleaner</v>
      </c>
      <c r="C987" t="str">
        <f>VLOOKUP(A987,Raw_Data!A:L,3,FALSE)</f>
        <v>Colombia</v>
      </c>
      <c r="D987" s="3">
        <f>VLOOKUP(A987,Raw_Data!A:L,12,FALSE)</f>
        <v>17625</v>
      </c>
      <c r="E987" s="3">
        <f>VLOOKUP(A987,Raw_Data!A:L,11,FALSE)</f>
        <v>75</v>
      </c>
      <c r="F987" t="str">
        <f>TEXT(VLOOKUP(A987,Raw_Data!A:L,5,FALSE),"mmm")</f>
        <v>Oct</v>
      </c>
    </row>
    <row r="988" spans="1:6" x14ac:dyDescent="0.35">
      <c r="A988" s="3" t="s">
        <v>1521</v>
      </c>
      <c r="B988" t="str">
        <f>VLOOKUP(A988,Raw_Data!A:L,6,FALSE)</f>
        <v>Oven</v>
      </c>
      <c r="C988" t="str">
        <f>VLOOKUP(A988,Raw_Data!A:L,3,FALSE)</f>
        <v>China</v>
      </c>
      <c r="D988" s="3">
        <f>VLOOKUP(A988,Raw_Data!A:L,12,FALSE)</f>
        <v>48500</v>
      </c>
      <c r="E988" s="3">
        <f>VLOOKUP(A988,Raw_Data!A:L,11,FALSE)</f>
        <v>97</v>
      </c>
      <c r="F988" t="str">
        <f>TEXT(VLOOKUP(A988,Raw_Data!A:L,5,FALSE),"mmm")</f>
        <v>Apr</v>
      </c>
    </row>
    <row r="989" spans="1:6" x14ac:dyDescent="0.35">
      <c r="A989" s="3" t="s">
        <v>1522</v>
      </c>
      <c r="B989" t="str">
        <f>VLOOKUP(A989,Raw_Data!A:L,6,FALSE)</f>
        <v>Washing Machine</v>
      </c>
      <c r="C989" t="str">
        <f>VLOOKUP(A989,Raw_Data!A:L,3,FALSE)</f>
        <v>Israel</v>
      </c>
      <c r="D989" s="3">
        <f>VLOOKUP(A989,Raw_Data!A:L,12,FALSE)</f>
        <v>19712</v>
      </c>
      <c r="E989" s="3">
        <f>VLOOKUP(A989,Raw_Data!A:L,11,FALSE)</f>
        <v>32</v>
      </c>
      <c r="F989" t="str">
        <f>TEXT(VLOOKUP(A989,Raw_Data!A:L,5,FALSE),"mmm")</f>
        <v>Jan</v>
      </c>
    </row>
    <row r="990" spans="1:6" x14ac:dyDescent="0.35">
      <c r="A990" s="3" t="s">
        <v>1523</v>
      </c>
      <c r="B990" t="str">
        <f>VLOOKUP(A990,Raw_Data!A:L,6,FALSE)</f>
        <v>Washing Machine</v>
      </c>
      <c r="C990" t="str">
        <f>VLOOKUP(A990,Raw_Data!A:L,3,FALSE)</f>
        <v>UAE</v>
      </c>
      <c r="D990" s="3">
        <f>VLOOKUP(A990,Raw_Data!A:L,12,FALSE)</f>
        <v>38512</v>
      </c>
      <c r="E990" s="3">
        <f>VLOOKUP(A990,Raw_Data!A:L,11,FALSE)</f>
        <v>58</v>
      </c>
      <c r="F990" t="str">
        <f>TEXT(VLOOKUP(A990,Raw_Data!A:L,5,FALSE),"mmm")</f>
        <v>Oct</v>
      </c>
    </row>
    <row r="991" spans="1:6" x14ac:dyDescent="0.35">
      <c r="A991" s="3" t="s">
        <v>1524</v>
      </c>
      <c r="B991" t="str">
        <f>VLOOKUP(A991,Raw_Data!A:L,6,FALSE)</f>
        <v>Oven</v>
      </c>
      <c r="C991" t="str">
        <f>VLOOKUP(A991,Raw_Data!A:L,3,FALSE)</f>
        <v>Israel</v>
      </c>
      <c r="D991" s="3">
        <f>VLOOKUP(A991,Raw_Data!A:L,12,FALSE)</f>
        <v>19500</v>
      </c>
      <c r="E991" s="3">
        <f>VLOOKUP(A991,Raw_Data!A:L,11,FALSE)</f>
        <v>39</v>
      </c>
      <c r="F991" t="str">
        <f>TEXT(VLOOKUP(A991,Raw_Data!A:L,5,FALSE),"mmm")</f>
        <v>Mar</v>
      </c>
    </row>
    <row r="992" spans="1:6" x14ac:dyDescent="0.35">
      <c r="A992" s="3" t="s">
        <v>1525</v>
      </c>
      <c r="B992" t="str">
        <f>VLOOKUP(A992,Raw_Data!A:L,6,FALSE)</f>
        <v>Toaster</v>
      </c>
      <c r="C992" t="str">
        <f>VLOOKUP(A992,Raw_Data!A:L,3,FALSE)</f>
        <v>UAE</v>
      </c>
      <c r="D992" s="3">
        <f>VLOOKUP(A992,Raw_Data!A:L,12,FALSE)</f>
        <v>828</v>
      </c>
      <c r="E992" s="3">
        <f>VLOOKUP(A992,Raw_Data!A:L,11,FALSE)</f>
        <v>18</v>
      </c>
      <c r="F992" t="str">
        <f>TEXT(VLOOKUP(A992,Raw_Data!A:L,5,FALSE),"mmm")</f>
        <v>Oct</v>
      </c>
    </row>
    <row r="993" spans="1:6" x14ac:dyDescent="0.35">
      <c r="A993" s="3" t="s">
        <v>1526</v>
      </c>
      <c r="B993" t="str">
        <f>VLOOKUP(A993,Raw_Data!A:L,6,FALSE)</f>
        <v>Ceiling fan</v>
      </c>
      <c r="C993" t="str">
        <f>VLOOKUP(A993,Raw_Data!A:L,3,FALSE)</f>
        <v>China</v>
      </c>
      <c r="D993" s="3">
        <f>VLOOKUP(A993,Raw_Data!A:L,12,FALSE)</f>
        <v>9936</v>
      </c>
      <c r="E993" s="3">
        <f>VLOOKUP(A993,Raw_Data!A:L,11,FALSE)</f>
        <v>72</v>
      </c>
      <c r="F993" t="str">
        <f>TEXT(VLOOKUP(A993,Raw_Data!A:L,5,FALSE),"mmm")</f>
        <v>Jan</v>
      </c>
    </row>
    <row r="994" spans="1:6" x14ac:dyDescent="0.35">
      <c r="A994" s="3" t="s">
        <v>1528</v>
      </c>
      <c r="B994" t="str">
        <f>VLOOKUP(A994,Raw_Data!A:L,6,FALSE)</f>
        <v>Iron</v>
      </c>
      <c r="C994" t="str">
        <f>VLOOKUP(A994,Raw_Data!A:L,3,FALSE)</f>
        <v>China</v>
      </c>
      <c r="D994" s="3">
        <f>VLOOKUP(A994,Raw_Data!A:L,12,FALSE)</f>
        <v>448</v>
      </c>
      <c r="E994" s="3">
        <f>VLOOKUP(A994,Raw_Data!A:L,11,FALSE)</f>
        <v>16</v>
      </c>
      <c r="F994" t="str">
        <f>TEXT(VLOOKUP(A994,Raw_Data!A:L,5,FALSE),"mmm")</f>
        <v>Jan</v>
      </c>
    </row>
    <row r="995" spans="1:6" x14ac:dyDescent="0.35">
      <c r="A995" s="3" t="s">
        <v>1529</v>
      </c>
      <c r="B995" t="str">
        <f>VLOOKUP(A995,Raw_Data!A:L,6,FALSE)</f>
        <v>Blender</v>
      </c>
      <c r="C995" t="str">
        <f>VLOOKUP(A995,Raw_Data!A:L,3,FALSE)</f>
        <v>Argentina</v>
      </c>
      <c r="D995" s="3">
        <f>VLOOKUP(A995,Raw_Data!A:L,12,FALSE)</f>
        <v>343</v>
      </c>
      <c r="E995" s="3">
        <f>VLOOKUP(A995,Raw_Data!A:L,11,FALSE)</f>
        <v>7</v>
      </c>
      <c r="F995" t="str">
        <f>TEXT(VLOOKUP(A995,Raw_Data!A:L,5,FALSE),"mmm")</f>
        <v>Jan</v>
      </c>
    </row>
    <row r="996" spans="1:6" x14ac:dyDescent="0.35">
      <c r="A996" s="3" t="s">
        <v>1530</v>
      </c>
      <c r="B996" t="str">
        <f>VLOOKUP(A996,Raw_Data!A:L,6,FALSE)</f>
        <v>Iron</v>
      </c>
      <c r="C996" t="str">
        <f>VLOOKUP(A996,Raw_Data!A:L,3,FALSE)</f>
        <v>USA</v>
      </c>
      <c r="D996" s="3">
        <f>VLOOKUP(A996,Raw_Data!A:L,12,FALSE)</f>
        <v>406</v>
      </c>
      <c r="E996" s="3">
        <f>VLOOKUP(A996,Raw_Data!A:L,11,FALSE)</f>
        <v>14</v>
      </c>
      <c r="F996" t="str">
        <f>TEXT(VLOOKUP(A996,Raw_Data!A:L,5,FALSE),"mmm")</f>
        <v>Nov</v>
      </c>
    </row>
    <row r="997" spans="1:6" x14ac:dyDescent="0.35">
      <c r="A997" s="3" t="s">
        <v>1531</v>
      </c>
      <c r="B997" t="str">
        <f>VLOOKUP(A997,Raw_Data!A:L,6,FALSE)</f>
        <v>Vacuum Cleaner</v>
      </c>
      <c r="C997" t="str">
        <f>VLOOKUP(A997,Raw_Data!A:L,3,FALSE)</f>
        <v>India</v>
      </c>
      <c r="D997" s="3">
        <f>VLOOKUP(A997,Raw_Data!A:L,12,FALSE)</f>
        <v>8568</v>
      </c>
      <c r="E997" s="3">
        <f>VLOOKUP(A997,Raw_Data!A:L,11,FALSE)</f>
        <v>36</v>
      </c>
      <c r="F997" t="str">
        <f>TEXT(VLOOKUP(A997,Raw_Data!A:L,5,FALSE),"mmm")</f>
        <v>Jul</v>
      </c>
    </row>
    <row r="998" spans="1:6" x14ac:dyDescent="0.35">
      <c r="A998" s="3" t="s">
        <v>1533</v>
      </c>
      <c r="B998" t="str">
        <f>VLOOKUP(A998,Raw_Data!A:L,6,FALSE)</f>
        <v>Microwave</v>
      </c>
      <c r="C998" t="str">
        <f>VLOOKUP(A998,Raw_Data!A:L,3,FALSE)</f>
        <v>Turkey</v>
      </c>
      <c r="D998" s="3">
        <f>VLOOKUP(A998,Raw_Data!A:L,12,FALSE)</f>
        <v>480</v>
      </c>
      <c r="E998" s="3">
        <f>VLOOKUP(A998,Raw_Data!A:L,11,FALSE)</f>
        <v>6</v>
      </c>
      <c r="F998" t="str">
        <f>TEXT(VLOOKUP(A998,Raw_Data!A:L,5,FALSE),"mmm")</f>
        <v>May</v>
      </c>
    </row>
    <row r="999" spans="1:6" x14ac:dyDescent="0.35">
      <c r="A999" s="3" t="s">
        <v>1535</v>
      </c>
      <c r="B999" t="str">
        <f>VLOOKUP(A999,Raw_Data!A:L,6,FALSE)</f>
        <v>Oven</v>
      </c>
      <c r="C999" t="str">
        <f>VLOOKUP(A999,Raw_Data!A:L,3,FALSE)</f>
        <v>France</v>
      </c>
      <c r="D999" s="3">
        <f>VLOOKUP(A999,Raw_Data!A:L,12,FALSE)</f>
        <v>39600</v>
      </c>
      <c r="E999" s="3">
        <f>VLOOKUP(A999,Raw_Data!A:L,11,FALSE)</f>
        <v>80</v>
      </c>
      <c r="F999" t="str">
        <f>TEXT(VLOOKUP(A999,Raw_Data!A:L,5,FALSE),"mmm")</f>
        <v>Oct</v>
      </c>
    </row>
    <row r="1000" spans="1:6" x14ac:dyDescent="0.35">
      <c r="A1000" s="3" t="s">
        <v>1536</v>
      </c>
      <c r="B1000" t="str">
        <f>VLOOKUP(A1000,Raw_Data!A:L,6,FALSE)</f>
        <v>Ceiling fan</v>
      </c>
      <c r="C1000" t="str">
        <f>VLOOKUP(A1000,Raw_Data!A:L,3,FALSE)</f>
        <v>Thailand</v>
      </c>
      <c r="D1000" s="3">
        <f>VLOOKUP(A1000,Raw_Data!A:L,12,FALSE)</f>
        <v>13578</v>
      </c>
      <c r="E1000" s="3">
        <f>VLOOKUP(A1000,Raw_Data!A:L,11,FALSE)</f>
        <v>93</v>
      </c>
      <c r="F1000" t="str">
        <f>TEXT(VLOOKUP(A1000,Raw_Data!A:L,5,FALSE),"mmm")</f>
        <v>May</v>
      </c>
    </row>
    <row r="1001" spans="1:6" x14ac:dyDescent="0.35">
      <c r="A1001" s="3" t="s">
        <v>1538</v>
      </c>
      <c r="B1001" t="str">
        <f>VLOOKUP(A1001,Raw_Data!A:L,6,FALSE)</f>
        <v>Microwave</v>
      </c>
      <c r="C1001" t="str">
        <f>VLOOKUP(A1001,Raw_Data!A:L,3,FALSE)</f>
        <v>Ireland</v>
      </c>
      <c r="D1001" s="3">
        <f>VLOOKUP(A1001,Raw_Data!A:L,12,FALSE)</f>
        <v>6440</v>
      </c>
      <c r="E1001" s="3">
        <f>VLOOKUP(A1001,Raw_Data!A:L,11,FALSE)</f>
        <v>92</v>
      </c>
      <c r="F1001" t="str">
        <f>TEXT(VLOOKUP(A1001,Raw_Data!A:L,5,FALSE),"mmm")</f>
        <v>Dec</v>
      </c>
    </row>
    <row r="1002" spans="1:6" x14ac:dyDescent="0.35">
      <c r="A1002" s="3" t="s">
        <v>1539</v>
      </c>
      <c r="B1002" t="str">
        <f>VLOOKUP(A1002,Raw_Data!A:L,6,FALSE)</f>
        <v>Refrigerator</v>
      </c>
      <c r="C1002" t="str">
        <f>VLOOKUP(A1002,Raw_Data!A:L,3,FALSE)</f>
        <v>Russia</v>
      </c>
      <c r="D1002" s="3">
        <f>VLOOKUP(A1002,Raw_Data!A:L,12,FALSE)</f>
        <v>81480</v>
      </c>
      <c r="E1002" s="3">
        <f>VLOOKUP(A1002,Raw_Data!A:L,11,FALSE)</f>
        <v>84</v>
      </c>
      <c r="F1002" t="str">
        <f>TEXT(VLOOKUP(A1002,Raw_Data!A:L,5,FALSE),"mmm")</f>
        <v>Jan</v>
      </c>
    </row>
    <row r="1003" spans="1:6" x14ac:dyDescent="0.35">
      <c r="A1003" s="3" t="s">
        <v>1540</v>
      </c>
      <c r="B1003" t="str">
        <f>VLOOKUP(A1003,Raw_Data!A:L,6,FALSE)</f>
        <v>Refrigerator</v>
      </c>
      <c r="C1003" t="str">
        <f>VLOOKUP(A1003,Raw_Data!A:L,3,FALSE)</f>
        <v>USA</v>
      </c>
      <c r="D1003" s="3">
        <f>VLOOKUP(A1003,Raw_Data!A:L,12,FALSE)</f>
        <v>7590</v>
      </c>
      <c r="E1003" s="3">
        <f>VLOOKUP(A1003,Raw_Data!A:L,11,FALSE)</f>
        <v>11</v>
      </c>
      <c r="F1003" t="str">
        <f>TEXT(VLOOKUP(A1003,Raw_Data!A:L,5,FALSE),"mmm")</f>
        <v>Dec</v>
      </c>
    </row>
    <row r="1004" spans="1:6" x14ac:dyDescent="0.35">
      <c r="A1004" s="3" t="s">
        <v>1541</v>
      </c>
      <c r="B1004" t="str">
        <f>VLOOKUP(A1004,Raw_Data!A:L,6,FALSE)</f>
        <v>Toaster</v>
      </c>
      <c r="C1004" t="str">
        <f>VLOOKUP(A1004,Raw_Data!A:L,3,FALSE)</f>
        <v>Canada</v>
      </c>
      <c r="D1004" s="3">
        <f>VLOOKUP(A1004,Raw_Data!A:L,12,FALSE)</f>
        <v>774</v>
      </c>
      <c r="E1004" s="3">
        <f>VLOOKUP(A1004,Raw_Data!A:L,11,FALSE)</f>
        <v>18</v>
      </c>
      <c r="F1004" t="str">
        <f>TEXT(VLOOKUP(A1004,Raw_Data!A:L,5,FALSE),"mmm")</f>
        <v>Feb</v>
      </c>
    </row>
    <row r="1005" spans="1:6" x14ac:dyDescent="0.35">
      <c r="A1005" s="3" t="s">
        <v>1542</v>
      </c>
      <c r="B1005" t="str">
        <f>VLOOKUP(A1005,Raw_Data!A:L,6,FALSE)</f>
        <v>Refrigerator</v>
      </c>
      <c r="C1005" t="str">
        <f>VLOOKUP(A1005,Raw_Data!A:L,3,FALSE)</f>
        <v>Italy</v>
      </c>
      <c r="D1005" s="3">
        <f>VLOOKUP(A1005,Raw_Data!A:L,12,FALSE)</f>
        <v>5850</v>
      </c>
      <c r="E1005" s="3">
        <f>VLOOKUP(A1005,Raw_Data!A:L,11,FALSE)</f>
        <v>9</v>
      </c>
      <c r="F1005" t="str">
        <f>TEXT(VLOOKUP(A1005,Raw_Data!A:L,5,FALSE),"mmm")</f>
        <v>Mar</v>
      </c>
    </row>
    <row r="1006" spans="1:6" x14ac:dyDescent="0.35">
      <c r="A1006" s="3" t="s">
        <v>1543</v>
      </c>
      <c r="B1006" t="str">
        <f>VLOOKUP(A1006,Raw_Data!A:L,6,FALSE)</f>
        <v>Refrigerator</v>
      </c>
      <c r="C1006" t="str">
        <f>VLOOKUP(A1006,Raw_Data!A:L,3,FALSE)</f>
        <v>France</v>
      </c>
      <c r="D1006" s="3">
        <f>VLOOKUP(A1006,Raw_Data!A:L,12,FALSE)</f>
        <v>17680</v>
      </c>
      <c r="E1006" s="3">
        <f>VLOOKUP(A1006,Raw_Data!A:L,11,FALSE)</f>
        <v>34</v>
      </c>
      <c r="F1006" t="str">
        <f>TEXT(VLOOKUP(A1006,Raw_Data!A:L,5,FALSE),"mmm")</f>
        <v>Jul</v>
      </c>
    </row>
    <row r="1007" spans="1:6" x14ac:dyDescent="0.35">
      <c r="A1007" s="3" t="s">
        <v>1544</v>
      </c>
      <c r="B1007" t="str">
        <f>VLOOKUP(A1007,Raw_Data!A:L,6,FALSE)</f>
        <v>Ceiling fan</v>
      </c>
      <c r="C1007" t="str">
        <f>VLOOKUP(A1007,Raw_Data!A:L,3,FALSE)</f>
        <v>Russia</v>
      </c>
      <c r="D1007" s="3">
        <f>VLOOKUP(A1007,Raw_Data!A:L,12,FALSE)</f>
        <v>11473</v>
      </c>
      <c r="E1007" s="3">
        <f>VLOOKUP(A1007,Raw_Data!A:L,11,FALSE)</f>
        <v>77</v>
      </c>
      <c r="F1007" t="str">
        <f>TEXT(VLOOKUP(A1007,Raw_Data!A:L,5,FALSE),"mmm")</f>
        <v>Jan</v>
      </c>
    </row>
    <row r="1008" spans="1:6" x14ac:dyDescent="0.35">
      <c r="A1008" s="3" t="s">
        <v>1545</v>
      </c>
      <c r="B1008" t="str">
        <f>VLOOKUP(A1008,Raw_Data!A:L,6,FALSE)</f>
        <v>Air conditioner</v>
      </c>
      <c r="C1008" t="str">
        <f>VLOOKUP(A1008,Raw_Data!A:L,3,FALSE)</f>
        <v>USA</v>
      </c>
      <c r="D1008" s="3">
        <f>VLOOKUP(A1008,Raw_Data!A:L,12,FALSE)</f>
        <v>9310</v>
      </c>
      <c r="E1008" s="3">
        <f>VLOOKUP(A1008,Raw_Data!A:L,11,FALSE)</f>
        <v>14</v>
      </c>
      <c r="F1008" t="str">
        <f>TEXT(VLOOKUP(A1008,Raw_Data!A:L,5,FALSE),"mmm")</f>
        <v>Jan</v>
      </c>
    </row>
    <row r="1009" spans="1:6" x14ac:dyDescent="0.35">
      <c r="A1009" s="3" t="s">
        <v>1547</v>
      </c>
      <c r="B1009" t="str">
        <f>VLOOKUP(A1009,Raw_Data!A:L,6,FALSE)</f>
        <v>Air conditioner</v>
      </c>
      <c r="C1009" t="str">
        <f>VLOOKUP(A1009,Raw_Data!A:L,3,FALSE)</f>
        <v>USA</v>
      </c>
      <c r="D1009" s="3">
        <f>VLOOKUP(A1009,Raw_Data!A:L,12,FALSE)</f>
        <v>38640</v>
      </c>
      <c r="E1009" s="3">
        <f>VLOOKUP(A1009,Raw_Data!A:L,11,FALSE)</f>
        <v>69</v>
      </c>
      <c r="F1009" t="str">
        <f>TEXT(VLOOKUP(A1009,Raw_Data!A:L,5,FALSE),"mmm")</f>
        <v>May</v>
      </c>
    </row>
    <row r="1010" spans="1:6" x14ac:dyDescent="0.35">
      <c r="A1010" s="3" t="s">
        <v>1548</v>
      </c>
      <c r="B1010" t="str">
        <f>VLOOKUP(A1010,Raw_Data!A:L,6,FALSE)</f>
        <v>Toaster</v>
      </c>
      <c r="C1010" t="str">
        <f>VLOOKUP(A1010,Raw_Data!A:L,3,FALSE)</f>
        <v>China</v>
      </c>
      <c r="D1010" s="3">
        <f>VLOOKUP(A1010,Raw_Data!A:L,12,FALSE)</f>
        <v>88</v>
      </c>
      <c r="E1010" s="3">
        <f>VLOOKUP(A1010,Raw_Data!A:L,11,FALSE)</f>
        <v>2</v>
      </c>
      <c r="F1010" t="str">
        <f>TEXT(VLOOKUP(A1010,Raw_Data!A:L,5,FALSE),"mmm")</f>
        <v>Sep</v>
      </c>
    </row>
    <row r="1011" spans="1:6" x14ac:dyDescent="0.35">
      <c r="A1011" s="3" t="s">
        <v>1549</v>
      </c>
      <c r="B1011" t="str">
        <f>VLOOKUP(A1011,Raw_Data!A:L,6,FALSE)</f>
        <v>Refrigerator</v>
      </c>
      <c r="C1011" t="str">
        <f>VLOOKUP(A1011,Raw_Data!A:L,3,FALSE)</f>
        <v>USA</v>
      </c>
      <c r="D1011" s="3">
        <f>VLOOKUP(A1011,Raw_Data!A:L,12,FALSE)</f>
        <v>54720</v>
      </c>
      <c r="E1011" s="3">
        <f>VLOOKUP(A1011,Raw_Data!A:L,11,FALSE)</f>
        <v>72</v>
      </c>
      <c r="F1011" t="str">
        <f>TEXT(VLOOKUP(A1011,Raw_Data!A:L,5,FALSE),"mmm")</f>
        <v>Feb</v>
      </c>
    </row>
    <row r="1012" spans="1:6" x14ac:dyDescent="0.35">
      <c r="A1012" s="3" t="s">
        <v>1550</v>
      </c>
      <c r="B1012" t="str">
        <f>VLOOKUP(A1012,Raw_Data!A:L,6,FALSE)</f>
        <v>Vacuum Cleaner</v>
      </c>
      <c r="C1012" t="str">
        <f>VLOOKUP(A1012,Raw_Data!A:L,3,FALSE)</f>
        <v>USA</v>
      </c>
      <c r="D1012" s="3">
        <f>VLOOKUP(A1012,Raw_Data!A:L,12,FALSE)</f>
        <v>8892</v>
      </c>
      <c r="E1012" s="3">
        <f>VLOOKUP(A1012,Raw_Data!A:L,11,FALSE)</f>
        <v>39</v>
      </c>
      <c r="F1012" t="str">
        <f>TEXT(VLOOKUP(A1012,Raw_Data!A:L,5,FALSE),"mmm")</f>
        <v>Dec</v>
      </c>
    </row>
    <row r="1013" spans="1:6" x14ac:dyDescent="0.35">
      <c r="A1013" s="3" t="s">
        <v>1552</v>
      </c>
      <c r="B1013" t="str">
        <f>VLOOKUP(A1013,Raw_Data!A:L,6,FALSE)</f>
        <v>Vacuum Cleaner</v>
      </c>
      <c r="C1013" t="str">
        <f>VLOOKUP(A1013,Raw_Data!A:L,3,FALSE)</f>
        <v>South Africa</v>
      </c>
      <c r="D1013" s="3">
        <f>VLOOKUP(A1013,Raw_Data!A:L,12,FALSE)</f>
        <v>4216</v>
      </c>
      <c r="E1013" s="3">
        <f>VLOOKUP(A1013,Raw_Data!A:L,11,FALSE)</f>
        <v>17</v>
      </c>
      <c r="F1013" t="str">
        <f>TEXT(VLOOKUP(A1013,Raw_Data!A:L,5,FALSE),"mmm")</f>
        <v>Jul</v>
      </c>
    </row>
    <row r="1014" spans="1:6" x14ac:dyDescent="0.35">
      <c r="A1014" s="3" t="s">
        <v>1553</v>
      </c>
      <c r="B1014" t="str">
        <f>VLOOKUP(A1014,Raw_Data!A:L,6,FALSE)</f>
        <v>Toaster</v>
      </c>
      <c r="C1014" t="str">
        <f>VLOOKUP(A1014,Raw_Data!A:L,3,FALSE)</f>
        <v>Colombia</v>
      </c>
      <c r="D1014" s="3">
        <f>VLOOKUP(A1014,Raw_Data!A:L,12,FALSE)</f>
        <v>3003</v>
      </c>
      <c r="E1014" s="3">
        <f>VLOOKUP(A1014,Raw_Data!A:L,11,FALSE)</f>
        <v>77</v>
      </c>
      <c r="F1014" t="str">
        <f>TEXT(VLOOKUP(A1014,Raw_Data!A:L,5,FALSE),"mmm")</f>
        <v>Mar</v>
      </c>
    </row>
    <row r="1015" spans="1:6" x14ac:dyDescent="0.35">
      <c r="A1015" s="3" t="s">
        <v>1554</v>
      </c>
      <c r="B1015" t="str">
        <f>VLOOKUP(A1015,Raw_Data!A:L,6,FALSE)</f>
        <v>Vacuum Cleaner</v>
      </c>
      <c r="C1015" t="str">
        <f>VLOOKUP(A1015,Raw_Data!A:L,3,FALSE)</f>
        <v>Romania</v>
      </c>
      <c r="D1015" s="3">
        <f>VLOOKUP(A1015,Raw_Data!A:L,12,FALSE)</f>
        <v>12152</v>
      </c>
      <c r="E1015" s="3">
        <f>VLOOKUP(A1015,Raw_Data!A:L,11,FALSE)</f>
        <v>49</v>
      </c>
      <c r="F1015" t="str">
        <f>TEXT(VLOOKUP(A1015,Raw_Data!A:L,5,FALSE),"mmm")</f>
        <v>Jan</v>
      </c>
    </row>
    <row r="1016" spans="1:6" x14ac:dyDescent="0.35">
      <c r="A1016" s="3" t="s">
        <v>1555</v>
      </c>
      <c r="B1016" t="str">
        <f>VLOOKUP(A1016,Raw_Data!A:L,6,FALSE)</f>
        <v>Vacuum Cleaner</v>
      </c>
      <c r="C1016" t="str">
        <f>VLOOKUP(A1016,Raw_Data!A:L,3,FALSE)</f>
        <v>Spain</v>
      </c>
      <c r="D1016" s="3">
        <f>VLOOKUP(A1016,Raw_Data!A:L,12,FALSE)</f>
        <v>5000</v>
      </c>
      <c r="E1016" s="3">
        <f>VLOOKUP(A1016,Raw_Data!A:L,11,FALSE)</f>
        <v>20</v>
      </c>
      <c r="F1016" t="str">
        <f>TEXT(VLOOKUP(A1016,Raw_Data!A:L,5,FALSE),"mmm")</f>
        <v>Sep</v>
      </c>
    </row>
    <row r="1017" spans="1:6" x14ac:dyDescent="0.35">
      <c r="A1017" s="3" t="s">
        <v>1556</v>
      </c>
      <c r="B1017" t="str">
        <f>VLOOKUP(A1017,Raw_Data!A:L,6,FALSE)</f>
        <v>Toaster</v>
      </c>
      <c r="C1017" t="str">
        <f>VLOOKUP(A1017,Raw_Data!A:L,3,FALSE)</f>
        <v>USA</v>
      </c>
      <c r="D1017" s="3">
        <f>VLOOKUP(A1017,Raw_Data!A:L,12,FALSE)</f>
        <v>2976</v>
      </c>
      <c r="E1017" s="3">
        <f>VLOOKUP(A1017,Raw_Data!A:L,11,FALSE)</f>
        <v>62</v>
      </c>
      <c r="F1017" t="str">
        <f>TEXT(VLOOKUP(A1017,Raw_Data!A:L,5,FALSE),"mmm")</f>
        <v>May</v>
      </c>
    </row>
    <row r="1018" spans="1:6" x14ac:dyDescent="0.35">
      <c r="A1018" s="3" t="s">
        <v>1558</v>
      </c>
      <c r="B1018" t="str">
        <f>VLOOKUP(A1018,Raw_Data!A:L,6,FALSE)</f>
        <v>Refrigerator</v>
      </c>
      <c r="C1018" t="str">
        <f>VLOOKUP(A1018,Raw_Data!A:L,3,FALSE)</f>
        <v>Netherlands</v>
      </c>
      <c r="D1018" s="3">
        <f>VLOOKUP(A1018,Raw_Data!A:L,12,FALSE)</f>
        <v>21830</v>
      </c>
      <c r="E1018" s="3">
        <f>VLOOKUP(A1018,Raw_Data!A:L,11,FALSE)</f>
        <v>37</v>
      </c>
      <c r="F1018" t="str">
        <f>TEXT(VLOOKUP(A1018,Raw_Data!A:L,5,FALSE),"mmm")</f>
        <v>Jan</v>
      </c>
    </row>
    <row r="1019" spans="1:6" x14ac:dyDescent="0.35">
      <c r="A1019" s="3" t="s">
        <v>1560</v>
      </c>
      <c r="B1019" t="str">
        <f>VLOOKUP(A1019,Raw_Data!A:L,6,FALSE)</f>
        <v>Microwave</v>
      </c>
      <c r="C1019" t="str">
        <f>VLOOKUP(A1019,Raw_Data!A:L,3,FALSE)</f>
        <v>UK</v>
      </c>
      <c r="D1019" s="3">
        <f>VLOOKUP(A1019,Raw_Data!A:L,12,FALSE)</f>
        <v>836</v>
      </c>
      <c r="E1019" s="3">
        <f>VLOOKUP(A1019,Raw_Data!A:L,11,FALSE)</f>
        <v>11</v>
      </c>
      <c r="F1019" t="str">
        <f>TEXT(VLOOKUP(A1019,Raw_Data!A:L,5,FALSE),"mmm")</f>
        <v>Apr</v>
      </c>
    </row>
    <row r="1020" spans="1:6" x14ac:dyDescent="0.35">
      <c r="A1020" s="3" t="s">
        <v>1561</v>
      </c>
      <c r="B1020" t="str">
        <f>VLOOKUP(A1020,Raw_Data!A:L,6,FALSE)</f>
        <v>Dishwasher</v>
      </c>
      <c r="C1020" t="str">
        <f>VLOOKUP(A1020,Raw_Data!A:L,3,FALSE)</f>
        <v>Peru</v>
      </c>
      <c r="D1020" s="3">
        <f>VLOOKUP(A1020,Raw_Data!A:L,12,FALSE)</f>
        <v>41760</v>
      </c>
      <c r="E1020" s="3">
        <f>VLOOKUP(A1020,Raw_Data!A:L,11,FALSE)</f>
        <v>87</v>
      </c>
      <c r="F1020" t="str">
        <f>TEXT(VLOOKUP(A1020,Raw_Data!A:L,5,FALSE),"mmm")</f>
        <v>Sep</v>
      </c>
    </row>
    <row r="1021" spans="1:6" x14ac:dyDescent="0.35">
      <c r="A1021" s="3" t="s">
        <v>1562</v>
      </c>
      <c r="B1021" t="str">
        <f>VLOOKUP(A1021,Raw_Data!A:L,6,FALSE)</f>
        <v>Washing Machine</v>
      </c>
      <c r="C1021" t="str">
        <f>VLOOKUP(A1021,Raw_Data!A:L,3,FALSE)</f>
        <v>Italy</v>
      </c>
      <c r="D1021" s="3">
        <f>VLOOKUP(A1021,Raw_Data!A:L,12,FALSE)</f>
        <v>14400</v>
      </c>
      <c r="E1021" s="3">
        <f>VLOOKUP(A1021,Raw_Data!A:L,11,FALSE)</f>
        <v>20</v>
      </c>
      <c r="F1021" t="str">
        <f>TEXT(VLOOKUP(A1021,Raw_Data!A:L,5,FALSE),"mmm")</f>
        <v>Feb</v>
      </c>
    </row>
    <row r="1022" spans="1:6" x14ac:dyDescent="0.35">
      <c r="A1022" s="3" t="s">
        <v>1563</v>
      </c>
      <c r="B1022" t="str">
        <f>VLOOKUP(A1022,Raw_Data!A:L,6,FALSE)</f>
        <v>Coffee grinder</v>
      </c>
      <c r="C1022" t="str">
        <f>VLOOKUP(A1022,Raw_Data!A:L,3,FALSE)</f>
        <v>Thailand</v>
      </c>
      <c r="D1022" s="3">
        <f>VLOOKUP(A1022,Raw_Data!A:L,12,FALSE)</f>
        <v>4899</v>
      </c>
      <c r="E1022" s="3">
        <f>VLOOKUP(A1022,Raw_Data!A:L,11,FALSE)</f>
        <v>71</v>
      </c>
      <c r="F1022" t="str">
        <f>TEXT(VLOOKUP(A1022,Raw_Data!A:L,5,FALSE),"mmm")</f>
        <v>Sep</v>
      </c>
    </row>
    <row r="1023" spans="1:6" x14ac:dyDescent="0.35">
      <c r="A1023" s="3" t="s">
        <v>1564</v>
      </c>
      <c r="B1023" t="str">
        <f>VLOOKUP(A1023,Raw_Data!A:L,6,FALSE)</f>
        <v>Coffee grinder</v>
      </c>
      <c r="C1023" t="str">
        <f>VLOOKUP(A1023,Raw_Data!A:L,3,FALSE)</f>
        <v>Israel</v>
      </c>
      <c r="D1023" s="3">
        <f>VLOOKUP(A1023,Raw_Data!A:L,12,FALSE)</f>
        <v>5820</v>
      </c>
      <c r="E1023" s="3">
        <f>VLOOKUP(A1023,Raw_Data!A:L,11,FALSE)</f>
        <v>97</v>
      </c>
      <c r="F1023" t="str">
        <f>TEXT(VLOOKUP(A1023,Raw_Data!A:L,5,FALSE),"mmm")</f>
        <v>Dec</v>
      </c>
    </row>
    <row r="1024" spans="1:6" x14ac:dyDescent="0.35">
      <c r="A1024" s="3" t="s">
        <v>1565</v>
      </c>
      <c r="B1024" t="str">
        <f>VLOOKUP(A1024,Raw_Data!A:L,6,FALSE)</f>
        <v>Toaster</v>
      </c>
      <c r="C1024" t="str">
        <f>VLOOKUP(A1024,Raw_Data!A:L,3,FALSE)</f>
        <v>Chile</v>
      </c>
      <c r="D1024" s="3">
        <f>VLOOKUP(A1024,Raw_Data!A:L,12,FALSE)</f>
        <v>4312</v>
      </c>
      <c r="E1024" s="3">
        <f>VLOOKUP(A1024,Raw_Data!A:L,11,FALSE)</f>
        <v>98</v>
      </c>
      <c r="F1024" t="str">
        <f>TEXT(VLOOKUP(A1024,Raw_Data!A:L,5,FALSE),"mmm")</f>
        <v>Mar</v>
      </c>
    </row>
    <row r="1025" spans="1:6" x14ac:dyDescent="0.35">
      <c r="A1025" s="3" t="s">
        <v>1566</v>
      </c>
      <c r="B1025" t="str">
        <f>VLOOKUP(A1025,Raw_Data!A:L,6,FALSE)</f>
        <v>Microwave</v>
      </c>
      <c r="C1025" t="str">
        <f>VLOOKUP(A1025,Raw_Data!A:L,3,FALSE)</f>
        <v>Malaysia</v>
      </c>
      <c r="D1025" s="3">
        <f>VLOOKUP(A1025,Raw_Data!A:L,12,FALSE)</f>
        <v>6438</v>
      </c>
      <c r="E1025" s="3">
        <f>VLOOKUP(A1025,Raw_Data!A:L,11,FALSE)</f>
        <v>87</v>
      </c>
      <c r="F1025" t="str">
        <f>TEXT(VLOOKUP(A1025,Raw_Data!A:L,5,FALSE),"mmm")</f>
        <v>Jun</v>
      </c>
    </row>
    <row r="1026" spans="1:6" x14ac:dyDescent="0.35">
      <c r="A1026" s="3" t="s">
        <v>1567</v>
      </c>
      <c r="B1026" t="str">
        <f>VLOOKUP(A1026,Raw_Data!A:L,6,FALSE)</f>
        <v>Coffee grinder</v>
      </c>
      <c r="C1026" t="str">
        <f>VLOOKUP(A1026,Raw_Data!A:L,3,FALSE)</f>
        <v>South Africa</v>
      </c>
      <c r="D1026" s="3">
        <f>VLOOKUP(A1026,Raw_Data!A:L,12,FALSE)</f>
        <v>1564</v>
      </c>
      <c r="E1026" s="3">
        <f>VLOOKUP(A1026,Raw_Data!A:L,11,FALSE)</f>
        <v>23</v>
      </c>
      <c r="F1026" t="str">
        <f>TEXT(VLOOKUP(A1026,Raw_Data!A:L,5,FALSE),"mmm")</f>
        <v>Feb</v>
      </c>
    </row>
    <row r="1027" spans="1:6" x14ac:dyDescent="0.35">
      <c r="A1027" s="3" t="s">
        <v>1568</v>
      </c>
      <c r="B1027" t="str">
        <f>VLOOKUP(A1027,Raw_Data!A:L,6,FALSE)</f>
        <v>Coffee grinder</v>
      </c>
      <c r="C1027" t="str">
        <f>VLOOKUP(A1027,Raw_Data!A:L,3,FALSE)</f>
        <v>UAE</v>
      </c>
      <c r="D1027" s="3">
        <f>VLOOKUP(A1027,Raw_Data!A:L,12,FALSE)</f>
        <v>5940</v>
      </c>
      <c r="E1027" s="3">
        <f>VLOOKUP(A1027,Raw_Data!A:L,11,FALSE)</f>
        <v>90</v>
      </c>
      <c r="F1027" t="str">
        <f>TEXT(VLOOKUP(A1027,Raw_Data!A:L,5,FALSE),"mmm")</f>
        <v>Mar</v>
      </c>
    </row>
    <row r="1028" spans="1:6" x14ac:dyDescent="0.35">
      <c r="A1028" s="3" t="s">
        <v>1569</v>
      </c>
      <c r="B1028" t="str">
        <f>VLOOKUP(A1028,Raw_Data!A:L,6,FALSE)</f>
        <v>Ceiling fan</v>
      </c>
      <c r="C1028" t="str">
        <f>VLOOKUP(A1028,Raw_Data!A:L,3,FALSE)</f>
        <v>Mexico</v>
      </c>
      <c r="D1028" s="3">
        <f>VLOOKUP(A1028,Raw_Data!A:L,12,FALSE)</f>
        <v>864</v>
      </c>
      <c r="E1028" s="3">
        <f>VLOOKUP(A1028,Raw_Data!A:L,11,FALSE)</f>
        <v>6</v>
      </c>
      <c r="F1028" t="str">
        <f>TEXT(VLOOKUP(A1028,Raw_Data!A:L,5,FALSE),"mmm")</f>
        <v>Oct</v>
      </c>
    </row>
    <row r="1029" spans="1:6" x14ac:dyDescent="0.35">
      <c r="A1029" s="3" t="s">
        <v>1570</v>
      </c>
      <c r="B1029" t="str">
        <f>VLOOKUP(A1029,Raw_Data!A:L,6,FALSE)</f>
        <v>Coffee grinder</v>
      </c>
      <c r="C1029" t="str">
        <f>VLOOKUP(A1029,Raw_Data!A:L,3,FALSE)</f>
        <v>Vietnam</v>
      </c>
      <c r="D1029" s="3">
        <f>VLOOKUP(A1029,Raw_Data!A:L,12,FALSE)</f>
        <v>6370</v>
      </c>
      <c r="E1029" s="3">
        <f>VLOOKUP(A1029,Raw_Data!A:L,11,FALSE)</f>
        <v>98</v>
      </c>
      <c r="F1029" t="str">
        <f>TEXT(VLOOKUP(A1029,Raw_Data!A:L,5,FALSE),"mmm")</f>
        <v>Dec</v>
      </c>
    </row>
    <row r="1030" spans="1:6" x14ac:dyDescent="0.35">
      <c r="A1030" s="3" t="s">
        <v>1571</v>
      </c>
      <c r="B1030" t="str">
        <f>VLOOKUP(A1030,Raw_Data!A:L,6,FALSE)</f>
        <v>Refrigerator</v>
      </c>
      <c r="C1030" t="str">
        <f>VLOOKUP(A1030,Raw_Data!A:L,3,FALSE)</f>
        <v>China</v>
      </c>
      <c r="D1030" s="3">
        <f>VLOOKUP(A1030,Raw_Data!A:L,12,FALSE)</f>
        <v>3150</v>
      </c>
      <c r="E1030" s="3">
        <f>VLOOKUP(A1030,Raw_Data!A:L,11,FALSE)</f>
        <v>5</v>
      </c>
      <c r="F1030" t="str">
        <f>TEXT(VLOOKUP(A1030,Raw_Data!A:L,5,FALSE),"mmm")</f>
        <v>Apr</v>
      </c>
    </row>
    <row r="1031" spans="1:6" x14ac:dyDescent="0.35">
      <c r="A1031" s="3" t="s">
        <v>1572</v>
      </c>
      <c r="B1031" t="str">
        <f>VLOOKUP(A1031,Raw_Data!A:L,6,FALSE)</f>
        <v>Ceiling fan</v>
      </c>
      <c r="C1031" t="str">
        <f>VLOOKUP(A1031,Raw_Data!A:L,3,FALSE)</f>
        <v>Italy</v>
      </c>
      <c r="D1031" s="3">
        <f>VLOOKUP(A1031,Raw_Data!A:L,12,FALSE)</f>
        <v>9492</v>
      </c>
      <c r="E1031" s="3">
        <f>VLOOKUP(A1031,Raw_Data!A:L,11,FALSE)</f>
        <v>84</v>
      </c>
      <c r="F1031" t="str">
        <f>TEXT(VLOOKUP(A1031,Raw_Data!A:L,5,FALSE),"mmm")</f>
        <v>Nov</v>
      </c>
    </row>
    <row r="1032" spans="1:6" x14ac:dyDescent="0.35">
      <c r="A1032" s="3" t="s">
        <v>1573</v>
      </c>
      <c r="B1032" t="str">
        <f>VLOOKUP(A1032,Raw_Data!A:L,6,FALSE)</f>
        <v>Oven</v>
      </c>
      <c r="C1032" t="str">
        <f>VLOOKUP(A1032,Raw_Data!A:L,3,FALSE)</f>
        <v>Netherlands</v>
      </c>
      <c r="D1032" s="3">
        <f>VLOOKUP(A1032,Raw_Data!A:L,12,FALSE)</f>
        <v>40180</v>
      </c>
      <c r="E1032" s="3">
        <f>VLOOKUP(A1032,Raw_Data!A:L,11,FALSE)</f>
        <v>82</v>
      </c>
      <c r="F1032" t="str">
        <f>TEXT(VLOOKUP(A1032,Raw_Data!A:L,5,FALSE),"mmm")</f>
        <v>Jan</v>
      </c>
    </row>
    <row r="1033" spans="1:6" x14ac:dyDescent="0.35">
      <c r="A1033" s="3" t="s">
        <v>1574</v>
      </c>
      <c r="B1033" t="str">
        <f>VLOOKUP(A1033,Raw_Data!A:L,6,FALSE)</f>
        <v>Toaster</v>
      </c>
      <c r="C1033" t="str">
        <f>VLOOKUP(A1033,Raw_Data!A:L,3,FALSE)</f>
        <v>USA</v>
      </c>
      <c r="D1033" s="3">
        <f>VLOOKUP(A1033,Raw_Data!A:L,12,FALSE)</f>
        <v>414</v>
      </c>
      <c r="E1033" s="3">
        <f>VLOOKUP(A1033,Raw_Data!A:L,11,FALSE)</f>
        <v>9</v>
      </c>
      <c r="F1033" t="str">
        <f>TEXT(VLOOKUP(A1033,Raw_Data!A:L,5,FALSE),"mmm")</f>
        <v>May</v>
      </c>
    </row>
    <row r="1034" spans="1:6" x14ac:dyDescent="0.35">
      <c r="A1034" s="3" t="s">
        <v>1575</v>
      </c>
      <c r="B1034" t="str">
        <f>VLOOKUP(A1034,Raw_Data!A:L,6,FALSE)</f>
        <v>Air conditioner</v>
      </c>
      <c r="C1034" t="str">
        <f>VLOOKUP(A1034,Raw_Data!A:L,3,FALSE)</f>
        <v>Egypt</v>
      </c>
      <c r="D1034" s="3">
        <f>VLOOKUP(A1034,Raw_Data!A:L,12,FALSE)</f>
        <v>17472</v>
      </c>
      <c r="E1034" s="3">
        <f>VLOOKUP(A1034,Raw_Data!A:L,11,FALSE)</f>
        <v>26</v>
      </c>
      <c r="F1034" t="str">
        <f>TEXT(VLOOKUP(A1034,Raw_Data!A:L,5,FALSE),"mmm")</f>
        <v>Jul</v>
      </c>
    </row>
    <row r="1035" spans="1:6" x14ac:dyDescent="0.35">
      <c r="A1035" s="3" t="s">
        <v>1576</v>
      </c>
      <c r="B1035" t="str">
        <f>VLOOKUP(A1035,Raw_Data!A:L,6,FALSE)</f>
        <v>Blender</v>
      </c>
      <c r="C1035" t="str">
        <f>VLOOKUP(A1035,Raw_Data!A:L,3,FALSE)</f>
        <v>South Africa</v>
      </c>
      <c r="D1035" s="3">
        <f>VLOOKUP(A1035,Raw_Data!A:L,12,FALSE)</f>
        <v>4752</v>
      </c>
      <c r="E1035" s="3">
        <f>VLOOKUP(A1035,Raw_Data!A:L,11,FALSE)</f>
        <v>99</v>
      </c>
      <c r="F1035" t="str">
        <f>TEXT(VLOOKUP(A1035,Raw_Data!A:L,5,FALSE),"mmm")</f>
        <v>May</v>
      </c>
    </row>
    <row r="1036" spans="1:6" x14ac:dyDescent="0.35">
      <c r="A1036" s="3" t="s">
        <v>1577</v>
      </c>
      <c r="B1036" t="str">
        <f>VLOOKUP(A1036,Raw_Data!A:L,6,FALSE)</f>
        <v>Oven</v>
      </c>
      <c r="C1036" t="str">
        <f>VLOOKUP(A1036,Raw_Data!A:L,3,FALSE)</f>
        <v>Japan</v>
      </c>
      <c r="D1036" s="3">
        <f>VLOOKUP(A1036,Raw_Data!A:L,12,FALSE)</f>
        <v>32830</v>
      </c>
      <c r="E1036" s="3">
        <f>VLOOKUP(A1036,Raw_Data!A:L,11,FALSE)</f>
        <v>67</v>
      </c>
      <c r="F1036" t="str">
        <f>TEXT(VLOOKUP(A1036,Raw_Data!A:L,5,FALSE),"mmm")</f>
        <v>Apr</v>
      </c>
    </row>
    <row r="1037" spans="1:6" x14ac:dyDescent="0.35">
      <c r="A1037" s="3" t="s">
        <v>1578</v>
      </c>
      <c r="B1037" t="str">
        <f>VLOOKUP(A1037,Raw_Data!A:L,6,FALSE)</f>
        <v>Coffee grinder</v>
      </c>
      <c r="C1037" t="str">
        <f>VLOOKUP(A1037,Raw_Data!A:L,3,FALSE)</f>
        <v>Colombia</v>
      </c>
      <c r="D1037" s="3">
        <f>VLOOKUP(A1037,Raw_Data!A:L,12,FALSE)</f>
        <v>5162</v>
      </c>
      <c r="E1037" s="3">
        <f>VLOOKUP(A1037,Raw_Data!A:L,11,FALSE)</f>
        <v>89</v>
      </c>
      <c r="F1037" t="str">
        <f>TEXT(VLOOKUP(A1037,Raw_Data!A:L,5,FALSE),"mmm")</f>
        <v>Mar</v>
      </c>
    </row>
    <row r="1038" spans="1:6" x14ac:dyDescent="0.35">
      <c r="A1038" s="3" t="s">
        <v>1579</v>
      </c>
      <c r="B1038" t="str">
        <f>VLOOKUP(A1038,Raw_Data!A:L,6,FALSE)</f>
        <v>Coffee grinder</v>
      </c>
      <c r="C1038" t="str">
        <f>VLOOKUP(A1038,Raw_Data!A:L,3,FALSE)</f>
        <v>Poland</v>
      </c>
      <c r="D1038" s="3">
        <f>VLOOKUP(A1038,Raw_Data!A:L,12,FALSE)</f>
        <v>3720</v>
      </c>
      <c r="E1038" s="3">
        <f>VLOOKUP(A1038,Raw_Data!A:L,11,FALSE)</f>
        <v>62</v>
      </c>
      <c r="F1038" t="str">
        <f>TEXT(VLOOKUP(A1038,Raw_Data!A:L,5,FALSE),"mmm")</f>
        <v>Feb</v>
      </c>
    </row>
    <row r="1039" spans="1:6" x14ac:dyDescent="0.35">
      <c r="A1039" s="3" t="s">
        <v>1580</v>
      </c>
      <c r="B1039" t="str">
        <f>VLOOKUP(A1039,Raw_Data!A:L,6,FALSE)</f>
        <v>Washing Machine</v>
      </c>
      <c r="C1039" t="str">
        <f>VLOOKUP(A1039,Raw_Data!A:L,3,FALSE)</f>
        <v>Argentina</v>
      </c>
      <c r="D1039" s="3">
        <f>VLOOKUP(A1039,Raw_Data!A:L,12,FALSE)</f>
        <v>42656</v>
      </c>
      <c r="E1039" s="3">
        <f>VLOOKUP(A1039,Raw_Data!A:L,11,FALSE)</f>
        <v>62</v>
      </c>
      <c r="F1039" t="str">
        <f>TEXT(VLOOKUP(A1039,Raw_Data!A:L,5,FALSE),"mmm")</f>
        <v>Sep</v>
      </c>
    </row>
    <row r="1040" spans="1:6" x14ac:dyDescent="0.35">
      <c r="A1040" s="3" t="s">
        <v>1581</v>
      </c>
      <c r="B1040" t="str">
        <f>VLOOKUP(A1040,Raw_Data!A:L,6,FALSE)</f>
        <v>Vacuum Cleaner</v>
      </c>
      <c r="C1040" t="str">
        <f>VLOOKUP(A1040,Raw_Data!A:L,3,FALSE)</f>
        <v>France</v>
      </c>
      <c r="D1040" s="3">
        <f>VLOOKUP(A1040,Raw_Data!A:L,12,FALSE)</f>
        <v>3410</v>
      </c>
      <c r="E1040" s="3">
        <f>VLOOKUP(A1040,Raw_Data!A:L,11,FALSE)</f>
        <v>22</v>
      </c>
      <c r="F1040" t="str">
        <f>TEXT(VLOOKUP(A1040,Raw_Data!A:L,5,FALSE),"mmm")</f>
        <v>Feb</v>
      </c>
    </row>
    <row r="1041" spans="1:6" x14ac:dyDescent="0.35">
      <c r="A1041" s="3" t="s">
        <v>1582</v>
      </c>
      <c r="B1041" t="str">
        <f>VLOOKUP(A1041,Raw_Data!A:L,6,FALSE)</f>
        <v>Air conditioner</v>
      </c>
      <c r="C1041" t="str">
        <f>VLOOKUP(A1041,Raw_Data!A:L,3,FALSE)</f>
        <v>Greece</v>
      </c>
      <c r="D1041" s="3">
        <f>VLOOKUP(A1041,Raw_Data!A:L,12,FALSE)</f>
        <v>48384</v>
      </c>
      <c r="E1041" s="3">
        <f>VLOOKUP(A1041,Raw_Data!A:L,11,FALSE)</f>
        <v>96</v>
      </c>
      <c r="F1041" t="str">
        <f>TEXT(VLOOKUP(A1041,Raw_Data!A:L,5,FALSE),"mmm")</f>
        <v>Aug</v>
      </c>
    </row>
    <row r="1042" spans="1:6" x14ac:dyDescent="0.35">
      <c r="A1042" s="3" t="s">
        <v>1583</v>
      </c>
      <c r="B1042" t="str">
        <f>VLOOKUP(A1042,Raw_Data!A:L,6,FALSE)</f>
        <v>Air conditioner</v>
      </c>
      <c r="C1042" t="str">
        <f>VLOOKUP(A1042,Raw_Data!A:L,3,FALSE)</f>
        <v>France</v>
      </c>
      <c r="D1042" s="3">
        <f>VLOOKUP(A1042,Raw_Data!A:L,12,FALSE)</f>
        <v>26061</v>
      </c>
      <c r="E1042" s="3">
        <f>VLOOKUP(A1042,Raw_Data!A:L,11,FALSE)</f>
        <v>51</v>
      </c>
      <c r="F1042" t="str">
        <f>TEXT(VLOOKUP(A1042,Raw_Data!A:L,5,FALSE),"mmm")</f>
        <v>Apr</v>
      </c>
    </row>
    <row r="1043" spans="1:6" x14ac:dyDescent="0.35">
      <c r="A1043" s="3" t="s">
        <v>1584</v>
      </c>
      <c r="B1043" t="str">
        <f>VLOOKUP(A1043,Raw_Data!A:L,6,FALSE)</f>
        <v>Vacuum Cleaner</v>
      </c>
      <c r="C1043" t="str">
        <f>VLOOKUP(A1043,Raw_Data!A:L,3,FALSE)</f>
        <v>Brazil</v>
      </c>
      <c r="D1043" s="3">
        <f>VLOOKUP(A1043,Raw_Data!A:L,12,FALSE)</f>
        <v>18500</v>
      </c>
      <c r="E1043" s="3">
        <f>VLOOKUP(A1043,Raw_Data!A:L,11,FALSE)</f>
        <v>74</v>
      </c>
      <c r="F1043" t="str">
        <f>TEXT(VLOOKUP(A1043,Raw_Data!A:L,5,FALSE),"mmm")</f>
        <v>Aug</v>
      </c>
    </row>
    <row r="1044" spans="1:6" x14ac:dyDescent="0.35">
      <c r="A1044" s="3" t="s">
        <v>1586</v>
      </c>
      <c r="B1044" t="str">
        <f>VLOOKUP(A1044,Raw_Data!A:L,6,FALSE)</f>
        <v>Toaster</v>
      </c>
      <c r="C1044" t="str">
        <f>VLOOKUP(A1044,Raw_Data!A:L,3,FALSE)</f>
        <v>Spain</v>
      </c>
      <c r="D1044" s="3">
        <f>VLOOKUP(A1044,Raw_Data!A:L,12,FALSE)</f>
        <v>4150</v>
      </c>
      <c r="E1044" s="3">
        <f>VLOOKUP(A1044,Raw_Data!A:L,11,FALSE)</f>
        <v>83</v>
      </c>
      <c r="F1044" t="str">
        <f>TEXT(VLOOKUP(A1044,Raw_Data!A:L,5,FALSE),"mmm")</f>
        <v>May</v>
      </c>
    </row>
    <row r="1045" spans="1:6" x14ac:dyDescent="0.35">
      <c r="A1045" s="3" t="s">
        <v>1587</v>
      </c>
      <c r="B1045" t="str">
        <f>VLOOKUP(A1045,Raw_Data!A:L,6,FALSE)</f>
        <v>Ceiling fan</v>
      </c>
      <c r="C1045" t="str">
        <f>VLOOKUP(A1045,Raw_Data!A:L,3,FALSE)</f>
        <v>Saudi Arabia</v>
      </c>
      <c r="D1045" s="3">
        <f>VLOOKUP(A1045,Raw_Data!A:L,12,FALSE)</f>
        <v>10125</v>
      </c>
      <c r="E1045" s="3">
        <f>VLOOKUP(A1045,Raw_Data!A:L,11,FALSE)</f>
        <v>75</v>
      </c>
      <c r="F1045" t="str">
        <f>TEXT(VLOOKUP(A1045,Raw_Data!A:L,5,FALSE),"mmm")</f>
        <v>Apr</v>
      </c>
    </row>
    <row r="1046" spans="1:6" x14ac:dyDescent="0.35">
      <c r="A1046" s="3" t="s">
        <v>1588</v>
      </c>
      <c r="B1046" t="str">
        <f>VLOOKUP(A1046,Raw_Data!A:L,6,FALSE)</f>
        <v>Coffee grinder</v>
      </c>
      <c r="C1046" t="str">
        <f>VLOOKUP(A1046,Raw_Data!A:L,3,FALSE)</f>
        <v>Turkey</v>
      </c>
      <c r="D1046" s="3">
        <f>VLOOKUP(A1046,Raw_Data!A:L,12,FALSE)</f>
        <v>5712</v>
      </c>
      <c r="E1046" s="3">
        <f>VLOOKUP(A1046,Raw_Data!A:L,11,FALSE)</f>
        <v>84</v>
      </c>
      <c r="F1046" t="str">
        <f>TEXT(VLOOKUP(A1046,Raw_Data!A:L,5,FALSE),"mmm")</f>
        <v>Nov</v>
      </c>
    </row>
    <row r="1047" spans="1:6" x14ac:dyDescent="0.35">
      <c r="A1047" s="3" t="s">
        <v>1589</v>
      </c>
      <c r="B1047" t="str">
        <f>VLOOKUP(A1047,Raw_Data!A:L,6,FALSE)</f>
        <v>Refrigerator</v>
      </c>
      <c r="C1047" t="str">
        <f>VLOOKUP(A1047,Raw_Data!A:L,3,FALSE)</f>
        <v>USA</v>
      </c>
      <c r="D1047" s="3">
        <f>VLOOKUP(A1047,Raw_Data!A:L,12,FALSE)</f>
        <v>58480</v>
      </c>
      <c r="E1047" s="3">
        <f>VLOOKUP(A1047,Raw_Data!A:L,11,FALSE)</f>
        <v>86</v>
      </c>
      <c r="F1047" t="str">
        <f>TEXT(VLOOKUP(A1047,Raw_Data!A:L,5,FALSE),"mmm")</f>
        <v>Apr</v>
      </c>
    </row>
    <row r="1048" spans="1:6" x14ac:dyDescent="0.35">
      <c r="A1048" s="3" t="s">
        <v>1590</v>
      </c>
      <c r="B1048" t="str">
        <f>VLOOKUP(A1048,Raw_Data!A:L,6,FALSE)</f>
        <v>Coffee grinder</v>
      </c>
      <c r="C1048" t="str">
        <f>VLOOKUP(A1048,Raw_Data!A:L,3,FALSE)</f>
        <v>Ireland</v>
      </c>
      <c r="D1048" s="3">
        <f>VLOOKUP(A1048,Raw_Data!A:L,12,FALSE)</f>
        <v>1040</v>
      </c>
      <c r="E1048" s="3">
        <f>VLOOKUP(A1048,Raw_Data!A:L,11,FALSE)</f>
        <v>16</v>
      </c>
      <c r="F1048" t="str">
        <f>TEXT(VLOOKUP(A1048,Raw_Data!A:L,5,FALSE),"mmm")</f>
        <v>Jul</v>
      </c>
    </row>
    <row r="1049" spans="1:6" x14ac:dyDescent="0.35">
      <c r="A1049" s="3" t="s">
        <v>1591</v>
      </c>
      <c r="B1049" t="str">
        <f>VLOOKUP(A1049,Raw_Data!A:L,6,FALSE)</f>
        <v>Washing Machine</v>
      </c>
      <c r="C1049" t="str">
        <f>VLOOKUP(A1049,Raw_Data!A:L,3,FALSE)</f>
        <v>Italy</v>
      </c>
      <c r="D1049" s="3">
        <f>VLOOKUP(A1049,Raw_Data!A:L,12,FALSE)</f>
        <v>31232</v>
      </c>
      <c r="E1049" s="3">
        <f>VLOOKUP(A1049,Raw_Data!A:L,11,FALSE)</f>
        <v>64</v>
      </c>
      <c r="F1049" t="str">
        <f>TEXT(VLOOKUP(A1049,Raw_Data!A:L,5,FALSE),"mmm")</f>
        <v>Sep</v>
      </c>
    </row>
    <row r="1050" spans="1:6" x14ac:dyDescent="0.35">
      <c r="A1050" s="3" t="s">
        <v>1592</v>
      </c>
      <c r="B1050" t="str">
        <f>VLOOKUP(A1050,Raw_Data!A:L,6,FALSE)</f>
        <v>Iron</v>
      </c>
      <c r="C1050" t="str">
        <f>VLOOKUP(A1050,Raw_Data!A:L,3,FALSE)</f>
        <v>USA</v>
      </c>
      <c r="D1050" s="3">
        <f>VLOOKUP(A1050,Raw_Data!A:L,12,FALSE)</f>
        <v>1755</v>
      </c>
      <c r="E1050" s="3">
        <f>VLOOKUP(A1050,Raw_Data!A:L,11,FALSE)</f>
        <v>65</v>
      </c>
      <c r="F1050" t="str">
        <f>TEXT(VLOOKUP(A1050,Raw_Data!A:L,5,FALSE),"mmm")</f>
        <v>Mar</v>
      </c>
    </row>
    <row r="1051" spans="1:6" x14ac:dyDescent="0.35">
      <c r="A1051" s="3" t="s">
        <v>1593</v>
      </c>
      <c r="B1051" t="str">
        <f>VLOOKUP(A1051,Raw_Data!A:L,6,FALSE)</f>
        <v>Washing Machine</v>
      </c>
      <c r="C1051" t="str">
        <f>VLOOKUP(A1051,Raw_Data!A:L,3,FALSE)</f>
        <v>Peru</v>
      </c>
      <c r="D1051" s="3">
        <f>VLOOKUP(A1051,Raw_Data!A:L,12,FALSE)</f>
        <v>40320</v>
      </c>
      <c r="E1051" s="3">
        <f>VLOOKUP(A1051,Raw_Data!A:L,11,FALSE)</f>
        <v>90</v>
      </c>
      <c r="F1051" t="str">
        <f>TEXT(VLOOKUP(A1051,Raw_Data!A:L,5,FALSE),"mmm")</f>
        <v>Aug</v>
      </c>
    </row>
    <row r="1052" spans="1:6" x14ac:dyDescent="0.35">
      <c r="A1052" s="3" t="s">
        <v>1594</v>
      </c>
      <c r="B1052" t="str">
        <f>VLOOKUP(A1052,Raw_Data!A:L,6,FALSE)</f>
        <v>Iron</v>
      </c>
      <c r="C1052" t="str">
        <f>VLOOKUP(A1052,Raw_Data!A:L,3,FALSE)</f>
        <v>Colombia</v>
      </c>
      <c r="D1052" s="3">
        <f>VLOOKUP(A1052,Raw_Data!A:L,12,FALSE)</f>
        <v>522</v>
      </c>
      <c r="E1052" s="3">
        <f>VLOOKUP(A1052,Raw_Data!A:L,11,FALSE)</f>
        <v>18</v>
      </c>
      <c r="F1052" t="str">
        <f>TEXT(VLOOKUP(A1052,Raw_Data!A:L,5,FALSE),"mmm")</f>
        <v>Mar</v>
      </c>
    </row>
    <row r="1053" spans="1:6" x14ac:dyDescent="0.35">
      <c r="A1053" s="3" t="s">
        <v>1595</v>
      </c>
      <c r="B1053" t="str">
        <f>VLOOKUP(A1053,Raw_Data!A:L,6,FALSE)</f>
        <v>Air conditioner</v>
      </c>
      <c r="C1053" t="str">
        <f>VLOOKUP(A1053,Raw_Data!A:L,3,FALSE)</f>
        <v>Argentina</v>
      </c>
      <c r="D1053" s="3">
        <f>VLOOKUP(A1053,Raw_Data!A:L,12,FALSE)</f>
        <v>29295</v>
      </c>
      <c r="E1053" s="3">
        <f>VLOOKUP(A1053,Raw_Data!A:L,11,FALSE)</f>
        <v>45</v>
      </c>
      <c r="F1053" t="str">
        <f>TEXT(VLOOKUP(A1053,Raw_Data!A:L,5,FALSE),"mmm")</f>
        <v>May</v>
      </c>
    </row>
    <row r="1054" spans="1:6" x14ac:dyDescent="0.35">
      <c r="A1054" s="3" t="s">
        <v>1596</v>
      </c>
      <c r="B1054" t="str">
        <f>VLOOKUP(A1054,Raw_Data!A:L,6,FALSE)</f>
        <v>Dishwasher</v>
      </c>
      <c r="C1054" t="str">
        <f>VLOOKUP(A1054,Raw_Data!A:L,3,FALSE)</f>
        <v>Colombia</v>
      </c>
      <c r="D1054" s="3">
        <f>VLOOKUP(A1054,Raw_Data!A:L,12,FALSE)</f>
        <v>42300</v>
      </c>
      <c r="E1054" s="3">
        <f>VLOOKUP(A1054,Raw_Data!A:L,11,FALSE)</f>
        <v>90</v>
      </c>
      <c r="F1054" t="str">
        <f>TEXT(VLOOKUP(A1054,Raw_Data!A:L,5,FALSE),"mmm")</f>
        <v>Nov</v>
      </c>
    </row>
    <row r="1055" spans="1:6" x14ac:dyDescent="0.35">
      <c r="A1055" s="3" t="s">
        <v>1597</v>
      </c>
      <c r="B1055" t="str">
        <f>VLOOKUP(A1055,Raw_Data!A:L,6,FALSE)</f>
        <v>Coffee grinder</v>
      </c>
      <c r="C1055" t="str">
        <f>VLOOKUP(A1055,Raw_Data!A:L,3,FALSE)</f>
        <v>USA</v>
      </c>
      <c r="D1055" s="3">
        <f>VLOOKUP(A1055,Raw_Data!A:L,12,FALSE)</f>
        <v>3886</v>
      </c>
      <c r="E1055" s="3">
        <f>VLOOKUP(A1055,Raw_Data!A:L,11,FALSE)</f>
        <v>58</v>
      </c>
      <c r="F1055" t="str">
        <f>TEXT(VLOOKUP(A1055,Raw_Data!A:L,5,FALSE),"mmm")</f>
        <v>Apr</v>
      </c>
    </row>
    <row r="1056" spans="1:6" x14ac:dyDescent="0.35">
      <c r="A1056" s="3" t="s">
        <v>1598</v>
      </c>
      <c r="B1056" t="str">
        <f>VLOOKUP(A1056,Raw_Data!A:L,6,FALSE)</f>
        <v>Air conditioner</v>
      </c>
      <c r="C1056" t="str">
        <f>VLOOKUP(A1056,Raw_Data!A:L,3,FALSE)</f>
        <v>France</v>
      </c>
      <c r="D1056" s="3">
        <f>VLOOKUP(A1056,Raw_Data!A:L,12,FALSE)</f>
        <v>47138</v>
      </c>
      <c r="E1056" s="3">
        <f>VLOOKUP(A1056,Raw_Data!A:L,11,FALSE)</f>
        <v>74</v>
      </c>
      <c r="F1056" t="str">
        <f>TEXT(VLOOKUP(A1056,Raw_Data!A:L,5,FALSE),"mmm")</f>
        <v>Nov</v>
      </c>
    </row>
    <row r="1057" spans="1:6" x14ac:dyDescent="0.35">
      <c r="A1057" s="3" t="s">
        <v>1599</v>
      </c>
      <c r="B1057" t="str">
        <f>VLOOKUP(A1057,Raw_Data!A:L,6,FALSE)</f>
        <v>Refrigerator</v>
      </c>
      <c r="C1057" t="str">
        <f>VLOOKUP(A1057,Raw_Data!A:L,3,FALSE)</f>
        <v>Canada</v>
      </c>
      <c r="D1057" s="3">
        <f>VLOOKUP(A1057,Raw_Data!A:L,12,FALSE)</f>
        <v>37400</v>
      </c>
      <c r="E1057" s="3">
        <f>VLOOKUP(A1057,Raw_Data!A:L,11,FALSE)</f>
        <v>55</v>
      </c>
      <c r="F1057" t="str">
        <f>TEXT(VLOOKUP(A1057,Raw_Data!A:L,5,FALSE),"mmm")</f>
        <v>May</v>
      </c>
    </row>
    <row r="1058" spans="1:6" x14ac:dyDescent="0.35">
      <c r="A1058" s="3" t="s">
        <v>1600</v>
      </c>
      <c r="B1058" t="str">
        <f>VLOOKUP(A1058,Raw_Data!A:L,6,FALSE)</f>
        <v>Air conditioner</v>
      </c>
      <c r="C1058" t="str">
        <f>VLOOKUP(A1058,Raw_Data!A:L,3,FALSE)</f>
        <v>South Korea</v>
      </c>
      <c r="D1058" s="3">
        <f>VLOOKUP(A1058,Raw_Data!A:L,12,FALSE)</f>
        <v>2772</v>
      </c>
      <c r="E1058" s="3">
        <f>VLOOKUP(A1058,Raw_Data!A:L,11,FALSE)</f>
        <v>4</v>
      </c>
      <c r="F1058" t="str">
        <f>TEXT(VLOOKUP(A1058,Raw_Data!A:L,5,FALSE),"mmm")</f>
        <v>Jul</v>
      </c>
    </row>
    <row r="1059" spans="1:6" x14ac:dyDescent="0.35">
      <c r="A1059" s="3" t="s">
        <v>1601</v>
      </c>
      <c r="B1059" t="str">
        <f>VLOOKUP(A1059,Raw_Data!A:L,6,FALSE)</f>
        <v>Oven</v>
      </c>
      <c r="C1059" t="str">
        <f>VLOOKUP(A1059,Raw_Data!A:L,3,FALSE)</f>
        <v>Mexico</v>
      </c>
      <c r="D1059" s="3">
        <f>VLOOKUP(A1059,Raw_Data!A:L,12,FALSE)</f>
        <v>12375</v>
      </c>
      <c r="E1059" s="3">
        <f>VLOOKUP(A1059,Raw_Data!A:L,11,FALSE)</f>
        <v>25</v>
      </c>
      <c r="F1059" t="str">
        <f>TEXT(VLOOKUP(A1059,Raw_Data!A:L,5,FALSE),"mmm")</f>
        <v>Oct</v>
      </c>
    </row>
    <row r="1060" spans="1:6" x14ac:dyDescent="0.35">
      <c r="A1060" s="3" t="s">
        <v>1602</v>
      </c>
      <c r="B1060" t="str">
        <f>VLOOKUP(A1060,Raw_Data!A:L,6,FALSE)</f>
        <v>Toaster</v>
      </c>
      <c r="C1060" t="str">
        <f>VLOOKUP(A1060,Raw_Data!A:L,3,FALSE)</f>
        <v>Chile</v>
      </c>
      <c r="D1060" s="3">
        <f>VLOOKUP(A1060,Raw_Data!A:L,12,FALSE)</f>
        <v>4186</v>
      </c>
      <c r="E1060" s="3">
        <f>VLOOKUP(A1060,Raw_Data!A:L,11,FALSE)</f>
        <v>91</v>
      </c>
      <c r="F1060" t="str">
        <f>TEXT(VLOOKUP(A1060,Raw_Data!A:L,5,FALSE),"mmm")</f>
        <v>Apr</v>
      </c>
    </row>
    <row r="1061" spans="1:6" x14ac:dyDescent="0.35">
      <c r="A1061" s="3" t="s">
        <v>1603</v>
      </c>
      <c r="B1061" t="str">
        <f>VLOOKUP(A1061,Raw_Data!A:L,6,FALSE)</f>
        <v>Blender</v>
      </c>
      <c r="C1061" t="str">
        <f>VLOOKUP(A1061,Raw_Data!A:L,3,FALSE)</f>
        <v>Canada</v>
      </c>
      <c r="D1061" s="3">
        <f>VLOOKUP(A1061,Raw_Data!A:L,12,FALSE)</f>
        <v>3920</v>
      </c>
      <c r="E1061" s="3">
        <f>VLOOKUP(A1061,Raw_Data!A:L,11,FALSE)</f>
        <v>80</v>
      </c>
      <c r="F1061" t="str">
        <f>TEXT(VLOOKUP(A1061,Raw_Data!A:L,5,FALSE),"mmm")</f>
        <v>Nov</v>
      </c>
    </row>
    <row r="1062" spans="1:6" x14ac:dyDescent="0.35">
      <c r="A1062" s="3" t="s">
        <v>1604</v>
      </c>
      <c r="B1062" t="str">
        <f>VLOOKUP(A1062,Raw_Data!A:L,6,FALSE)</f>
        <v>Dishwasher</v>
      </c>
      <c r="C1062" t="str">
        <f>VLOOKUP(A1062,Raw_Data!A:L,3,FALSE)</f>
        <v>Japan</v>
      </c>
      <c r="D1062" s="3">
        <f>VLOOKUP(A1062,Raw_Data!A:L,12,FALSE)</f>
        <v>41405</v>
      </c>
      <c r="E1062" s="3">
        <f>VLOOKUP(A1062,Raw_Data!A:L,11,FALSE)</f>
        <v>91</v>
      </c>
      <c r="F1062" t="str">
        <f>TEXT(VLOOKUP(A1062,Raw_Data!A:L,5,FALSE),"mmm")</f>
        <v>Mar</v>
      </c>
    </row>
    <row r="1063" spans="1:6" x14ac:dyDescent="0.35">
      <c r="A1063" s="3" t="s">
        <v>1605</v>
      </c>
      <c r="B1063" t="str">
        <f>VLOOKUP(A1063,Raw_Data!A:L,6,FALSE)</f>
        <v>Oven</v>
      </c>
      <c r="C1063" t="str">
        <f>VLOOKUP(A1063,Raw_Data!A:L,3,FALSE)</f>
        <v>Saudi Arabia</v>
      </c>
      <c r="D1063" s="3">
        <f>VLOOKUP(A1063,Raw_Data!A:L,12,FALSE)</f>
        <v>32340</v>
      </c>
      <c r="E1063" s="3">
        <f>VLOOKUP(A1063,Raw_Data!A:L,11,FALSE)</f>
        <v>66</v>
      </c>
      <c r="F1063" t="str">
        <f>TEXT(VLOOKUP(A1063,Raw_Data!A:L,5,FALSE),"mmm")</f>
        <v>Jul</v>
      </c>
    </row>
    <row r="1064" spans="1:6" x14ac:dyDescent="0.35">
      <c r="A1064" s="3" t="s">
        <v>1606</v>
      </c>
      <c r="B1064" t="str">
        <f>VLOOKUP(A1064,Raw_Data!A:L,6,FALSE)</f>
        <v>Blender</v>
      </c>
      <c r="C1064" t="str">
        <f>VLOOKUP(A1064,Raw_Data!A:L,3,FALSE)</f>
        <v>Canada</v>
      </c>
      <c r="D1064" s="3">
        <f>VLOOKUP(A1064,Raw_Data!A:L,12,FALSE)</f>
        <v>1880</v>
      </c>
      <c r="E1064" s="3">
        <f>VLOOKUP(A1064,Raw_Data!A:L,11,FALSE)</f>
        <v>40</v>
      </c>
      <c r="F1064" t="str">
        <f>TEXT(VLOOKUP(A1064,Raw_Data!A:L,5,FALSE),"mmm")</f>
        <v>Jan</v>
      </c>
    </row>
    <row r="1065" spans="1:6" x14ac:dyDescent="0.35">
      <c r="A1065" s="3" t="s">
        <v>1607</v>
      </c>
      <c r="B1065" t="str">
        <f>VLOOKUP(A1065,Raw_Data!A:L,6,FALSE)</f>
        <v>Air conditioner</v>
      </c>
      <c r="C1065" t="str">
        <f>VLOOKUP(A1065,Raw_Data!A:L,3,FALSE)</f>
        <v>Greece</v>
      </c>
      <c r="D1065" s="3">
        <f>VLOOKUP(A1065,Raw_Data!A:L,12,FALSE)</f>
        <v>43225</v>
      </c>
      <c r="E1065" s="3">
        <f>VLOOKUP(A1065,Raw_Data!A:L,11,FALSE)</f>
        <v>65</v>
      </c>
      <c r="F1065" t="str">
        <f>TEXT(VLOOKUP(A1065,Raw_Data!A:L,5,FALSE),"mmm")</f>
        <v>Feb</v>
      </c>
    </row>
    <row r="1066" spans="1:6" x14ac:dyDescent="0.35">
      <c r="A1066" s="3" t="s">
        <v>1608</v>
      </c>
      <c r="B1066" t="str">
        <f>VLOOKUP(A1066,Raw_Data!A:L,6,FALSE)</f>
        <v>Blender</v>
      </c>
      <c r="C1066" t="str">
        <f>VLOOKUP(A1066,Raw_Data!A:L,3,FALSE)</f>
        <v>Mexico</v>
      </c>
      <c r="D1066" s="3">
        <f>VLOOKUP(A1066,Raw_Data!A:L,12,FALSE)</f>
        <v>1247</v>
      </c>
      <c r="E1066" s="3">
        <f>VLOOKUP(A1066,Raw_Data!A:L,11,FALSE)</f>
        <v>29</v>
      </c>
      <c r="F1066" t="str">
        <f>TEXT(VLOOKUP(A1066,Raw_Data!A:L,5,FALSE),"mmm")</f>
        <v>Jun</v>
      </c>
    </row>
    <row r="1067" spans="1:6" x14ac:dyDescent="0.35">
      <c r="A1067" s="3" t="s">
        <v>1609</v>
      </c>
      <c r="B1067" t="str">
        <f>VLOOKUP(A1067,Raw_Data!A:L,6,FALSE)</f>
        <v>Vacuum Cleaner</v>
      </c>
      <c r="C1067" t="str">
        <f>VLOOKUP(A1067,Raw_Data!A:L,3,FALSE)</f>
        <v>UK</v>
      </c>
      <c r="D1067" s="3">
        <f>VLOOKUP(A1067,Raw_Data!A:L,12,FALSE)</f>
        <v>5346</v>
      </c>
      <c r="E1067" s="3">
        <f>VLOOKUP(A1067,Raw_Data!A:L,11,FALSE)</f>
        <v>22</v>
      </c>
      <c r="F1067" t="str">
        <f>TEXT(VLOOKUP(A1067,Raw_Data!A:L,5,FALSE),"mmm")</f>
        <v>Jul</v>
      </c>
    </row>
    <row r="1068" spans="1:6" x14ac:dyDescent="0.35">
      <c r="A1068" s="3" t="s">
        <v>1610</v>
      </c>
      <c r="B1068" t="str">
        <f>VLOOKUP(A1068,Raw_Data!A:L,6,FALSE)</f>
        <v>Microwave</v>
      </c>
      <c r="C1068" t="str">
        <f>VLOOKUP(A1068,Raw_Data!A:L,3,FALSE)</f>
        <v>Germany</v>
      </c>
      <c r="D1068" s="3">
        <f>VLOOKUP(A1068,Raw_Data!A:L,12,FALSE)</f>
        <v>395</v>
      </c>
      <c r="E1068" s="3">
        <f>VLOOKUP(A1068,Raw_Data!A:L,11,FALSE)</f>
        <v>5</v>
      </c>
      <c r="F1068" t="str">
        <f>TEXT(VLOOKUP(A1068,Raw_Data!A:L,5,FALSE),"mmm")</f>
        <v>Dec</v>
      </c>
    </row>
    <row r="1069" spans="1:6" x14ac:dyDescent="0.35">
      <c r="A1069" s="3" t="s">
        <v>1611</v>
      </c>
      <c r="B1069" t="str">
        <f>VLOOKUP(A1069,Raw_Data!A:L,6,FALSE)</f>
        <v>Vacuum Cleaner</v>
      </c>
      <c r="C1069" t="str">
        <f>VLOOKUP(A1069,Raw_Data!A:L,3,FALSE)</f>
        <v>South Africa</v>
      </c>
      <c r="D1069" s="3">
        <f>VLOOKUP(A1069,Raw_Data!A:L,12,FALSE)</f>
        <v>3680</v>
      </c>
      <c r="E1069" s="3">
        <f>VLOOKUP(A1069,Raw_Data!A:L,11,FALSE)</f>
        <v>16</v>
      </c>
      <c r="F1069" t="str">
        <f>TEXT(VLOOKUP(A1069,Raw_Data!A:L,5,FALSE),"mmm")</f>
        <v>Jul</v>
      </c>
    </row>
    <row r="1070" spans="1:6" x14ac:dyDescent="0.35">
      <c r="A1070" s="3" t="s">
        <v>1612</v>
      </c>
      <c r="B1070" t="str">
        <f>VLOOKUP(A1070,Raw_Data!A:L,6,FALSE)</f>
        <v>Coffee grinder</v>
      </c>
      <c r="C1070" t="str">
        <f>VLOOKUP(A1070,Raw_Data!A:L,3,FALSE)</f>
        <v>Canada</v>
      </c>
      <c r="D1070" s="3">
        <f>VLOOKUP(A1070,Raw_Data!A:L,12,FALSE)</f>
        <v>5226</v>
      </c>
      <c r="E1070" s="3">
        <f>VLOOKUP(A1070,Raw_Data!A:L,11,FALSE)</f>
        <v>78</v>
      </c>
      <c r="F1070" t="str">
        <f>TEXT(VLOOKUP(A1070,Raw_Data!A:L,5,FALSE),"mmm")</f>
        <v>Jun</v>
      </c>
    </row>
    <row r="1071" spans="1:6" x14ac:dyDescent="0.35">
      <c r="A1071" s="3" t="s">
        <v>1613</v>
      </c>
      <c r="B1071" t="str">
        <f>VLOOKUP(A1071,Raw_Data!A:L,6,FALSE)</f>
        <v>Vacuum Cleaner</v>
      </c>
      <c r="C1071" t="str">
        <f>VLOOKUP(A1071,Raw_Data!A:L,3,FALSE)</f>
        <v>Israel</v>
      </c>
      <c r="D1071" s="3">
        <f>VLOOKUP(A1071,Raw_Data!A:L,12,FALSE)</f>
        <v>6177</v>
      </c>
      <c r="E1071" s="3">
        <f>VLOOKUP(A1071,Raw_Data!A:L,11,FALSE)</f>
        <v>29</v>
      </c>
      <c r="F1071" t="str">
        <f>TEXT(VLOOKUP(A1071,Raw_Data!A:L,5,FALSE),"mmm")</f>
        <v>Dec</v>
      </c>
    </row>
    <row r="1072" spans="1:6" x14ac:dyDescent="0.35">
      <c r="A1072" s="3" t="s">
        <v>1614</v>
      </c>
      <c r="B1072" t="str">
        <f>VLOOKUP(A1072,Raw_Data!A:L,6,FALSE)</f>
        <v>Microwave</v>
      </c>
      <c r="C1072" t="str">
        <f>VLOOKUP(A1072,Raw_Data!A:L,3,FALSE)</f>
        <v>Czech Republic</v>
      </c>
      <c r="D1072" s="3">
        <f>VLOOKUP(A1072,Raw_Data!A:L,12,FALSE)</f>
        <v>6636</v>
      </c>
      <c r="E1072" s="3">
        <f>VLOOKUP(A1072,Raw_Data!A:L,11,FALSE)</f>
        <v>84</v>
      </c>
      <c r="F1072" t="str">
        <f>TEXT(VLOOKUP(A1072,Raw_Data!A:L,5,FALSE),"mmm")</f>
        <v>Jul</v>
      </c>
    </row>
    <row r="1073" spans="1:6" x14ac:dyDescent="0.35">
      <c r="A1073" s="3" t="s">
        <v>1615</v>
      </c>
      <c r="B1073" t="str">
        <f>VLOOKUP(A1073,Raw_Data!A:L,6,FALSE)</f>
        <v>Refrigerator</v>
      </c>
      <c r="C1073" t="str">
        <f>VLOOKUP(A1073,Raw_Data!A:L,3,FALSE)</f>
        <v>Ireland</v>
      </c>
      <c r="D1073" s="3">
        <f>VLOOKUP(A1073,Raw_Data!A:L,12,FALSE)</f>
        <v>46200</v>
      </c>
      <c r="E1073" s="3">
        <f>VLOOKUP(A1073,Raw_Data!A:L,11,FALSE)</f>
        <v>66</v>
      </c>
      <c r="F1073" t="str">
        <f>TEXT(VLOOKUP(A1073,Raw_Data!A:L,5,FALSE),"mmm")</f>
        <v>Nov</v>
      </c>
    </row>
    <row r="1074" spans="1:6" x14ac:dyDescent="0.35">
      <c r="A1074" s="3" t="s">
        <v>1616</v>
      </c>
      <c r="B1074" t="str">
        <f>VLOOKUP(A1074,Raw_Data!A:L,6,FALSE)</f>
        <v>Dishwasher</v>
      </c>
      <c r="C1074" t="str">
        <f>VLOOKUP(A1074,Raw_Data!A:L,3,FALSE)</f>
        <v>China</v>
      </c>
      <c r="D1074" s="3">
        <f>VLOOKUP(A1074,Raw_Data!A:L,12,FALSE)</f>
        <v>15575</v>
      </c>
      <c r="E1074" s="3">
        <f>VLOOKUP(A1074,Raw_Data!A:L,11,FALSE)</f>
        <v>35</v>
      </c>
      <c r="F1074" t="str">
        <f>TEXT(VLOOKUP(A1074,Raw_Data!A:L,5,FALSE),"mmm")</f>
        <v>Mar</v>
      </c>
    </row>
    <row r="1075" spans="1:6" x14ac:dyDescent="0.35">
      <c r="A1075" s="3" t="s">
        <v>1617</v>
      </c>
      <c r="B1075" t="str">
        <f>VLOOKUP(A1075,Raw_Data!A:L,6,FALSE)</f>
        <v>Blender</v>
      </c>
      <c r="C1075" t="str">
        <f>VLOOKUP(A1075,Raw_Data!A:L,3,FALSE)</f>
        <v>India</v>
      </c>
      <c r="D1075" s="3">
        <f>VLOOKUP(A1075,Raw_Data!A:L,12,FALSE)</f>
        <v>4277</v>
      </c>
      <c r="E1075" s="3">
        <f>VLOOKUP(A1075,Raw_Data!A:L,11,FALSE)</f>
        <v>91</v>
      </c>
      <c r="F1075" t="str">
        <f>TEXT(VLOOKUP(A1075,Raw_Data!A:L,5,FALSE),"mmm")</f>
        <v>Apr</v>
      </c>
    </row>
    <row r="1076" spans="1:6" x14ac:dyDescent="0.35">
      <c r="A1076" s="3" t="s">
        <v>1618</v>
      </c>
      <c r="B1076" t="str">
        <f>VLOOKUP(A1076,Raw_Data!A:L,6,FALSE)</f>
        <v>Ceiling fan</v>
      </c>
      <c r="C1076" t="str">
        <f>VLOOKUP(A1076,Raw_Data!A:L,3,FALSE)</f>
        <v>Spain</v>
      </c>
      <c r="D1076" s="3">
        <f>VLOOKUP(A1076,Raw_Data!A:L,12,FALSE)</f>
        <v>11266</v>
      </c>
      <c r="E1076" s="3">
        <f>VLOOKUP(A1076,Raw_Data!A:L,11,FALSE)</f>
        <v>86</v>
      </c>
      <c r="F1076" t="str">
        <f>TEXT(VLOOKUP(A1076,Raw_Data!A:L,5,FALSE),"mmm")</f>
        <v>Mar</v>
      </c>
    </row>
    <row r="1077" spans="1:6" x14ac:dyDescent="0.35">
      <c r="A1077" s="3" t="s">
        <v>1619</v>
      </c>
      <c r="B1077" t="str">
        <f>VLOOKUP(A1077,Raw_Data!A:L,6,FALSE)</f>
        <v>Air conditioner</v>
      </c>
      <c r="C1077" t="str">
        <f>VLOOKUP(A1077,Raw_Data!A:L,3,FALSE)</f>
        <v>Spain</v>
      </c>
      <c r="D1077" s="3">
        <f>VLOOKUP(A1077,Raw_Data!A:L,12,FALSE)</f>
        <v>9856</v>
      </c>
      <c r="E1077" s="3">
        <f>VLOOKUP(A1077,Raw_Data!A:L,11,FALSE)</f>
        <v>16</v>
      </c>
      <c r="F1077" t="str">
        <f>TEXT(VLOOKUP(A1077,Raw_Data!A:L,5,FALSE),"mmm")</f>
        <v>Mar</v>
      </c>
    </row>
    <row r="1078" spans="1:6" x14ac:dyDescent="0.35">
      <c r="A1078" s="3" t="s">
        <v>1620</v>
      </c>
      <c r="B1078" t="str">
        <f>VLOOKUP(A1078,Raw_Data!A:L,6,FALSE)</f>
        <v>Toaster</v>
      </c>
      <c r="C1078" t="str">
        <f>VLOOKUP(A1078,Raw_Data!A:L,3,FALSE)</f>
        <v>Japan</v>
      </c>
      <c r="D1078" s="3">
        <f>VLOOKUP(A1078,Raw_Data!A:L,12,FALSE)</f>
        <v>2530</v>
      </c>
      <c r="E1078" s="3">
        <f>VLOOKUP(A1078,Raw_Data!A:L,11,FALSE)</f>
        <v>55</v>
      </c>
      <c r="F1078" t="str">
        <f>TEXT(VLOOKUP(A1078,Raw_Data!A:L,5,FALSE),"mmm")</f>
        <v>Nov</v>
      </c>
    </row>
    <row r="1079" spans="1:6" x14ac:dyDescent="0.35">
      <c r="A1079" s="3" t="s">
        <v>1621</v>
      </c>
      <c r="B1079" t="str">
        <f>VLOOKUP(A1079,Raw_Data!A:L,6,FALSE)</f>
        <v>Dishwasher</v>
      </c>
      <c r="C1079" t="str">
        <f>VLOOKUP(A1079,Raw_Data!A:L,3,FALSE)</f>
        <v>South Korea</v>
      </c>
      <c r="D1079" s="3">
        <f>VLOOKUP(A1079,Raw_Data!A:L,12,FALSE)</f>
        <v>31200</v>
      </c>
      <c r="E1079" s="3">
        <f>VLOOKUP(A1079,Raw_Data!A:L,11,FALSE)</f>
        <v>65</v>
      </c>
      <c r="F1079" t="str">
        <f>TEXT(VLOOKUP(A1079,Raw_Data!A:L,5,FALSE),"mmm")</f>
        <v>Apr</v>
      </c>
    </row>
    <row r="1080" spans="1:6" x14ac:dyDescent="0.35">
      <c r="A1080" s="3" t="s">
        <v>1622</v>
      </c>
      <c r="B1080" t="str">
        <f>VLOOKUP(A1080,Raw_Data!A:L,6,FALSE)</f>
        <v>Blender</v>
      </c>
      <c r="C1080" t="str">
        <f>VLOOKUP(A1080,Raw_Data!A:L,3,FALSE)</f>
        <v>Japan</v>
      </c>
      <c r="D1080" s="3">
        <f>VLOOKUP(A1080,Raw_Data!A:L,12,FALSE)</f>
        <v>3901</v>
      </c>
      <c r="E1080" s="3">
        <f>VLOOKUP(A1080,Raw_Data!A:L,11,FALSE)</f>
        <v>83</v>
      </c>
      <c r="F1080" t="str">
        <f>TEXT(VLOOKUP(A1080,Raw_Data!A:L,5,FALSE),"mmm")</f>
        <v>Apr</v>
      </c>
    </row>
    <row r="1081" spans="1:6" x14ac:dyDescent="0.35">
      <c r="A1081" s="3" t="s">
        <v>1623</v>
      </c>
      <c r="B1081" t="str">
        <f>VLOOKUP(A1081,Raw_Data!A:L,6,FALSE)</f>
        <v>Ceiling fan</v>
      </c>
      <c r="C1081" t="str">
        <f>VLOOKUP(A1081,Raw_Data!A:L,3,FALSE)</f>
        <v>UK</v>
      </c>
      <c r="D1081" s="3">
        <f>VLOOKUP(A1081,Raw_Data!A:L,12,FALSE)</f>
        <v>438</v>
      </c>
      <c r="E1081" s="3">
        <f>VLOOKUP(A1081,Raw_Data!A:L,11,FALSE)</f>
        <v>3</v>
      </c>
      <c r="F1081" t="str">
        <f>TEXT(VLOOKUP(A1081,Raw_Data!A:L,5,FALSE),"mmm")</f>
        <v>Jul</v>
      </c>
    </row>
    <row r="1082" spans="1:6" x14ac:dyDescent="0.35">
      <c r="A1082" s="3" t="s">
        <v>1624</v>
      </c>
      <c r="B1082" t="str">
        <f>VLOOKUP(A1082,Raw_Data!A:L,6,FALSE)</f>
        <v>Coffee grinder</v>
      </c>
      <c r="C1082" t="str">
        <f>VLOOKUP(A1082,Raw_Data!A:L,3,FALSE)</f>
        <v>France</v>
      </c>
      <c r="D1082" s="3">
        <f>VLOOKUP(A1082,Raw_Data!A:L,12,FALSE)</f>
        <v>5561</v>
      </c>
      <c r="E1082" s="3">
        <f>VLOOKUP(A1082,Raw_Data!A:L,11,FALSE)</f>
        <v>83</v>
      </c>
      <c r="F1082" t="str">
        <f>TEXT(VLOOKUP(A1082,Raw_Data!A:L,5,FALSE),"mmm")</f>
        <v>Oct</v>
      </c>
    </row>
    <row r="1083" spans="1:6" x14ac:dyDescent="0.35">
      <c r="A1083" s="3" t="s">
        <v>1626</v>
      </c>
      <c r="B1083" t="str">
        <f>VLOOKUP(A1083,Raw_Data!A:L,6,FALSE)</f>
        <v>Oven</v>
      </c>
      <c r="C1083" t="str">
        <f>VLOOKUP(A1083,Raw_Data!A:L,3,FALSE)</f>
        <v>South Korea</v>
      </c>
      <c r="D1083" s="3">
        <f>VLOOKUP(A1083,Raw_Data!A:L,12,FALSE)</f>
        <v>31185</v>
      </c>
      <c r="E1083" s="3">
        <f>VLOOKUP(A1083,Raw_Data!A:L,11,FALSE)</f>
        <v>63</v>
      </c>
      <c r="F1083" t="str">
        <f>TEXT(VLOOKUP(A1083,Raw_Data!A:L,5,FALSE),"mmm")</f>
        <v>Dec</v>
      </c>
    </row>
    <row r="1084" spans="1:6" x14ac:dyDescent="0.35">
      <c r="A1084" s="3" t="s">
        <v>1627</v>
      </c>
      <c r="B1084" t="str">
        <f>VLOOKUP(A1084,Raw_Data!A:L,6,FALSE)</f>
        <v>Coffee grinder</v>
      </c>
      <c r="C1084" t="str">
        <f>VLOOKUP(A1084,Raw_Data!A:L,3,FALSE)</f>
        <v>Vietnam</v>
      </c>
      <c r="D1084" s="3">
        <f>VLOOKUP(A1084,Raw_Data!A:L,12,FALSE)</f>
        <v>5643</v>
      </c>
      <c r="E1084" s="3">
        <f>VLOOKUP(A1084,Raw_Data!A:L,11,FALSE)</f>
        <v>99</v>
      </c>
      <c r="F1084" t="str">
        <f>TEXT(VLOOKUP(A1084,Raw_Data!A:L,5,FALSE),"mmm")</f>
        <v>Aug</v>
      </c>
    </row>
    <row r="1085" spans="1:6" x14ac:dyDescent="0.35">
      <c r="A1085" s="3" t="s">
        <v>1628</v>
      </c>
      <c r="B1085" t="str">
        <f>VLOOKUP(A1085,Raw_Data!A:L,6,FALSE)</f>
        <v>Blender</v>
      </c>
      <c r="C1085" t="str">
        <f>VLOOKUP(A1085,Raw_Data!A:L,3,FALSE)</f>
        <v>Egypt</v>
      </c>
      <c r="D1085" s="3">
        <f>VLOOKUP(A1085,Raw_Data!A:L,12,FALSE)</f>
        <v>2820</v>
      </c>
      <c r="E1085" s="3">
        <f>VLOOKUP(A1085,Raw_Data!A:L,11,FALSE)</f>
        <v>60</v>
      </c>
      <c r="F1085" t="str">
        <f>TEXT(VLOOKUP(A1085,Raw_Data!A:L,5,FALSE),"mmm")</f>
        <v>Jul</v>
      </c>
    </row>
    <row r="1086" spans="1:6" x14ac:dyDescent="0.35">
      <c r="A1086" s="3" t="s">
        <v>1629</v>
      </c>
      <c r="B1086" t="str">
        <f>VLOOKUP(A1086,Raw_Data!A:L,6,FALSE)</f>
        <v>Ceiling fan</v>
      </c>
      <c r="C1086" t="str">
        <f>VLOOKUP(A1086,Raw_Data!A:L,3,FALSE)</f>
        <v>Spain</v>
      </c>
      <c r="D1086" s="3">
        <f>VLOOKUP(A1086,Raw_Data!A:L,12,FALSE)</f>
        <v>7500</v>
      </c>
      <c r="E1086" s="3">
        <f>VLOOKUP(A1086,Raw_Data!A:L,11,FALSE)</f>
        <v>60</v>
      </c>
      <c r="F1086" t="str">
        <f>TEXT(VLOOKUP(A1086,Raw_Data!A:L,5,FALSE),"mmm")</f>
        <v>Jul</v>
      </c>
    </row>
    <row r="1087" spans="1:6" x14ac:dyDescent="0.35">
      <c r="A1087" s="3" t="s">
        <v>1630</v>
      </c>
      <c r="B1087" t="str">
        <f>VLOOKUP(A1087,Raw_Data!A:L,6,FALSE)</f>
        <v>Toaster</v>
      </c>
      <c r="C1087" t="str">
        <f>VLOOKUP(A1087,Raw_Data!A:L,3,FALSE)</f>
        <v>Australia</v>
      </c>
      <c r="D1087" s="3">
        <f>VLOOKUP(A1087,Raw_Data!A:L,12,FALSE)</f>
        <v>2686</v>
      </c>
      <c r="E1087" s="3">
        <f>VLOOKUP(A1087,Raw_Data!A:L,11,FALSE)</f>
        <v>79</v>
      </c>
      <c r="F1087" t="str">
        <f>TEXT(VLOOKUP(A1087,Raw_Data!A:L,5,FALSE),"mmm")</f>
        <v>Nov</v>
      </c>
    </row>
    <row r="1088" spans="1:6" x14ac:dyDescent="0.35">
      <c r="A1088" s="3" t="s">
        <v>1631</v>
      </c>
      <c r="B1088" t="str">
        <f>VLOOKUP(A1088,Raw_Data!A:L,6,FALSE)</f>
        <v>Air conditioner</v>
      </c>
      <c r="C1088" t="str">
        <f>VLOOKUP(A1088,Raw_Data!A:L,3,FALSE)</f>
        <v>China</v>
      </c>
      <c r="D1088" s="3">
        <f>VLOOKUP(A1088,Raw_Data!A:L,12,FALSE)</f>
        <v>26411</v>
      </c>
      <c r="E1088" s="3">
        <f>VLOOKUP(A1088,Raw_Data!A:L,11,FALSE)</f>
        <v>49</v>
      </c>
      <c r="F1088" t="str">
        <f>TEXT(VLOOKUP(A1088,Raw_Data!A:L,5,FALSE),"mmm")</f>
        <v>Feb</v>
      </c>
    </row>
    <row r="1089" spans="1:6" x14ac:dyDescent="0.35">
      <c r="A1089" s="3" t="s">
        <v>1633</v>
      </c>
      <c r="B1089" t="str">
        <f>VLOOKUP(A1089,Raw_Data!A:L,6,FALSE)</f>
        <v>Air conditioner</v>
      </c>
      <c r="C1089" t="str">
        <f>VLOOKUP(A1089,Raw_Data!A:L,3,FALSE)</f>
        <v>Chile</v>
      </c>
      <c r="D1089" s="3">
        <f>VLOOKUP(A1089,Raw_Data!A:L,12,FALSE)</f>
        <v>4851</v>
      </c>
      <c r="E1089" s="3">
        <f>VLOOKUP(A1089,Raw_Data!A:L,11,FALSE)</f>
        <v>7</v>
      </c>
      <c r="F1089" t="str">
        <f>TEXT(VLOOKUP(A1089,Raw_Data!A:L,5,FALSE),"mmm")</f>
        <v>Jan</v>
      </c>
    </row>
    <row r="1090" spans="1:6" x14ac:dyDescent="0.35">
      <c r="A1090" s="3" t="s">
        <v>1634</v>
      </c>
      <c r="B1090" t="str">
        <f>VLOOKUP(A1090,Raw_Data!A:L,6,FALSE)</f>
        <v>Ceiling fan</v>
      </c>
      <c r="C1090" t="str">
        <f>VLOOKUP(A1090,Raw_Data!A:L,3,FALSE)</f>
        <v>Russia</v>
      </c>
      <c r="D1090" s="3">
        <f>VLOOKUP(A1090,Raw_Data!A:L,12,FALSE)</f>
        <v>12642</v>
      </c>
      <c r="E1090" s="3">
        <f>VLOOKUP(A1090,Raw_Data!A:L,11,FALSE)</f>
        <v>86</v>
      </c>
      <c r="F1090" t="str">
        <f>TEXT(VLOOKUP(A1090,Raw_Data!A:L,5,FALSE),"mmm")</f>
        <v>Nov</v>
      </c>
    </row>
    <row r="1091" spans="1:6" x14ac:dyDescent="0.35">
      <c r="A1091" s="3" t="s">
        <v>1635</v>
      </c>
      <c r="B1091" t="str">
        <f>VLOOKUP(A1091,Raw_Data!A:L,6,FALSE)</f>
        <v>Blender</v>
      </c>
      <c r="C1091" t="str">
        <f>VLOOKUP(A1091,Raw_Data!A:L,3,FALSE)</f>
        <v>Netherlands</v>
      </c>
      <c r="D1091" s="3">
        <f>VLOOKUP(A1091,Raw_Data!A:L,12,FALSE)</f>
        <v>3738</v>
      </c>
      <c r="E1091" s="3">
        <f>VLOOKUP(A1091,Raw_Data!A:L,11,FALSE)</f>
        <v>89</v>
      </c>
      <c r="F1091" t="str">
        <f>TEXT(VLOOKUP(A1091,Raw_Data!A:L,5,FALSE),"mmm")</f>
        <v>Jul</v>
      </c>
    </row>
    <row r="1092" spans="1:6" x14ac:dyDescent="0.35">
      <c r="A1092" s="3" t="s">
        <v>1636</v>
      </c>
      <c r="B1092" t="str">
        <f>VLOOKUP(A1092,Raw_Data!A:L,6,FALSE)</f>
        <v>Blender</v>
      </c>
      <c r="C1092" t="str">
        <f>VLOOKUP(A1092,Raw_Data!A:L,3,FALSE)</f>
        <v>Turkey</v>
      </c>
      <c r="D1092" s="3">
        <f>VLOOKUP(A1092,Raw_Data!A:L,12,FALSE)</f>
        <v>2552</v>
      </c>
      <c r="E1092" s="3">
        <f>VLOOKUP(A1092,Raw_Data!A:L,11,FALSE)</f>
        <v>58</v>
      </c>
      <c r="F1092" t="str">
        <f>TEXT(VLOOKUP(A1092,Raw_Data!A:L,5,FALSE),"mmm")</f>
        <v>Oct</v>
      </c>
    </row>
    <row r="1093" spans="1:6" x14ac:dyDescent="0.35">
      <c r="A1093" s="3" t="s">
        <v>1637</v>
      </c>
      <c r="B1093" t="str">
        <f>VLOOKUP(A1093,Raw_Data!A:L,6,FALSE)</f>
        <v>Blender</v>
      </c>
      <c r="C1093" t="str">
        <f>VLOOKUP(A1093,Raw_Data!A:L,3,FALSE)</f>
        <v>Israel</v>
      </c>
      <c r="D1093" s="3">
        <f>VLOOKUP(A1093,Raw_Data!A:L,12,FALSE)</f>
        <v>2254</v>
      </c>
      <c r="E1093" s="3">
        <f>VLOOKUP(A1093,Raw_Data!A:L,11,FALSE)</f>
        <v>46</v>
      </c>
      <c r="F1093" t="str">
        <f>TEXT(VLOOKUP(A1093,Raw_Data!A:L,5,FALSE),"mmm")</f>
        <v>May</v>
      </c>
    </row>
    <row r="1094" spans="1:6" x14ac:dyDescent="0.35">
      <c r="A1094" s="3" t="s">
        <v>1638</v>
      </c>
      <c r="B1094" t="str">
        <f>VLOOKUP(A1094,Raw_Data!A:L,6,FALSE)</f>
        <v>Microwave</v>
      </c>
      <c r="C1094" t="str">
        <f>VLOOKUP(A1094,Raw_Data!A:L,3,FALSE)</f>
        <v>Russia</v>
      </c>
      <c r="D1094" s="3">
        <f>VLOOKUP(A1094,Raw_Data!A:L,12,FALSE)</f>
        <v>2106</v>
      </c>
      <c r="E1094" s="3">
        <f>VLOOKUP(A1094,Raw_Data!A:L,11,FALSE)</f>
        <v>27</v>
      </c>
      <c r="F1094" t="str">
        <f>TEXT(VLOOKUP(A1094,Raw_Data!A:L,5,FALSE),"mmm")</f>
        <v>Aug</v>
      </c>
    </row>
    <row r="1095" spans="1:6" x14ac:dyDescent="0.35">
      <c r="A1095" s="3" t="s">
        <v>1639</v>
      </c>
      <c r="B1095" t="str">
        <f>VLOOKUP(A1095,Raw_Data!A:L,6,FALSE)</f>
        <v>Blender</v>
      </c>
      <c r="C1095" t="str">
        <f>VLOOKUP(A1095,Raw_Data!A:L,3,FALSE)</f>
        <v>USA</v>
      </c>
      <c r="D1095" s="3">
        <f>VLOOKUP(A1095,Raw_Data!A:L,12,FALSE)</f>
        <v>576</v>
      </c>
      <c r="E1095" s="3">
        <f>VLOOKUP(A1095,Raw_Data!A:L,11,FALSE)</f>
        <v>12</v>
      </c>
      <c r="F1095" t="str">
        <f>TEXT(VLOOKUP(A1095,Raw_Data!A:L,5,FALSE),"mmm")</f>
        <v>Nov</v>
      </c>
    </row>
    <row r="1096" spans="1:6" x14ac:dyDescent="0.35">
      <c r="A1096" s="3" t="s">
        <v>1640</v>
      </c>
      <c r="B1096" t="str">
        <f>VLOOKUP(A1096,Raw_Data!A:L,6,FALSE)</f>
        <v>Ceiling fan</v>
      </c>
      <c r="C1096" t="str">
        <f>VLOOKUP(A1096,Raw_Data!A:L,3,FALSE)</f>
        <v>USA</v>
      </c>
      <c r="D1096" s="3">
        <f>VLOOKUP(A1096,Raw_Data!A:L,12,FALSE)</f>
        <v>8526</v>
      </c>
      <c r="E1096" s="3">
        <f>VLOOKUP(A1096,Raw_Data!A:L,11,FALSE)</f>
        <v>58</v>
      </c>
      <c r="F1096" t="str">
        <f>TEXT(VLOOKUP(A1096,Raw_Data!A:L,5,FALSE),"mmm")</f>
        <v>Feb</v>
      </c>
    </row>
    <row r="1097" spans="1:6" x14ac:dyDescent="0.35">
      <c r="A1097" s="3" t="s">
        <v>1641</v>
      </c>
      <c r="B1097" t="str">
        <f>VLOOKUP(A1097,Raw_Data!A:L,6,FALSE)</f>
        <v>Refrigerator</v>
      </c>
      <c r="C1097" t="str">
        <f>VLOOKUP(A1097,Raw_Data!A:L,3,FALSE)</f>
        <v>UK</v>
      </c>
      <c r="D1097" s="3">
        <f>VLOOKUP(A1097,Raw_Data!A:L,12,FALSE)</f>
        <v>19840</v>
      </c>
      <c r="E1097" s="3">
        <f>VLOOKUP(A1097,Raw_Data!A:L,11,FALSE)</f>
        <v>32</v>
      </c>
      <c r="F1097" t="str">
        <f>TEXT(VLOOKUP(A1097,Raw_Data!A:L,5,FALSE),"mmm")</f>
        <v>Aug</v>
      </c>
    </row>
    <row r="1098" spans="1:6" x14ac:dyDescent="0.35">
      <c r="A1098" s="3" t="s">
        <v>1642</v>
      </c>
      <c r="B1098" t="str">
        <f>VLOOKUP(A1098,Raw_Data!A:L,6,FALSE)</f>
        <v>Oven</v>
      </c>
      <c r="C1098" t="str">
        <f>VLOOKUP(A1098,Raw_Data!A:L,3,FALSE)</f>
        <v>Germany</v>
      </c>
      <c r="D1098" s="3">
        <f>VLOOKUP(A1098,Raw_Data!A:L,12,FALSE)</f>
        <v>21780</v>
      </c>
      <c r="E1098" s="3">
        <f>VLOOKUP(A1098,Raw_Data!A:L,11,FALSE)</f>
        <v>44</v>
      </c>
      <c r="F1098" t="str">
        <f>TEXT(VLOOKUP(A1098,Raw_Data!A:L,5,FALSE),"mmm")</f>
        <v>Feb</v>
      </c>
    </row>
    <row r="1099" spans="1:6" x14ac:dyDescent="0.35">
      <c r="A1099" s="3" t="s">
        <v>1643</v>
      </c>
      <c r="B1099" t="str">
        <f>VLOOKUP(A1099,Raw_Data!A:L,6,FALSE)</f>
        <v>Blender</v>
      </c>
      <c r="C1099" t="str">
        <f>VLOOKUP(A1099,Raw_Data!A:L,3,FALSE)</f>
        <v>China</v>
      </c>
      <c r="D1099" s="3">
        <f>VLOOKUP(A1099,Raw_Data!A:L,12,FALSE)</f>
        <v>3337</v>
      </c>
      <c r="E1099" s="3">
        <f>VLOOKUP(A1099,Raw_Data!A:L,11,FALSE)</f>
        <v>71</v>
      </c>
      <c r="F1099" t="str">
        <f>TEXT(VLOOKUP(A1099,Raw_Data!A:L,5,FALSE),"mmm")</f>
        <v>Mar</v>
      </c>
    </row>
    <row r="1100" spans="1:6" x14ac:dyDescent="0.35">
      <c r="A1100" s="3" t="s">
        <v>1644</v>
      </c>
      <c r="B1100" t="str">
        <f>VLOOKUP(A1100,Raw_Data!A:L,6,FALSE)</f>
        <v>Washing Machine</v>
      </c>
      <c r="C1100" t="str">
        <f>VLOOKUP(A1100,Raw_Data!A:L,3,FALSE)</f>
        <v>Japan</v>
      </c>
      <c r="D1100" s="3">
        <f>VLOOKUP(A1100,Raw_Data!A:L,12,FALSE)</f>
        <v>41664</v>
      </c>
      <c r="E1100" s="3">
        <f>VLOOKUP(A1100,Raw_Data!A:L,11,FALSE)</f>
        <v>56</v>
      </c>
      <c r="F1100" t="str">
        <f>TEXT(VLOOKUP(A1100,Raw_Data!A:L,5,FALSE),"mmm")</f>
        <v>Jul</v>
      </c>
    </row>
    <row r="1101" spans="1:6" x14ac:dyDescent="0.35">
      <c r="A1101" s="3" t="s">
        <v>1645</v>
      </c>
      <c r="B1101" t="str">
        <f>VLOOKUP(A1101,Raw_Data!A:L,6,FALSE)</f>
        <v>Dishwasher</v>
      </c>
      <c r="C1101" t="str">
        <f>VLOOKUP(A1101,Raw_Data!A:L,3,FALSE)</f>
        <v>Mexico</v>
      </c>
      <c r="D1101" s="3">
        <f>VLOOKUP(A1101,Raw_Data!A:L,12,FALSE)</f>
        <v>23520</v>
      </c>
      <c r="E1101" s="3">
        <f>VLOOKUP(A1101,Raw_Data!A:L,11,FALSE)</f>
        <v>48</v>
      </c>
      <c r="F1101" t="str">
        <f>TEXT(VLOOKUP(A1101,Raw_Data!A:L,5,FALSE),"mmm")</f>
        <v>Aug</v>
      </c>
    </row>
    <row r="1102" spans="1:6" x14ac:dyDescent="0.35">
      <c r="A1102" s="3" t="s">
        <v>1646</v>
      </c>
      <c r="B1102" t="str">
        <f>VLOOKUP(A1102,Raw_Data!A:L,6,FALSE)</f>
        <v>Washing Machine</v>
      </c>
      <c r="C1102" t="str">
        <f>VLOOKUP(A1102,Raw_Data!A:L,3,FALSE)</f>
        <v>Netherlands</v>
      </c>
      <c r="D1102" s="3">
        <f>VLOOKUP(A1102,Raw_Data!A:L,12,FALSE)</f>
        <v>50688</v>
      </c>
      <c r="E1102" s="3">
        <f>VLOOKUP(A1102,Raw_Data!A:L,11,FALSE)</f>
        <v>88</v>
      </c>
      <c r="F1102" t="str">
        <f>TEXT(VLOOKUP(A1102,Raw_Data!A:L,5,FALSE),"mmm")</f>
        <v>Apr</v>
      </c>
    </row>
    <row r="1103" spans="1:6" x14ac:dyDescent="0.35">
      <c r="A1103" s="3" t="s">
        <v>1647</v>
      </c>
      <c r="B1103" t="str">
        <f>VLOOKUP(A1103,Raw_Data!A:L,6,FALSE)</f>
        <v>Dishwasher</v>
      </c>
      <c r="C1103" t="str">
        <f>VLOOKUP(A1103,Raw_Data!A:L,3,FALSE)</f>
        <v>France</v>
      </c>
      <c r="D1103" s="3">
        <f>VLOOKUP(A1103,Raw_Data!A:L,12,FALSE)</f>
        <v>10920</v>
      </c>
      <c r="E1103" s="3">
        <f>VLOOKUP(A1103,Raw_Data!A:L,11,FALSE)</f>
        <v>24</v>
      </c>
      <c r="F1103" t="str">
        <f>TEXT(VLOOKUP(A1103,Raw_Data!A:L,5,FALSE),"mmm")</f>
        <v>Jun</v>
      </c>
    </row>
    <row r="1104" spans="1:6" x14ac:dyDescent="0.35">
      <c r="A1104" s="3" t="s">
        <v>1649</v>
      </c>
      <c r="B1104" t="str">
        <f>VLOOKUP(A1104,Raw_Data!A:L,6,FALSE)</f>
        <v>Ceiling fan</v>
      </c>
      <c r="C1104" t="str">
        <f>VLOOKUP(A1104,Raw_Data!A:L,3,FALSE)</f>
        <v>Argentina</v>
      </c>
      <c r="D1104" s="3">
        <f>VLOOKUP(A1104,Raw_Data!A:L,12,FALSE)</f>
        <v>3510</v>
      </c>
      <c r="E1104" s="3">
        <f>VLOOKUP(A1104,Raw_Data!A:L,11,FALSE)</f>
        <v>26</v>
      </c>
      <c r="F1104" t="str">
        <f>TEXT(VLOOKUP(A1104,Raw_Data!A:L,5,FALSE),"mmm")</f>
        <v>Aug</v>
      </c>
    </row>
    <row r="1105" spans="1:6" x14ac:dyDescent="0.35">
      <c r="A1105" s="3" t="s">
        <v>1650</v>
      </c>
      <c r="B1105" t="str">
        <f>VLOOKUP(A1105,Raw_Data!A:L,6,FALSE)</f>
        <v>Oven</v>
      </c>
      <c r="C1105" t="str">
        <f>VLOOKUP(A1105,Raw_Data!A:L,3,FALSE)</f>
        <v>Russia</v>
      </c>
      <c r="D1105" s="3">
        <f>VLOOKUP(A1105,Raw_Data!A:L,12,FALSE)</f>
        <v>42140</v>
      </c>
      <c r="E1105" s="3">
        <f>VLOOKUP(A1105,Raw_Data!A:L,11,FALSE)</f>
        <v>86</v>
      </c>
      <c r="F1105" t="str">
        <f>TEXT(VLOOKUP(A1105,Raw_Data!A:L,5,FALSE),"mmm")</f>
        <v>Apr</v>
      </c>
    </row>
    <row r="1106" spans="1:6" x14ac:dyDescent="0.35">
      <c r="A1106" s="3" t="s">
        <v>1651</v>
      </c>
      <c r="B1106" t="str">
        <f>VLOOKUP(A1106,Raw_Data!A:L,6,FALSE)</f>
        <v>Oven</v>
      </c>
      <c r="C1106" t="str">
        <f>VLOOKUP(A1106,Raw_Data!A:L,3,FALSE)</f>
        <v>Malaysia</v>
      </c>
      <c r="D1106" s="3">
        <f>VLOOKUP(A1106,Raw_Data!A:L,12,FALSE)</f>
        <v>9405</v>
      </c>
      <c r="E1106" s="3">
        <f>VLOOKUP(A1106,Raw_Data!A:L,11,FALSE)</f>
        <v>19</v>
      </c>
      <c r="F1106" t="str">
        <f>TEXT(VLOOKUP(A1106,Raw_Data!A:L,5,FALSE),"mmm")</f>
        <v>Jun</v>
      </c>
    </row>
    <row r="1107" spans="1:6" x14ac:dyDescent="0.35">
      <c r="A1107" s="3" t="s">
        <v>1652</v>
      </c>
      <c r="B1107" t="str">
        <f>VLOOKUP(A1107,Raw_Data!A:L,6,FALSE)</f>
        <v>Blender</v>
      </c>
      <c r="C1107" t="str">
        <f>VLOOKUP(A1107,Raw_Data!A:L,3,FALSE)</f>
        <v>Saudi Arabia</v>
      </c>
      <c r="D1107" s="3">
        <f>VLOOKUP(A1107,Raw_Data!A:L,12,FALSE)</f>
        <v>270</v>
      </c>
      <c r="E1107" s="3">
        <f>VLOOKUP(A1107,Raw_Data!A:L,11,FALSE)</f>
        <v>6</v>
      </c>
      <c r="F1107" t="str">
        <f>TEXT(VLOOKUP(A1107,Raw_Data!A:L,5,FALSE),"mmm")</f>
        <v>May</v>
      </c>
    </row>
    <row r="1108" spans="1:6" x14ac:dyDescent="0.35">
      <c r="A1108" s="3" t="s">
        <v>1653</v>
      </c>
      <c r="B1108" t="str">
        <f>VLOOKUP(A1108,Raw_Data!A:L,6,FALSE)</f>
        <v>Iron</v>
      </c>
      <c r="C1108" t="str">
        <f>VLOOKUP(A1108,Raw_Data!A:L,3,FALSE)</f>
        <v>Mexico</v>
      </c>
      <c r="D1108" s="3">
        <f>VLOOKUP(A1108,Raw_Data!A:L,12,FALSE)</f>
        <v>1988</v>
      </c>
      <c r="E1108" s="3">
        <f>VLOOKUP(A1108,Raw_Data!A:L,11,FALSE)</f>
        <v>71</v>
      </c>
      <c r="F1108" t="str">
        <f>TEXT(VLOOKUP(A1108,Raw_Data!A:L,5,FALSE),"mmm")</f>
        <v>Sep</v>
      </c>
    </row>
    <row r="1109" spans="1:6" x14ac:dyDescent="0.35">
      <c r="A1109" s="3" t="s">
        <v>1654</v>
      </c>
      <c r="B1109" t="str">
        <f>VLOOKUP(A1109,Raw_Data!A:L,6,FALSE)</f>
        <v>Washing Machine</v>
      </c>
      <c r="C1109" t="str">
        <f>VLOOKUP(A1109,Raw_Data!A:L,3,FALSE)</f>
        <v>Romania</v>
      </c>
      <c r="D1109" s="3">
        <f>VLOOKUP(A1109,Raw_Data!A:L,12,FALSE)</f>
        <v>16992</v>
      </c>
      <c r="E1109" s="3">
        <f>VLOOKUP(A1109,Raw_Data!A:L,11,FALSE)</f>
        <v>36</v>
      </c>
      <c r="F1109" t="str">
        <f>TEXT(VLOOKUP(A1109,Raw_Data!A:L,5,FALSE),"mmm")</f>
        <v>Feb</v>
      </c>
    </row>
    <row r="1110" spans="1:6" x14ac:dyDescent="0.35">
      <c r="A1110" s="3" t="s">
        <v>1655</v>
      </c>
      <c r="B1110" t="str">
        <f>VLOOKUP(A1110,Raw_Data!A:L,6,FALSE)</f>
        <v>Refrigerator</v>
      </c>
      <c r="C1110" t="str">
        <f>VLOOKUP(A1110,Raw_Data!A:L,3,FALSE)</f>
        <v>France</v>
      </c>
      <c r="D1110" s="3">
        <f>VLOOKUP(A1110,Raw_Data!A:L,12,FALSE)</f>
        <v>34000</v>
      </c>
      <c r="E1110" s="3">
        <f>VLOOKUP(A1110,Raw_Data!A:L,11,FALSE)</f>
        <v>50</v>
      </c>
      <c r="F1110" t="str">
        <f>TEXT(VLOOKUP(A1110,Raw_Data!A:L,5,FALSE),"mmm")</f>
        <v>Mar</v>
      </c>
    </row>
    <row r="1111" spans="1:6" x14ac:dyDescent="0.35">
      <c r="A1111" s="3" t="s">
        <v>1656</v>
      </c>
      <c r="B1111" t="str">
        <f>VLOOKUP(A1111,Raw_Data!A:L,6,FALSE)</f>
        <v>Ceiling fan</v>
      </c>
      <c r="C1111" t="str">
        <f>VLOOKUP(A1111,Raw_Data!A:L,3,FALSE)</f>
        <v>Germany</v>
      </c>
      <c r="D1111" s="3">
        <f>VLOOKUP(A1111,Raw_Data!A:L,12,FALSE)</f>
        <v>7200</v>
      </c>
      <c r="E1111" s="3">
        <f>VLOOKUP(A1111,Raw_Data!A:L,11,FALSE)</f>
        <v>48</v>
      </c>
      <c r="F1111" t="str">
        <f>TEXT(VLOOKUP(A1111,Raw_Data!A:L,5,FALSE),"mmm")</f>
        <v>Feb</v>
      </c>
    </row>
    <row r="1112" spans="1:6" x14ac:dyDescent="0.35">
      <c r="A1112" s="3" t="s">
        <v>1657</v>
      </c>
      <c r="B1112" t="str">
        <f>VLOOKUP(A1112,Raw_Data!A:L,6,FALSE)</f>
        <v>Iron</v>
      </c>
      <c r="C1112" t="str">
        <f>VLOOKUP(A1112,Raw_Data!A:L,3,FALSE)</f>
        <v>Argentina</v>
      </c>
      <c r="D1112" s="3">
        <f>VLOOKUP(A1112,Raw_Data!A:L,12,FALSE)</f>
        <v>280</v>
      </c>
      <c r="E1112" s="3">
        <f>VLOOKUP(A1112,Raw_Data!A:L,11,FALSE)</f>
        <v>10</v>
      </c>
      <c r="F1112" t="str">
        <f>TEXT(VLOOKUP(A1112,Raw_Data!A:L,5,FALSE),"mmm")</f>
        <v>Nov</v>
      </c>
    </row>
    <row r="1113" spans="1:6" x14ac:dyDescent="0.35">
      <c r="A1113" s="3" t="s">
        <v>1658</v>
      </c>
      <c r="B1113" t="str">
        <f>VLOOKUP(A1113,Raw_Data!A:L,6,FALSE)</f>
        <v>Dishwasher</v>
      </c>
      <c r="C1113" t="str">
        <f>VLOOKUP(A1113,Raw_Data!A:L,3,FALSE)</f>
        <v>Mexico</v>
      </c>
      <c r="D1113" s="3">
        <f>VLOOKUP(A1113,Raw_Data!A:L,12,FALSE)</f>
        <v>38700</v>
      </c>
      <c r="E1113" s="3">
        <f>VLOOKUP(A1113,Raw_Data!A:L,11,FALSE)</f>
        <v>86</v>
      </c>
      <c r="F1113" t="str">
        <f>TEXT(VLOOKUP(A1113,Raw_Data!A:L,5,FALSE),"mmm")</f>
        <v>Jun</v>
      </c>
    </row>
    <row r="1114" spans="1:6" x14ac:dyDescent="0.35">
      <c r="A1114" s="3" t="s">
        <v>1659</v>
      </c>
      <c r="B1114" t="str">
        <f>VLOOKUP(A1114,Raw_Data!A:L,6,FALSE)</f>
        <v>Ceiling fan</v>
      </c>
      <c r="C1114" t="str">
        <f>VLOOKUP(A1114,Raw_Data!A:L,3,FALSE)</f>
        <v>Ireland</v>
      </c>
      <c r="D1114" s="3">
        <f>VLOOKUP(A1114,Raw_Data!A:L,12,FALSE)</f>
        <v>7450</v>
      </c>
      <c r="E1114" s="3">
        <f>VLOOKUP(A1114,Raw_Data!A:L,11,FALSE)</f>
        <v>50</v>
      </c>
      <c r="F1114" t="str">
        <f>TEXT(VLOOKUP(A1114,Raw_Data!A:L,5,FALSE),"mmm")</f>
        <v>Aug</v>
      </c>
    </row>
    <row r="1115" spans="1:6" x14ac:dyDescent="0.35">
      <c r="A1115" s="3" t="s">
        <v>1660</v>
      </c>
      <c r="B1115" t="str">
        <f>VLOOKUP(A1115,Raw_Data!A:L,6,FALSE)</f>
        <v>Microwave</v>
      </c>
      <c r="C1115" t="str">
        <f>VLOOKUP(A1115,Raw_Data!A:L,3,FALSE)</f>
        <v>Mexico</v>
      </c>
      <c r="D1115" s="3">
        <f>VLOOKUP(A1115,Raw_Data!A:L,12,FALSE)</f>
        <v>1802</v>
      </c>
      <c r="E1115" s="3">
        <f>VLOOKUP(A1115,Raw_Data!A:L,11,FALSE)</f>
        <v>34</v>
      </c>
      <c r="F1115" t="str">
        <f>TEXT(VLOOKUP(A1115,Raw_Data!A:L,5,FALSE),"mmm")</f>
        <v>Aug</v>
      </c>
    </row>
    <row r="1116" spans="1:6" x14ac:dyDescent="0.35">
      <c r="A1116" s="3" t="s">
        <v>1661</v>
      </c>
      <c r="B1116" t="str">
        <f>VLOOKUP(A1116,Raw_Data!A:L,6,FALSE)</f>
        <v>Dishwasher</v>
      </c>
      <c r="C1116" t="str">
        <f>VLOOKUP(A1116,Raw_Data!A:L,3,FALSE)</f>
        <v>Russia</v>
      </c>
      <c r="D1116" s="3">
        <f>VLOOKUP(A1116,Raw_Data!A:L,12,FALSE)</f>
        <v>31680</v>
      </c>
      <c r="E1116" s="3">
        <f>VLOOKUP(A1116,Raw_Data!A:L,11,FALSE)</f>
        <v>66</v>
      </c>
      <c r="F1116" t="str">
        <f>TEXT(VLOOKUP(A1116,Raw_Data!A:L,5,FALSE),"mmm")</f>
        <v>Aug</v>
      </c>
    </row>
    <row r="1117" spans="1:6" x14ac:dyDescent="0.35">
      <c r="A1117" s="3" t="s">
        <v>1662</v>
      </c>
      <c r="B1117" t="str">
        <f>VLOOKUP(A1117,Raw_Data!A:L,6,FALSE)</f>
        <v>Dishwasher</v>
      </c>
      <c r="C1117" t="str">
        <f>VLOOKUP(A1117,Raw_Data!A:L,3,FALSE)</f>
        <v>Brazil</v>
      </c>
      <c r="D1117" s="3">
        <f>VLOOKUP(A1117,Raw_Data!A:L,12,FALSE)</f>
        <v>27720</v>
      </c>
      <c r="E1117" s="3">
        <f>VLOOKUP(A1117,Raw_Data!A:L,11,FALSE)</f>
        <v>56</v>
      </c>
      <c r="F1117" t="str">
        <f>TEXT(VLOOKUP(A1117,Raw_Data!A:L,5,FALSE),"mmm")</f>
        <v>Jan</v>
      </c>
    </row>
    <row r="1118" spans="1:6" x14ac:dyDescent="0.35">
      <c r="A1118" s="3" t="s">
        <v>1663</v>
      </c>
      <c r="B1118" t="str">
        <f>VLOOKUP(A1118,Raw_Data!A:L,6,FALSE)</f>
        <v>Blender</v>
      </c>
      <c r="C1118" t="str">
        <f>VLOOKUP(A1118,Raw_Data!A:L,3,FALSE)</f>
        <v>Russia</v>
      </c>
      <c r="D1118" s="3">
        <f>VLOOKUP(A1118,Raw_Data!A:L,12,FALSE)</f>
        <v>528</v>
      </c>
      <c r="E1118" s="3">
        <f>VLOOKUP(A1118,Raw_Data!A:L,11,FALSE)</f>
        <v>11</v>
      </c>
      <c r="F1118" t="str">
        <f>TEXT(VLOOKUP(A1118,Raw_Data!A:L,5,FALSE),"mmm")</f>
        <v>Jan</v>
      </c>
    </row>
    <row r="1119" spans="1:6" x14ac:dyDescent="0.35">
      <c r="A1119" s="3" t="s">
        <v>1664</v>
      </c>
      <c r="B1119" t="str">
        <f>VLOOKUP(A1119,Raw_Data!A:L,6,FALSE)</f>
        <v>Toaster</v>
      </c>
      <c r="C1119" t="str">
        <f>VLOOKUP(A1119,Raw_Data!A:L,3,FALSE)</f>
        <v>Colombia</v>
      </c>
      <c r="D1119" s="3">
        <f>VLOOKUP(A1119,Raw_Data!A:L,12,FALSE)</f>
        <v>1935</v>
      </c>
      <c r="E1119" s="3">
        <f>VLOOKUP(A1119,Raw_Data!A:L,11,FALSE)</f>
        <v>43</v>
      </c>
      <c r="F1119" t="str">
        <f>TEXT(VLOOKUP(A1119,Raw_Data!A:L,5,FALSE),"mmm")</f>
        <v>Nov</v>
      </c>
    </row>
    <row r="1120" spans="1:6" x14ac:dyDescent="0.35">
      <c r="A1120" s="3" t="s">
        <v>1665</v>
      </c>
      <c r="B1120" t="str">
        <f>VLOOKUP(A1120,Raw_Data!A:L,6,FALSE)</f>
        <v>Microwave</v>
      </c>
      <c r="C1120" t="str">
        <f>VLOOKUP(A1120,Raw_Data!A:L,3,FALSE)</f>
        <v>Argentina</v>
      </c>
      <c r="D1120" s="3">
        <f>VLOOKUP(A1120,Raw_Data!A:L,12,FALSE)</f>
        <v>1184</v>
      </c>
      <c r="E1120" s="3">
        <f>VLOOKUP(A1120,Raw_Data!A:L,11,FALSE)</f>
        <v>16</v>
      </c>
      <c r="F1120" t="str">
        <f>TEXT(VLOOKUP(A1120,Raw_Data!A:L,5,FALSE),"mmm")</f>
        <v>May</v>
      </c>
    </row>
    <row r="1121" spans="1:6" x14ac:dyDescent="0.35">
      <c r="A1121" s="3" t="s">
        <v>1666</v>
      </c>
      <c r="B1121" t="str">
        <f>VLOOKUP(A1121,Raw_Data!A:L,6,FALSE)</f>
        <v>Washing Machine</v>
      </c>
      <c r="C1121" t="str">
        <f>VLOOKUP(A1121,Raw_Data!A:L,3,FALSE)</f>
        <v>Italy</v>
      </c>
      <c r="D1121" s="3">
        <f>VLOOKUP(A1121,Raw_Data!A:L,12,FALSE)</f>
        <v>8880</v>
      </c>
      <c r="E1121" s="3">
        <f>VLOOKUP(A1121,Raw_Data!A:L,11,FALSE)</f>
        <v>15</v>
      </c>
      <c r="F1121" t="str">
        <f>TEXT(VLOOKUP(A1121,Raw_Data!A:L,5,FALSE),"mmm")</f>
        <v>Apr</v>
      </c>
    </row>
    <row r="1122" spans="1:6" x14ac:dyDescent="0.35">
      <c r="A1122" s="3" t="s">
        <v>1667</v>
      </c>
      <c r="B1122" t="str">
        <f>VLOOKUP(A1122,Raw_Data!A:L,6,FALSE)</f>
        <v>Microwave</v>
      </c>
      <c r="C1122" t="str">
        <f>VLOOKUP(A1122,Raw_Data!A:L,3,FALSE)</f>
        <v>Israel</v>
      </c>
      <c r="D1122" s="3">
        <f>VLOOKUP(A1122,Raw_Data!A:L,12,FALSE)</f>
        <v>6364</v>
      </c>
      <c r="E1122" s="3">
        <f>VLOOKUP(A1122,Raw_Data!A:L,11,FALSE)</f>
        <v>86</v>
      </c>
      <c r="F1122" t="str">
        <f>TEXT(VLOOKUP(A1122,Raw_Data!A:L,5,FALSE),"mmm")</f>
        <v>Dec</v>
      </c>
    </row>
    <row r="1123" spans="1:6" x14ac:dyDescent="0.35">
      <c r="A1123" s="3" t="s">
        <v>1668</v>
      </c>
      <c r="B1123" t="str">
        <f>VLOOKUP(A1123,Raw_Data!A:L,6,FALSE)</f>
        <v>Iron</v>
      </c>
      <c r="C1123" t="str">
        <f>VLOOKUP(A1123,Raw_Data!A:L,3,FALSE)</f>
        <v>Germany</v>
      </c>
      <c r="D1123" s="3">
        <f>VLOOKUP(A1123,Raw_Data!A:L,12,FALSE)</f>
        <v>420</v>
      </c>
      <c r="E1123" s="3">
        <f>VLOOKUP(A1123,Raw_Data!A:L,11,FALSE)</f>
        <v>21</v>
      </c>
      <c r="F1123" t="str">
        <f>TEXT(VLOOKUP(A1123,Raw_Data!A:L,5,FALSE),"mmm")</f>
        <v>May</v>
      </c>
    </row>
    <row r="1124" spans="1:6" x14ac:dyDescent="0.35">
      <c r="A1124" s="3" t="s">
        <v>1669</v>
      </c>
      <c r="B1124" t="str">
        <f>VLOOKUP(A1124,Raw_Data!A:L,6,FALSE)</f>
        <v>Ceiling fan</v>
      </c>
      <c r="C1124" t="str">
        <f>VLOOKUP(A1124,Raw_Data!A:L,3,FALSE)</f>
        <v>Peru</v>
      </c>
      <c r="D1124" s="3">
        <f>VLOOKUP(A1124,Raw_Data!A:L,12,FALSE)</f>
        <v>4278</v>
      </c>
      <c r="E1124" s="3">
        <f>VLOOKUP(A1124,Raw_Data!A:L,11,FALSE)</f>
        <v>31</v>
      </c>
      <c r="F1124" t="str">
        <f>TEXT(VLOOKUP(A1124,Raw_Data!A:L,5,FALSE),"mmm")</f>
        <v>Jun</v>
      </c>
    </row>
    <row r="1125" spans="1:6" x14ac:dyDescent="0.35">
      <c r="A1125" s="3" t="s">
        <v>1670</v>
      </c>
      <c r="B1125" t="str">
        <f>VLOOKUP(A1125,Raw_Data!A:L,6,FALSE)</f>
        <v>Iron</v>
      </c>
      <c r="C1125" t="str">
        <f>VLOOKUP(A1125,Raw_Data!A:L,3,FALSE)</f>
        <v>Saudi Arabia</v>
      </c>
      <c r="D1125" s="3">
        <f>VLOOKUP(A1125,Raw_Data!A:L,12,FALSE)</f>
        <v>690</v>
      </c>
      <c r="E1125" s="3">
        <f>VLOOKUP(A1125,Raw_Data!A:L,11,FALSE)</f>
        <v>23</v>
      </c>
      <c r="F1125" t="str">
        <f>TEXT(VLOOKUP(A1125,Raw_Data!A:L,5,FALSE),"mmm")</f>
        <v>Nov</v>
      </c>
    </row>
    <row r="1126" spans="1:6" x14ac:dyDescent="0.35">
      <c r="A1126" s="3" t="s">
        <v>1671</v>
      </c>
      <c r="B1126" t="str">
        <f>VLOOKUP(A1126,Raw_Data!A:L,6,FALSE)</f>
        <v>Vacuum Cleaner</v>
      </c>
      <c r="C1126" t="str">
        <f>VLOOKUP(A1126,Raw_Data!A:L,3,FALSE)</f>
        <v>Poland</v>
      </c>
      <c r="D1126" s="3">
        <f>VLOOKUP(A1126,Raw_Data!A:L,12,FALSE)</f>
        <v>10575</v>
      </c>
      <c r="E1126" s="3">
        <f>VLOOKUP(A1126,Raw_Data!A:L,11,FALSE)</f>
        <v>47</v>
      </c>
      <c r="F1126" t="str">
        <f>TEXT(VLOOKUP(A1126,Raw_Data!A:L,5,FALSE),"mmm")</f>
        <v>Apr</v>
      </c>
    </row>
    <row r="1127" spans="1:6" x14ac:dyDescent="0.35">
      <c r="A1127" s="3" t="s">
        <v>1672</v>
      </c>
      <c r="B1127" t="str">
        <f>VLOOKUP(A1127,Raw_Data!A:L,6,FALSE)</f>
        <v>Ceiling fan</v>
      </c>
      <c r="C1127" t="str">
        <f>VLOOKUP(A1127,Raw_Data!A:L,3,FALSE)</f>
        <v>Russia</v>
      </c>
      <c r="D1127" s="3">
        <f>VLOOKUP(A1127,Raw_Data!A:L,12,FALSE)</f>
        <v>9152</v>
      </c>
      <c r="E1127" s="3">
        <f>VLOOKUP(A1127,Raw_Data!A:L,11,FALSE)</f>
        <v>64</v>
      </c>
      <c r="F1127" t="str">
        <f>TEXT(VLOOKUP(A1127,Raw_Data!A:L,5,FALSE),"mmm")</f>
        <v>Mar</v>
      </c>
    </row>
    <row r="1128" spans="1:6" x14ac:dyDescent="0.35">
      <c r="A1128" s="3" t="s">
        <v>1673</v>
      </c>
      <c r="B1128" t="str">
        <f>VLOOKUP(A1128,Raw_Data!A:L,6,FALSE)</f>
        <v>Air conditioner</v>
      </c>
      <c r="C1128" t="str">
        <f>VLOOKUP(A1128,Raw_Data!A:L,3,FALSE)</f>
        <v>Ireland</v>
      </c>
      <c r="D1128" s="3">
        <f>VLOOKUP(A1128,Raw_Data!A:L,12,FALSE)</f>
        <v>42777</v>
      </c>
      <c r="E1128" s="3">
        <f>VLOOKUP(A1128,Raw_Data!A:L,11,FALSE)</f>
        <v>63</v>
      </c>
      <c r="F1128" t="str">
        <f>TEXT(VLOOKUP(A1128,Raw_Data!A:L,5,FALSE),"mmm")</f>
        <v>Apr</v>
      </c>
    </row>
    <row r="1129" spans="1:6" x14ac:dyDescent="0.35">
      <c r="A1129" s="3" t="s">
        <v>1674</v>
      </c>
      <c r="B1129" t="str">
        <f>VLOOKUP(A1129,Raw_Data!A:L,6,FALSE)</f>
        <v>Oven</v>
      </c>
      <c r="C1129" t="str">
        <f>VLOOKUP(A1129,Raw_Data!A:L,3,FALSE)</f>
        <v>UAE</v>
      </c>
      <c r="D1129" s="3">
        <f>VLOOKUP(A1129,Raw_Data!A:L,12,FALSE)</f>
        <v>30195</v>
      </c>
      <c r="E1129" s="3">
        <f>VLOOKUP(A1129,Raw_Data!A:L,11,FALSE)</f>
        <v>61</v>
      </c>
      <c r="F1129" t="str">
        <f>TEXT(VLOOKUP(A1129,Raw_Data!A:L,5,FALSE),"mmm")</f>
        <v>Aug</v>
      </c>
    </row>
    <row r="1130" spans="1:6" x14ac:dyDescent="0.35">
      <c r="A1130" s="3" t="s">
        <v>1675</v>
      </c>
      <c r="B1130" t="str">
        <f>VLOOKUP(A1130,Raw_Data!A:L,6,FALSE)</f>
        <v>Dishwasher</v>
      </c>
      <c r="C1130" t="str">
        <f>VLOOKUP(A1130,Raw_Data!A:L,3,FALSE)</f>
        <v>USA</v>
      </c>
      <c r="D1130" s="3">
        <f>VLOOKUP(A1130,Raw_Data!A:L,12,FALSE)</f>
        <v>9200</v>
      </c>
      <c r="E1130" s="3">
        <f>VLOOKUP(A1130,Raw_Data!A:L,11,FALSE)</f>
        <v>23</v>
      </c>
      <c r="F1130" t="str">
        <f>TEXT(VLOOKUP(A1130,Raw_Data!A:L,5,FALSE),"mmm")</f>
        <v>Sep</v>
      </c>
    </row>
    <row r="1131" spans="1:6" x14ac:dyDescent="0.35">
      <c r="A1131" s="3" t="s">
        <v>1676</v>
      </c>
      <c r="B1131" t="str">
        <f>VLOOKUP(A1131,Raw_Data!A:L,6,FALSE)</f>
        <v>Toaster</v>
      </c>
      <c r="C1131" t="str">
        <f>VLOOKUP(A1131,Raw_Data!A:L,3,FALSE)</f>
        <v>USA</v>
      </c>
      <c r="D1131" s="3">
        <f>VLOOKUP(A1131,Raw_Data!A:L,12,FALSE)</f>
        <v>1680</v>
      </c>
      <c r="E1131" s="3">
        <f>VLOOKUP(A1131,Raw_Data!A:L,11,FALSE)</f>
        <v>35</v>
      </c>
      <c r="F1131" t="str">
        <f>TEXT(VLOOKUP(A1131,Raw_Data!A:L,5,FALSE),"mmm")</f>
        <v>May</v>
      </c>
    </row>
    <row r="1132" spans="1:6" x14ac:dyDescent="0.35">
      <c r="A1132" s="3" t="s">
        <v>1677</v>
      </c>
      <c r="B1132" t="str">
        <f>VLOOKUP(A1132,Raw_Data!A:L,6,FALSE)</f>
        <v>Iron</v>
      </c>
      <c r="C1132" t="str">
        <f>VLOOKUP(A1132,Raw_Data!A:L,3,FALSE)</f>
        <v>Israel</v>
      </c>
      <c r="D1132" s="3">
        <f>VLOOKUP(A1132,Raw_Data!A:L,12,FALSE)</f>
        <v>779</v>
      </c>
      <c r="E1132" s="3">
        <f>VLOOKUP(A1132,Raw_Data!A:L,11,FALSE)</f>
        <v>41</v>
      </c>
      <c r="F1132" t="str">
        <f>TEXT(VLOOKUP(A1132,Raw_Data!A:L,5,FALSE),"mmm")</f>
        <v>Jun</v>
      </c>
    </row>
    <row r="1133" spans="1:6" x14ac:dyDescent="0.35">
      <c r="A1133" s="3" t="s">
        <v>1678</v>
      </c>
      <c r="B1133" t="str">
        <f>VLOOKUP(A1133,Raw_Data!A:L,6,FALSE)</f>
        <v>Iron</v>
      </c>
      <c r="C1133" t="str">
        <f>VLOOKUP(A1133,Raw_Data!A:L,3,FALSE)</f>
        <v>Germany</v>
      </c>
      <c r="D1133" s="3">
        <f>VLOOKUP(A1133,Raw_Data!A:L,12,FALSE)</f>
        <v>264</v>
      </c>
      <c r="E1133" s="3">
        <f>VLOOKUP(A1133,Raw_Data!A:L,11,FALSE)</f>
        <v>12</v>
      </c>
      <c r="F1133" t="str">
        <f>TEXT(VLOOKUP(A1133,Raw_Data!A:L,5,FALSE),"mmm")</f>
        <v>Apr</v>
      </c>
    </row>
    <row r="1134" spans="1:6" x14ac:dyDescent="0.35">
      <c r="A1134" s="3" t="s">
        <v>1679</v>
      </c>
      <c r="B1134" t="str">
        <f>VLOOKUP(A1134,Raw_Data!A:L,6,FALSE)</f>
        <v>Oven</v>
      </c>
      <c r="C1134" t="str">
        <f>VLOOKUP(A1134,Raw_Data!A:L,3,FALSE)</f>
        <v>Turkey</v>
      </c>
      <c r="D1134" s="3">
        <f>VLOOKUP(A1134,Raw_Data!A:L,12,FALSE)</f>
        <v>44000</v>
      </c>
      <c r="E1134" s="3">
        <f>VLOOKUP(A1134,Raw_Data!A:L,11,FALSE)</f>
        <v>88</v>
      </c>
      <c r="F1134" t="str">
        <f>TEXT(VLOOKUP(A1134,Raw_Data!A:L,5,FALSE),"mmm")</f>
        <v>Mar</v>
      </c>
    </row>
    <row r="1135" spans="1:6" x14ac:dyDescent="0.35">
      <c r="A1135" s="3" t="s">
        <v>1680</v>
      </c>
      <c r="B1135" t="str">
        <f>VLOOKUP(A1135,Raw_Data!A:L,6,FALSE)</f>
        <v>Toaster</v>
      </c>
      <c r="C1135" t="str">
        <f>VLOOKUP(A1135,Raw_Data!A:L,3,FALSE)</f>
        <v>USA</v>
      </c>
      <c r="D1135" s="3">
        <f>VLOOKUP(A1135,Raw_Data!A:L,12,FALSE)</f>
        <v>3300</v>
      </c>
      <c r="E1135" s="3">
        <f>VLOOKUP(A1135,Raw_Data!A:L,11,FALSE)</f>
        <v>66</v>
      </c>
      <c r="F1135" t="str">
        <f>TEXT(VLOOKUP(A1135,Raw_Data!A:L,5,FALSE),"mmm")</f>
        <v>Jul</v>
      </c>
    </row>
    <row r="1136" spans="1:6" x14ac:dyDescent="0.35">
      <c r="A1136" s="3" t="s">
        <v>1681</v>
      </c>
      <c r="B1136" t="str">
        <f>VLOOKUP(A1136,Raw_Data!A:L,6,FALSE)</f>
        <v>Blender</v>
      </c>
      <c r="C1136" t="str">
        <f>VLOOKUP(A1136,Raw_Data!A:L,3,FALSE)</f>
        <v>South Korea</v>
      </c>
      <c r="D1136" s="3">
        <f>VLOOKUP(A1136,Raw_Data!A:L,12,FALSE)</f>
        <v>4200</v>
      </c>
      <c r="E1136" s="3">
        <f>VLOOKUP(A1136,Raw_Data!A:L,11,FALSE)</f>
        <v>84</v>
      </c>
      <c r="F1136" t="str">
        <f>TEXT(VLOOKUP(A1136,Raw_Data!A:L,5,FALSE),"mmm")</f>
        <v>Aug</v>
      </c>
    </row>
    <row r="1137" spans="1:6" x14ac:dyDescent="0.35">
      <c r="A1137" s="3" t="s">
        <v>1683</v>
      </c>
      <c r="B1137" t="str">
        <f>VLOOKUP(A1137,Raw_Data!A:L,6,FALSE)</f>
        <v>Refrigerator</v>
      </c>
      <c r="C1137" t="str">
        <f>VLOOKUP(A1137,Raw_Data!A:L,3,FALSE)</f>
        <v>USA</v>
      </c>
      <c r="D1137" s="3">
        <f>VLOOKUP(A1137,Raw_Data!A:L,12,FALSE)</f>
        <v>1420</v>
      </c>
      <c r="E1137" s="3">
        <f>VLOOKUP(A1137,Raw_Data!A:L,11,FALSE)</f>
        <v>2</v>
      </c>
      <c r="F1137" t="str">
        <f>TEXT(VLOOKUP(A1137,Raw_Data!A:L,5,FALSE),"mmm")</f>
        <v>Dec</v>
      </c>
    </row>
    <row r="1138" spans="1:6" x14ac:dyDescent="0.35">
      <c r="A1138" s="3" t="s">
        <v>1684</v>
      </c>
      <c r="B1138" t="str">
        <f>VLOOKUP(A1138,Raw_Data!A:L,6,FALSE)</f>
        <v>Microwave</v>
      </c>
      <c r="C1138" t="str">
        <f>VLOOKUP(A1138,Raw_Data!A:L,3,FALSE)</f>
        <v>Germany</v>
      </c>
      <c r="D1138" s="3">
        <f>VLOOKUP(A1138,Raw_Data!A:L,12,FALSE)</f>
        <v>4218</v>
      </c>
      <c r="E1138" s="3">
        <f>VLOOKUP(A1138,Raw_Data!A:L,11,FALSE)</f>
        <v>57</v>
      </c>
      <c r="F1138" t="str">
        <f>TEXT(VLOOKUP(A1138,Raw_Data!A:L,5,FALSE),"mmm")</f>
        <v>Nov</v>
      </c>
    </row>
    <row r="1139" spans="1:6" x14ac:dyDescent="0.35">
      <c r="A1139" s="3" t="s">
        <v>1685</v>
      </c>
      <c r="B1139" t="str">
        <f>VLOOKUP(A1139,Raw_Data!A:L,6,FALSE)</f>
        <v>Blender</v>
      </c>
      <c r="C1139" t="str">
        <f>VLOOKUP(A1139,Raw_Data!A:L,3,FALSE)</f>
        <v>Israel</v>
      </c>
      <c r="D1139" s="3">
        <f>VLOOKUP(A1139,Raw_Data!A:L,12,FALSE)</f>
        <v>400</v>
      </c>
      <c r="E1139" s="3">
        <f>VLOOKUP(A1139,Raw_Data!A:L,11,FALSE)</f>
        <v>8</v>
      </c>
      <c r="F1139" t="str">
        <f>TEXT(VLOOKUP(A1139,Raw_Data!A:L,5,FALSE),"mmm")</f>
        <v>Mar</v>
      </c>
    </row>
    <row r="1140" spans="1:6" x14ac:dyDescent="0.35">
      <c r="A1140" s="3" t="s">
        <v>1686</v>
      </c>
      <c r="B1140" t="str">
        <f>VLOOKUP(A1140,Raw_Data!A:L,6,FALSE)</f>
        <v>Vacuum Cleaner</v>
      </c>
      <c r="C1140" t="str">
        <f>VLOOKUP(A1140,Raw_Data!A:L,3,FALSE)</f>
        <v>USA</v>
      </c>
      <c r="D1140" s="3">
        <f>VLOOKUP(A1140,Raw_Data!A:L,12,FALSE)</f>
        <v>16224</v>
      </c>
      <c r="E1140" s="3">
        <f>VLOOKUP(A1140,Raw_Data!A:L,11,FALSE)</f>
        <v>78</v>
      </c>
      <c r="F1140" t="str">
        <f>TEXT(VLOOKUP(A1140,Raw_Data!A:L,5,FALSE),"mmm")</f>
        <v>Apr</v>
      </c>
    </row>
    <row r="1141" spans="1:6" x14ac:dyDescent="0.35">
      <c r="A1141" s="3" t="s">
        <v>1687</v>
      </c>
      <c r="B1141" t="str">
        <f>VLOOKUP(A1141,Raw_Data!A:L,6,FALSE)</f>
        <v>Blender</v>
      </c>
      <c r="C1141" t="str">
        <f>VLOOKUP(A1141,Raw_Data!A:L,3,FALSE)</f>
        <v>Japan</v>
      </c>
      <c r="D1141" s="3">
        <f>VLOOKUP(A1141,Raw_Data!A:L,12,FALSE)</f>
        <v>2622</v>
      </c>
      <c r="E1141" s="3">
        <f>VLOOKUP(A1141,Raw_Data!A:L,11,FALSE)</f>
        <v>57</v>
      </c>
      <c r="F1141" t="str">
        <f>TEXT(VLOOKUP(A1141,Raw_Data!A:L,5,FALSE),"mmm")</f>
        <v>Mar</v>
      </c>
    </row>
    <row r="1142" spans="1:6" x14ac:dyDescent="0.35">
      <c r="A1142" s="3" t="s">
        <v>1688</v>
      </c>
      <c r="B1142" t="str">
        <f>VLOOKUP(A1142,Raw_Data!A:L,6,FALSE)</f>
        <v>Washing Machine</v>
      </c>
      <c r="C1142" t="str">
        <f>VLOOKUP(A1142,Raw_Data!A:L,3,FALSE)</f>
        <v>Israel</v>
      </c>
      <c r="D1142" s="3">
        <f>VLOOKUP(A1142,Raw_Data!A:L,12,FALSE)</f>
        <v>55056</v>
      </c>
      <c r="E1142" s="3">
        <f>VLOOKUP(A1142,Raw_Data!A:L,11,FALSE)</f>
        <v>74</v>
      </c>
      <c r="F1142" t="str">
        <f>TEXT(VLOOKUP(A1142,Raw_Data!A:L,5,FALSE),"mmm")</f>
        <v>Feb</v>
      </c>
    </row>
    <row r="1143" spans="1:6" x14ac:dyDescent="0.35">
      <c r="A1143" s="3" t="s">
        <v>1690</v>
      </c>
      <c r="B1143" t="str">
        <f>VLOOKUP(A1143,Raw_Data!A:L,6,FALSE)</f>
        <v>Microwave</v>
      </c>
      <c r="C1143" t="str">
        <f>VLOOKUP(A1143,Raw_Data!A:L,3,FALSE)</f>
        <v>Thailand</v>
      </c>
      <c r="D1143" s="3">
        <f>VLOOKUP(A1143,Raw_Data!A:L,12,FALSE)</f>
        <v>5244</v>
      </c>
      <c r="E1143" s="3">
        <f>VLOOKUP(A1143,Raw_Data!A:L,11,FALSE)</f>
        <v>69</v>
      </c>
      <c r="F1143" t="str">
        <f>TEXT(VLOOKUP(A1143,Raw_Data!A:L,5,FALSE),"mmm")</f>
        <v>Apr</v>
      </c>
    </row>
    <row r="1144" spans="1:6" x14ac:dyDescent="0.35">
      <c r="A1144" s="3" t="s">
        <v>1691</v>
      </c>
      <c r="B1144" t="str">
        <f>VLOOKUP(A1144,Raw_Data!A:L,6,FALSE)</f>
        <v>Ceiling fan</v>
      </c>
      <c r="C1144" t="str">
        <f>VLOOKUP(A1144,Raw_Data!A:L,3,FALSE)</f>
        <v>South Korea</v>
      </c>
      <c r="D1144" s="3">
        <f>VLOOKUP(A1144,Raw_Data!A:L,12,FALSE)</f>
        <v>1168</v>
      </c>
      <c r="E1144" s="3">
        <f>VLOOKUP(A1144,Raw_Data!A:L,11,FALSE)</f>
        <v>8</v>
      </c>
      <c r="F1144" t="str">
        <f>TEXT(VLOOKUP(A1144,Raw_Data!A:L,5,FALSE),"mmm")</f>
        <v>Jun</v>
      </c>
    </row>
    <row r="1145" spans="1:6" x14ac:dyDescent="0.35">
      <c r="A1145" s="3" t="s">
        <v>1692</v>
      </c>
      <c r="B1145" t="str">
        <f>VLOOKUP(A1145,Raw_Data!A:L,6,FALSE)</f>
        <v>Dishwasher</v>
      </c>
      <c r="C1145" t="str">
        <f>VLOOKUP(A1145,Raw_Data!A:L,3,FALSE)</f>
        <v>China</v>
      </c>
      <c r="D1145" s="3">
        <f>VLOOKUP(A1145,Raw_Data!A:L,12,FALSE)</f>
        <v>23750</v>
      </c>
      <c r="E1145" s="3">
        <f>VLOOKUP(A1145,Raw_Data!A:L,11,FALSE)</f>
        <v>50</v>
      </c>
      <c r="F1145" t="str">
        <f>TEXT(VLOOKUP(A1145,Raw_Data!A:L,5,FALSE),"mmm")</f>
        <v>Nov</v>
      </c>
    </row>
    <row r="1146" spans="1:6" x14ac:dyDescent="0.35">
      <c r="A1146" s="3" t="s">
        <v>1693</v>
      </c>
      <c r="B1146" t="str">
        <f>VLOOKUP(A1146,Raw_Data!A:L,6,FALSE)</f>
        <v>Microwave</v>
      </c>
      <c r="C1146" t="str">
        <f>VLOOKUP(A1146,Raw_Data!A:L,3,FALSE)</f>
        <v>Spain</v>
      </c>
      <c r="D1146" s="3">
        <f>VLOOKUP(A1146,Raw_Data!A:L,12,FALSE)</f>
        <v>6460</v>
      </c>
      <c r="E1146" s="3">
        <f>VLOOKUP(A1146,Raw_Data!A:L,11,FALSE)</f>
        <v>95</v>
      </c>
      <c r="F1146" t="str">
        <f>TEXT(VLOOKUP(A1146,Raw_Data!A:L,5,FALSE),"mmm")</f>
        <v>Nov</v>
      </c>
    </row>
    <row r="1147" spans="1:6" x14ac:dyDescent="0.35">
      <c r="A1147" s="3" t="s">
        <v>1694</v>
      </c>
      <c r="B1147" t="str">
        <f>VLOOKUP(A1147,Raw_Data!A:L,6,FALSE)</f>
        <v>Oven</v>
      </c>
      <c r="C1147" t="str">
        <f>VLOOKUP(A1147,Raw_Data!A:L,3,FALSE)</f>
        <v>Romania</v>
      </c>
      <c r="D1147" s="3">
        <f>VLOOKUP(A1147,Raw_Data!A:L,12,FALSE)</f>
        <v>21500</v>
      </c>
      <c r="E1147" s="3">
        <f>VLOOKUP(A1147,Raw_Data!A:L,11,FALSE)</f>
        <v>43</v>
      </c>
      <c r="F1147" t="str">
        <f>TEXT(VLOOKUP(A1147,Raw_Data!A:L,5,FALSE),"mmm")</f>
        <v>Aug</v>
      </c>
    </row>
    <row r="1148" spans="1:6" x14ac:dyDescent="0.35">
      <c r="A1148" s="3" t="s">
        <v>1695</v>
      </c>
      <c r="B1148" t="str">
        <f>VLOOKUP(A1148,Raw_Data!A:L,6,FALSE)</f>
        <v>Vacuum Cleaner</v>
      </c>
      <c r="C1148" t="str">
        <f>VLOOKUP(A1148,Raw_Data!A:L,3,FALSE)</f>
        <v>Austria</v>
      </c>
      <c r="D1148" s="3">
        <f>VLOOKUP(A1148,Raw_Data!A:L,12,FALSE)</f>
        <v>22356</v>
      </c>
      <c r="E1148" s="3">
        <f>VLOOKUP(A1148,Raw_Data!A:L,11,FALSE)</f>
        <v>92</v>
      </c>
      <c r="F1148" t="str">
        <f>TEXT(VLOOKUP(A1148,Raw_Data!A:L,5,FALSE),"mmm")</f>
        <v>Mar</v>
      </c>
    </row>
    <row r="1149" spans="1:6" x14ac:dyDescent="0.35">
      <c r="A1149" s="3" t="s">
        <v>1696</v>
      </c>
      <c r="B1149" t="str">
        <f>VLOOKUP(A1149,Raw_Data!A:L,6,FALSE)</f>
        <v>Refrigerator</v>
      </c>
      <c r="C1149" t="str">
        <f>VLOOKUP(A1149,Raw_Data!A:L,3,FALSE)</f>
        <v>Brazil</v>
      </c>
      <c r="D1149" s="3">
        <f>VLOOKUP(A1149,Raw_Data!A:L,12,FALSE)</f>
        <v>14000</v>
      </c>
      <c r="E1149" s="3">
        <f>VLOOKUP(A1149,Raw_Data!A:L,11,FALSE)</f>
        <v>28</v>
      </c>
      <c r="F1149" t="str">
        <f>TEXT(VLOOKUP(A1149,Raw_Data!A:L,5,FALSE),"mmm")</f>
        <v>Apr</v>
      </c>
    </row>
    <row r="1150" spans="1:6" x14ac:dyDescent="0.35">
      <c r="A1150" s="3" t="s">
        <v>1697</v>
      </c>
      <c r="B1150" t="str">
        <f>VLOOKUP(A1150,Raw_Data!A:L,6,FALSE)</f>
        <v>Refrigerator</v>
      </c>
      <c r="C1150" t="str">
        <f>VLOOKUP(A1150,Raw_Data!A:L,3,FALSE)</f>
        <v>Mexico</v>
      </c>
      <c r="D1150" s="3">
        <f>VLOOKUP(A1150,Raw_Data!A:L,12,FALSE)</f>
        <v>4900</v>
      </c>
      <c r="E1150" s="3">
        <f>VLOOKUP(A1150,Raw_Data!A:L,11,FALSE)</f>
        <v>7</v>
      </c>
      <c r="F1150" t="str">
        <f>TEXT(VLOOKUP(A1150,Raw_Data!A:L,5,FALSE),"mmm")</f>
        <v>Sep</v>
      </c>
    </row>
    <row r="1151" spans="1:6" x14ac:dyDescent="0.35">
      <c r="A1151" s="3" t="s">
        <v>1698</v>
      </c>
      <c r="B1151" t="str">
        <f>VLOOKUP(A1151,Raw_Data!A:L,6,FALSE)</f>
        <v>Microwave</v>
      </c>
      <c r="C1151" t="str">
        <f>VLOOKUP(A1151,Raw_Data!A:L,3,FALSE)</f>
        <v>UAE</v>
      </c>
      <c r="D1151" s="3">
        <f>VLOOKUP(A1151,Raw_Data!A:L,12,FALSE)</f>
        <v>2494</v>
      </c>
      <c r="E1151" s="3">
        <f>VLOOKUP(A1151,Raw_Data!A:L,11,FALSE)</f>
        <v>43</v>
      </c>
      <c r="F1151" t="str">
        <f>TEXT(VLOOKUP(A1151,Raw_Data!A:L,5,FALSE),"mmm")</f>
        <v>Apr</v>
      </c>
    </row>
    <row r="1152" spans="1:6" x14ac:dyDescent="0.35">
      <c r="A1152" s="3" t="s">
        <v>1699</v>
      </c>
      <c r="B1152" t="str">
        <f>VLOOKUP(A1152,Raw_Data!A:L,6,FALSE)</f>
        <v>Washing Machine</v>
      </c>
      <c r="C1152" t="str">
        <f>VLOOKUP(A1152,Raw_Data!A:L,3,FALSE)</f>
        <v>Netherlands</v>
      </c>
      <c r="D1152" s="3">
        <f>VLOOKUP(A1152,Raw_Data!A:L,12,FALSE)</f>
        <v>17928</v>
      </c>
      <c r="E1152" s="3">
        <f>VLOOKUP(A1152,Raw_Data!A:L,11,FALSE)</f>
        <v>27</v>
      </c>
      <c r="F1152" t="str">
        <f>TEXT(VLOOKUP(A1152,Raw_Data!A:L,5,FALSE),"mmm")</f>
        <v>Mar</v>
      </c>
    </row>
    <row r="1153" spans="1:6" x14ac:dyDescent="0.35">
      <c r="A1153" s="3" t="s">
        <v>1700</v>
      </c>
      <c r="B1153" t="str">
        <f>VLOOKUP(A1153,Raw_Data!A:L,6,FALSE)</f>
        <v>Coffee grinder</v>
      </c>
      <c r="C1153" t="str">
        <f>VLOOKUP(A1153,Raw_Data!A:L,3,FALSE)</f>
        <v>UK</v>
      </c>
      <c r="D1153" s="3">
        <f>VLOOKUP(A1153,Raw_Data!A:L,12,FALSE)</f>
        <v>2760</v>
      </c>
      <c r="E1153" s="3">
        <f>VLOOKUP(A1153,Raw_Data!A:L,11,FALSE)</f>
        <v>40</v>
      </c>
      <c r="F1153" t="str">
        <f>TEXT(VLOOKUP(A1153,Raw_Data!A:L,5,FALSE),"mmm")</f>
        <v>Feb</v>
      </c>
    </row>
    <row r="1154" spans="1:6" x14ac:dyDescent="0.35">
      <c r="A1154" s="3" t="s">
        <v>1701</v>
      </c>
      <c r="B1154" t="str">
        <f>VLOOKUP(A1154,Raw_Data!A:L,6,FALSE)</f>
        <v>Blender</v>
      </c>
      <c r="C1154" t="str">
        <f>VLOOKUP(A1154,Raw_Data!A:L,3,FALSE)</f>
        <v>Mexico</v>
      </c>
      <c r="D1154" s="3">
        <f>VLOOKUP(A1154,Raw_Data!A:L,12,FALSE)</f>
        <v>3750</v>
      </c>
      <c r="E1154" s="3">
        <f>VLOOKUP(A1154,Raw_Data!A:L,11,FALSE)</f>
        <v>75</v>
      </c>
      <c r="F1154" t="str">
        <f>TEXT(VLOOKUP(A1154,Raw_Data!A:L,5,FALSE),"mmm")</f>
        <v>Nov</v>
      </c>
    </row>
    <row r="1155" spans="1:6" x14ac:dyDescent="0.35">
      <c r="A1155" s="3" t="s">
        <v>1702</v>
      </c>
      <c r="B1155" t="str">
        <f>VLOOKUP(A1155,Raw_Data!A:L,6,FALSE)</f>
        <v>Microwave</v>
      </c>
      <c r="C1155" t="str">
        <f>VLOOKUP(A1155,Raw_Data!A:L,3,FALSE)</f>
        <v>Malaysia</v>
      </c>
      <c r="D1155" s="3">
        <f>VLOOKUP(A1155,Raw_Data!A:L,12,FALSE)</f>
        <v>3300</v>
      </c>
      <c r="E1155" s="3">
        <f>VLOOKUP(A1155,Raw_Data!A:L,11,FALSE)</f>
        <v>44</v>
      </c>
      <c r="F1155" t="str">
        <f>TEXT(VLOOKUP(A1155,Raw_Data!A:L,5,FALSE),"mmm")</f>
        <v>Feb</v>
      </c>
    </row>
    <row r="1156" spans="1:6" x14ac:dyDescent="0.35">
      <c r="A1156" s="3" t="s">
        <v>1703</v>
      </c>
      <c r="B1156" t="str">
        <f>VLOOKUP(A1156,Raw_Data!A:L,6,FALSE)</f>
        <v>Microwave</v>
      </c>
      <c r="C1156" t="str">
        <f>VLOOKUP(A1156,Raw_Data!A:L,3,FALSE)</f>
        <v>Russia</v>
      </c>
      <c r="D1156" s="3">
        <f>VLOOKUP(A1156,Raw_Data!A:L,12,FALSE)</f>
        <v>5244</v>
      </c>
      <c r="E1156" s="3">
        <f>VLOOKUP(A1156,Raw_Data!A:L,11,FALSE)</f>
        <v>69</v>
      </c>
      <c r="F1156" t="str">
        <f>TEXT(VLOOKUP(A1156,Raw_Data!A:L,5,FALSE),"mmm")</f>
        <v>May</v>
      </c>
    </row>
    <row r="1157" spans="1:6" x14ac:dyDescent="0.35">
      <c r="A1157" s="3" t="s">
        <v>1704</v>
      </c>
      <c r="B1157" t="str">
        <f>VLOOKUP(A1157,Raw_Data!A:L,6,FALSE)</f>
        <v>Vacuum Cleaner</v>
      </c>
      <c r="C1157" t="str">
        <f>VLOOKUP(A1157,Raw_Data!A:L,3,FALSE)</f>
        <v>India</v>
      </c>
      <c r="D1157" s="3">
        <f>VLOOKUP(A1157,Raw_Data!A:L,12,FALSE)</f>
        <v>1330</v>
      </c>
      <c r="E1157" s="3">
        <f>VLOOKUP(A1157,Raw_Data!A:L,11,FALSE)</f>
        <v>7</v>
      </c>
      <c r="F1157" t="str">
        <f>TEXT(VLOOKUP(A1157,Raw_Data!A:L,5,FALSE),"mmm")</f>
        <v>May</v>
      </c>
    </row>
    <row r="1158" spans="1:6" x14ac:dyDescent="0.35">
      <c r="A1158" s="3" t="s">
        <v>1705</v>
      </c>
      <c r="B1158" t="str">
        <f>VLOOKUP(A1158,Raw_Data!A:L,6,FALSE)</f>
        <v>Refrigerator</v>
      </c>
      <c r="C1158" t="str">
        <f>VLOOKUP(A1158,Raw_Data!A:L,3,FALSE)</f>
        <v>Spain</v>
      </c>
      <c r="D1158" s="3">
        <f>VLOOKUP(A1158,Raw_Data!A:L,12,FALSE)</f>
        <v>34450</v>
      </c>
      <c r="E1158" s="3">
        <f>VLOOKUP(A1158,Raw_Data!A:L,11,FALSE)</f>
        <v>53</v>
      </c>
      <c r="F1158" t="str">
        <f>TEXT(VLOOKUP(A1158,Raw_Data!A:L,5,FALSE),"mmm")</f>
        <v>Jan</v>
      </c>
    </row>
    <row r="1159" spans="1:6" x14ac:dyDescent="0.35">
      <c r="A1159" s="3" t="s">
        <v>1706</v>
      </c>
      <c r="B1159" t="str">
        <f>VLOOKUP(A1159,Raw_Data!A:L,6,FALSE)</f>
        <v>Microwave</v>
      </c>
      <c r="C1159" t="str">
        <f>VLOOKUP(A1159,Raw_Data!A:L,3,FALSE)</f>
        <v>China</v>
      </c>
      <c r="D1159" s="3">
        <f>VLOOKUP(A1159,Raw_Data!A:L,12,FALSE)</f>
        <v>290</v>
      </c>
      <c r="E1159" s="3">
        <f>VLOOKUP(A1159,Raw_Data!A:L,11,FALSE)</f>
        <v>5</v>
      </c>
      <c r="F1159" t="str">
        <f>TEXT(VLOOKUP(A1159,Raw_Data!A:L,5,FALSE),"mmm")</f>
        <v>Dec</v>
      </c>
    </row>
    <row r="1160" spans="1:6" x14ac:dyDescent="0.35">
      <c r="A1160" s="3" t="s">
        <v>1707</v>
      </c>
      <c r="B1160" t="str">
        <f>VLOOKUP(A1160,Raw_Data!A:L,6,FALSE)</f>
        <v>Vacuum Cleaner</v>
      </c>
      <c r="C1160" t="str">
        <f>VLOOKUP(A1160,Raw_Data!A:L,3,FALSE)</f>
        <v>China</v>
      </c>
      <c r="D1160" s="3">
        <f>VLOOKUP(A1160,Raw_Data!A:L,12,FALSE)</f>
        <v>4935</v>
      </c>
      <c r="E1160" s="3">
        <f>VLOOKUP(A1160,Raw_Data!A:L,11,FALSE)</f>
        <v>21</v>
      </c>
      <c r="F1160" t="str">
        <f>TEXT(VLOOKUP(A1160,Raw_Data!A:L,5,FALSE),"mmm")</f>
        <v>Jan</v>
      </c>
    </row>
    <row r="1161" spans="1:6" x14ac:dyDescent="0.35">
      <c r="A1161" s="3" t="s">
        <v>1709</v>
      </c>
      <c r="B1161" t="str">
        <f>VLOOKUP(A1161,Raw_Data!A:L,6,FALSE)</f>
        <v>Dishwasher</v>
      </c>
      <c r="C1161" t="str">
        <f>VLOOKUP(A1161,Raw_Data!A:L,3,FALSE)</f>
        <v>Ireland</v>
      </c>
      <c r="D1161" s="3">
        <f>VLOOKUP(A1161,Raw_Data!A:L,12,FALSE)</f>
        <v>10560</v>
      </c>
      <c r="E1161" s="3">
        <f>VLOOKUP(A1161,Raw_Data!A:L,11,FALSE)</f>
        <v>24</v>
      </c>
      <c r="F1161" t="str">
        <f>TEXT(VLOOKUP(A1161,Raw_Data!A:L,5,FALSE),"mmm")</f>
        <v>Mar</v>
      </c>
    </row>
    <row r="1162" spans="1:6" x14ac:dyDescent="0.35">
      <c r="A1162" s="3" t="s">
        <v>1710</v>
      </c>
      <c r="B1162" t="str">
        <f>VLOOKUP(A1162,Raw_Data!A:L,6,FALSE)</f>
        <v>Blender</v>
      </c>
      <c r="C1162" t="str">
        <f>VLOOKUP(A1162,Raw_Data!A:L,3,FALSE)</f>
        <v>Germany</v>
      </c>
      <c r="D1162" s="3">
        <f>VLOOKUP(A1162,Raw_Data!A:L,12,FALSE)</f>
        <v>1932</v>
      </c>
      <c r="E1162" s="3">
        <f>VLOOKUP(A1162,Raw_Data!A:L,11,FALSE)</f>
        <v>42</v>
      </c>
      <c r="F1162" t="str">
        <f>TEXT(VLOOKUP(A1162,Raw_Data!A:L,5,FALSE),"mmm")</f>
        <v>Oct</v>
      </c>
    </row>
    <row r="1163" spans="1:6" x14ac:dyDescent="0.35">
      <c r="A1163" s="3" t="s">
        <v>1711</v>
      </c>
      <c r="B1163" t="str">
        <f>VLOOKUP(A1163,Raw_Data!A:L,6,FALSE)</f>
        <v>Coffee grinder</v>
      </c>
      <c r="C1163" t="str">
        <f>VLOOKUP(A1163,Raw_Data!A:L,3,FALSE)</f>
        <v>USA</v>
      </c>
      <c r="D1163" s="3">
        <f>VLOOKUP(A1163,Raw_Data!A:L,12,FALSE)</f>
        <v>4662</v>
      </c>
      <c r="E1163" s="3">
        <f>VLOOKUP(A1163,Raw_Data!A:L,11,FALSE)</f>
        <v>74</v>
      </c>
      <c r="F1163" t="str">
        <f>TEXT(VLOOKUP(A1163,Raw_Data!A:L,5,FALSE),"mmm")</f>
        <v>Jun</v>
      </c>
    </row>
    <row r="1164" spans="1:6" x14ac:dyDescent="0.35">
      <c r="A1164" s="3" t="s">
        <v>1712</v>
      </c>
      <c r="B1164" t="str">
        <f>VLOOKUP(A1164,Raw_Data!A:L,6,FALSE)</f>
        <v>Ceiling fan</v>
      </c>
      <c r="C1164" t="str">
        <f>VLOOKUP(A1164,Raw_Data!A:L,3,FALSE)</f>
        <v>Argentina</v>
      </c>
      <c r="D1164" s="3">
        <f>VLOOKUP(A1164,Raw_Data!A:L,12,FALSE)</f>
        <v>6144</v>
      </c>
      <c r="E1164" s="3">
        <f>VLOOKUP(A1164,Raw_Data!A:L,11,FALSE)</f>
        <v>48</v>
      </c>
      <c r="F1164" t="str">
        <f>TEXT(VLOOKUP(A1164,Raw_Data!A:L,5,FALSE),"mmm")</f>
        <v>Mar</v>
      </c>
    </row>
    <row r="1165" spans="1:6" x14ac:dyDescent="0.35">
      <c r="A1165" s="3" t="s">
        <v>1713</v>
      </c>
      <c r="B1165" t="str">
        <f>VLOOKUP(A1165,Raw_Data!A:L,6,FALSE)</f>
        <v>Ceiling fan</v>
      </c>
      <c r="C1165" t="str">
        <f>VLOOKUP(A1165,Raw_Data!A:L,3,FALSE)</f>
        <v>Thailand</v>
      </c>
      <c r="D1165" s="3">
        <f>VLOOKUP(A1165,Raw_Data!A:L,12,FALSE)</f>
        <v>600</v>
      </c>
      <c r="E1165" s="3">
        <f>VLOOKUP(A1165,Raw_Data!A:L,11,FALSE)</f>
        <v>4</v>
      </c>
      <c r="F1165" t="str">
        <f>TEXT(VLOOKUP(A1165,Raw_Data!A:L,5,FALSE),"mmm")</f>
        <v>Dec</v>
      </c>
    </row>
    <row r="1166" spans="1:6" x14ac:dyDescent="0.35">
      <c r="A1166" s="3" t="s">
        <v>1714</v>
      </c>
      <c r="B1166" t="str">
        <f>VLOOKUP(A1166,Raw_Data!A:L,6,FALSE)</f>
        <v>Dishwasher</v>
      </c>
      <c r="C1166" t="str">
        <f>VLOOKUP(A1166,Raw_Data!A:L,3,FALSE)</f>
        <v>Russia</v>
      </c>
      <c r="D1166" s="3">
        <f>VLOOKUP(A1166,Raw_Data!A:L,12,FALSE)</f>
        <v>6305</v>
      </c>
      <c r="E1166" s="3">
        <f>VLOOKUP(A1166,Raw_Data!A:L,11,FALSE)</f>
        <v>13</v>
      </c>
      <c r="F1166" t="str">
        <f>TEXT(VLOOKUP(A1166,Raw_Data!A:L,5,FALSE),"mmm")</f>
        <v>Feb</v>
      </c>
    </row>
    <row r="1167" spans="1:6" x14ac:dyDescent="0.35">
      <c r="A1167" s="3" t="s">
        <v>1715</v>
      </c>
      <c r="B1167" t="str">
        <f>VLOOKUP(A1167,Raw_Data!A:L,6,FALSE)</f>
        <v>Vacuum Cleaner</v>
      </c>
      <c r="C1167" t="str">
        <f>VLOOKUP(A1167,Raw_Data!A:L,3,FALSE)</f>
        <v>Greece</v>
      </c>
      <c r="D1167" s="3">
        <f>VLOOKUP(A1167,Raw_Data!A:L,12,FALSE)</f>
        <v>15180</v>
      </c>
      <c r="E1167" s="3">
        <f>VLOOKUP(A1167,Raw_Data!A:L,11,FALSE)</f>
        <v>66</v>
      </c>
      <c r="F1167" t="str">
        <f>TEXT(VLOOKUP(A1167,Raw_Data!A:L,5,FALSE),"mmm")</f>
        <v>May</v>
      </c>
    </row>
    <row r="1168" spans="1:6" x14ac:dyDescent="0.35">
      <c r="A1168" s="3" t="s">
        <v>1716</v>
      </c>
      <c r="B1168" t="str">
        <f>VLOOKUP(A1168,Raw_Data!A:L,6,FALSE)</f>
        <v>Coffee grinder</v>
      </c>
      <c r="C1168" t="str">
        <f>VLOOKUP(A1168,Raw_Data!A:L,3,FALSE)</f>
        <v>UK</v>
      </c>
      <c r="D1168" s="3">
        <f>VLOOKUP(A1168,Raw_Data!A:L,12,FALSE)</f>
        <v>6200</v>
      </c>
      <c r="E1168" s="3">
        <f>VLOOKUP(A1168,Raw_Data!A:L,11,FALSE)</f>
        <v>100</v>
      </c>
      <c r="F1168" t="str">
        <f>TEXT(VLOOKUP(A1168,Raw_Data!A:L,5,FALSE),"mmm")</f>
        <v>Sep</v>
      </c>
    </row>
    <row r="1169" spans="1:6" x14ac:dyDescent="0.35">
      <c r="A1169" s="3" t="s">
        <v>1717</v>
      </c>
      <c r="B1169" t="str">
        <f>VLOOKUP(A1169,Raw_Data!A:L,6,FALSE)</f>
        <v>Air conditioner</v>
      </c>
      <c r="C1169" t="str">
        <f>VLOOKUP(A1169,Raw_Data!A:L,3,FALSE)</f>
        <v>Thailand</v>
      </c>
      <c r="D1169" s="3">
        <f>VLOOKUP(A1169,Raw_Data!A:L,12,FALSE)</f>
        <v>64505</v>
      </c>
      <c r="E1169" s="3">
        <f>VLOOKUP(A1169,Raw_Data!A:L,11,FALSE)</f>
        <v>97</v>
      </c>
      <c r="F1169" t="str">
        <f>TEXT(VLOOKUP(A1169,Raw_Data!A:L,5,FALSE),"mmm")</f>
        <v>Jul</v>
      </c>
    </row>
    <row r="1170" spans="1:6" x14ac:dyDescent="0.35">
      <c r="A1170" s="3" t="s">
        <v>1719</v>
      </c>
      <c r="B1170" t="str">
        <f>VLOOKUP(A1170,Raw_Data!A:L,6,FALSE)</f>
        <v>Toaster</v>
      </c>
      <c r="C1170" t="str">
        <f>VLOOKUP(A1170,Raw_Data!A:L,3,FALSE)</f>
        <v>USA</v>
      </c>
      <c r="D1170" s="3">
        <f>VLOOKUP(A1170,Raw_Data!A:L,12,FALSE)</f>
        <v>4350</v>
      </c>
      <c r="E1170" s="3">
        <f>VLOOKUP(A1170,Raw_Data!A:L,11,FALSE)</f>
        <v>87</v>
      </c>
      <c r="F1170" t="str">
        <f>TEXT(VLOOKUP(A1170,Raw_Data!A:L,5,FALSE),"mmm")</f>
        <v>Oct</v>
      </c>
    </row>
    <row r="1171" spans="1:6" x14ac:dyDescent="0.35">
      <c r="A1171" s="3" t="s">
        <v>1720</v>
      </c>
      <c r="B1171" t="str">
        <f>VLOOKUP(A1171,Raw_Data!A:L,6,FALSE)</f>
        <v>Microwave</v>
      </c>
      <c r="C1171" t="str">
        <f>VLOOKUP(A1171,Raw_Data!A:L,3,FALSE)</f>
        <v>Ireland</v>
      </c>
      <c r="D1171" s="3">
        <f>VLOOKUP(A1171,Raw_Data!A:L,12,FALSE)</f>
        <v>2408</v>
      </c>
      <c r="E1171" s="3">
        <f>VLOOKUP(A1171,Raw_Data!A:L,11,FALSE)</f>
        <v>43</v>
      </c>
      <c r="F1171" t="str">
        <f>TEXT(VLOOKUP(A1171,Raw_Data!A:L,5,FALSE),"mmm")</f>
        <v>Jun</v>
      </c>
    </row>
    <row r="1172" spans="1:6" x14ac:dyDescent="0.35">
      <c r="A1172" s="3" t="s">
        <v>1721</v>
      </c>
      <c r="B1172" t="str">
        <f>VLOOKUP(A1172,Raw_Data!A:L,6,FALSE)</f>
        <v>Coffee grinder</v>
      </c>
      <c r="C1172" t="str">
        <f>VLOOKUP(A1172,Raw_Data!A:L,3,FALSE)</f>
        <v>Czech Republic</v>
      </c>
      <c r="D1172" s="3">
        <f>VLOOKUP(A1172,Raw_Data!A:L,12,FALSE)</f>
        <v>455</v>
      </c>
      <c r="E1172" s="3">
        <f>VLOOKUP(A1172,Raw_Data!A:L,11,FALSE)</f>
        <v>7</v>
      </c>
      <c r="F1172" t="str">
        <f>TEXT(VLOOKUP(A1172,Raw_Data!A:L,5,FALSE),"mmm")</f>
        <v>Jun</v>
      </c>
    </row>
    <row r="1173" spans="1:6" x14ac:dyDescent="0.35">
      <c r="A1173" s="3" t="s">
        <v>1722</v>
      </c>
      <c r="B1173" t="str">
        <f>VLOOKUP(A1173,Raw_Data!A:L,6,FALSE)</f>
        <v>Toaster</v>
      </c>
      <c r="C1173" t="str">
        <f>VLOOKUP(A1173,Raw_Data!A:L,3,FALSE)</f>
        <v>Chile</v>
      </c>
      <c r="D1173" s="3">
        <f>VLOOKUP(A1173,Raw_Data!A:L,12,FALSE)</f>
        <v>1634</v>
      </c>
      <c r="E1173" s="3">
        <f>VLOOKUP(A1173,Raw_Data!A:L,11,FALSE)</f>
        <v>38</v>
      </c>
      <c r="F1173" t="str">
        <f>TEXT(VLOOKUP(A1173,Raw_Data!A:L,5,FALSE),"mmm")</f>
        <v>May</v>
      </c>
    </row>
    <row r="1174" spans="1:6" x14ac:dyDescent="0.35">
      <c r="A1174" s="3" t="s">
        <v>1723</v>
      </c>
      <c r="B1174" t="str">
        <f>VLOOKUP(A1174,Raw_Data!A:L,6,FALSE)</f>
        <v>Ceiling fan</v>
      </c>
      <c r="C1174" t="str">
        <f>VLOOKUP(A1174,Raw_Data!A:L,3,FALSE)</f>
        <v>India</v>
      </c>
      <c r="D1174" s="3">
        <f>VLOOKUP(A1174,Raw_Data!A:L,12,FALSE)</f>
        <v>7056</v>
      </c>
      <c r="E1174" s="3">
        <f>VLOOKUP(A1174,Raw_Data!A:L,11,FALSE)</f>
        <v>56</v>
      </c>
      <c r="F1174" t="str">
        <f>TEXT(VLOOKUP(A1174,Raw_Data!A:L,5,FALSE),"mmm")</f>
        <v>Oct</v>
      </c>
    </row>
    <row r="1175" spans="1:6" x14ac:dyDescent="0.35">
      <c r="A1175" s="3" t="s">
        <v>1725</v>
      </c>
      <c r="B1175" t="str">
        <f>VLOOKUP(A1175,Raw_Data!A:L,6,FALSE)</f>
        <v>Dishwasher</v>
      </c>
      <c r="C1175" t="str">
        <f>VLOOKUP(A1175,Raw_Data!A:L,3,FALSE)</f>
        <v>China</v>
      </c>
      <c r="D1175" s="3">
        <f>VLOOKUP(A1175,Raw_Data!A:L,12,FALSE)</f>
        <v>24120</v>
      </c>
      <c r="E1175" s="3">
        <f>VLOOKUP(A1175,Raw_Data!A:L,11,FALSE)</f>
        <v>67</v>
      </c>
      <c r="F1175" t="str">
        <f>TEXT(VLOOKUP(A1175,Raw_Data!A:L,5,FALSE),"mmm")</f>
        <v>Jan</v>
      </c>
    </row>
    <row r="1176" spans="1:6" x14ac:dyDescent="0.35">
      <c r="A1176" s="3" t="s">
        <v>1726</v>
      </c>
      <c r="B1176" t="str">
        <f>VLOOKUP(A1176,Raw_Data!A:L,6,FALSE)</f>
        <v>Microwave</v>
      </c>
      <c r="C1176" t="str">
        <f>VLOOKUP(A1176,Raw_Data!A:L,3,FALSE)</f>
        <v>Argentina</v>
      </c>
      <c r="D1176" s="3">
        <f>VLOOKUP(A1176,Raw_Data!A:L,12,FALSE)</f>
        <v>426</v>
      </c>
      <c r="E1176" s="3">
        <f>VLOOKUP(A1176,Raw_Data!A:L,11,FALSE)</f>
        <v>6</v>
      </c>
      <c r="F1176" t="str">
        <f>TEXT(VLOOKUP(A1176,Raw_Data!A:L,5,FALSE),"mmm")</f>
        <v>Sep</v>
      </c>
    </row>
    <row r="1177" spans="1:6" x14ac:dyDescent="0.35">
      <c r="A1177" s="3" t="s">
        <v>1727</v>
      </c>
      <c r="B1177" t="str">
        <f>VLOOKUP(A1177,Raw_Data!A:L,6,FALSE)</f>
        <v>Iron</v>
      </c>
      <c r="C1177" t="str">
        <f>VLOOKUP(A1177,Raw_Data!A:L,3,FALSE)</f>
        <v>USA</v>
      </c>
      <c r="D1177" s="3">
        <f>VLOOKUP(A1177,Raw_Data!A:L,12,FALSE)</f>
        <v>2581</v>
      </c>
      <c r="E1177" s="3">
        <f>VLOOKUP(A1177,Raw_Data!A:L,11,FALSE)</f>
        <v>89</v>
      </c>
      <c r="F1177" t="str">
        <f>TEXT(VLOOKUP(A1177,Raw_Data!A:L,5,FALSE),"mmm")</f>
        <v>Jan</v>
      </c>
    </row>
    <row r="1178" spans="1:6" x14ac:dyDescent="0.35">
      <c r="A1178" s="3" t="s">
        <v>1728</v>
      </c>
      <c r="B1178" t="str">
        <f>VLOOKUP(A1178,Raw_Data!A:L,6,FALSE)</f>
        <v>Vacuum Cleaner</v>
      </c>
      <c r="C1178" t="str">
        <f>VLOOKUP(A1178,Raw_Data!A:L,3,FALSE)</f>
        <v>Poland</v>
      </c>
      <c r="D1178" s="3">
        <f>VLOOKUP(A1178,Raw_Data!A:L,12,FALSE)</f>
        <v>13640</v>
      </c>
      <c r="E1178" s="3">
        <f>VLOOKUP(A1178,Raw_Data!A:L,11,FALSE)</f>
        <v>55</v>
      </c>
      <c r="F1178" t="str">
        <f>TEXT(VLOOKUP(A1178,Raw_Data!A:L,5,FALSE),"mmm")</f>
        <v>Dec</v>
      </c>
    </row>
    <row r="1179" spans="1:6" x14ac:dyDescent="0.35">
      <c r="A1179" s="3" t="s">
        <v>1729</v>
      </c>
      <c r="B1179" t="str">
        <f>VLOOKUP(A1179,Raw_Data!A:L,6,FALSE)</f>
        <v>Iron</v>
      </c>
      <c r="C1179" t="str">
        <f>VLOOKUP(A1179,Raw_Data!A:L,3,FALSE)</f>
        <v>Japan</v>
      </c>
      <c r="D1179" s="3">
        <f>VLOOKUP(A1179,Raw_Data!A:L,12,FALSE)</f>
        <v>2430</v>
      </c>
      <c r="E1179" s="3">
        <f>VLOOKUP(A1179,Raw_Data!A:L,11,FALSE)</f>
        <v>90</v>
      </c>
      <c r="F1179" t="str">
        <f>TEXT(VLOOKUP(A1179,Raw_Data!A:L,5,FALSE),"mmm")</f>
        <v>Oct</v>
      </c>
    </row>
    <row r="1180" spans="1:6" x14ac:dyDescent="0.35">
      <c r="A1180" s="3" t="s">
        <v>1730</v>
      </c>
      <c r="B1180" t="str">
        <f>VLOOKUP(A1180,Raw_Data!A:L,6,FALSE)</f>
        <v>Coffee grinder</v>
      </c>
      <c r="C1180" t="str">
        <f>VLOOKUP(A1180,Raw_Data!A:L,3,FALSE)</f>
        <v>France</v>
      </c>
      <c r="D1180" s="3">
        <f>VLOOKUP(A1180,Raw_Data!A:L,12,FALSE)</f>
        <v>198</v>
      </c>
      <c r="E1180" s="3">
        <f>VLOOKUP(A1180,Raw_Data!A:L,11,FALSE)</f>
        <v>3</v>
      </c>
      <c r="F1180" t="str">
        <f>TEXT(VLOOKUP(A1180,Raw_Data!A:L,5,FALSE),"mmm")</f>
        <v>Aug</v>
      </c>
    </row>
    <row r="1181" spans="1:6" x14ac:dyDescent="0.35">
      <c r="A1181" s="3" t="s">
        <v>1731</v>
      </c>
      <c r="B1181" t="str">
        <f>VLOOKUP(A1181,Raw_Data!A:L,6,FALSE)</f>
        <v>Toaster</v>
      </c>
      <c r="C1181" t="str">
        <f>VLOOKUP(A1181,Raw_Data!A:L,3,FALSE)</f>
        <v>Canada</v>
      </c>
      <c r="D1181" s="3">
        <f>VLOOKUP(A1181,Raw_Data!A:L,12,FALSE)</f>
        <v>4450</v>
      </c>
      <c r="E1181" s="3">
        <f>VLOOKUP(A1181,Raw_Data!A:L,11,FALSE)</f>
        <v>89</v>
      </c>
      <c r="F1181" t="str">
        <f>TEXT(VLOOKUP(A1181,Raw_Data!A:L,5,FALSE),"mmm")</f>
        <v>Sep</v>
      </c>
    </row>
    <row r="1182" spans="1:6" x14ac:dyDescent="0.35">
      <c r="A1182" s="3" t="s">
        <v>1732</v>
      </c>
      <c r="B1182" t="str">
        <f>VLOOKUP(A1182,Raw_Data!A:L,6,FALSE)</f>
        <v>Refrigerator</v>
      </c>
      <c r="C1182" t="str">
        <f>VLOOKUP(A1182,Raw_Data!A:L,3,FALSE)</f>
        <v>Italy</v>
      </c>
      <c r="D1182" s="3">
        <f>VLOOKUP(A1182,Raw_Data!A:L,12,FALSE)</f>
        <v>63480</v>
      </c>
      <c r="E1182" s="3">
        <f>VLOOKUP(A1182,Raw_Data!A:L,11,FALSE)</f>
        <v>92</v>
      </c>
      <c r="F1182" t="str">
        <f>TEXT(VLOOKUP(A1182,Raw_Data!A:L,5,FALSE),"mmm")</f>
        <v>May</v>
      </c>
    </row>
    <row r="1183" spans="1:6" x14ac:dyDescent="0.35">
      <c r="A1183" s="3" t="s">
        <v>1733</v>
      </c>
      <c r="B1183" t="str">
        <f>VLOOKUP(A1183,Raw_Data!A:L,6,FALSE)</f>
        <v>Ceiling fan</v>
      </c>
      <c r="C1183" t="str">
        <f>VLOOKUP(A1183,Raw_Data!A:L,3,FALSE)</f>
        <v>USA</v>
      </c>
      <c r="D1183" s="3">
        <f>VLOOKUP(A1183,Raw_Data!A:L,12,FALSE)</f>
        <v>8400</v>
      </c>
      <c r="E1183" s="3">
        <f>VLOOKUP(A1183,Raw_Data!A:L,11,FALSE)</f>
        <v>56</v>
      </c>
      <c r="F1183" t="str">
        <f>TEXT(VLOOKUP(A1183,Raw_Data!A:L,5,FALSE),"mmm")</f>
        <v>May</v>
      </c>
    </row>
    <row r="1184" spans="1:6" x14ac:dyDescent="0.35">
      <c r="A1184" s="3" t="s">
        <v>1734</v>
      </c>
      <c r="B1184" t="str">
        <f>VLOOKUP(A1184,Raw_Data!A:L,6,FALSE)</f>
        <v>Air conditioner</v>
      </c>
      <c r="C1184" t="str">
        <f>VLOOKUP(A1184,Raw_Data!A:L,3,FALSE)</f>
        <v>India</v>
      </c>
      <c r="D1184" s="3">
        <f>VLOOKUP(A1184,Raw_Data!A:L,12,FALSE)</f>
        <v>31920</v>
      </c>
      <c r="E1184" s="3">
        <f>VLOOKUP(A1184,Raw_Data!A:L,11,FALSE)</f>
        <v>57</v>
      </c>
      <c r="F1184" t="str">
        <f>TEXT(VLOOKUP(A1184,Raw_Data!A:L,5,FALSE),"mmm")</f>
        <v>Aug</v>
      </c>
    </row>
    <row r="1185" spans="1:6" x14ac:dyDescent="0.35">
      <c r="A1185" s="3" t="s">
        <v>1735</v>
      </c>
      <c r="B1185" t="str">
        <f>VLOOKUP(A1185,Raw_Data!A:L,6,FALSE)</f>
        <v>Oven</v>
      </c>
      <c r="C1185" t="str">
        <f>VLOOKUP(A1185,Raw_Data!A:L,3,FALSE)</f>
        <v>Mexico</v>
      </c>
      <c r="D1185" s="3">
        <f>VLOOKUP(A1185,Raw_Data!A:L,12,FALSE)</f>
        <v>990</v>
      </c>
      <c r="E1185" s="3">
        <f>VLOOKUP(A1185,Raw_Data!A:L,11,FALSE)</f>
        <v>2</v>
      </c>
      <c r="F1185" t="str">
        <f>TEXT(VLOOKUP(A1185,Raw_Data!A:L,5,FALSE),"mmm")</f>
        <v>Mar</v>
      </c>
    </row>
    <row r="1186" spans="1:6" x14ac:dyDescent="0.35">
      <c r="A1186" s="3" t="s">
        <v>1736</v>
      </c>
      <c r="B1186" t="str">
        <f>VLOOKUP(A1186,Raw_Data!A:L,6,FALSE)</f>
        <v>Iron</v>
      </c>
      <c r="C1186" t="str">
        <f>VLOOKUP(A1186,Raw_Data!A:L,3,FALSE)</f>
        <v>USA</v>
      </c>
      <c r="D1186" s="3">
        <f>VLOOKUP(A1186,Raw_Data!A:L,12,FALSE)</f>
        <v>2490</v>
      </c>
      <c r="E1186" s="3">
        <f>VLOOKUP(A1186,Raw_Data!A:L,11,FALSE)</f>
        <v>83</v>
      </c>
      <c r="F1186" t="str">
        <f>TEXT(VLOOKUP(A1186,Raw_Data!A:L,5,FALSE),"mmm")</f>
        <v>Jan</v>
      </c>
    </row>
    <row r="1187" spans="1:6" x14ac:dyDescent="0.35">
      <c r="A1187" s="3" t="s">
        <v>1737</v>
      </c>
      <c r="B1187" t="str">
        <f>VLOOKUP(A1187,Raw_Data!A:L,6,FALSE)</f>
        <v>Ceiling fan</v>
      </c>
      <c r="C1187" t="str">
        <f>VLOOKUP(A1187,Raw_Data!A:L,3,FALSE)</f>
        <v>Australia</v>
      </c>
      <c r="D1187" s="3">
        <f>VLOOKUP(A1187,Raw_Data!A:L,12,FALSE)</f>
        <v>6336</v>
      </c>
      <c r="E1187" s="3">
        <f>VLOOKUP(A1187,Raw_Data!A:L,11,FALSE)</f>
        <v>48</v>
      </c>
      <c r="F1187" t="str">
        <f>TEXT(VLOOKUP(A1187,Raw_Data!A:L,5,FALSE),"mmm")</f>
        <v>Dec</v>
      </c>
    </row>
    <row r="1188" spans="1:6" x14ac:dyDescent="0.35">
      <c r="A1188" s="3" t="s">
        <v>1738</v>
      </c>
      <c r="B1188" t="str">
        <f>VLOOKUP(A1188,Raw_Data!A:L,6,FALSE)</f>
        <v>Dishwasher</v>
      </c>
      <c r="C1188" t="str">
        <f>VLOOKUP(A1188,Raw_Data!A:L,3,FALSE)</f>
        <v>Peru</v>
      </c>
      <c r="D1188" s="3">
        <f>VLOOKUP(A1188,Raw_Data!A:L,12,FALSE)</f>
        <v>25075</v>
      </c>
      <c r="E1188" s="3">
        <f>VLOOKUP(A1188,Raw_Data!A:L,11,FALSE)</f>
        <v>59</v>
      </c>
      <c r="F1188" t="str">
        <f>TEXT(VLOOKUP(A1188,Raw_Data!A:L,5,FALSE),"mmm")</f>
        <v>Dec</v>
      </c>
    </row>
    <row r="1189" spans="1:6" x14ac:dyDescent="0.35">
      <c r="A1189" s="3" t="s">
        <v>1739</v>
      </c>
      <c r="B1189" t="str">
        <f>VLOOKUP(A1189,Raw_Data!A:L,6,FALSE)</f>
        <v>Refrigerator</v>
      </c>
      <c r="C1189" t="str">
        <f>VLOOKUP(A1189,Raw_Data!A:L,3,FALSE)</f>
        <v>UAE</v>
      </c>
      <c r="D1189" s="3">
        <f>VLOOKUP(A1189,Raw_Data!A:L,12,FALSE)</f>
        <v>17380</v>
      </c>
      <c r="E1189" s="3">
        <f>VLOOKUP(A1189,Raw_Data!A:L,11,FALSE)</f>
        <v>22</v>
      </c>
      <c r="F1189" t="str">
        <f>TEXT(VLOOKUP(A1189,Raw_Data!A:L,5,FALSE),"mmm")</f>
        <v>Dec</v>
      </c>
    </row>
    <row r="1190" spans="1:6" x14ac:dyDescent="0.35">
      <c r="A1190" s="3" t="s">
        <v>1741</v>
      </c>
      <c r="B1190" t="str">
        <f>VLOOKUP(A1190,Raw_Data!A:L,6,FALSE)</f>
        <v>Refrigerator</v>
      </c>
      <c r="C1190" t="str">
        <f>VLOOKUP(A1190,Raw_Data!A:L,3,FALSE)</f>
        <v>Turkey</v>
      </c>
      <c r="D1190" s="3">
        <f>VLOOKUP(A1190,Raw_Data!A:L,12,FALSE)</f>
        <v>62720</v>
      </c>
      <c r="E1190" s="3">
        <f>VLOOKUP(A1190,Raw_Data!A:L,11,FALSE)</f>
        <v>64</v>
      </c>
      <c r="F1190" t="str">
        <f>TEXT(VLOOKUP(A1190,Raw_Data!A:L,5,FALSE),"mmm")</f>
        <v>Jun</v>
      </c>
    </row>
    <row r="1191" spans="1:6" x14ac:dyDescent="0.35">
      <c r="A1191" s="3" t="s">
        <v>1742</v>
      </c>
      <c r="B1191" t="str">
        <f>VLOOKUP(A1191,Raw_Data!A:L,6,FALSE)</f>
        <v>Dishwasher</v>
      </c>
      <c r="C1191" t="str">
        <f>VLOOKUP(A1191,Raw_Data!A:L,3,FALSE)</f>
        <v>Israel</v>
      </c>
      <c r="D1191" s="3">
        <f>VLOOKUP(A1191,Raw_Data!A:L,12,FALSE)</f>
        <v>3795</v>
      </c>
      <c r="E1191" s="3">
        <f>VLOOKUP(A1191,Raw_Data!A:L,11,FALSE)</f>
        <v>11</v>
      </c>
      <c r="F1191" t="str">
        <f>TEXT(VLOOKUP(A1191,Raw_Data!A:L,5,FALSE),"mmm")</f>
        <v>Apr</v>
      </c>
    </row>
    <row r="1192" spans="1:6" x14ac:dyDescent="0.35">
      <c r="A1192" s="3" t="s">
        <v>1743</v>
      </c>
      <c r="B1192" t="str">
        <f>VLOOKUP(A1192,Raw_Data!A:L,6,FALSE)</f>
        <v>Blender</v>
      </c>
      <c r="C1192" t="str">
        <f>VLOOKUP(A1192,Raw_Data!A:L,3,FALSE)</f>
        <v>Turkey</v>
      </c>
      <c r="D1192" s="3">
        <f>VLOOKUP(A1192,Raw_Data!A:L,12,FALSE)</f>
        <v>1364</v>
      </c>
      <c r="E1192" s="3">
        <f>VLOOKUP(A1192,Raw_Data!A:L,11,FALSE)</f>
        <v>31</v>
      </c>
      <c r="F1192" t="str">
        <f>TEXT(VLOOKUP(A1192,Raw_Data!A:L,5,FALSE),"mmm")</f>
        <v>Oct</v>
      </c>
    </row>
    <row r="1193" spans="1:6" x14ac:dyDescent="0.35">
      <c r="A1193" s="3" t="s">
        <v>1745</v>
      </c>
      <c r="B1193" t="str">
        <f>VLOOKUP(A1193,Raw_Data!A:L,6,FALSE)</f>
        <v>Blender</v>
      </c>
      <c r="C1193" t="str">
        <f>VLOOKUP(A1193,Raw_Data!A:L,3,FALSE)</f>
        <v>Mexico</v>
      </c>
      <c r="D1193" s="3">
        <f>VLOOKUP(A1193,Raw_Data!A:L,12,FALSE)</f>
        <v>2666</v>
      </c>
      <c r="E1193" s="3">
        <f>VLOOKUP(A1193,Raw_Data!A:L,11,FALSE)</f>
        <v>62</v>
      </c>
      <c r="F1193" t="str">
        <f>TEXT(VLOOKUP(A1193,Raw_Data!A:L,5,FALSE),"mmm")</f>
        <v>Jan</v>
      </c>
    </row>
    <row r="1194" spans="1:6" x14ac:dyDescent="0.35">
      <c r="A1194" s="3" t="s">
        <v>1746</v>
      </c>
      <c r="B1194" t="str">
        <f>VLOOKUP(A1194,Raw_Data!A:L,6,FALSE)</f>
        <v>Iron</v>
      </c>
      <c r="C1194" t="str">
        <f>VLOOKUP(A1194,Raw_Data!A:L,3,FALSE)</f>
        <v>Malaysia</v>
      </c>
      <c r="D1194" s="3">
        <f>VLOOKUP(A1194,Raw_Data!A:L,12,FALSE)</f>
        <v>261</v>
      </c>
      <c r="E1194" s="3">
        <f>VLOOKUP(A1194,Raw_Data!A:L,11,FALSE)</f>
        <v>9</v>
      </c>
      <c r="F1194" t="str">
        <f>TEXT(VLOOKUP(A1194,Raw_Data!A:L,5,FALSE),"mmm")</f>
        <v>Apr</v>
      </c>
    </row>
    <row r="1195" spans="1:6" x14ac:dyDescent="0.35">
      <c r="A1195" s="3" t="s">
        <v>1747</v>
      </c>
      <c r="B1195" t="str">
        <f>VLOOKUP(A1195,Raw_Data!A:L,6,FALSE)</f>
        <v>Iron</v>
      </c>
      <c r="C1195" t="str">
        <f>VLOOKUP(A1195,Raw_Data!A:L,3,FALSE)</f>
        <v>Malaysia</v>
      </c>
      <c r="D1195" s="3">
        <f>VLOOKUP(A1195,Raw_Data!A:L,12,FALSE)</f>
        <v>435</v>
      </c>
      <c r="E1195" s="3">
        <f>VLOOKUP(A1195,Raw_Data!A:L,11,FALSE)</f>
        <v>15</v>
      </c>
      <c r="F1195" t="str">
        <f>TEXT(VLOOKUP(A1195,Raw_Data!A:L,5,FALSE),"mmm")</f>
        <v>Jun</v>
      </c>
    </row>
    <row r="1196" spans="1:6" x14ac:dyDescent="0.35">
      <c r="A1196" s="3" t="s">
        <v>1748</v>
      </c>
      <c r="B1196" t="str">
        <f>VLOOKUP(A1196,Raw_Data!A:L,6,FALSE)</f>
        <v>Air conditioner</v>
      </c>
      <c r="C1196" t="str">
        <f>VLOOKUP(A1196,Raw_Data!A:L,3,FALSE)</f>
        <v>USA</v>
      </c>
      <c r="D1196" s="3">
        <f>VLOOKUP(A1196,Raw_Data!A:L,12,FALSE)</f>
        <v>4200</v>
      </c>
      <c r="E1196" s="3">
        <f>VLOOKUP(A1196,Raw_Data!A:L,11,FALSE)</f>
        <v>6</v>
      </c>
      <c r="F1196" t="str">
        <f>TEXT(VLOOKUP(A1196,Raw_Data!A:L,5,FALSE),"mmm")</f>
        <v>Sep</v>
      </c>
    </row>
    <row r="1197" spans="1:6" x14ac:dyDescent="0.35">
      <c r="A1197" s="3" t="s">
        <v>1749</v>
      </c>
      <c r="B1197" t="str">
        <f>VLOOKUP(A1197,Raw_Data!A:L,6,FALSE)</f>
        <v>Vacuum Cleaner</v>
      </c>
      <c r="C1197" t="str">
        <f>VLOOKUP(A1197,Raw_Data!A:L,3,FALSE)</f>
        <v>UK</v>
      </c>
      <c r="D1197" s="3">
        <f>VLOOKUP(A1197,Raw_Data!A:L,12,FALSE)</f>
        <v>11186</v>
      </c>
      <c r="E1197" s="3">
        <f>VLOOKUP(A1197,Raw_Data!A:L,11,FALSE)</f>
        <v>47</v>
      </c>
      <c r="F1197" t="str">
        <f>TEXT(VLOOKUP(A1197,Raw_Data!A:L,5,FALSE),"mmm")</f>
        <v>Feb</v>
      </c>
    </row>
    <row r="1198" spans="1:6" x14ac:dyDescent="0.35">
      <c r="A1198" s="3" t="s">
        <v>1750</v>
      </c>
      <c r="B1198" t="str">
        <f>VLOOKUP(A1198,Raw_Data!A:L,6,FALSE)</f>
        <v>Dishwasher</v>
      </c>
      <c r="C1198" t="str">
        <f>VLOOKUP(A1198,Raw_Data!A:L,3,FALSE)</f>
        <v>Saudi Arabia</v>
      </c>
      <c r="D1198" s="3">
        <f>VLOOKUP(A1198,Raw_Data!A:L,12,FALSE)</f>
        <v>19400</v>
      </c>
      <c r="E1198" s="3">
        <f>VLOOKUP(A1198,Raw_Data!A:L,11,FALSE)</f>
        <v>40</v>
      </c>
      <c r="F1198" t="str">
        <f>TEXT(VLOOKUP(A1198,Raw_Data!A:L,5,FALSE),"mmm")</f>
        <v>Jan</v>
      </c>
    </row>
    <row r="1199" spans="1:6" x14ac:dyDescent="0.35">
      <c r="A1199" s="3" t="s">
        <v>1752</v>
      </c>
      <c r="B1199" t="str">
        <f>VLOOKUP(A1199,Raw_Data!A:L,6,FALSE)</f>
        <v>Washing Machine</v>
      </c>
      <c r="C1199" t="str">
        <f>VLOOKUP(A1199,Raw_Data!A:L,3,FALSE)</f>
        <v>USA</v>
      </c>
      <c r="D1199" s="3">
        <f>VLOOKUP(A1199,Raw_Data!A:L,12,FALSE)</f>
        <v>15504</v>
      </c>
      <c r="E1199" s="3">
        <f>VLOOKUP(A1199,Raw_Data!A:L,11,FALSE)</f>
        <v>34</v>
      </c>
      <c r="F1199" t="str">
        <f>TEXT(VLOOKUP(A1199,Raw_Data!A:L,5,FALSE),"mmm")</f>
        <v>May</v>
      </c>
    </row>
    <row r="1200" spans="1:6" x14ac:dyDescent="0.35">
      <c r="A1200" s="3" t="s">
        <v>1753</v>
      </c>
      <c r="B1200" t="str">
        <f>VLOOKUP(A1200,Raw_Data!A:L,6,FALSE)</f>
        <v>Coffee grinder</v>
      </c>
      <c r="C1200" t="str">
        <f>VLOOKUP(A1200,Raw_Data!A:L,3,FALSE)</f>
        <v>USA</v>
      </c>
      <c r="D1200" s="3">
        <f>VLOOKUP(A1200,Raw_Data!A:L,12,FALSE)</f>
        <v>5610</v>
      </c>
      <c r="E1200" s="3">
        <f>VLOOKUP(A1200,Raw_Data!A:L,11,FALSE)</f>
        <v>85</v>
      </c>
      <c r="F1200" t="str">
        <f>TEXT(VLOOKUP(A1200,Raw_Data!A:L,5,FALSE),"mmm")</f>
        <v>Aug</v>
      </c>
    </row>
    <row r="1201" spans="1:6" x14ac:dyDescent="0.35">
      <c r="A1201" s="3" t="s">
        <v>1754</v>
      </c>
      <c r="B1201" t="str">
        <f>VLOOKUP(A1201,Raw_Data!A:L,6,FALSE)</f>
        <v>Iron</v>
      </c>
      <c r="C1201" t="str">
        <f>VLOOKUP(A1201,Raw_Data!A:L,3,FALSE)</f>
        <v>UK</v>
      </c>
      <c r="D1201" s="3">
        <f>VLOOKUP(A1201,Raw_Data!A:L,12,FALSE)</f>
        <v>180</v>
      </c>
      <c r="E1201" s="3">
        <f>VLOOKUP(A1201,Raw_Data!A:L,11,FALSE)</f>
        <v>6</v>
      </c>
      <c r="F1201" t="str">
        <f>TEXT(VLOOKUP(A1201,Raw_Data!A:L,5,FALSE),"mmm")</f>
        <v>Jul</v>
      </c>
    </row>
    <row r="1202" spans="1:6" x14ac:dyDescent="0.35">
      <c r="A1202" s="3" t="s">
        <v>1755</v>
      </c>
      <c r="B1202" t="str">
        <f>VLOOKUP(A1202,Raw_Data!A:L,6,FALSE)</f>
        <v>Iron</v>
      </c>
      <c r="C1202" t="str">
        <f>VLOOKUP(A1202,Raw_Data!A:L,3,FALSE)</f>
        <v>South Korea</v>
      </c>
      <c r="D1202" s="3">
        <f>VLOOKUP(A1202,Raw_Data!A:L,12,FALSE)</f>
        <v>1769</v>
      </c>
      <c r="E1202" s="3">
        <f>VLOOKUP(A1202,Raw_Data!A:L,11,FALSE)</f>
        <v>61</v>
      </c>
      <c r="F1202" t="str">
        <f>TEXT(VLOOKUP(A1202,Raw_Data!A:L,5,FALSE),"mmm")</f>
        <v>Nov</v>
      </c>
    </row>
    <row r="1203" spans="1:6" x14ac:dyDescent="0.35">
      <c r="A1203" s="3" t="s">
        <v>1756</v>
      </c>
      <c r="B1203" t="str">
        <f>VLOOKUP(A1203,Raw_Data!A:L,6,FALSE)</f>
        <v>Coffee grinder</v>
      </c>
      <c r="C1203" t="str">
        <f>VLOOKUP(A1203,Raw_Data!A:L,3,FALSE)</f>
        <v>France</v>
      </c>
      <c r="D1203" s="3">
        <f>VLOOKUP(A1203,Raw_Data!A:L,12,FALSE)</f>
        <v>3844</v>
      </c>
      <c r="E1203" s="3">
        <f>VLOOKUP(A1203,Raw_Data!A:L,11,FALSE)</f>
        <v>62</v>
      </c>
      <c r="F1203" t="str">
        <f>TEXT(VLOOKUP(A1203,Raw_Data!A:L,5,FALSE),"mmm")</f>
        <v>Jul</v>
      </c>
    </row>
    <row r="1204" spans="1:6" x14ac:dyDescent="0.35">
      <c r="A1204" s="3" t="s">
        <v>1757</v>
      </c>
      <c r="B1204" t="str">
        <f>VLOOKUP(A1204,Raw_Data!A:L,6,FALSE)</f>
        <v>Oven</v>
      </c>
      <c r="C1204" t="str">
        <f>VLOOKUP(A1204,Raw_Data!A:L,3,FALSE)</f>
        <v>USA</v>
      </c>
      <c r="D1204" s="3">
        <f>VLOOKUP(A1204,Raw_Data!A:L,12,FALSE)</f>
        <v>19500</v>
      </c>
      <c r="E1204" s="3">
        <f>VLOOKUP(A1204,Raw_Data!A:L,11,FALSE)</f>
        <v>39</v>
      </c>
      <c r="F1204" t="str">
        <f>TEXT(VLOOKUP(A1204,Raw_Data!A:L,5,FALSE),"mmm")</f>
        <v>Jul</v>
      </c>
    </row>
    <row r="1205" spans="1:6" x14ac:dyDescent="0.35">
      <c r="A1205" s="3" t="s">
        <v>1758</v>
      </c>
      <c r="B1205" t="str">
        <f>VLOOKUP(A1205,Raw_Data!A:L,6,FALSE)</f>
        <v>Blender</v>
      </c>
      <c r="C1205" t="str">
        <f>VLOOKUP(A1205,Raw_Data!A:L,3,FALSE)</f>
        <v>Canada</v>
      </c>
      <c r="D1205" s="3">
        <f>VLOOKUP(A1205,Raw_Data!A:L,12,FALSE)</f>
        <v>1035</v>
      </c>
      <c r="E1205" s="3">
        <f>VLOOKUP(A1205,Raw_Data!A:L,11,FALSE)</f>
        <v>23</v>
      </c>
      <c r="F1205" t="str">
        <f>TEXT(VLOOKUP(A1205,Raw_Data!A:L,5,FALSE),"mmm")</f>
        <v>Jul</v>
      </c>
    </row>
    <row r="1206" spans="1:6" x14ac:dyDescent="0.35">
      <c r="A1206" s="3" t="s">
        <v>1759</v>
      </c>
      <c r="B1206" t="str">
        <f>VLOOKUP(A1206,Raw_Data!A:L,6,FALSE)</f>
        <v>Air conditioner</v>
      </c>
      <c r="C1206" t="str">
        <f>VLOOKUP(A1206,Raw_Data!A:L,3,FALSE)</f>
        <v>Spain</v>
      </c>
      <c r="D1206" s="3">
        <f>VLOOKUP(A1206,Raw_Data!A:L,12,FALSE)</f>
        <v>62300</v>
      </c>
      <c r="E1206" s="3">
        <f>VLOOKUP(A1206,Raw_Data!A:L,11,FALSE)</f>
        <v>100</v>
      </c>
      <c r="F1206" t="str">
        <f>TEXT(VLOOKUP(A1206,Raw_Data!A:L,5,FALSE),"mmm")</f>
        <v>Mar</v>
      </c>
    </row>
    <row r="1207" spans="1:6" x14ac:dyDescent="0.35">
      <c r="A1207" s="3" t="s">
        <v>1760</v>
      </c>
      <c r="B1207" t="str">
        <f>VLOOKUP(A1207,Raw_Data!A:L,6,FALSE)</f>
        <v>Oven</v>
      </c>
      <c r="C1207" t="str">
        <f>VLOOKUP(A1207,Raw_Data!A:L,3,FALSE)</f>
        <v>India</v>
      </c>
      <c r="D1207" s="3">
        <f>VLOOKUP(A1207,Raw_Data!A:L,12,FALSE)</f>
        <v>21560</v>
      </c>
      <c r="E1207" s="3">
        <f>VLOOKUP(A1207,Raw_Data!A:L,11,FALSE)</f>
        <v>44</v>
      </c>
      <c r="F1207" t="str">
        <f>TEXT(VLOOKUP(A1207,Raw_Data!A:L,5,FALSE),"mmm")</f>
        <v>Aug</v>
      </c>
    </row>
    <row r="1208" spans="1:6" x14ac:dyDescent="0.35">
      <c r="A1208" s="3" t="s">
        <v>1761</v>
      </c>
      <c r="B1208" t="str">
        <f>VLOOKUP(A1208,Raw_Data!A:L,6,FALSE)</f>
        <v>Blender</v>
      </c>
      <c r="C1208" t="str">
        <f>VLOOKUP(A1208,Raw_Data!A:L,3,FALSE)</f>
        <v>Czech Republic</v>
      </c>
      <c r="D1208" s="3">
        <f>VLOOKUP(A1208,Raw_Data!A:L,12,FALSE)</f>
        <v>1870</v>
      </c>
      <c r="E1208" s="3">
        <f>VLOOKUP(A1208,Raw_Data!A:L,11,FALSE)</f>
        <v>85</v>
      </c>
      <c r="F1208" t="str">
        <f>TEXT(VLOOKUP(A1208,Raw_Data!A:L,5,FALSE),"mmm")</f>
        <v>Jun</v>
      </c>
    </row>
    <row r="1209" spans="1:6" x14ac:dyDescent="0.35">
      <c r="A1209" s="3" t="s">
        <v>1762</v>
      </c>
      <c r="B1209" t="str">
        <f>VLOOKUP(A1209,Raw_Data!A:L,6,FALSE)</f>
        <v>Ceiling fan</v>
      </c>
      <c r="C1209" t="str">
        <f>VLOOKUP(A1209,Raw_Data!A:L,3,FALSE)</f>
        <v>Colombia</v>
      </c>
      <c r="D1209" s="3">
        <f>VLOOKUP(A1209,Raw_Data!A:L,12,FALSE)</f>
        <v>3612</v>
      </c>
      <c r="E1209" s="3">
        <f>VLOOKUP(A1209,Raw_Data!A:L,11,FALSE)</f>
        <v>28</v>
      </c>
      <c r="F1209" t="str">
        <f>TEXT(VLOOKUP(A1209,Raw_Data!A:L,5,FALSE),"mmm")</f>
        <v>Jun</v>
      </c>
    </row>
    <row r="1210" spans="1:6" x14ac:dyDescent="0.35">
      <c r="A1210" s="3" t="s">
        <v>1763</v>
      </c>
      <c r="B1210" t="str">
        <f>VLOOKUP(A1210,Raw_Data!A:L,6,FALSE)</f>
        <v>Microwave</v>
      </c>
      <c r="C1210" t="str">
        <f>VLOOKUP(A1210,Raw_Data!A:L,3,FALSE)</f>
        <v>UK</v>
      </c>
      <c r="D1210" s="3">
        <f>VLOOKUP(A1210,Raw_Data!A:L,12,FALSE)</f>
        <v>5928</v>
      </c>
      <c r="E1210" s="3">
        <f>VLOOKUP(A1210,Raw_Data!A:L,11,FALSE)</f>
        <v>76</v>
      </c>
      <c r="F1210" t="str">
        <f>TEXT(VLOOKUP(A1210,Raw_Data!A:L,5,FALSE),"mmm")</f>
        <v>Aug</v>
      </c>
    </row>
    <row r="1211" spans="1:6" x14ac:dyDescent="0.35">
      <c r="A1211" s="3" t="s">
        <v>1764</v>
      </c>
      <c r="B1211" t="str">
        <f>VLOOKUP(A1211,Raw_Data!A:L,6,FALSE)</f>
        <v>Vacuum Cleaner</v>
      </c>
      <c r="C1211" t="str">
        <f>VLOOKUP(A1211,Raw_Data!A:L,3,FALSE)</f>
        <v>Germany</v>
      </c>
      <c r="D1211" s="3">
        <f>VLOOKUP(A1211,Raw_Data!A:L,12,FALSE)</f>
        <v>20384</v>
      </c>
      <c r="E1211" s="3">
        <f>VLOOKUP(A1211,Raw_Data!A:L,11,FALSE)</f>
        <v>98</v>
      </c>
      <c r="F1211" t="str">
        <f>TEXT(VLOOKUP(A1211,Raw_Data!A:L,5,FALSE),"mmm")</f>
        <v>May</v>
      </c>
    </row>
    <row r="1212" spans="1:6" x14ac:dyDescent="0.35">
      <c r="A1212" s="3" t="s">
        <v>1765</v>
      </c>
      <c r="B1212" t="str">
        <f>VLOOKUP(A1212,Raw_Data!A:L,6,FALSE)</f>
        <v>Blender</v>
      </c>
      <c r="C1212" t="str">
        <f>VLOOKUP(A1212,Raw_Data!A:L,3,FALSE)</f>
        <v>South Africa</v>
      </c>
      <c r="D1212" s="3">
        <f>VLOOKUP(A1212,Raw_Data!A:L,12,FALSE)</f>
        <v>999</v>
      </c>
      <c r="E1212" s="3">
        <f>VLOOKUP(A1212,Raw_Data!A:L,11,FALSE)</f>
        <v>27</v>
      </c>
      <c r="F1212" t="str">
        <f>TEXT(VLOOKUP(A1212,Raw_Data!A:L,5,FALSE),"mmm")</f>
        <v>May</v>
      </c>
    </row>
    <row r="1213" spans="1:6" x14ac:dyDescent="0.35">
      <c r="A1213" s="3" t="s">
        <v>1766</v>
      </c>
      <c r="B1213" t="str">
        <f>VLOOKUP(A1213,Raw_Data!A:L,6,FALSE)</f>
        <v>Ceiling fan</v>
      </c>
      <c r="C1213" t="str">
        <f>VLOOKUP(A1213,Raw_Data!A:L,3,FALSE)</f>
        <v>Chile</v>
      </c>
      <c r="D1213" s="3">
        <f>VLOOKUP(A1213,Raw_Data!A:L,12,FALSE)</f>
        <v>10582</v>
      </c>
      <c r="E1213" s="3">
        <f>VLOOKUP(A1213,Raw_Data!A:L,11,FALSE)</f>
        <v>74</v>
      </c>
      <c r="F1213" t="str">
        <f>TEXT(VLOOKUP(A1213,Raw_Data!A:L,5,FALSE),"mmm")</f>
        <v>Jan</v>
      </c>
    </row>
    <row r="1214" spans="1:6" x14ac:dyDescent="0.35">
      <c r="A1214" s="3" t="s">
        <v>1767</v>
      </c>
      <c r="B1214" t="str">
        <f>VLOOKUP(A1214,Raw_Data!A:L,6,FALSE)</f>
        <v>Blender</v>
      </c>
      <c r="C1214" t="str">
        <f>VLOOKUP(A1214,Raw_Data!A:L,3,FALSE)</f>
        <v>Canada</v>
      </c>
      <c r="D1214" s="3">
        <f>VLOOKUP(A1214,Raw_Data!A:L,12,FALSE)</f>
        <v>2944</v>
      </c>
      <c r="E1214" s="3">
        <f>VLOOKUP(A1214,Raw_Data!A:L,11,FALSE)</f>
        <v>64</v>
      </c>
      <c r="F1214" t="str">
        <f>TEXT(VLOOKUP(A1214,Raw_Data!A:L,5,FALSE),"mmm")</f>
        <v>May</v>
      </c>
    </row>
    <row r="1215" spans="1:6" x14ac:dyDescent="0.35">
      <c r="A1215" s="3" t="s">
        <v>1768</v>
      </c>
      <c r="B1215" t="str">
        <f>VLOOKUP(A1215,Raw_Data!A:L,6,FALSE)</f>
        <v>Iron</v>
      </c>
      <c r="C1215" t="str">
        <f>VLOOKUP(A1215,Raw_Data!A:L,3,FALSE)</f>
        <v>Colombia</v>
      </c>
      <c r="D1215" s="3">
        <f>VLOOKUP(A1215,Raw_Data!A:L,12,FALSE)</f>
        <v>1131</v>
      </c>
      <c r="E1215" s="3">
        <f>VLOOKUP(A1215,Raw_Data!A:L,11,FALSE)</f>
        <v>39</v>
      </c>
      <c r="F1215" t="str">
        <f>TEXT(VLOOKUP(A1215,Raw_Data!A:L,5,FALSE),"mmm")</f>
        <v>Oct</v>
      </c>
    </row>
    <row r="1216" spans="1:6" x14ac:dyDescent="0.35">
      <c r="A1216" s="3" t="s">
        <v>1769</v>
      </c>
      <c r="B1216" t="str">
        <f>VLOOKUP(A1216,Raw_Data!A:L,6,FALSE)</f>
        <v>Blender</v>
      </c>
      <c r="C1216" t="str">
        <f>VLOOKUP(A1216,Raw_Data!A:L,3,FALSE)</f>
        <v>Malaysia</v>
      </c>
      <c r="D1216" s="3">
        <f>VLOOKUP(A1216,Raw_Data!A:L,12,FALSE)</f>
        <v>4268</v>
      </c>
      <c r="E1216" s="3">
        <f>VLOOKUP(A1216,Raw_Data!A:L,11,FALSE)</f>
        <v>97</v>
      </c>
      <c r="F1216" t="str">
        <f>TEXT(VLOOKUP(A1216,Raw_Data!A:L,5,FALSE),"mmm")</f>
        <v>Aug</v>
      </c>
    </row>
    <row r="1217" spans="1:6" x14ac:dyDescent="0.35">
      <c r="A1217" s="3" t="s">
        <v>1770</v>
      </c>
      <c r="B1217" t="str">
        <f>VLOOKUP(A1217,Raw_Data!A:L,6,FALSE)</f>
        <v>Iron</v>
      </c>
      <c r="C1217" t="str">
        <f>VLOOKUP(A1217,Raw_Data!A:L,3,FALSE)</f>
        <v>Greece</v>
      </c>
      <c r="D1217" s="3">
        <f>VLOOKUP(A1217,Raw_Data!A:L,12,FALSE)</f>
        <v>2610</v>
      </c>
      <c r="E1217" s="3">
        <f>VLOOKUP(A1217,Raw_Data!A:L,11,FALSE)</f>
        <v>90</v>
      </c>
      <c r="F1217" t="str">
        <f>TEXT(VLOOKUP(A1217,Raw_Data!A:L,5,FALSE),"mmm")</f>
        <v>Sep</v>
      </c>
    </row>
    <row r="1218" spans="1:6" x14ac:dyDescent="0.35">
      <c r="A1218" s="3" t="s">
        <v>1771</v>
      </c>
      <c r="B1218" t="str">
        <f>VLOOKUP(A1218,Raw_Data!A:L,6,FALSE)</f>
        <v>Washing Machine</v>
      </c>
      <c r="C1218" t="str">
        <f>VLOOKUP(A1218,Raw_Data!A:L,3,FALSE)</f>
        <v>France</v>
      </c>
      <c r="D1218" s="3">
        <f>VLOOKUP(A1218,Raw_Data!A:L,12,FALSE)</f>
        <v>11520</v>
      </c>
      <c r="E1218" s="3">
        <f>VLOOKUP(A1218,Raw_Data!A:L,11,FALSE)</f>
        <v>16</v>
      </c>
      <c r="F1218" t="str">
        <f>TEXT(VLOOKUP(A1218,Raw_Data!A:L,5,FALSE),"mmm")</f>
        <v>Apr</v>
      </c>
    </row>
    <row r="1219" spans="1:6" x14ac:dyDescent="0.35">
      <c r="A1219" s="3" t="s">
        <v>1772</v>
      </c>
      <c r="B1219" t="str">
        <f>VLOOKUP(A1219,Raw_Data!A:L,6,FALSE)</f>
        <v>Dishwasher</v>
      </c>
      <c r="C1219" t="str">
        <f>VLOOKUP(A1219,Raw_Data!A:L,3,FALSE)</f>
        <v>Colombia</v>
      </c>
      <c r="D1219" s="3">
        <f>VLOOKUP(A1219,Raw_Data!A:L,12,FALSE)</f>
        <v>31390</v>
      </c>
      <c r="E1219" s="3">
        <f>VLOOKUP(A1219,Raw_Data!A:L,11,FALSE)</f>
        <v>73</v>
      </c>
      <c r="F1219" t="str">
        <f>TEXT(VLOOKUP(A1219,Raw_Data!A:L,5,FALSE),"mmm")</f>
        <v>May</v>
      </c>
    </row>
    <row r="1220" spans="1:6" x14ac:dyDescent="0.35">
      <c r="A1220" s="3" t="s">
        <v>1774</v>
      </c>
      <c r="B1220" t="str">
        <f>VLOOKUP(A1220,Raw_Data!A:L,6,FALSE)</f>
        <v>Iron</v>
      </c>
      <c r="C1220" t="str">
        <f>VLOOKUP(A1220,Raw_Data!A:L,3,FALSE)</f>
        <v>Spain</v>
      </c>
      <c r="D1220" s="3">
        <f>VLOOKUP(A1220,Raw_Data!A:L,12,FALSE)</f>
        <v>1044</v>
      </c>
      <c r="E1220" s="3">
        <f>VLOOKUP(A1220,Raw_Data!A:L,11,FALSE)</f>
        <v>36</v>
      </c>
      <c r="F1220" t="str">
        <f>TEXT(VLOOKUP(A1220,Raw_Data!A:L,5,FALSE),"mmm")</f>
        <v>Apr</v>
      </c>
    </row>
    <row r="1221" spans="1:6" x14ac:dyDescent="0.35">
      <c r="A1221" s="3" t="s">
        <v>1775</v>
      </c>
      <c r="B1221" t="str">
        <f>VLOOKUP(A1221,Raw_Data!A:L,6,FALSE)</f>
        <v>Coffee grinder</v>
      </c>
      <c r="C1221" t="str">
        <f>VLOOKUP(A1221,Raw_Data!A:L,3,FALSE)</f>
        <v>Poland</v>
      </c>
      <c r="D1221" s="3">
        <f>VLOOKUP(A1221,Raw_Data!A:L,12,FALSE)</f>
        <v>4823</v>
      </c>
      <c r="E1221" s="3">
        <f>VLOOKUP(A1221,Raw_Data!A:L,11,FALSE)</f>
        <v>91</v>
      </c>
      <c r="F1221" t="str">
        <f>TEXT(VLOOKUP(A1221,Raw_Data!A:L,5,FALSE),"mmm")</f>
        <v>Jan</v>
      </c>
    </row>
    <row r="1222" spans="1:6" x14ac:dyDescent="0.35">
      <c r="A1222" s="3" t="s">
        <v>1776</v>
      </c>
      <c r="B1222" t="str">
        <f>VLOOKUP(A1222,Raw_Data!A:L,6,FALSE)</f>
        <v>Blender</v>
      </c>
      <c r="C1222" t="str">
        <f>VLOOKUP(A1222,Raw_Data!A:L,3,FALSE)</f>
        <v>USA</v>
      </c>
      <c r="D1222" s="3">
        <f>VLOOKUP(A1222,Raw_Data!A:L,12,FALSE)</f>
        <v>820</v>
      </c>
      <c r="E1222" s="3">
        <f>VLOOKUP(A1222,Raw_Data!A:L,11,FALSE)</f>
        <v>20</v>
      </c>
      <c r="F1222" t="str">
        <f>TEXT(VLOOKUP(A1222,Raw_Data!A:L,5,FALSE),"mmm")</f>
        <v>Oct</v>
      </c>
    </row>
    <row r="1223" spans="1:6" x14ac:dyDescent="0.35">
      <c r="A1223" s="3" t="s">
        <v>1777</v>
      </c>
      <c r="B1223" t="str">
        <f>VLOOKUP(A1223,Raw_Data!A:L,6,FALSE)</f>
        <v>Washing Machine</v>
      </c>
      <c r="C1223" t="str">
        <f>VLOOKUP(A1223,Raw_Data!A:L,3,FALSE)</f>
        <v>USA</v>
      </c>
      <c r="D1223" s="3">
        <f>VLOOKUP(A1223,Raw_Data!A:L,12,FALSE)</f>
        <v>5400</v>
      </c>
      <c r="E1223" s="3">
        <f>VLOOKUP(A1223,Raw_Data!A:L,11,FALSE)</f>
        <v>9</v>
      </c>
      <c r="F1223" t="str">
        <f>TEXT(VLOOKUP(A1223,Raw_Data!A:L,5,FALSE),"mmm")</f>
        <v>Oct</v>
      </c>
    </row>
    <row r="1224" spans="1:6" x14ac:dyDescent="0.35">
      <c r="A1224" s="3" t="s">
        <v>1778</v>
      </c>
      <c r="B1224" t="str">
        <f>VLOOKUP(A1224,Raw_Data!A:L,6,FALSE)</f>
        <v>Ceiling fan</v>
      </c>
      <c r="C1224" t="str">
        <f>VLOOKUP(A1224,Raw_Data!A:L,3,FALSE)</f>
        <v>Saudi Arabia</v>
      </c>
      <c r="D1224" s="3">
        <f>VLOOKUP(A1224,Raw_Data!A:L,12,FALSE)</f>
        <v>12441</v>
      </c>
      <c r="E1224" s="3">
        <f>VLOOKUP(A1224,Raw_Data!A:L,11,FALSE)</f>
        <v>87</v>
      </c>
      <c r="F1224" t="str">
        <f>TEXT(VLOOKUP(A1224,Raw_Data!A:L,5,FALSE),"mmm")</f>
        <v>Sep</v>
      </c>
    </row>
    <row r="1225" spans="1:6" x14ac:dyDescent="0.35">
      <c r="A1225" s="3" t="s">
        <v>1780</v>
      </c>
      <c r="B1225" t="str">
        <f>VLOOKUP(A1225,Raw_Data!A:L,6,FALSE)</f>
        <v>Dishwasher</v>
      </c>
      <c r="C1225" t="str">
        <f>VLOOKUP(A1225,Raw_Data!A:L,3,FALSE)</f>
        <v>Japan</v>
      </c>
      <c r="D1225" s="3">
        <f>VLOOKUP(A1225,Raw_Data!A:L,12,FALSE)</f>
        <v>22080</v>
      </c>
      <c r="E1225" s="3">
        <f>VLOOKUP(A1225,Raw_Data!A:L,11,FALSE)</f>
        <v>46</v>
      </c>
      <c r="F1225" t="str">
        <f>TEXT(VLOOKUP(A1225,Raw_Data!A:L,5,FALSE),"mmm")</f>
        <v>Jul</v>
      </c>
    </row>
    <row r="1226" spans="1:6" x14ac:dyDescent="0.35">
      <c r="A1226" s="3" t="s">
        <v>1781</v>
      </c>
      <c r="B1226" t="str">
        <f>VLOOKUP(A1226,Raw_Data!A:L,6,FALSE)</f>
        <v>Oven</v>
      </c>
      <c r="C1226" t="str">
        <f>VLOOKUP(A1226,Raw_Data!A:L,3,FALSE)</f>
        <v>UK</v>
      </c>
      <c r="D1226" s="3">
        <f>VLOOKUP(A1226,Raw_Data!A:L,12,FALSE)</f>
        <v>24255</v>
      </c>
      <c r="E1226" s="3">
        <f>VLOOKUP(A1226,Raw_Data!A:L,11,FALSE)</f>
        <v>49</v>
      </c>
      <c r="F1226" t="str">
        <f>TEXT(VLOOKUP(A1226,Raw_Data!A:L,5,FALSE),"mmm")</f>
        <v>May</v>
      </c>
    </row>
    <row r="1227" spans="1:6" x14ac:dyDescent="0.35">
      <c r="A1227" s="3" t="s">
        <v>1782</v>
      </c>
      <c r="B1227" t="str">
        <f>VLOOKUP(A1227,Raw_Data!A:L,6,FALSE)</f>
        <v>Ceiling fan</v>
      </c>
      <c r="C1227" t="str">
        <f>VLOOKUP(A1227,Raw_Data!A:L,3,FALSE)</f>
        <v>Romania</v>
      </c>
      <c r="D1227" s="3">
        <f>VLOOKUP(A1227,Raw_Data!A:L,12,FALSE)</f>
        <v>9408</v>
      </c>
      <c r="E1227" s="3">
        <f>VLOOKUP(A1227,Raw_Data!A:L,11,FALSE)</f>
        <v>64</v>
      </c>
      <c r="F1227" t="str">
        <f>TEXT(VLOOKUP(A1227,Raw_Data!A:L,5,FALSE),"mmm")</f>
        <v>Jun</v>
      </c>
    </row>
    <row r="1228" spans="1:6" x14ac:dyDescent="0.35">
      <c r="A1228" s="3" t="s">
        <v>1783</v>
      </c>
      <c r="B1228" t="str">
        <f>VLOOKUP(A1228,Raw_Data!A:L,6,FALSE)</f>
        <v>Blender</v>
      </c>
      <c r="C1228" t="str">
        <f>VLOOKUP(A1228,Raw_Data!A:L,3,FALSE)</f>
        <v>Germany</v>
      </c>
      <c r="D1228" s="3">
        <f>VLOOKUP(A1228,Raw_Data!A:L,12,FALSE)</f>
        <v>3822</v>
      </c>
      <c r="E1228" s="3">
        <f>VLOOKUP(A1228,Raw_Data!A:L,11,FALSE)</f>
        <v>78</v>
      </c>
      <c r="F1228" t="str">
        <f>TEXT(VLOOKUP(A1228,Raw_Data!A:L,5,FALSE),"mmm")</f>
        <v>Dec</v>
      </c>
    </row>
    <row r="1229" spans="1:6" x14ac:dyDescent="0.35">
      <c r="A1229" s="3" t="s">
        <v>1784</v>
      </c>
      <c r="B1229" t="str">
        <f>VLOOKUP(A1229,Raw_Data!A:L,6,FALSE)</f>
        <v>Microwave</v>
      </c>
      <c r="C1229" t="str">
        <f>VLOOKUP(A1229,Raw_Data!A:L,3,FALSE)</f>
        <v>Poland</v>
      </c>
      <c r="D1229" s="3">
        <f>VLOOKUP(A1229,Raw_Data!A:L,12,FALSE)</f>
        <v>1173</v>
      </c>
      <c r="E1229" s="3">
        <f>VLOOKUP(A1229,Raw_Data!A:L,11,FALSE)</f>
        <v>17</v>
      </c>
      <c r="F1229" t="str">
        <f>TEXT(VLOOKUP(A1229,Raw_Data!A:L,5,FALSE),"mmm")</f>
        <v>Oct</v>
      </c>
    </row>
    <row r="1230" spans="1:6" x14ac:dyDescent="0.35">
      <c r="A1230" s="3" t="s">
        <v>1785</v>
      </c>
      <c r="B1230" t="str">
        <f>VLOOKUP(A1230,Raw_Data!A:L,6,FALSE)</f>
        <v>Iron</v>
      </c>
      <c r="C1230" t="str">
        <f>VLOOKUP(A1230,Raw_Data!A:L,3,FALSE)</f>
        <v>Greece</v>
      </c>
      <c r="D1230" s="3">
        <f>VLOOKUP(A1230,Raw_Data!A:L,12,FALSE)</f>
        <v>52</v>
      </c>
      <c r="E1230" s="3">
        <f>VLOOKUP(A1230,Raw_Data!A:L,11,FALSE)</f>
        <v>2</v>
      </c>
      <c r="F1230" t="str">
        <f>TEXT(VLOOKUP(A1230,Raw_Data!A:L,5,FALSE),"mmm")</f>
        <v>Feb</v>
      </c>
    </row>
    <row r="1231" spans="1:6" x14ac:dyDescent="0.35">
      <c r="A1231" s="3" t="s">
        <v>1786</v>
      </c>
      <c r="B1231" t="str">
        <f>VLOOKUP(A1231,Raw_Data!A:L,6,FALSE)</f>
        <v>Washing Machine</v>
      </c>
      <c r="C1231" t="str">
        <f>VLOOKUP(A1231,Raw_Data!A:L,3,FALSE)</f>
        <v>France</v>
      </c>
      <c r="D1231" s="3">
        <f>VLOOKUP(A1231,Raw_Data!A:L,12,FALSE)</f>
        <v>23088</v>
      </c>
      <c r="E1231" s="3">
        <f>VLOOKUP(A1231,Raw_Data!A:L,11,FALSE)</f>
        <v>39</v>
      </c>
      <c r="F1231" t="str">
        <f>TEXT(VLOOKUP(A1231,Raw_Data!A:L,5,FALSE),"mmm")</f>
        <v>Jan</v>
      </c>
    </row>
    <row r="1232" spans="1:6" x14ac:dyDescent="0.35">
      <c r="A1232" s="3" t="s">
        <v>1787</v>
      </c>
      <c r="B1232" t="str">
        <f>VLOOKUP(A1232,Raw_Data!A:L,6,FALSE)</f>
        <v>Air conditioner</v>
      </c>
      <c r="C1232" t="str">
        <f>VLOOKUP(A1232,Raw_Data!A:L,3,FALSE)</f>
        <v>China</v>
      </c>
      <c r="D1232" s="3">
        <f>VLOOKUP(A1232,Raw_Data!A:L,12,FALSE)</f>
        <v>16800</v>
      </c>
      <c r="E1232" s="3">
        <f>VLOOKUP(A1232,Raw_Data!A:L,11,FALSE)</f>
        <v>30</v>
      </c>
      <c r="F1232" t="str">
        <f>TEXT(VLOOKUP(A1232,Raw_Data!A:L,5,FALSE),"mmm")</f>
        <v>May</v>
      </c>
    </row>
    <row r="1233" spans="1:6" x14ac:dyDescent="0.35">
      <c r="A1233" s="3" t="s">
        <v>1788</v>
      </c>
      <c r="B1233" t="str">
        <f>VLOOKUP(A1233,Raw_Data!A:L,6,FALSE)</f>
        <v>Blender</v>
      </c>
      <c r="C1233" t="str">
        <f>VLOOKUP(A1233,Raw_Data!A:L,3,FALSE)</f>
        <v>Colombia</v>
      </c>
      <c r="D1233" s="3">
        <f>VLOOKUP(A1233,Raw_Data!A:L,12,FALSE)</f>
        <v>1755</v>
      </c>
      <c r="E1233" s="3">
        <f>VLOOKUP(A1233,Raw_Data!A:L,11,FALSE)</f>
        <v>39</v>
      </c>
      <c r="F1233" t="str">
        <f>TEXT(VLOOKUP(A1233,Raw_Data!A:L,5,FALSE),"mmm")</f>
        <v>Sep</v>
      </c>
    </row>
    <row r="1234" spans="1:6" x14ac:dyDescent="0.35">
      <c r="A1234" s="3" t="s">
        <v>1789</v>
      </c>
      <c r="B1234" t="str">
        <f>VLOOKUP(A1234,Raw_Data!A:L,6,FALSE)</f>
        <v>Coffee grinder</v>
      </c>
      <c r="C1234" t="str">
        <f>VLOOKUP(A1234,Raw_Data!A:L,3,FALSE)</f>
        <v>Vietnam</v>
      </c>
      <c r="D1234" s="3">
        <f>VLOOKUP(A1234,Raw_Data!A:L,12,FALSE)</f>
        <v>4891</v>
      </c>
      <c r="E1234" s="3">
        <f>VLOOKUP(A1234,Raw_Data!A:L,11,FALSE)</f>
        <v>73</v>
      </c>
      <c r="F1234" t="str">
        <f>TEXT(VLOOKUP(A1234,Raw_Data!A:L,5,FALSE),"mmm")</f>
        <v>Mar</v>
      </c>
    </row>
    <row r="1235" spans="1:6" x14ac:dyDescent="0.35">
      <c r="A1235" s="3" t="s">
        <v>1791</v>
      </c>
      <c r="B1235" t="str">
        <f>VLOOKUP(A1235,Raw_Data!A:L,6,FALSE)</f>
        <v>Vacuum Cleaner</v>
      </c>
      <c r="C1235" t="str">
        <f>VLOOKUP(A1235,Raw_Data!A:L,3,FALSE)</f>
        <v>Japan</v>
      </c>
      <c r="D1235" s="3">
        <f>VLOOKUP(A1235,Raw_Data!A:L,12,FALSE)</f>
        <v>11520</v>
      </c>
      <c r="E1235" s="3">
        <f>VLOOKUP(A1235,Raw_Data!A:L,11,FALSE)</f>
        <v>48</v>
      </c>
      <c r="F1235" t="str">
        <f>TEXT(VLOOKUP(A1235,Raw_Data!A:L,5,FALSE),"mmm")</f>
        <v>Sep</v>
      </c>
    </row>
    <row r="1236" spans="1:6" x14ac:dyDescent="0.35">
      <c r="A1236" s="3" t="s">
        <v>1792</v>
      </c>
      <c r="B1236" t="str">
        <f>VLOOKUP(A1236,Raw_Data!A:L,6,FALSE)</f>
        <v>Toaster</v>
      </c>
      <c r="C1236" t="str">
        <f>VLOOKUP(A1236,Raw_Data!A:L,3,FALSE)</f>
        <v>Peru</v>
      </c>
      <c r="D1236" s="3">
        <f>VLOOKUP(A1236,Raw_Data!A:L,12,FALSE)</f>
        <v>3266</v>
      </c>
      <c r="E1236" s="3">
        <f>VLOOKUP(A1236,Raw_Data!A:L,11,FALSE)</f>
        <v>71</v>
      </c>
      <c r="F1236" t="str">
        <f>TEXT(VLOOKUP(A1236,Raw_Data!A:L,5,FALSE),"mmm")</f>
        <v>Sep</v>
      </c>
    </row>
    <row r="1237" spans="1:6" x14ac:dyDescent="0.35">
      <c r="A1237" s="3" t="s">
        <v>1793</v>
      </c>
      <c r="B1237" t="str">
        <f>VLOOKUP(A1237,Raw_Data!A:L,6,FALSE)</f>
        <v>Vacuum Cleaner</v>
      </c>
      <c r="C1237" t="str">
        <f>VLOOKUP(A1237,Raw_Data!A:L,3,FALSE)</f>
        <v>Italy</v>
      </c>
      <c r="D1237" s="3">
        <f>VLOOKUP(A1237,Raw_Data!A:L,12,FALSE)</f>
        <v>9120</v>
      </c>
      <c r="E1237" s="3">
        <f>VLOOKUP(A1237,Raw_Data!A:L,11,FALSE)</f>
        <v>38</v>
      </c>
      <c r="F1237" t="str">
        <f>TEXT(VLOOKUP(A1237,Raw_Data!A:L,5,FALSE),"mmm")</f>
        <v>Dec</v>
      </c>
    </row>
    <row r="1238" spans="1:6" x14ac:dyDescent="0.35">
      <c r="A1238" s="3" t="s">
        <v>1794</v>
      </c>
      <c r="B1238" t="str">
        <f>VLOOKUP(A1238,Raw_Data!A:L,6,FALSE)</f>
        <v>Vacuum Cleaner</v>
      </c>
      <c r="C1238" t="str">
        <f>VLOOKUP(A1238,Raw_Data!A:L,3,FALSE)</f>
        <v>Colombia</v>
      </c>
      <c r="D1238" s="3">
        <f>VLOOKUP(A1238,Raw_Data!A:L,12,FALSE)</f>
        <v>2200</v>
      </c>
      <c r="E1238" s="3">
        <f>VLOOKUP(A1238,Raw_Data!A:L,11,FALSE)</f>
        <v>10</v>
      </c>
      <c r="F1238" t="str">
        <f>TEXT(VLOOKUP(A1238,Raw_Data!A:L,5,FALSE),"mmm")</f>
        <v>Jan</v>
      </c>
    </row>
    <row r="1239" spans="1:6" x14ac:dyDescent="0.35">
      <c r="A1239" s="3" t="s">
        <v>1795</v>
      </c>
      <c r="B1239" t="str">
        <f>VLOOKUP(A1239,Raw_Data!A:L,6,FALSE)</f>
        <v>Toaster</v>
      </c>
      <c r="C1239" t="str">
        <f>VLOOKUP(A1239,Raw_Data!A:L,3,FALSE)</f>
        <v>Israel</v>
      </c>
      <c r="D1239" s="3">
        <f>VLOOKUP(A1239,Raw_Data!A:L,12,FALSE)</f>
        <v>1190</v>
      </c>
      <c r="E1239" s="3">
        <f>VLOOKUP(A1239,Raw_Data!A:L,11,FALSE)</f>
        <v>35</v>
      </c>
      <c r="F1239" t="str">
        <f>TEXT(VLOOKUP(A1239,Raw_Data!A:L,5,FALSE),"mmm")</f>
        <v>Sep</v>
      </c>
    </row>
    <row r="1240" spans="1:6" x14ac:dyDescent="0.35">
      <c r="A1240" s="3" t="s">
        <v>1796</v>
      </c>
      <c r="B1240" t="str">
        <f>VLOOKUP(A1240,Raw_Data!A:L,6,FALSE)</f>
        <v>Oven</v>
      </c>
      <c r="C1240" t="str">
        <f>VLOOKUP(A1240,Raw_Data!A:L,3,FALSE)</f>
        <v>Brazil</v>
      </c>
      <c r="D1240" s="3">
        <f>VLOOKUP(A1240,Raw_Data!A:L,12,FALSE)</f>
        <v>45080</v>
      </c>
      <c r="E1240" s="3">
        <f>VLOOKUP(A1240,Raw_Data!A:L,11,FALSE)</f>
        <v>92</v>
      </c>
      <c r="F1240" t="str">
        <f>TEXT(VLOOKUP(A1240,Raw_Data!A:L,5,FALSE),"mmm")</f>
        <v>Dec</v>
      </c>
    </row>
    <row r="1241" spans="1:6" x14ac:dyDescent="0.35">
      <c r="A1241" s="3" t="s">
        <v>1797</v>
      </c>
      <c r="B1241" t="str">
        <f>VLOOKUP(A1241,Raw_Data!A:L,6,FALSE)</f>
        <v>Washing Machine</v>
      </c>
      <c r="C1241" t="str">
        <f>VLOOKUP(A1241,Raw_Data!A:L,3,FALSE)</f>
        <v>India</v>
      </c>
      <c r="D1241" s="3">
        <f>VLOOKUP(A1241,Raw_Data!A:L,12,FALSE)</f>
        <v>60800</v>
      </c>
      <c r="E1241" s="3">
        <f>VLOOKUP(A1241,Raw_Data!A:L,11,FALSE)</f>
        <v>100</v>
      </c>
      <c r="F1241" t="str">
        <f>TEXT(VLOOKUP(A1241,Raw_Data!A:L,5,FALSE),"mmm")</f>
        <v>Dec</v>
      </c>
    </row>
    <row r="1242" spans="1:6" x14ac:dyDescent="0.35">
      <c r="A1242" s="3" t="s">
        <v>1798</v>
      </c>
      <c r="B1242" t="str">
        <f>VLOOKUP(A1242,Raw_Data!A:L,6,FALSE)</f>
        <v>Iron</v>
      </c>
      <c r="C1242" t="str">
        <f>VLOOKUP(A1242,Raw_Data!A:L,3,FALSE)</f>
        <v>USA</v>
      </c>
      <c r="D1242" s="3">
        <f>VLOOKUP(A1242,Raw_Data!A:L,12,FALSE)</f>
        <v>2581</v>
      </c>
      <c r="E1242" s="3">
        <f>VLOOKUP(A1242,Raw_Data!A:L,11,FALSE)</f>
        <v>89</v>
      </c>
      <c r="F1242" t="str">
        <f>TEXT(VLOOKUP(A1242,Raw_Data!A:L,5,FALSE),"mmm")</f>
        <v>Oct</v>
      </c>
    </row>
    <row r="1243" spans="1:6" x14ac:dyDescent="0.35">
      <c r="A1243" s="3" t="s">
        <v>1799</v>
      </c>
      <c r="B1243" t="str">
        <f>VLOOKUP(A1243,Raw_Data!A:L,6,FALSE)</f>
        <v>Vacuum Cleaner</v>
      </c>
      <c r="C1243" t="str">
        <f>VLOOKUP(A1243,Raw_Data!A:L,3,FALSE)</f>
        <v>Canada</v>
      </c>
      <c r="D1243" s="3">
        <f>VLOOKUP(A1243,Raw_Data!A:L,12,FALSE)</f>
        <v>12455</v>
      </c>
      <c r="E1243" s="3">
        <f>VLOOKUP(A1243,Raw_Data!A:L,11,FALSE)</f>
        <v>53</v>
      </c>
      <c r="F1243" t="str">
        <f>TEXT(VLOOKUP(A1243,Raw_Data!A:L,5,FALSE),"mmm")</f>
        <v>Dec</v>
      </c>
    </row>
    <row r="1244" spans="1:6" x14ac:dyDescent="0.35">
      <c r="A1244" s="3" t="s">
        <v>1800</v>
      </c>
      <c r="B1244" t="str">
        <f>VLOOKUP(A1244,Raw_Data!A:L,6,FALSE)</f>
        <v>Dishwasher</v>
      </c>
      <c r="C1244" t="str">
        <f>VLOOKUP(A1244,Raw_Data!A:L,3,FALSE)</f>
        <v>Netherlands</v>
      </c>
      <c r="D1244" s="3">
        <f>VLOOKUP(A1244,Raw_Data!A:L,12,FALSE)</f>
        <v>19995</v>
      </c>
      <c r="E1244" s="3">
        <f>VLOOKUP(A1244,Raw_Data!A:L,11,FALSE)</f>
        <v>43</v>
      </c>
      <c r="F1244" t="str">
        <f>TEXT(VLOOKUP(A1244,Raw_Data!A:L,5,FALSE),"mmm")</f>
        <v>Jun</v>
      </c>
    </row>
    <row r="1245" spans="1:6" x14ac:dyDescent="0.35">
      <c r="A1245" s="3" t="s">
        <v>1801</v>
      </c>
      <c r="B1245" t="str">
        <f>VLOOKUP(A1245,Raw_Data!A:L,6,FALSE)</f>
        <v>Ceiling fan</v>
      </c>
      <c r="C1245" t="str">
        <f>VLOOKUP(A1245,Raw_Data!A:L,3,FALSE)</f>
        <v>Argentina</v>
      </c>
      <c r="D1245" s="3">
        <f>VLOOKUP(A1245,Raw_Data!A:L,12,FALSE)</f>
        <v>6860</v>
      </c>
      <c r="E1245" s="3">
        <f>VLOOKUP(A1245,Raw_Data!A:L,11,FALSE)</f>
        <v>49</v>
      </c>
      <c r="F1245" t="str">
        <f>TEXT(VLOOKUP(A1245,Raw_Data!A:L,5,FALSE),"mmm")</f>
        <v>Oct</v>
      </c>
    </row>
    <row r="1246" spans="1:6" x14ac:dyDescent="0.35">
      <c r="A1246" s="3" t="s">
        <v>1802</v>
      </c>
      <c r="B1246" t="str">
        <f>VLOOKUP(A1246,Raw_Data!A:L,6,FALSE)</f>
        <v>Air conditioner</v>
      </c>
      <c r="C1246" t="str">
        <f>VLOOKUP(A1246,Raw_Data!A:L,3,FALSE)</f>
        <v>Argentina</v>
      </c>
      <c r="D1246" s="3">
        <f>VLOOKUP(A1246,Raw_Data!A:L,12,FALSE)</f>
        <v>19740</v>
      </c>
      <c r="E1246" s="3">
        <f>VLOOKUP(A1246,Raw_Data!A:L,11,FALSE)</f>
        <v>30</v>
      </c>
      <c r="F1246" t="str">
        <f>TEXT(VLOOKUP(A1246,Raw_Data!A:L,5,FALSE),"mmm")</f>
        <v>Oct</v>
      </c>
    </row>
    <row r="1247" spans="1:6" x14ac:dyDescent="0.35">
      <c r="A1247" s="3" t="s">
        <v>1803</v>
      </c>
      <c r="B1247" t="str">
        <f>VLOOKUP(A1247,Raw_Data!A:L,6,FALSE)</f>
        <v>Refrigerator</v>
      </c>
      <c r="C1247" t="str">
        <f>VLOOKUP(A1247,Raw_Data!A:L,3,FALSE)</f>
        <v>Brazil</v>
      </c>
      <c r="D1247" s="3">
        <f>VLOOKUP(A1247,Raw_Data!A:L,12,FALSE)</f>
        <v>30000</v>
      </c>
      <c r="E1247" s="3">
        <f>VLOOKUP(A1247,Raw_Data!A:L,11,FALSE)</f>
        <v>50</v>
      </c>
      <c r="F1247" t="str">
        <f>TEXT(VLOOKUP(A1247,Raw_Data!A:L,5,FALSE),"mmm")</f>
        <v>Jun</v>
      </c>
    </row>
    <row r="1248" spans="1:6" x14ac:dyDescent="0.35">
      <c r="A1248" s="3" t="s">
        <v>1804</v>
      </c>
      <c r="B1248" t="str">
        <f>VLOOKUP(A1248,Raw_Data!A:L,6,FALSE)</f>
        <v>Blender</v>
      </c>
      <c r="C1248" t="str">
        <f>VLOOKUP(A1248,Raw_Data!A:L,3,FALSE)</f>
        <v>Mexico</v>
      </c>
      <c r="D1248" s="3">
        <f>VLOOKUP(A1248,Raw_Data!A:L,12,FALSE)</f>
        <v>924</v>
      </c>
      <c r="E1248" s="3">
        <f>VLOOKUP(A1248,Raw_Data!A:L,11,FALSE)</f>
        <v>21</v>
      </c>
      <c r="F1248" t="str">
        <f>TEXT(VLOOKUP(A1248,Raw_Data!A:L,5,FALSE),"mmm")</f>
        <v>Aug</v>
      </c>
    </row>
    <row r="1249" spans="1:6" x14ac:dyDescent="0.35">
      <c r="A1249" s="3" t="s">
        <v>1805</v>
      </c>
      <c r="B1249" t="str">
        <f>VLOOKUP(A1249,Raw_Data!A:L,6,FALSE)</f>
        <v>Washing Machine</v>
      </c>
      <c r="C1249" t="str">
        <f>VLOOKUP(A1249,Raw_Data!A:L,3,FALSE)</f>
        <v>USA</v>
      </c>
      <c r="D1249" s="3">
        <f>VLOOKUP(A1249,Raw_Data!A:L,12,FALSE)</f>
        <v>544</v>
      </c>
      <c r="E1249" s="3">
        <f>VLOOKUP(A1249,Raw_Data!A:L,11,FALSE)</f>
        <v>1</v>
      </c>
      <c r="F1249" t="str">
        <f>TEXT(VLOOKUP(A1249,Raw_Data!A:L,5,FALSE),"mmm")</f>
        <v>May</v>
      </c>
    </row>
    <row r="1250" spans="1:6" x14ac:dyDescent="0.35">
      <c r="A1250" s="3" t="s">
        <v>1806</v>
      </c>
      <c r="B1250" t="str">
        <f>VLOOKUP(A1250,Raw_Data!A:L,6,FALSE)</f>
        <v>Coffee grinder</v>
      </c>
      <c r="C1250" t="str">
        <f>VLOOKUP(A1250,Raw_Data!A:L,3,FALSE)</f>
        <v>USA</v>
      </c>
      <c r="D1250" s="3">
        <f>VLOOKUP(A1250,Raw_Data!A:L,12,FALSE)</f>
        <v>6120</v>
      </c>
      <c r="E1250" s="3">
        <f>VLOOKUP(A1250,Raw_Data!A:L,11,FALSE)</f>
        <v>90</v>
      </c>
      <c r="F1250" t="str">
        <f>TEXT(VLOOKUP(A1250,Raw_Data!A:L,5,FALSE),"mmm")</f>
        <v>Nov</v>
      </c>
    </row>
    <row r="1251" spans="1:6" x14ac:dyDescent="0.35">
      <c r="A1251" s="3" t="s">
        <v>1807</v>
      </c>
      <c r="B1251" t="str">
        <f>VLOOKUP(A1251,Raw_Data!A:L,6,FALSE)</f>
        <v>Toaster</v>
      </c>
      <c r="C1251" t="str">
        <f>VLOOKUP(A1251,Raw_Data!A:L,3,FALSE)</f>
        <v>South Korea</v>
      </c>
      <c r="D1251" s="3">
        <f>VLOOKUP(A1251,Raw_Data!A:L,12,FALSE)</f>
        <v>3000</v>
      </c>
      <c r="E1251" s="3">
        <f>VLOOKUP(A1251,Raw_Data!A:L,11,FALSE)</f>
        <v>60</v>
      </c>
      <c r="F1251" t="str">
        <f>TEXT(VLOOKUP(A1251,Raw_Data!A:L,5,FALSE),"mmm")</f>
        <v>Jul</v>
      </c>
    </row>
    <row r="1252" spans="1:6" x14ac:dyDescent="0.35">
      <c r="A1252" s="3" t="s">
        <v>1808</v>
      </c>
      <c r="B1252" t="str">
        <f>VLOOKUP(A1252,Raw_Data!A:L,6,FALSE)</f>
        <v>Ceiling fan</v>
      </c>
      <c r="C1252" t="str">
        <f>VLOOKUP(A1252,Raw_Data!A:L,3,FALSE)</f>
        <v>Austria</v>
      </c>
      <c r="D1252" s="3">
        <f>VLOOKUP(A1252,Raw_Data!A:L,12,FALSE)</f>
        <v>12555</v>
      </c>
      <c r="E1252" s="3">
        <f>VLOOKUP(A1252,Raw_Data!A:L,11,FALSE)</f>
        <v>93</v>
      </c>
      <c r="F1252" t="str">
        <f>TEXT(VLOOKUP(A1252,Raw_Data!A:L,5,FALSE),"mmm")</f>
        <v>Mar</v>
      </c>
    </row>
    <row r="1253" spans="1:6" x14ac:dyDescent="0.35">
      <c r="A1253" s="3" t="s">
        <v>1809</v>
      </c>
      <c r="B1253" t="str">
        <f>VLOOKUP(A1253,Raw_Data!A:L,6,FALSE)</f>
        <v>Blender</v>
      </c>
      <c r="C1253" t="str">
        <f>VLOOKUP(A1253,Raw_Data!A:L,3,FALSE)</f>
        <v>UK</v>
      </c>
      <c r="D1253" s="3">
        <f>VLOOKUP(A1253,Raw_Data!A:L,12,FALSE)</f>
        <v>3600</v>
      </c>
      <c r="E1253" s="3">
        <f>VLOOKUP(A1253,Raw_Data!A:L,11,FALSE)</f>
        <v>72</v>
      </c>
      <c r="F1253" t="str">
        <f>TEXT(VLOOKUP(A1253,Raw_Data!A:L,5,FALSE),"mmm")</f>
        <v>Jan</v>
      </c>
    </row>
    <row r="1254" spans="1:6" x14ac:dyDescent="0.35">
      <c r="A1254" s="3" t="s">
        <v>1810</v>
      </c>
      <c r="B1254" t="str">
        <f>VLOOKUP(A1254,Raw_Data!A:L,6,FALSE)</f>
        <v>Toaster</v>
      </c>
      <c r="C1254" t="str">
        <f>VLOOKUP(A1254,Raw_Data!A:L,3,FALSE)</f>
        <v>India</v>
      </c>
      <c r="D1254" s="3">
        <f>VLOOKUP(A1254,Raw_Data!A:L,12,FALSE)</f>
        <v>792</v>
      </c>
      <c r="E1254" s="3">
        <f>VLOOKUP(A1254,Raw_Data!A:L,11,FALSE)</f>
        <v>24</v>
      </c>
      <c r="F1254" t="str">
        <f>TEXT(VLOOKUP(A1254,Raw_Data!A:L,5,FALSE),"mmm")</f>
        <v>Dec</v>
      </c>
    </row>
    <row r="1255" spans="1:6" x14ac:dyDescent="0.35">
      <c r="A1255" s="3" t="s">
        <v>1812</v>
      </c>
      <c r="B1255" t="str">
        <f>VLOOKUP(A1255,Raw_Data!A:L,6,FALSE)</f>
        <v>Toaster</v>
      </c>
      <c r="C1255" t="str">
        <f>VLOOKUP(A1255,Raw_Data!A:L,3,FALSE)</f>
        <v>Malaysia</v>
      </c>
      <c r="D1255" s="3">
        <f>VLOOKUP(A1255,Raw_Data!A:L,12,FALSE)</f>
        <v>2852</v>
      </c>
      <c r="E1255" s="3">
        <f>VLOOKUP(A1255,Raw_Data!A:L,11,FALSE)</f>
        <v>62</v>
      </c>
      <c r="F1255" t="str">
        <f>TEXT(VLOOKUP(A1255,Raw_Data!A:L,5,FALSE),"mmm")</f>
        <v>Sep</v>
      </c>
    </row>
    <row r="1256" spans="1:6" x14ac:dyDescent="0.35">
      <c r="A1256" s="3" t="s">
        <v>1813</v>
      </c>
      <c r="B1256" t="str">
        <f>VLOOKUP(A1256,Raw_Data!A:L,6,FALSE)</f>
        <v>Dishwasher</v>
      </c>
      <c r="C1256" t="str">
        <f>VLOOKUP(A1256,Raw_Data!A:L,3,FALSE)</f>
        <v>Czech Republic</v>
      </c>
      <c r="D1256" s="3">
        <f>VLOOKUP(A1256,Raw_Data!A:L,12,FALSE)</f>
        <v>14060</v>
      </c>
      <c r="E1256" s="3">
        <f>VLOOKUP(A1256,Raw_Data!A:L,11,FALSE)</f>
        <v>38</v>
      </c>
      <c r="F1256" t="str">
        <f>TEXT(VLOOKUP(A1256,Raw_Data!A:L,5,FALSE),"mmm")</f>
        <v>Nov</v>
      </c>
    </row>
    <row r="1257" spans="1:6" x14ac:dyDescent="0.35">
      <c r="A1257" s="3" t="s">
        <v>1814</v>
      </c>
      <c r="B1257" t="str">
        <f>VLOOKUP(A1257,Raw_Data!A:L,6,FALSE)</f>
        <v>Air conditioner</v>
      </c>
      <c r="C1257" t="str">
        <f>VLOOKUP(A1257,Raw_Data!A:L,3,FALSE)</f>
        <v>Malaysia</v>
      </c>
      <c r="D1257" s="3">
        <f>VLOOKUP(A1257,Raw_Data!A:L,12,FALSE)</f>
        <v>25984</v>
      </c>
      <c r="E1257" s="3">
        <f>VLOOKUP(A1257,Raw_Data!A:L,11,FALSE)</f>
        <v>58</v>
      </c>
      <c r="F1257" t="str">
        <f>TEXT(VLOOKUP(A1257,Raw_Data!A:L,5,FALSE),"mmm")</f>
        <v>Mar</v>
      </c>
    </row>
    <row r="1258" spans="1:6" x14ac:dyDescent="0.35">
      <c r="A1258" s="3" t="s">
        <v>1815</v>
      </c>
      <c r="B1258" t="str">
        <f>VLOOKUP(A1258,Raw_Data!A:L,6,FALSE)</f>
        <v>Toaster</v>
      </c>
      <c r="C1258" t="str">
        <f>VLOOKUP(A1258,Raw_Data!A:L,3,FALSE)</f>
        <v>India</v>
      </c>
      <c r="D1258" s="3">
        <f>VLOOKUP(A1258,Raw_Data!A:L,12,FALSE)</f>
        <v>4368</v>
      </c>
      <c r="E1258" s="3">
        <f>VLOOKUP(A1258,Raw_Data!A:L,11,FALSE)</f>
        <v>91</v>
      </c>
      <c r="F1258" t="str">
        <f>TEXT(VLOOKUP(A1258,Raw_Data!A:L,5,FALSE),"mmm")</f>
        <v>Dec</v>
      </c>
    </row>
    <row r="1259" spans="1:6" x14ac:dyDescent="0.35">
      <c r="A1259" s="3" t="s">
        <v>1817</v>
      </c>
      <c r="B1259" t="str">
        <f>VLOOKUP(A1259,Raw_Data!A:L,6,FALSE)</f>
        <v>Oven</v>
      </c>
      <c r="C1259" t="str">
        <f>VLOOKUP(A1259,Raw_Data!A:L,3,FALSE)</f>
        <v>Colombia</v>
      </c>
      <c r="D1259" s="3">
        <f>VLOOKUP(A1259,Raw_Data!A:L,12,FALSE)</f>
        <v>36750</v>
      </c>
      <c r="E1259" s="3">
        <f>VLOOKUP(A1259,Raw_Data!A:L,11,FALSE)</f>
        <v>75</v>
      </c>
      <c r="F1259" t="str">
        <f>TEXT(VLOOKUP(A1259,Raw_Data!A:L,5,FALSE),"mmm")</f>
        <v>Mar</v>
      </c>
    </row>
    <row r="1260" spans="1:6" x14ac:dyDescent="0.35">
      <c r="A1260" s="3" t="s">
        <v>1818</v>
      </c>
      <c r="B1260" t="str">
        <f>VLOOKUP(A1260,Raw_Data!A:L,6,FALSE)</f>
        <v>Blender</v>
      </c>
      <c r="C1260" t="str">
        <f>VLOOKUP(A1260,Raw_Data!A:L,3,FALSE)</f>
        <v>Russia</v>
      </c>
      <c r="D1260" s="3">
        <f>VLOOKUP(A1260,Raw_Data!A:L,12,FALSE)</f>
        <v>3871</v>
      </c>
      <c r="E1260" s="3">
        <f>VLOOKUP(A1260,Raw_Data!A:L,11,FALSE)</f>
        <v>79</v>
      </c>
      <c r="F1260" t="str">
        <f>TEXT(VLOOKUP(A1260,Raw_Data!A:L,5,FALSE),"mmm")</f>
        <v>May</v>
      </c>
    </row>
    <row r="1261" spans="1:6" x14ac:dyDescent="0.35">
      <c r="A1261" s="3" t="s">
        <v>1819</v>
      </c>
      <c r="B1261" t="str">
        <f>VLOOKUP(A1261,Raw_Data!A:L,6,FALSE)</f>
        <v>Washing Machine</v>
      </c>
      <c r="C1261" t="str">
        <f>VLOOKUP(A1261,Raw_Data!A:L,3,FALSE)</f>
        <v>South Korea</v>
      </c>
      <c r="D1261" s="3">
        <f>VLOOKUP(A1261,Raw_Data!A:L,12,FALSE)</f>
        <v>28952</v>
      </c>
      <c r="E1261" s="3">
        <f>VLOOKUP(A1261,Raw_Data!A:L,11,FALSE)</f>
        <v>47</v>
      </c>
      <c r="F1261" t="str">
        <f>TEXT(VLOOKUP(A1261,Raw_Data!A:L,5,FALSE),"mmm")</f>
        <v>Oct</v>
      </c>
    </row>
    <row r="1262" spans="1:6" x14ac:dyDescent="0.35">
      <c r="A1262" s="3" t="s">
        <v>1820</v>
      </c>
      <c r="B1262" t="str">
        <f>VLOOKUP(A1262,Raw_Data!A:L,6,FALSE)</f>
        <v>Toaster</v>
      </c>
      <c r="C1262" t="str">
        <f>VLOOKUP(A1262,Raw_Data!A:L,3,FALSE)</f>
        <v>Peru</v>
      </c>
      <c r="D1262" s="3">
        <f>VLOOKUP(A1262,Raw_Data!A:L,12,FALSE)</f>
        <v>46</v>
      </c>
      <c r="E1262" s="3">
        <f>VLOOKUP(A1262,Raw_Data!A:L,11,FALSE)</f>
        <v>1</v>
      </c>
      <c r="F1262" t="str">
        <f>TEXT(VLOOKUP(A1262,Raw_Data!A:L,5,FALSE),"mmm")</f>
        <v>Jan</v>
      </c>
    </row>
    <row r="1263" spans="1:6" x14ac:dyDescent="0.35">
      <c r="A1263" s="3" t="s">
        <v>1821</v>
      </c>
      <c r="B1263" t="str">
        <f>VLOOKUP(A1263,Raw_Data!A:L,6,FALSE)</f>
        <v>Microwave</v>
      </c>
      <c r="C1263" t="str">
        <f>VLOOKUP(A1263,Raw_Data!A:L,3,FALSE)</f>
        <v>USA</v>
      </c>
      <c r="D1263" s="3">
        <f>VLOOKUP(A1263,Raw_Data!A:L,12,FALSE)</f>
        <v>280</v>
      </c>
      <c r="E1263" s="3">
        <f>VLOOKUP(A1263,Raw_Data!A:L,11,FALSE)</f>
        <v>4</v>
      </c>
      <c r="F1263" t="str">
        <f>TEXT(VLOOKUP(A1263,Raw_Data!A:L,5,FALSE),"mmm")</f>
        <v>Nov</v>
      </c>
    </row>
    <row r="1264" spans="1:6" x14ac:dyDescent="0.35">
      <c r="A1264" s="3" t="s">
        <v>1822</v>
      </c>
      <c r="B1264" t="str">
        <f>VLOOKUP(A1264,Raw_Data!A:L,6,FALSE)</f>
        <v>Dishwasher</v>
      </c>
      <c r="C1264" t="str">
        <f>VLOOKUP(A1264,Raw_Data!A:L,3,FALSE)</f>
        <v>Greece</v>
      </c>
      <c r="D1264" s="3">
        <f>VLOOKUP(A1264,Raw_Data!A:L,12,FALSE)</f>
        <v>35770</v>
      </c>
      <c r="E1264" s="3">
        <f>VLOOKUP(A1264,Raw_Data!A:L,11,FALSE)</f>
        <v>73</v>
      </c>
      <c r="F1264" t="str">
        <f>TEXT(VLOOKUP(A1264,Raw_Data!A:L,5,FALSE),"mmm")</f>
        <v>Nov</v>
      </c>
    </row>
    <row r="1265" spans="1:6" x14ac:dyDescent="0.35">
      <c r="A1265" s="3" t="s">
        <v>1824</v>
      </c>
      <c r="B1265" t="str">
        <f>VLOOKUP(A1265,Raw_Data!A:L,6,FALSE)</f>
        <v>Vacuum Cleaner</v>
      </c>
      <c r="C1265" t="str">
        <f>VLOOKUP(A1265,Raw_Data!A:L,3,FALSE)</f>
        <v>Greece</v>
      </c>
      <c r="D1265" s="3">
        <f>VLOOKUP(A1265,Raw_Data!A:L,12,FALSE)</f>
        <v>13110</v>
      </c>
      <c r="E1265" s="3">
        <f>VLOOKUP(A1265,Raw_Data!A:L,11,FALSE)</f>
        <v>69</v>
      </c>
      <c r="F1265" t="str">
        <f>TEXT(VLOOKUP(A1265,Raw_Data!A:L,5,FALSE),"mmm")</f>
        <v>Sep</v>
      </c>
    </row>
    <row r="1266" spans="1:6" x14ac:dyDescent="0.35">
      <c r="A1266" s="3" t="s">
        <v>1825</v>
      </c>
      <c r="B1266" t="str">
        <f>VLOOKUP(A1266,Raw_Data!A:L,6,FALSE)</f>
        <v>Microwave</v>
      </c>
      <c r="C1266" t="str">
        <f>VLOOKUP(A1266,Raw_Data!A:L,3,FALSE)</f>
        <v>South Africa</v>
      </c>
      <c r="D1266" s="3">
        <f>VLOOKUP(A1266,Raw_Data!A:L,12,FALSE)</f>
        <v>2720</v>
      </c>
      <c r="E1266" s="3">
        <f>VLOOKUP(A1266,Raw_Data!A:L,11,FALSE)</f>
        <v>40</v>
      </c>
      <c r="F1266" t="str">
        <f>TEXT(VLOOKUP(A1266,Raw_Data!A:L,5,FALSE),"mmm")</f>
        <v>Oct</v>
      </c>
    </row>
    <row r="1267" spans="1:6" x14ac:dyDescent="0.35">
      <c r="A1267" s="3" t="s">
        <v>1827</v>
      </c>
      <c r="B1267" t="str">
        <f>VLOOKUP(A1267,Raw_Data!A:L,6,FALSE)</f>
        <v>Toaster</v>
      </c>
      <c r="C1267" t="str">
        <f>VLOOKUP(A1267,Raw_Data!A:L,3,FALSE)</f>
        <v>Malaysia</v>
      </c>
      <c r="D1267" s="3">
        <f>VLOOKUP(A1267,Raw_Data!A:L,12,FALSE)</f>
        <v>2576</v>
      </c>
      <c r="E1267" s="3">
        <f>VLOOKUP(A1267,Raw_Data!A:L,11,FALSE)</f>
        <v>56</v>
      </c>
      <c r="F1267" t="str">
        <f>TEXT(VLOOKUP(A1267,Raw_Data!A:L,5,FALSE),"mmm")</f>
        <v>Jul</v>
      </c>
    </row>
    <row r="1268" spans="1:6" x14ac:dyDescent="0.35">
      <c r="A1268" s="3" t="s">
        <v>1829</v>
      </c>
      <c r="B1268" t="str">
        <f>VLOOKUP(A1268,Raw_Data!A:L,6,FALSE)</f>
        <v>Air conditioner</v>
      </c>
      <c r="C1268" t="str">
        <f>VLOOKUP(A1268,Raw_Data!A:L,3,FALSE)</f>
        <v>Austria</v>
      </c>
      <c r="D1268" s="3">
        <f>VLOOKUP(A1268,Raw_Data!A:L,12,FALSE)</f>
        <v>50512</v>
      </c>
      <c r="E1268" s="3">
        <f>VLOOKUP(A1268,Raw_Data!A:L,11,FALSE)</f>
        <v>88</v>
      </c>
      <c r="F1268" t="str">
        <f>TEXT(VLOOKUP(A1268,Raw_Data!A:L,5,FALSE),"mmm")</f>
        <v>Jan</v>
      </c>
    </row>
    <row r="1269" spans="1:6" x14ac:dyDescent="0.35">
      <c r="A1269" s="3" t="s">
        <v>1831</v>
      </c>
      <c r="B1269" t="str">
        <f>VLOOKUP(A1269,Raw_Data!A:L,6,FALSE)</f>
        <v>Microwave</v>
      </c>
      <c r="C1269" t="str">
        <f>VLOOKUP(A1269,Raw_Data!A:L,3,FALSE)</f>
        <v>Malaysia</v>
      </c>
      <c r="D1269" s="3">
        <f>VLOOKUP(A1269,Raw_Data!A:L,12,FALSE)</f>
        <v>6290</v>
      </c>
      <c r="E1269" s="3">
        <f>VLOOKUP(A1269,Raw_Data!A:L,11,FALSE)</f>
        <v>85</v>
      </c>
      <c r="F1269" t="str">
        <f>TEXT(VLOOKUP(A1269,Raw_Data!A:L,5,FALSE),"mmm")</f>
        <v>Apr</v>
      </c>
    </row>
    <row r="1270" spans="1:6" x14ac:dyDescent="0.35">
      <c r="A1270" s="3" t="s">
        <v>1832</v>
      </c>
      <c r="B1270" t="str">
        <f>VLOOKUP(A1270,Raw_Data!A:L,6,FALSE)</f>
        <v>Blender</v>
      </c>
      <c r="C1270" t="str">
        <f>VLOOKUP(A1270,Raw_Data!A:L,3,FALSE)</f>
        <v>Mexico</v>
      </c>
      <c r="D1270" s="3">
        <f>VLOOKUP(A1270,Raw_Data!A:L,12,FALSE)</f>
        <v>704</v>
      </c>
      <c r="E1270" s="3">
        <f>VLOOKUP(A1270,Raw_Data!A:L,11,FALSE)</f>
        <v>16</v>
      </c>
      <c r="F1270" t="str">
        <f>TEXT(VLOOKUP(A1270,Raw_Data!A:L,5,FALSE),"mmm")</f>
        <v>Jan</v>
      </c>
    </row>
    <row r="1271" spans="1:6" x14ac:dyDescent="0.35">
      <c r="A1271" s="3" t="s">
        <v>1833</v>
      </c>
      <c r="B1271" t="str">
        <f>VLOOKUP(A1271,Raw_Data!A:L,6,FALSE)</f>
        <v>Iron</v>
      </c>
      <c r="C1271" t="str">
        <f>VLOOKUP(A1271,Raw_Data!A:L,3,FALSE)</f>
        <v>South Korea</v>
      </c>
      <c r="D1271" s="3">
        <f>VLOOKUP(A1271,Raw_Data!A:L,12,FALSE)</f>
        <v>2760</v>
      </c>
      <c r="E1271" s="3">
        <f>VLOOKUP(A1271,Raw_Data!A:L,11,FALSE)</f>
        <v>92</v>
      </c>
      <c r="F1271" t="str">
        <f>TEXT(VLOOKUP(A1271,Raw_Data!A:L,5,FALSE),"mmm")</f>
        <v>Aug</v>
      </c>
    </row>
    <row r="1272" spans="1:6" x14ac:dyDescent="0.35">
      <c r="A1272" s="3" t="s">
        <v>1834</v>
      </c>
      <c r="B1272" t="str">
        <f>VLOOKUP(A1272,Raw_Data!A:L,6,FALSE)</f>
        <v>Oven</v>
      </c>
      <c r="C1272" t="str">
        <f>VLOOKUP(A1272,Raw_Data!A:L,3,FALSE)</f>
        <v>Czech Republic</v>
      </c>
      <c r="D1272" s="3">
        <f>VLOOKUP(A1272,Raw_Data!A:L,12,FALSE)</f>
        <v>49000</v>
      </c>
      <c r="E1272" s="3">
        <f>VLOOKUP(A1272,Raw_Data!A:L,11,FALSE)</f>
        <v>98</v>
      </c>
      <c r="F1272" t="str">
        <f>TEXT(VLOOKUP(A1272,Raw_Data!A:L,5,FALSE),"mmm")</f>
        <v>Jul</v>
      </c>
    </row>
    <row r="1273" spans="1:6" x14ac:dyDescent="0.35">
      <c r="A1273" s="3" t="s">
        <v>1835</v>
      </c>
      <c r="B1273" t="str">
        <f>VLOOKUP(A1273,Raw_Data!A:L,6,FALSE)</f>
        <v>Toaster</v>
      </c>
      <c r="C1273" t="str">
        <f>VLOOKUP(A1273,Raw_Data!A:L,3,FALSE)</f>
        <v>USA</v>
      </c>
      <c r="D1273" s="3">
        <f>VLOOKUP(A1273,Raw_Data!A:L,12,FALSE)</f>
        <v>4136</v>
      </c>
      <c r="E1273" s="3">
        <f>VLOOKUP(A1273,Raw_Data!A:L,11,FALSE)</f>
        <v>88</v>
      </c>
      <c r="F1273" t="str">
        <f>TEXT(VLOOKUP(A1273,Raw_Data!A:L,5,FALSE),"mmm")</f>
        <v>Mar</v>
      </c>
    </row>
    <row r="1274" spans="1:6" x14ac:dyDescent="0.35">
      <c r="A1274" s="3" t="s">
        <v>1836</v>
      </c>
      <c r="B1274" t="str">
        <f>VLOOKUP(A1274,Raw_Data!A:L,6,FALSE)</f>
        <v>Toaster</v>
      </c>
      <c r="C1274" t="str">
        <f>VLOOKUP(A1274,Raw_Data!A:L,3,FALSE)</f>
        <v>Israel</v>
      </c>
      <c r="D1274" s="3">
        <f>VLOOKUP(A1274,Raw_Data!A:L,12,FALSE)</f>
        <v>644</v>
      </c>
      <c r="E1274" s="3">
        <f>VLOOKUP(A1274,Raw_Data!A:L,11,FALSE)</f>
        <v>14</v>
      </c>
      <c r="F1274" t="str">
        <f>TEXT(VLOOKUP(A1274,Raw_Data!A:L,5,FALSE),"mmm")</f>
        <v>Apr</v>
      </c>
    </row>
    <row r="1275" spans="1:6" x14ac:dyDescent="0.35">
      <c r="A1275" s="3" t="s">
        <v>1837</v>
      </c>
      <c r="B1275" t="str">
        <f>VLOOKUP(A1275,Raw_Data!A:L,6,FALSE)</f>
        <v>Toaster</v>
      </c>
      <c r="C1275" t="str">
        <f>VLOOKUP(A1275,Raw_Data!A:L,3,FALSE)</f>
        <v>USA</v>
      </c>
      <c r="D1275" s="3">
        <f>VLOOKUP(A1275,Raw_Data!A:L,12,FALSE)</f>
        <v>2552</v>
      </c>
      <c r="E1275" s="3">
        <f>VLOOKUP(A1275,Raw_Data!A:L,11,FALSE)</f>
        <v>58</v>
      </c>
      <c r="F1275" t="str">
        <f>TEXT(VLOOKUP(A1275,Raw_Data!A:L,5,FALSE),"mmm")</f>
        <v>Oct</v>
      </c>
    </row>
    <row r="1276" spans="1:6" x14ac:dyDescent="0.35">
      <c r="A1276" s="3" t="s">
        <v>1838</v>
      </c>
      <c r="B1276" t="str">
        <f>VLOOKUP(A1276,Raw_Data!A:L,6,FALSE)</f>
        <v>Dishwasher</v>
      </c>
      <c r="C1276" t="str">
        <f>VLOOKUP(A1276,Raw_Data!A:L,3,FALSE)</f>
        <v>Brazil</v>
      </c>
      <c r="D1276" s="3">
        <f>VLOOKUP(A1276,Raw_Data!A:L,12,FALSE)</f>
        <v>34435</v>
      </c>
      <c r="E1276" s="3">
        <f>VLOOKUP(A1276,Raw_Data!A:L,11,FALSE)</f>
        <v>97</v>
      </c>
      <c r="F1276" t="str">
        <f>TEXT(VLOOKUP(A1276,Raw_Data!A:L,5,FALSE),"mmm")</f>
        <v>Sep</v>
      </c>
    </row>
    <row r="1277" spans="1:6" x14ac:dyDescent="0.35">
      <c r="A1277" s="3" t="s">
        <v>1839</v>
      </c>
      <c r="B1277" t="str">
        <f>VLOOKUP(A1277,Raw_Data!A:L,6,FALSE)</f>
        <v>Dishwasher</v>
      </c>
      <c r="C1277" t="str">
        <f>VLOOKUP(A1277,Raw_Data!A:L,3,FALSE)</f>
        <v>USA</v>
      </c>
      <c r="D1277" s="3">
        <f>VLOOKUP(A1277,Raw_Data!A:L,12,FALSE)</f>
        <v>26730</v>
      </c>
      <c r="E1277" s="3">
        <f>VLOOKUP(A1277,Raw_Data!A:L,11,FALSE)</f>
        <v>54</v>
      </c>
      <c r="F1277" t="str">
        <f>TEXT(VLOOKUP(A1277,Raw_Data!A:L,5,FALSE),"mmm")</f>
        <v>Jan</v>
      </c>
    </row>
    <row r="1278" spans="1:6" x14ac:dyDescent="0.35">
      <c r="A1278" s="3" t="s">
        <v>1840</v>
      </c>
      <c r="B1278" t="str">
        <f>VLOOKUP(A1278,Raw_Data!A:L,6,FALSE)</f>
        <v>Microwave</v>
      </c>
      <c r="C1278" t="str">
        <f>VLOOKUP(A1278,Raw_Data!A:L,3,FALSE)</f>
        <v>Argentina</v>
      </c>
      <c r="D1278" s="3">
        <f>VLOOKUP(A1278,Raw_Data!A:L,12,FALSE)</f>
        <v>2989</v>
      </c>
      <c r="E1278" s="3">
        <f>VLOOKUP(A1278,Raw_Data!A:L,11,FALSE)</f>
        <v>49</v>
      </c>
      <c r="F1278" t="str">
        <f>TEXT(VLOOKUP(A1278,Raw_Data!A:L,5,FALSE),"mmm")</f>
        <v>Oct</v>
      </c>
    </row>
    <row r="1279" spans="1:6" x14ac:dyDescent="0.35">
      <c r="A1279" s="3" t="s">
        <v>1841</v>
      </c>
      <c r="B1279" t="str">
        <f>VLOOKUP(A1279,Raw_Data!A:L,6,FALSE)</f>
        <v>Oven</v>
      </c>
      <c r="C1279" t="str">
        <f>VLOOKUP(A1279,Raw_Data!A:L,3,FALSE)</f>
        <v>Czech Republic</v>
      </c>
      <c r="D1279" s="3">
        <f>VLOOKUP(A1279,Raw_Data!A:L,12,FALSE)</f>
        <v>35640</v>
      </c>
      <c r="E1279" s="3">
        <f>VLOOKUP(A1279,Raw_Data!A:L,11,FALSE)</f>
        <v>72</v>
      </c>
      <c r="F1279" t="str">
        <f>TEXT(VLOOKUP(A1279,Raw_Data!A:L,5,FALSE),"mmm")</f>
        <v>Nov</v>
      </c>
    </row>
    <row r="1280" spans="1:6" x14ac:dyDescent="0.35">
      <c r="A1280" s="3" t="s">
        <v>1842</v>
      </c>
      <c r="B1280" t="str">
        <f>VLOOKUP(A1280,Raw_Data!A:L,6,FALSE)</f>
        <v>Blender</v>
      </c>
      <c r="C1280" t="str">
        <f>VLOOKUP(A1280,Raw_Data!A:L,3,FALSE)</f>
        <v>Saudi Arabia</v>
      </c>
      <c r="D1280" s="3">
        <f>VLOOKUP(A1280,Raw_Data!A:L,12,FALSE)</f>
        <v>1872</v>
      </c>
      <c r="E1280" s="3">
        <f>VLOOKUP(A1280,Raw_Data!A:L,11,FALSE)</f>
        <v>39</v>
      </c>
      <c r="F1280" t="str">
        <f>TEXT(VLOOKUP(A1280,Raw_Data!A:L,5,FALSE),"mmm")</f>
        <v>Nov</v>
      </c>
    </row>
    <row r="1281" spans="1:6" x14ac:dyDescent="0.35">
      <c r="A1281" s="3" t="s">
        <v>1844</v>
      </c>
      <c r="B1281" t="str">
        <f>VLOOKUP(A1281,Raw_Data!A:L,6,FALSE)</f>
        <v>Washing Machine</v>
      </c>
      <c r="C1281" t="str">
        <f>VLOOKUP(A1281,Raw_Data!A:L,3,FALSE)</f>
        <v>Netherlands</v>
      </c>
      <c r="D1281" s="3">
        <f>VLOOKUP(A1281,Raw_Data!A:L,12,FALSE)</f>
        <v>36400</v>
      </c>
      <c r="E1281" s="3">
        <f>VLOOKUP(A1281,Raw_Data!A:L,11,FALSE)</f>
        <v>70</v>
      </c>
      <c r="F1281" t="str">
        <f>TEXT(VLOOKUP(A1281,Raw_Data!A:L,5,FALSE),"mmm")</f>
        <v>Mar</v>
      </c>
    </row>
    <row r="1282" spans="1:6" x14ac:dyDescent="0.35">
      <c r="A1282" s="3" t="s">
        <v>1845</v>
      </c>
      <c r="B1282" t="str">
        <f>VLOOKUP(A1282,Raw_Data!A:L,6,FALSE)</f>
        <v>Oven</v>
      </c>
      <c r="C1282" t="str">
        <f>VLOOKUP(A1282,Raw_Data!A:L,3,FALSE)</f>
        <v>Malaysia</v>
      </c>
      <c r="D1282" s="3">
        <f>VLOOKUP(A1282,Raw_Data!A:L,12,FALSE)</f>
        <v>23520</v>
      </c>
      <c r="E1282" s="3">
        <f>VLOOKUP(A1282,Raw_Data!A:L,11,FALSE)</f>
        <v>48</v>
      </c>
      <c r="F1282" t="str">
        <f>TEXT(VLOOKUP(A1282,Raw_Data!A:L,5,FALSE),"mmm")</f>
        <v>Aug</v>
      </c>
    </row>
    <row r="1283" spans="1:6" x14ac:dyDescent="0.35">
      <c r="A1283" s="3" t="s">
        <v>1846</v>
      </c>
      <c r="B1283" t="str">
        <f>VLOOKUP(A1283,Raw_Data!A:L,6,FALSE)</f>
        <v>Air conditioner</v>
      </c>
      <c r="C1283" t="str">
        <f>VLOOKUP(A1283,Raw_Data!A:L,3,FALSE)</f>
        <v>Mexico</v>
      </c>
      <c r="D1283" s="3">
        <f>VLOOKUP(A1283,Raw_Data!A:L,12,FALSE)</f>
        <v>3185</v>
      </c>
      <c r="E1283" s="3">
        <f>VLOOKUP(A1283,Raw_Data!A:L,11,FALSE)</f>
        <v>5</v>
      </c>
      <c r="F1283" t="str">
        <f>TEXT(VLOOKUP(A1283,Raw_Data!A:L,5,FALSE),"mmm")</f>
        <v>Jul</v>
      </c>
    </row>
    <row r="1284" spans="1:6" x14ac:dyDescent="0.35">
      <c r="A1284" s="3" t="s">
        <v>1847</v>
      </c>
      <c r="B1284" t="str">
        <f>VLOOKUP(A1284,Raw_Data!A:L,6,FALSE)</f>
        <v>Vacuum Cleaner</v>
      </c>
      <c r="C1284" t="str">
        <f>VLOOKUP(A1284,Raw_Data!A:L,3,FALSE)</f>
        <v>Austria</v>
      </c>
      <c r="D1284" s="3">
        <f>VLOOKUP(A1284,Raw_Data!A:L,12,FALSE)</f>
        <v>3857</v>
      </c>
      <c r="E1284" s="3">
        <f>VLOOKUP(A1284,Raw_Data!A:L,11,FALSE)</f>
        <v>19</v>
      </c>
      <c r="F1284" t="str">
        <f>TEXT(VLOOKUP(A1284,Raw_Data!A:L,5,FALSE),"mmm")</f>
        <v>Jun</v>
      </c>
    </row>
    <row r="1285" spans="1:6" x14ac:dyDescent="0.35">
      <c r="A1285" s="3" t="s">
        <v>1848</v>
      </c>
      <c r="B1285" t="str">
        <f>VLOOKUP(A1285,Raw_Data!A:L,6,FALSE)</f>
        <v>Dishwasher</v>
      </c>
      <c r="C1285" t="str">
        <f>VLOOKUP(A1285,Raw_Data!A:L,3,FALSE)</f>
        <v>Israel</v>
      </c>
      <c r="D1285" s="3">
        <f>VLOOKUP(A1285,Raw_Data!A:L,12,FALSE)</f>
        <v>27500</v>
      </c>
      <c r="E1285" s="3">
        <f>VLOOKUP(A1285,Raw_Data!A:L,11,FALSE)</f>
        <v>55</v>
      </c>
      <c r="F1285" t="str">
        <f>TEXT(VLOOKUP(A1285,Raw_Data!A:L,5,FALSE),"mmm")</f>
        <v>Dec</v>
      </c>
    </row>
    <row r="1286" spans="1:6" x14ac:dyDescent="0.35">
      <c r="A1286" s="3" t="s">
        <v>1849</v>
      </c>
      <c r="B1286" t="str">
        <f>VLOOKUP(A1286,Raw_Data!A:L,6,FALSE)</f>
        <v>Iron</v>
      </c>
      <c r="C1286" t="str">
        <f>VLOOKUP(A1286,Raw_Data!A:L,3,FALSE)</f>
        <v>Italy</v>
      </c>
      <c r="D1286" s="3">
        <f>VLOOKUP(A1286,Raw_Data!A:L,12,FALSE)</f>
        <v>1480</v>
      </c>
      <c r="E1286" s="3">
        <f>VLOOKUP(A1286,Raw_Data!A:L,11,FALSE)</f>
        <v>74</v>
      </c>
      <c r="F1286" t="str">
        <f>TEXT(VLOOKUP(A1286,Raw_Data!A:L,5,FALSE),"mmm")</f>
        <v>Feb</v>
      </c>
    </row>
    <row r="1287" spans="1:6" x14ac:dyDescent="0.35">
      <c r="A1287" s="3" t="s">
        <v>1850</v>
      </c>
      <c r="B1287" t="str">
        <f>VLOOKUP(A1287,Raw_Data!A:L,6,FALSE)</f>
        <v>Oven</v>
      </c>
      <c r="C1287" t="str">
        <f>VLOOKUP(A1287,Raw_Data!A:L,3,FALSE)</f>
        <v>USA</v>
      </c>
      <c r="D1287" s="3">
        <f>VLOOKUP(A1287,Raw_Data!A:L,12,FALSE)</f>
        <v>7500</v>
      </c>
      <c r="E1287" s="3">
        <f>VLOOKUP(A1287,Raw_Data!A:L,11,FALSE)</f>
        <v>15</v>
      </c>
      <c r="F1287" t="str">
        <f>TEXT(VLOOKUP(A1287,Raw_Data!A:L,5,FALSE),"mmm")</f>
        <v>Apr</v>
      </c>
    </row>
    <row r="1288" spans="1:6" x14ac:dyDescent="0.35">
      <c r="A1288" s="3" t="s">
        <v>1851</v>
      </c>
      <c r="B1288" t="str">
        <f>VLOOKUP(A1288,Raw_Data!A:L,6,FALSE)</f>
        <v>Refrigerator</v>
      </c>
      <c r="C1288" t="str">
        <f>VLOOKUP(A1288,Raw_Data!A:L,3,FALSE)</f>
        <v>China</v>
      </c>
      <c r="D1288" s="3">
        <f>VLOOKUP(A1288,Raw_Data!A:L,12,FALSE)</f>
        <v>51870</v>
      </c>
      <c r="E1288" s="3">
        <f>VLOOKUP(A1288,Raw_Data!A:L,11,FALSE)</f>
        <v>57</v>
      </c>
      <c r="F1288" t="str">
        <f>TEXT(VLOOKUP(A1288,Raw_Data!A:L,5,FALSE),"mmm")</f>
        <v>May</v>
      </c>
    </row>
    <row r="1289" spans="1:6" x14ac:dyDescent="0.35">
      <c r="A1289" s="3" t="s">
        <v>1852</v>
      </c>
      <c r="B1289" t="str">
        <f>VLOOKUP(A1289,Raw_Data!A:L,6,FALSE)</f>
        <v>Refrigerator</v>
      </c>
      <c r="C1289" t="str">
        <f>VLOOKUP(A1289,Raw_Data!A:L,3,FALSE)</f>
        <v>Poland</v>
      </c>
      <c r="D1289" s="3">
        <f>VLOOKUP(A1289,Raw_Data!A:L,12,FALSE)</f>
        <v>64320</v>
      </c>
      <c r="E1289" s="3">
        <f>VLOOKUP(A1289,Raw_Data!A:L,11,FALSE)</f>
        <v>67</v>
      </c>
      <c r="F1289" t="str">
        <f>TEXT(VLOOKUP(A1289,Raw_Data!A:L,5,FALSE),"mmm")</f>
        <v>Mar</v>
      </c>
    </row>
    <row r="1290" spans="1:6" x14ac:dyDescent="0.35">
      <c r="A1290" s="3" t="s">
        <v>1853</v>
      </c>
      <c r="B1290" t="str">
        <f>VLOOKUP(A1290,Raw_Data!A:L,6,FALSE)</f>
        <v>Refrigerator</v>
      </c>
      <c r="C1290" t="str">
        <f>VLOOKUP(A1290,Raw_Data!A:L,3,FALSE)</f>
        <v>Malaysia</v>
      </c>
      <c r="D1290" s="3">
        <f>VLOOKUP(A1290,Raw_Data!A:L,12,FALSE)</f>
        <v>8640</v>
      </c>
      <c r="E1290" s="3">
        <f>VLOOKUP(A1290,Raw_Data!A:L,11,FALSE)</f>
        <v>16</v>
      </c>
      <c r="F1290" t="str">
        <f>TEXT(VLOOKUP(A1290,Raw_Data!A:L,5,FALSE),"mmm")</f>
        <v>Jul</v>
      </c>
    </row>
    <row r="1291" spans="1:6" x14ac:dyDescent="0.35">
      <c r="A1291" s="3" t="s">
        <v>1854</v>
      </c>
      <c r="B1291" t="str">
        <f>VLOOKUP(A1291,Raw_Data!A:L,6,FALSE)</f>
        <v>Toaster</v>
      </c>
      <c r="C1291" t="str">
        <f>VLOOKUP(A1291,Raw_Data!A:L,3,FALSE)</f>
        <v>USA</v>
      </c>
      <c r="D1291" s="3">
        <f>VLOOKUP(A1291,Raw_Data!A:L,12,FALSE)</f>
        <v>1470</v>
      </c>
      <c r="E1291" s="3">
        <f>VLOOKUP(A1291,Raw_Data!A:L,11,FALSE)</f>
        <v>30</v>
      </c>
      <c r="F1291" t="str">
        <f>TEXT(VLOOKUP(A1291,Raw_Data!A:L,5,FALSE),"mmm")</f>
        <v>Apr</v>
      </c>
    </row>
    <row r="1292" spans="1:6" x14ac:dyDescent="0.35">
      <c r="A1292" s="3" t="s">
        <v>1855</v>
      </c>
      <c r="B1292" t="str">
        <f>VLOOKUP(A1292,Raw_Data!A:L,6,FALSE)</f>
        <v>Toaster</v>
      </c>
      <c r="C1292" t="str">
        <f>VLOOKUP(A1292,Raw_Data!A:L,3,FALSE)</f>
        <v>Czech Republic</v>
      </c>
      <c r="D1292" s="3">
        <f>VLOOKUP(A1292,Raw_Data!A:L,12,FALSE)</f>
        <v>2350</v>
      </c>
      <c r="E1292" s="3">
        <f>VLOOKUP(A1292,Raw_Data!A:L,11,FALSE)</f>
        <v>50</v>
      </c>
      <c r="F1292" t="str">
        <f>TEXT(VLOOKUP(A1292,Raw_Data!A:L,5,FALSE),"mmm")</f>
        <v>Jul</v>
      </c>
    </row>
    <row r="1293" spans="1:6" x14ac:dyDescent="0.35">
      <c r="A1293" s="3" t="s">
        <v>1856</v>
      </c>
      <c r="B1293" t="str">
        <f>VLOOKUP(A1293,Raw_Data!A:L,6,FALSE)</f>
        <v>Air conditioner</v>
      </c>
      <c r="C1293" t="str">
        <f>VLOOKUP(A1293,Raw_Data!A:L,3,FALSE)</f>
        <v>Saudi Arabia</v>
      </c>
      <c r="D1293" s="3">
        <f>VLOOKUP(A1293,Raw_Data!A:L,12,FALSE)</f>
        <v>22484</v>
      </c>
      <c r="E1293" s="3">
        <f>VLOOKUP(A1293,Raw_Data!A:L,11,FALSE)</f>
        <v>44</v>
      </c>
      <c r="F1293" t="str">
        <f>TEXT(VLOOKUP(A1293,Raw_Data!A:L,5,FALSE),"mmm")</f>
        <v>Mar</v>
      </c>
    </row>
    <row r="1294" spans="1:6" x14ac:dyDescent="0.35">
      <c r="A1294" s="3" t="s">
        <v>1857</v>
      </c>
      <c r="B1294" t="str">
        <f>VLOOKUP(A1294,Raw_Data!A:L,6,FALSE)</f>
        <v>Washing Machine</v>
      </c>
      <c r="C1294" t="str">
        <f>VLOOKUP(A1294,Raw_Data!A:L,3,FALSE)</f>
        <v>Austria</v>
      </c>
      <c r="D1294" s="3">
        <f>VLOOKUP(A1294,Raw_Data!A:L,12,FALSE)</f>
        <v>54352</v>
      </c>
      <c r="E1294" s="3">
        <f>VLOOKUP(A1294,Raw_Data!A:L,11,FALSE)</f>
        <v>79</v>
      </c>
      <c r="F1294" t="str">
        <f>TEXT(VLOOKUP(A1294,Raw_Data!A:L,5,FALSE),"mmm")</f>
        <v>Oct</v>
      </c>
    </row>
    <row r="1295" spans="1:6" x14ac:dyDescent="0.35">
      <c r="A1295" s="3" t="s">
        <v>1858</v>
      </c>
      <c r="B1295" t="str">
        <f>VLOOKUP(A1295,Raw_Data!A:L,6,FALSE)</f>
        <v>Washing Machine</v>
      </c>
      <c r="C1295" t="str">
        <f>VLOOKUP(A1295,Raw_Data!A:L,3,FALSE)</f>
        <v>UK</v>
      </c>
      <c r="D1295" s="3">
        <f>VLOOKUP(A1295,Raw_Data!A:L,12,FALSE)</f>
        <v>40176</v>
      </c>
      <c r="E1295" s="3">
        <f>VLOOKUP(A1295,Raw_Data!A:L,11,FALSE)</f>
        <v>62</v>
      </c>
      <c r="F1295" t="str">
        <f>TEXT(VLOOKUP(A1295,Raw_Data!A:L,5,FALSE),"mmm")</f>
        <v>Aug</v>
      </c>
    </row>
    <row r="1296" spans="1:6" x14ac:dyDescent="0.35">
      <c r="A1296" s="3" t="s">
        <v>1859</v>
      </c>
      <c r="B1296" t="str">
        <f>VLOOKUP(A1296,Raw_Data!A:L,6,FALSE)</f>
        <v>Iron</v>
      </c>
      <c r="C1296" t="str">
        <f>VLOOKUP(A1296,Raw_Data!A:L,3,FALSE)</f>
        <v>Ireland</v>
      </c>
      <c r="D1296" s="3">
        <f>VLOOKUP(A1296,Raw_Data!A:L,12,FALSE)</f>
        <v>1410</v>
      </c>
      <c r="E1296" s="3">
        <f>VLOOKUP(A1296,Raw_Data!A:L,11,FALSE)</f>
        <v>47</v>
      </c>
      <c r="F1296" t="str">
        <f>TEXT(VLOOKUP(A1296,Raw_Data!A:L,5,FALSE),"mmm")</f>
        <v>May</v>
      </c>
    </row>
    <row r="1297" spans="1:6" x14ac:dyDescent="0.35">
      <c r="A1297" s="3" t="s">
        <v>1860</v>
      </c>
      <c r="B1297" t="str">
        <f>VLOOKUP(A1297,Raw_Data!A:L,6,FALSE)</f>
        <v>Vacuum Cleaner</v>
      </c>
      <c r="C1297" t="str">
        <f>VLOOKUP(A1297,Raw_Data!A:L,3,FALSE)</f>
        <v>Argentina</v>
      </c>
      <c r="D1297" s="3">
        <f>VLOOKUP(A1297,Raw_Data!A:L,12,FALSE)</f>
        <v>15410</v>
      </c>
      <c r="E1297" s="3">
        <f>VLOOKUP(A1297,Raw_Data!A:L,11,FALSE)</f>
        <v>67</v>
      </c>
      <c r="F1297" t="str">
        <f>TEXT(VLOOKUP(A1297,Raw_Data!A:L,5,FALSE),"mmm")</f>
        <v>Sep</v>
      </c>
    </row>
    <row r="1298" spans="1:6" x14ac:dyDescent="0.35">
      <c r="A1298" s="3" t="s">
        <v>1861</v>
      </c>
      <c r="B1298" t="str">
        <f>VLOOKUP(A1298,Raw_Data!A:L,6,FALSE)</f>
        <v>Blender</v>
      </c>
      <c r="C1298" t="str">
        <f>VLOOKUP(A1298,Raw_Data!A:L,3,FALSE)</f>
        <v>Canada</v>
      </c>
      <c r="D1298" s="3">
        <f>VLOOKUP(A1298,Raw_Data!A:L,12,FALSE)</f>
        <v>2914</v>
      </c>
      <c r="E1298" s="3">
        <f>VLOOKUP(A1298,Raw_Data!A:L,11,FALSE)</f>
        <v>62</v>
      </c>
      <c r="F1298" t="str">
        <f>TEXT(VLOOKUP(A1298,Raw_Data!A:L,5,FALSE),"mmm")</f>
        <v>Nov</v>
      </c>
    </row>
    <row r="1299" spans="1:6" x14ac:dyDescent="0.35">
      <c r="A1299" s="3" t="s">
        <v>1862</v>
      </c>
      <c r="B1299" t="str">
        <f>VLOOKUP(A1299,Raw_Data!A:L,6,FALSE)</f>
        <v>Iron</v>
      </c>
      <c r="C1299" t="str">
        <f>VLOOKUP(A1299,Raw_Data!A:L,3,FALSE)</f>
        <v>Austria</v>
      </c>
      <c r="D1299" s="3">
        <f>VLOOKUP(A1299,Raw_Data!A:L,12,FALSE)</f>
        <v>1150</v>
      </c>
      <c r="E1299" s="3">
        <f>VLOOKUP(A1299,Raw_Data!A:L,11,FALSE)</f>
        <v>46</v>
      </c>
      <c r="F1299" t="str">
        <f>TEXT(VLOOKUP(A1299,Raw_Data!A:L,5,FALSE),"mmm")</f>
        <v>May</v>
      </c>
    </row>
    <row r="1300" spans="1:6" x14ac:dyDescent="0.35">
      <c r="A1300" s="3" t="s">
        <v>1863</v>
      </c>
      <c r="B1300" t="str">
        <f>VLOOKUP(A1300,Raw_Data!A:L,6,FALSE)</f>
        <v>Coffee grinder</v>
      </c>
      <c r="C1300" t="str">
        <f>VLOOKUP(A1300,Raw_Data!A:L,3,FALSE)</f>
        <v>Ireland</v>
      </c>
      <c r="D1300" s="3">
        <f>VLOOKUP(A1300,Raw_Data!A:L,12,FALSE)</f>
        <v>268</v>
      </c>
      <c r="E1300" s="3">
        <f>VLOOKUP(A1300,Raw_Data!A:L,11,FALSE)</f>
        <v>4</v>
      </c>
      <c r="F1300" t="str">
        <f>TEXT(VLOOKUP(A1300,Raw_Data!A:L,5,FALSE),"mmm")</f>
        <v>Oct</v>
      </c>
    </row>
    <row r="1301" spans="1:6" x14ac:dyDescent="0.35">
      <c r="A1301" s="3" t="s">
        <v>1864</v>
      </c>
      <c r="B1301" t="str">
        <f>VLOOKUP(A1301,Raw_Data!A:L,6,FALSE)</f>
        <v>Refrigerator</v>
      </c>
      <c r="C1301" t="str">
        <f>VLOOKUP(A1301,Raw_Data!A:L,3,FALSE)</f>
        <v>Poland</v>
      </c>
      <c r="D1301" s="3">
        <f>VLOOKUP(A1301,Raw_Data!A:L,12,FALSE)</f>
        <v>29140</v>
      </c>
      <c r="E1301" s="3">
        <f>VLOOKUP(A1301,Raw_Data!A:L,11,FALSE)</f>
        <v>31</v>
      </c>
      <c r="F1301" t="str">
        <f>TEXT(VLOOKUP(A1301,Raw_Data!A:L,5,FALSE),"mmm")</f>
        <v>May</v>
      </c>
    </row>
    <row r="1302" spans="1:6" x14ac:dyDescent="0.35">
      <c r="A1302" s="3" t="s">
        <v>1866</v>
      </c>
      <c r="B1302" t="str">
        <f>VLOOKUP(A1302,Raw_Data!A:L,6,FALSE)</f>
        <v>Dishwasher</v>
      </c>
      <c r="C1302" t="str">
        <f>VLOOKUP(A1302,Raw_Data!A:L,3,FALSE)</f>
        <v>USA</v>
      </c>
      <c r="D1302" s="3">
        <f>VLOOKUP(A1302,Raw_Data!A:L,12,FALSE)</f>
        <v>4800</v>
      </c>
      <c r="E1302" s="3">
        <f>VLOOKUP(A1302,Raw_Data!A:L,11,FALSE)</f>
        <v>10</v>
      </c>
      <c r="F1302" t="str">
        <f>TEXT(VLOOKUP(A1302,Raw_Data!A:L,5,FALSE),"mmm")</f>
        <v>Oct</v>
      </c>
    </row>
    <row r="1303" spans="1:6" x14ac:dyDescent="0.35">
      <c r="A1303" s="3" t="s">
        <v>1867</v>
      </c>
      <c r="B1303" t="str">
        <f>VLOOKUP(A1303,Raw_Data!A:L,6,FALSE)</f>
        <v>Coffee grinder</v>
      </c>
      <c r="C1303" t="str">
        <f>VLOOKUP(A1303,Raw_Data!A:L,3,FALSE)</f>
        <v>Czech Republic</v>
      </c>
      <c r="D1303" s="3">
        <f>VLOOKUP(A1303,Raw_Data!A:L,12,FALSE)</f>
        <v>408</v>
      </c>
      <c r="E1303" s="3">
        <f>VLOOKUP(A1303,Raw_Data!A:L,11,FALSE)</f>
        <v>6</v>
      </c>
      <c r="F1303" t="str">
        <f>TEXT(VLOOKUP(A1303,Raw_Data!A:L,5,FALSE),"mmm")</f>
        <v>Jan</v>
      </c>
    </row>
    <row r="1304" spans="1:6" x14ac:dyDescent="0.35">
      <c r="A1304" s="3" t="s">
        <v>1868</v>
      </c>
      <c r="B1304" t="str">
        <f>VLOOKUP(A1304,Raw_Data!A:L,6,FALSE)</f>
        <v>Ceiling fan</v>
      </c>
      <c r="C1304" t="str">
        <f>VLOOKUP(A1304,Raw_Data!A:L,3,FALSE)</f>
        <v>South Africa</v>
      </c>
      <c r="D1304" s="3">
        <f>VLOOKUP(A1304,Raw_Data!A:L,12,FALSE)</f>
        <v>12348</v>
      </c>
      <c r="E1304" s="3">
        <f>VLOOKUP(A1304,Raw_Data!A:L,11,FALSE)</f>
        <v>84</v>
      </c>
      <c r="F1304" t="str">
        <f>TEXT(VLOOKUP(A1304,Raw_Data!A:L,5,FALSE),"mmm")</f>
        <v>Jun</v>
      </c>
    </row>
    <row r="1305" spans="1:6" x14ac:dyDescent="0.35">
      <c r="A1305" s="3" t="s">
        <v>1869</v>
      </c>
      <c r="B1305" t="str">
        <f>VLOOKUP(A1305,Raw_Data!A:L,6,FALSE)</f>
        <v>Microwave</v>
      </c>
      <c r="C1305" t="str">
        <f>VLOOKUP(A1305,Raw_Data!A:L,3,FALSE)</f>
        <v>Poland</v>
      </c>
      <c r="D1305" s="3">
        <f>VLOOKUP(A1305,Raw_Data!A:L,12,FALSE)</f>
        <v>3108</v>
      </c>
      <c r="E1305" s="3">
        <f>VLOOKUP(A1305,Raw_Data!A:L,11,FALSE)</f>
        <v>42</v>
      </c>
      <c r="F1305" t="str">
        <f>TEXT(VLOOKUP(A1305,Raw_Data!A:L,5,FALSE),"mmm")</f>
        <v>Jun</v>
      </c>
    </row>
    <row r="1306" spans="1:6" x14ac:dyDescent="0.35">
      <c r="A1306" s="3" t="s">
        <v>1870</v>
      </c>
      <c r="B1306" t="str">
        <f>VLOOKUP(A1306,Raw_Data!A:L,6,FALSE)</f>
        <v>Oven</v>
      </c>
      <c r="C1306" t="str">
        <f>VLOOKUP(A1306,Raw_Data!A:L,3,FALSE)</f>
        <v>USA</v>
      </c>
      <c r="D1306" s="3">
        <f>VLOOKUP(A1306,Raw_Data!A:L,12,FALSE)</f>
        <v>39200</v>
      </c>
      <c r="E1306" s="3">
        <f>VLOOKUP(A1306,Raw_Data!A:L,11,FALSE)</f>
        <v>80</v>
      </c>
      <c r="F1306" t="str">
        <f>TEXT(VLOOKUP(A1306,Raw_Data!A:L,5,FALSE),"mmm")</f>
        <v>Jul</v>
      </c>
    </row>
    <row r="1307" spans="1:6" x14ac:dyDescent="0.35">
      <c r="A1307" s="3" t="s">
        <v>1872</v>
      </c>
      <c r="B1307" t="str">
        <f>VLOOKUP(A1307,Raw_Data!A:L,6,FALSE)</f>
        <v>Oven</v>
      </c>
      <c r="C1307" t="str">
        <f>VLOOKUP(A1307,Raw_Data!A:L,3,FALSE)</f>
        <v>Colombia</v>
      </c>
      <c r="D1307" s="3">
        <f>VLOOKUP(A1307,Raw_Data!A:L,12,FALSE)</f>
        <v>37240</v>
      </c>
      <c r="E1307" s="3">
        <f>VLOOKUP(A1307,Raw_Data!A:L,11,FALSE)</f>
        <v>76</v>
      </c>
      <c r="F1307" t="str">
        <f>TEXT(VLOOKUP(A1307,Raw_Data!A:L,5,FALSE),"mmm")</f>
        <v>May</v>
      </c>
    </row>
    <row r="1308" spans="1:6" x14ac:dyDescent="0.35">
      <c r="A1308" s="3" t="s">
        <v>1874</v>
      </c>
      <c r="B1308" t="str">
        <f>VLOOKUP(A1308,Raw_Data!A:L,6,FALSE)</f>
        <v>Coffee grinder</v>
      </c>
      <c r="C1308" t="str">
        <f>VLOOKUP(A1308,Raw_Data!A:L,3,FALSE)</f>
        <v>South Korea</v>
      </c>
      <c r="D1308" s="3">
        <f>VLOOKUP(A1308,Raw_Data!A:L,12,FALSE)</f>
        <v>6020</v>
      </c>
      <c r="E1308" s="3">
        <f>VLOOKUP(A1308,Raw_Data!A:L,11,FALSE)</f>
        <v>86</v>
      </c>
      <c r="F1308" t="str">
        <f>TEXT(VLOOKUP(A1308,Raw_Data!A:L,5,FALSE),"mmm")</f>
        <v>Apr</v>
      </c>
    </row>
    <row r="1309" spans="1:6" x14ac:dyDescent="0.35">
      <c r="A1309" s="3" t="s">
        <v>1875</v>
      </c>
      <c r="B1309" t="str">
        <f>VLOOKUP(A1309,Raw_Data!A:L,6,FALSE)</f>
        <v>Oven</v>
      </c>
      <c r="C1309" t="str">
        <f>VLOOKUP(A1309,Raw_Data!A:L,3,FALSE)</f>
        <v>Greece</v>
      </c>
      <c r="D1309" s="3">
        <f>VLOOKUP(A1309,Raw_Data!A:L,12,FALSE)</f>
        <v>31500</v>
      </c>
      <c r="E1309" s="3">
        <f>VLOOKUP(A1309,Raw_Data!A:L,11,FALSE)</f>
        <v>63</v>
      </c>
      <c r="F1309" t="str">
        <f>TEXT(VLOOKUP(A1309,Raw_Data!A:L,5,FALSE),"mmm")</f>
        <v>Nov</v>
      </c>
    </row>
    <row r="1310" spans="1:6" x14ac:dyDescent="0.35">
      <c r="A1310" s="3" t="s">
        <v>1876</v>
      </c>
      <c r="B1310" t="str">
        <f>VLOOKUP(A1310,Raw_Data!A:L,6,FALSE)</f>
        <v>Air conditioner</v>
      </c>
      <c r="C1310" t="str">
        <f>VLOOKUP(A1310,Raw_Data!A:L,3,FALSE)</f>
        <v>Vietnam</v>
      </c>
      <c r="D1310" s="3">
        <f>VLOOKUP(A1310,Raw_Data!A:L,12,FALSE)</f>
        <v>15750</v>
      </c>
      <c r="E1310" s="3">
        <f>VLOOKUP(A1310,Raw_Data!A:L,11,FALSE)</f>
        <v>25</v>
      </c>
      <c r="F1310" t="str">
        <f>TEXT(VLOOKUP(A1310,Raw_Data!A:L,5,FALSE),"mmm")</f>
        <v>Oct</v>
      </c>
    </row>
    <row r="1311" spans="1:6" x14ac:dyDescent="0.35">
      <c r="A1311" s="3" t="s">
        <v>1877</v>
      </c>
      <c r="B1311" t="str">
        <f>VLOOKUP(A1311,Raw_Data!A:L,6,FALSE)</f>
        <v>Toaster</v>
      </c>
      <c r="C1311" t="str">
        <f>VLOOKUP(A1311,Raw_Data!A:L,3,FALSE)</f>
        <v>Czech Republic</v>
      </c>
      <c r="D1311" s="3">
        <f>VLOOKUP(A1311,Raw_Data!A:L,12,FALSE)</f>
        <v>3216</v>
      </c>
      <c r="E1311" s="3">
        <f>VLOOKUP(A1311,Raw_Data!A:L,11,FALSE)</f>
        <v>67</v>
      </c>
      <c r="F1311" t="str">
        <f>TEXT(VLOOKUP(A1311,Raw_Data!A:L,5,FALSE),"mmm")</f>
        <v>Jun</v>
      </c>
    </row>
    <row r="1312" spans="1:6" x14ac:dyDescent="0.35">
      <c r="A1312" s="3" t="s">
        <v>1878</v>
      </c>
      <c r="B1312" t="str">
        <f>VLOOKUP(A1312,Raw_Data!A:L,6,FALSE)</f>
        <v>Washing Machine</v>
      </c>
      <c r="C1312" t="str">
        <f>VLOOKUP(A1312,Raw_Data!A:L,3,FALSE)</f>
        <v>Spain</v>
      </c>
      <c r="D1312" s="3">
        <f>VLOOKUP(A1312,Raw_Data!A:L,12,FALSE)</f>
        <v>2944</v>
      </c>
      <c r="E1312" s="3">
        <f>VLOOKUP(A1312,Raw_Data!A:L,11,FALSE)</f>
        <v>4</v>
      </c>
      <c r="F1312" t="str">
        <f>TEXT(VLOOKUP(A1312,Raw_Data!A:L,5,FALSE),"mmm")</f>
        <v>Oct</v>
      </c>
    </row>
    <row r="1313" spans="1:6" x14ac:dyDescent="0.35">
      <c r="A1313" s="3" t="s">
        <v>1879</v>
      </c>
      <c r="B1313" t="str">
        <f>VLOOKUP(A1313,Raw_Data!A:L,6,FALSE)</f>
        <v>Washing Machine</v>
      </c>
      <c r="C1313" t="str">
        <f>VLOOKUP(A1313,Raw_Data!A:L,3,FALSE)</f>
        <v>Germany</v>
      </c>
      <c r="D1313" s="3">
        <f>VLOOKUP(A1313,Raw_Data!A:L,12,FALSE)</f>
        <v>10976</v>
      </c>
      <c r="E1313" s="3">
        <f>VLOOKUP(A1313,Raw_Data!A:L,11,FALSE)</f>
        <v>14</v>
      </c>
      <c r="F1313" t="str">
        <f>TEXT(VLOOKUP(A1313,Raw_Data!A:L,5,FALSE),"mmm")</f>
        <v>Mar</v>
      </c>
    </row>
    <row r="1314" spans="1:6" x14ac:dyDescent="0.35">
      <c r="A1314" s="3" t="s">
        <v>1880</v>
      </c>
      <c r="B1314" t="str">
        <f>VLOOKUP(A1314,Raw_Data!A:L,6,FALSE)</f>
        <v>Vacuum Cleaner</v>
      </c>
      <c r="C1314" t="str">
        <f>VLOOKUP(A1314,Raw_Data!A:L,3,FALSE)</f>
        <v>Italy</v>
      </c>
      <c r="D1314" s="3">
        <f>VLOOKUP(A1314,Raw_Data!A:L,12,FALSE)</f>
        <v>21850</v>
      </c>
      <c r="E1314" s="3">
        <f>VLOOKUP(A1314,Raw_Data!A:L,11,FALSE)</f>
        <v>95</v>
      </c>
      <c r="F1314" t="str">
        <f>TEXT(VLOOKUP(A1314,Raw_Data!A:L,5,FALSE),"mmm")</f>
        <v>Jun</v>
      </c>
    </row>
    <row r="1315" spans="1:6" x14ac:dyDescent="0.35">
      <c r="A1315" s="3" t="s">
        <v>1881</v>
      </c>
      <c r="B1315" t="str">
        <f>VLOOKUP(A1315,Raw_Data!A:L,6,FALSE)</f>
        <v>Coffee grinder</v>
      </c>
      <c r="C1315" t="str">
        <f>VLOOKUP(A1315,Raw_Data!A:L,3,FALSE)</f>
        <v>China</v>
      </c>
      <c r="D1315" s="3">
        <f>VLOOKUP(A1315,Raw_Data!A:L,12,FALSE)</f>
        <v>2914</v>
      </c>
      <c r="E1315" s="3">
        <f>VLOOKUP(A1315,Raw_Data!A:L,11,FALSE)</f>
        <v>47</v>
      </c>
      <c r="F1315" t="str">
        <f>TEXT(VLOOKUP(A1315,Raw_Data!A:L,5,FALSE),"mmm")</f>
        <v>Nov</v>
      </c>
    </row>
    <row r="1316" spans="1:6" x14ac:dyDescent="0.35">
      <c r="A1316" s="3" t="s">
        <v>1883</v>
      </c>
      <c r="B1316" t="str">
        <f>VLOOKUP(A1316,Raw_Data!A:L,6,FALSE)</f>
        <v>Vacuum Cleaner</v>
      </c>
      <c r="C1316" t="str">
        <f>VLOOKUP(A1316,Raw_Data!A:L,3,FALSE)</f>
        <v>Brazil</v>
      </c>
      <c r="D1316" s="3">
        <f>VLOOKUP(A1316,Raw_Data!A:L,12,FALSE)</f>
        <v>9843</v>
      </c>
      <c r="E1316" s="3">
        <f>VLOOKUP(A1316,Raw_Data!A:L,11,FALSE)</f>
        <v>51</v>
      </c>
      <c r="F1316" t="str">
        <f>TEXT(VLOOKUP(A1316,Raw_Data!A:L,5,FALSE),"mmm")</f>
        <v>Jul</v>
      </c>
    </row>
    <row r="1317" spans="1:6" x14ac:dyDescent="0.35">
      <c r="A1317" s="3" t="s">
        <v>1884</v>
      </c>
      <c r="B1317" t="str">
        <f>VLOOKUP(A1317,Raw_Data!A:L,6,FALSE)</f>
        <v>Oven</v>
      </c>
      <c r="C1317" t="str">
        <f>VLOOKUP(A1317,Raw_Data!A:L,3,FALSE)</f>
        <v>Vietnam</v>
      </c>
      <c r="D1317" s="3">
        <f>VLOOKUP(A1317,Raw_Data!A:L,12,FALSE)</f>
        <v>26235</v>
      </c>
      <c r="E1317" s="3">
        <f>VLOOKUP(A1317,Raw_Data!A:L,11,FALSE)</f>
        <v>53</v>
      </c>
      <c r="F1317" t="str">
        <f>TEXT(VLOOKUP(A1317,Raw_Data!A:L,5,FALSE),"mmm")</f>
        <v>Mar</v>
      </c>
    </row>
    <row r="1318" spans="1:6" x14ac:dyDescent="0.35">
      <c r="A1318" s="3" t="s">
        <v>1885</v>
      </c>
      <c r="B1318" t="str">
        <f>VLOOKUP(A1318,Raw_Data!A:L,6,FALSE)</f>
        <v>Washing Machine</v>
      </c>
      <c r="C1318" t="str">
        <f>VLOOKUP(A1318,Raw_Data!A:L,3,FALSE)</f>
        <v>Italy</v>
      </c>
      <c r="D1318" s="3">
        <f>VLOOKUP(A1318,Raw_Data!A:L,12,FALSE)</f>
        <v>28224</v>
      </c>
      <c r="E1318" s="3">
        <f>VLOOKUP(A1318,Raw_Data!A:L,11,FALSE)</f>
        <v>36</v>
      </c>
      <c r="F1318" t="str">
        <f>TEXT(VLOOKUP(A1318,Raw_Data!A:L,5,FALSE),"mmm")</f>
        <v>Sep</v>
      </c>
    </row>
    <row r="1319" spans="1:6" x14ac:dyDescent="0.35">
      <c r="A1319" s="3" t="s">
        <v>1886</v>
      </c>
      <c r="B1319" t="str">
        <f>VLOOKUP(A1319,Raw_Data!A:L,6,FALSE)</f>
        <v>Microwave</v>
      </c>
      <c r="C1319" t="str">
        <f>VLOOKUP(A1319,Raw_Data!A:L,3,FALSE)</f>
        <v>Colombia</v>
      </c>
      <c r="D1319" s="3">
        <f>VLOOKUP(A1319,Raw_Data!A:L,12,FALSE)</f>
        <v>2640</v>
      </c>
      <c r="E1319" s="3">
        <f>VLOOKUP(A1319,Raw_Data!A:L,11,FALSE)</f>
        <v>44</v>
      </c>
      <c r="F1319" t="str">
        <f>TEXT(VLOOKUP(A1319,Raw_Data!A:L,5,FALSE),"mmm")</f>
        <v>Dec</v>
      </c>
    </row>
    <row r="1320" spans="1:6" x14ac:dyDescent="0.35">
      <c r="A1320" s="3" t="s">
        <v>1887</v>
      </c>
      <c r="B1320" t="str">
        <f>VLOOKUP(A1320,Raw_Data!A:L,6,FALSE)</f>
        <v>Vacuum Cleaner</v>
      </c>
      <c r="C1320" t="str">
        <f>VLOOKUP(A1320,Raw_Data!A:L,3,FALSE)</f>
        <v>Germany</v>
      </c>
      <c r="D1320" s="3">
        <f>VLOOKUP(A1320,Raw_Data!A:L,12,FALSE)</f>
        <v>17860</v>
      </c>
      <c r="E1320" s="3">
        <f>VLOOKUP(A1320,Raw_Data!A:L,11,FALSE)</f>
        <v>76</v>
      </c>
      <c r="F1320" t="str">
        <f>TEXT(VLOOKUP(A1320,Raw_Data!A:L,5,FALSE),"mmm")</f>
        <v>Nov</v>
      </c>
    </row>
    <row r="1321" spans="1:6" x14ac:dyDescent="0.35">
      <c r="A1321" s="3" t="s">
        <v>1888</v>
      </c>
      <c r="B1321" t="str">
        <f>VLOOKUP(A1321,Raw_Data!A:L,6,FALSE)</f>
        <v>Vacuum Cleaner</v>
      </c>
      <c r="C1321" t="str">
        <f>VLOOKUP(A1321,Raw_Data!A:L,3,FALSE)</f>
        <v>Israel</v>
      </c>
      <c r="D1321" s="3">
        <f>VLOOKUP(A1321,Raw_Data!A:L,12,FALSE)</f>
        <v>15960</v>
      </c>
      <c r="E1321" s="3">
        <f>VLOOKUP(A1321,Raw_Data!A:L,11,FALSE)</f>
        <v>70</v>
      </c>
      <c r="F1321" t="str">
        <f>TEXT(VLOOKUP(A1321,Raw_Data!A:L,5,FALSE),"mmm")</f>
        <v>Dec</v>
      </c>
    </row>
    <row r="1322" spans="1:6" x14ac:dyDescent="0.35">
      <c r="A1322" s="3" t="s">
        <v>1889</v>
      </c>
      <c r="B1322" t="str">
        <f>VLOOKUP(A1322,Raw_Data!A:L,6,FALSE)</f>
        <v>Microwave</v>
      </c>
      <c r="C1322" t="str">
        <f>VLOOKUP(A1322,Raw_Data!A:L,3,FALSE)</f>
        <v>France</v>
      </c>
      <c r="D1322" s="3">
        <f>VLOOKUP(A1322,Raw_Data!A:L,12,FALSE)</f>
        <v>952</v>
      </c>
      <c r="E1322" s="3">
        <f>VLOOKUP(A1322,Raw_Data!A:L,11,FALSE)</f>
        <v>14</v>
      </c>
      <c r="F1322" t="str">
        <f>TEXT(VLOOKUP(A1322,Raw_Data!A:L,5,FALSE),"mmm")</f>
        <v>Feb</v>
      </c>
    </row>
    <row r="1323" spans="1:6" x14ac:dyDescent="0.35">
      <c r="A1323" s="3" t="s">
        <v>1890</v>
      </c>
      <c r="B1323" t="str">
        <f>VLOOKUP(A1323,Raw_Data!A:L,6,FALSE)</f>
        <v>Coffee grinder</v>
      </c>
      <c r="C1323" t="str">
        <f>VLOOKUP(A1323,Raw_Data!A:L,3,FALSE)</f>
        <v>Germany</v>
      </c>
      <c r="D1323" s="3">
        <f>VLOOKUP(A1323,Raw_Data!A:L,12,FALSE)</f>
        <v>640</v>
      </c>
      <c r="E1323" s="3">
        <f>VLOOKUP(A1323,Raw_Data!A:L,11,FALSE)</f>
        <v>10</v>
      </c>
      <c r="F1323" t="str">
        <f>TEXT(VLOOKUP(A1323,Raw_Data!A:L,5,FALSE),"mmm")</f>
        <v>Jun</v>
      </c>
    </row>
    <row r="1324" spans="1:6" x14ac:dyDescent="0.35">
      <c r="A1324" s="3" t="s">
        <v>1891</v>
      </c>
      <c r="B1324" t="str">
        <f>VLOOKUP(A1324,Raw_Data!A:L,6,FALSE)</f>
        <v>Washing Machine</v>
      </c>
      <c r="C1324" t="str">
        <f>VLOOKUP(A1324,Raw_Data!A:L,3,FALSE)</f>
        <v>Russia</v>
      </c>
      <c r="D1324" s="3">
        <f>VLOOKUP(A1324,Raw_Data!A:L,12,FALSE)</f>
        <v>15552</v>
      </c>
      <c r="E1324" s="3">
        <f>VLOOKUP(A1324,Raw_Data!A:L,11,FALSE)</f>
        <v>27</v>
      </c>
      <c r="F1324" t="str">
        <f>TEXT(VLOOKUP(A1324,Raw_Data!A:L,5,FALSE),"mmm")</f>
        <v>Feb</v>
      </c>
    </row>
    <row r="1325" spans="1:6" x14ac:dyDescent="0.35">
      <c r="A1325" s="3" t="s">
        <v>1892</v>
      </c>
      <c r="B1325" t="str">
        <f>VLOOKUP(A1325,Raw_Data!A:L,6,FALSE)</f>
        <v>Toaster</v>
      </c>
      <c r="C1325" t="str">
        <f>VLOOKUP(A1325,Raw_Data!A:L,3,FALSE)</f>
        <v>UK</v>
      </c>
      <c r="D1325" s="3">
        <f>VLOOKUP(A1325,Raw_Data!A:L,12,FALSE)</f>
        <v>3648</v>
      </c>
      <c r="E1325" s="3">
        <f>VLOOKUP(A1325,Raw_Data!A:L,11,FALSE)</f>
        <v>76</v>
      </c>
      <c r="F1325" t="str">
        <f>TEXT(VLOOKUP(A1325,Raw_Data!A:L,5,FALSE),"mmm")</f>
        <v>Jul</v>
      </c>
    </row>
    <row r="1326" spans="1:6" x14ac:dyDescent="0.35">
      <c r="A1326" s="3" t="s">
        <v>1893</v>
      </c>
      <c r="B1326" t="str">
        <f>VLOOKUP(A1326,Raw_Data!A:L,6,FALSE)</f>
        <v>Vacuum Cleaner</v>
      </c>
      <c r="C1326" t="str">
        <f>VLOOKUP(A1326,Raw_Data!A:L,3,FALSE)</f>
        <v>Romania</v>
      </c>
      <c r="D1326" s="3">
        <f>VLOOKUP(A1326,Raw_Data!A:L,12,FALSE)</f>
        <v>1240</v>
      </c>
      <c r="E1326" s="3">
        <f>VLOOKUP(A1326,Raw_Data!A:L,11,FALSE)</f>
        <v>5</v>
      </c>
      <c r="F1326" t="str">
        <f>TEXT(VLOOKUP(A1326,Raw_Data!A:L,5,FALSE),"mmm")</f>
        <v>Sep</v>
      </c>
    </row>
    <row r="1327" spans="1:6" x14ac:dyDescent="0.35">
      <c r="A1327" s="3" t="s">
        <v>1894</v>
      </c>
      <c r="B1327" t="str">
        <f>VLOOKUP(A1327,Raw_Data!A:L,6,FALSE)</f>
        <v>Air conditioner</v>
      </c>
      <c r="C1327" t="str">
        <f>VLOOKUP(A1327,Raw_Data!A:L,3,FALSE)</f>
        <v>India</v>
      </c>
      <c r="D1327" s="3">
        <f>VLOOKUP(A1327,Raw_Data!A:L,12,FALSE)</f>
        <v>10206</v>
      </c>
      <c r="E1327" s="3">
        <f>VLOOKUP(A1327,Raw_Data!A:L,11,FALSE)</f>
        <v>18</v>
      </c>
      <c r="F1327" t="str">
        <f>TEXT(VLOOKUP(A1327,Raw_Data!A:L,5,FALSE),"mmm")</f>
        <v>Dec</v>
      </c>
    </row>
    <row r="1328" spans="1:6" x14ac:dyDescent="0.35">
      <c r="A1328" s="3" t="s">
        <v>1895</v>
      </c>
      <c r="B1328" t="str">
        <f>VLOOKUP(A1328,Raw_Data!A:L,6,FALSE)</f>
        <v>Washing Machine</v>
      </c>
      <c r="C1328" t="str">
        <f>VLOOKUP(A1328,Raw_Data!A:L,3,FALSE)</f>
        <v>India</v>
      </c>
      <c r="D1328" s="3">
        <f>VLOOKUP(A1328,Raw_Data!A:L,12,FALSE)</f>
        <v>33512</v>
      </c>
      <c r="E1328" s="3">
        <f>VLOOKUP(A1328,Raw_Data!A:L,11,FALSE)</f>
        <v>71</v>
      </c>
      <c r="F1328" t="str">
        <f>TEXT(VLOOKUP(A1328,Raw_Data!A:L,5,FALSE),"mmm")</f>
        <v>Jun</v>
      </c>
    </row>
    <row r="1329" spans="1:6" x14ac:dyDescent="0.35">
      <c r="A1329" s="3" t="s">
        <v>1896</v>
      </c>
      <c r="B1329" t="str">
        <f>VLOOKUP(A1329,Raw_Data!A:L,6,FALSE)</f>
        <v>Air conditioner</v>
      </c>
      <c r="C1329" t="str">
        <f>VLOOKUP(A1329,Raw_Data!A:L,3,FALSE)</f>
        <v>Malaysia</v>
      </c>
      <c r="D1329" s="3">
        <f>VLOOKUP(A1329,Raw_Data!A:L,12,FALSE)</f>
        <v>5355</v>
      </c>
      <c r="E1329" s="3">
        <f>VLOOKUP(A1329,Raw_Data!A:L,11,FALSE)</f>
        <v>9</v>
      </c>
      <c r="F1329" t="str">
        <f>TEXT(VLOOKUP(A1329,Raw_Data!A:L,5,FALSE),"mmm")</f>
        <v>Jun</v>
      </c>
    </row>
    <row r="1330" spans="1:6" x14ac:dyDescent="0.35">
      <c r="A1330" s="3" t="s">
        <v>1897</v>
      </c>
      <c r="B1330" t="str">
        <f>VLOOKUP(A1330,Raw_Data!A:L,6,FALSE)</f>
        <v>Iron</v>
      </c>
      <c r="C1330" t="str">
        <f>VLOOKUP(A1330,Raw_Data!A:L,3,FALSE)</f>
        <v>South Korea</v>
      </c>
      <c r="D1330" s="3">
        <f>VLOOKUP(A1330,Raw_Data!A:L,12,FALSE)</f>
        <v>2262</v>
      </c>
      <c r="E1330" s="3">
        <f>VLOOKUP(A1330,Raw_Data!A:L,11,FALSE)</f>
        <v>78</v>
      </c>
      <c r="F1330" t="str">
        <f>TEXT(VLOOKUP(A1330,Raw_Data!A:L,5,FALSE),"mmm")</f>
        <v>Mar</v>
      </c>
    </row>
    <row r="1331" spans="1:6" x14ac:dyDescent="0.35">
      <c r="A1331" s="3" t="s">
        <v>1898</v>
      </c>
      <c r="B1331" t="str">
        <f>VLOOKUP(A1331,Raw_Data!A:L,6,FALSE)</f>
        <v>Blender</v>
      </c>
      <c r="C1331" t="str">
        <f>VLOOKUP(A1331,Raw_Data!A:L,3,FALSE)</f>
        <v>Czech Republic</v>
      </c>
      <c r="D1331" s="3">
        <f>VLOOKUP(A1331,Raw_Data!A:L,12,FALSE)</f>
        <v>900</v>
      </c>
      <c r="E1331" s="3">
        <f>VLOOKUP(A1331,Raw_Data!A:L,11,FALSE)</f>
        <v>25</v>
      </c>
      <c r="F1331" t="str">
        <f>TEXT(VLOOKUP(A1331,Raw_Data!A:L,5,FALSE),"mmm")</f>
        <v>Nov</v>
      </c>
    </row>
    <row r="1332" spans="1:6" x14ac:dyDescent="0.35">
      <c r="A1332" s="3" t="s">
        <v>1899</v>
      </c>
      <c r="B1332" t="str">
        <f>VLOOKUP(A1332,Raw_Data!A:L,6,FALSE)</f>
        <v>Toaster</v>
      </c>
      <c r="C1332" t="str">
        <f>VLOOKUP(A1332,Raw_Data!A:L,3,FALSE)</f>
        <v>UK</v>
      </c>
      <c r="D1332" s="3">
        <f>VLOOKUP(A1332,Raw_Data!A:L,12,FALSE)</f>
        <v>1457</v>
      </c>
      <c r="E1332" s="3">
        <f>VLOOKUP(A1332,Raw_Data!A:L,11,FALSE)</f>
        <v>47</v>
      </c>
      <c r="F1332" t="str">
        <f>TEXT(VLOOKUP(A1332,Raw_Data!A:L,5,FALSE),"mmm")</f>
        <v>Jan</v>
      </c>
    </row>
    <row r="1333" spans="1:6" x14ac:dyDescent="0.35">
      <c r="A1333" s="3" t="s">
        <v>1900</v>
      </c>
      <c r="B1333" t="str">
        <f>VLOOKUP(A1333,Raw_Data!A:L,6,FALSE)</f>
        <v>Coffee grinder</v>
      </c>
      <c r="C1333" t="str">
        <f>VLOOKUP(A1333,Raw_Data!A:L,3,FALSE)</f>
        <v>Israel</v>
      </c>
      <c r="D1333" s="3">
        <f>VLOOKUP(A1333,Raw_Data!A:L,12,FALSE)</f>
        <v>6528</v>
      </c>
      <c r="E1333" s="3">
        <f>VLOOKUP(A1333,Raw_Data!A:L,11,FALSE)</f>
        <v>96</v>
      </c>
      <c r="F1333" t="str">
        <f>TEXT(VLOOKUP(A1333,Raw_Data!A:L,5,FALSE),"mmm")</f>
        <v>Aug</v>
      </c>
    </row>
    <row r="1334" spans="1:6" x14ac:dyDescent="0.35">
      <c r="A1334" s="3" t="s">
        <v>1901</v>
      </c>
      <c r="B1334" t="str">
        <f>VLOOKUP(A1334,Raw_Data!A:L,6,FALSE)</f>
        <v>Air conditioner</v>
      </c>
      <c r="C1334" t="str">
        <f>VLOOKUP(A1334,Raw_Data!A:L,3,FALSE)</f>
        <v>USA</v>
      </c>
      <c r="D1334" s="3">
        <f>VLOOKUP(A1334,Raw_Data!A:L,12,FALSE)</f>
        <v>14112</v>
      </c>
      <c r="E1334" s="3">
        <f>VLOOKUP(A1334,Raw_Data!A:L,11,FALSE)</f>
        <v>21</v>
      </c>
      <c r="F1334" t="str">
        <f>TEXT(VLOOKUP(A1334,Raw_Data!A:L,5,FALSE),"mmm")</f>
        <v>Sep</v>
      </c>
    </row>
    <row r="1335" spans="1:6" x14ac:dyDescent="0.35">
      <c r="A1335" s="3" t="s">
        <v>1902</v>
      </c>
      <c r="B1335" t="str">
        <f>VLOOKUP(A1335,Raw_Data!A:L,6,FALSE)</f>
        <v>Vacuum Cleaner</v>
      </c>
      <c r="C1335" t="str">
        <f>VLOOKUP(A1335,Raw_Data!A:L,3,FALSE)</f>
        <v>China</v>
      </c>
      <c r="D1335" s="3">
        <f>VLOOKUP(A1335,Raw_Data!A:L,12,FALSE)</f>
        <v>14400</v>
      </c>
      <c r="E1335" s="3">
        <f>VLOOKUP(A1335,Raw_Data!A:L,11,FALSE)</f>
        <v>60</v>
      </c>
      <c r="F1335" t="str">
        <f>TEXT(VLOOKUP(A1335,Raw_Data!A:L,5,FALSE),"mmm")</f>
        <v>Nov</v>
      </c>
    </row>
    <row r="1336" spans="1:6" x14ac:dyDescent="0.35">
      <c r="A1336" s="3" t="s">
        <v>1903</v>
      </c>
      <c r="B1336" t="str">
        <f>VLOOKUP(A1336,Raw_Data!A:L,6,FALSE)</f>
        <v>Washing Machine</v>
      </c>
      <c r="C1336" t="str">
        <f>VLOOKUP(A1336,Raw_Data!A:L,3,FALSE)</f>
        <v>South Africa</v>
      </c>
      <c r="D1336" s="3">
        <f>VLOOKUP(A1336,Raw_Data!A:L,12,FALSE)</f>
        <v>41760</v>
      </c>
      <c r="E1336" s="3">
        <f>VLOOKUP(A1336,Raw_Data!A:L,11,FALSE)</f>
        <v>60</v>
      </c>
      <c r="F1336" t="str">
        <f>TEXT(VLOOKUP(A1336,Raw_Data!A:L,5,FALSE),"mmm")</f>
        <v>Sep</v>
      </c>
    </row>
    <row r="1337" spans="1:6" x14ac:dyDescent="0.35">
      <c r="A1337" s="3" t="s">
        <v>1904</v>
      </c>
      <c r="B1337" t="str">
        <f>VLOOKUP(A1337,Raw_Data!A:L,6,FALSE)</f>
        <v>Air conditioner</v>
      </c>
      <c r="C1337" t="str">
        <f>VLOOKUP(A1337,Raw_Data!A:L,3,FALSE)</f>
        <v>Vietnam</v>
      </c>
      <c r="D1337" s="3">
        <f>VLOOKUP(A1337,Raw_Data!A:L,12,FALSE)</f>
        <v>37324</v>
      </c>
      <c r="E1337" s="3">
        <f>VLOOKUP(A1337,Raw_Data!A:L,11,FALSE)</f>
        <v>62</v>
      </c>
      <c r="F1337" t="str">
        <f>TEXT(VLOOKUP(A1337,Raw_Data!A:L,5,FALSE),"mmm")</f>
        <v>Nov</v>
      </c>
    </row>
    <row r="1338" spans="1:6" x14ac:dyDescent="0.35">
      <c r="A1338" s="3" t="s">
        <v>1905</v>
      </c>
      <c r="B1338" t="str">
        <f>VLOOKUP(A1338,Raw_Data!A:L,6,FALSE)</f>
        <v>Toaster</v>
      </c>
      <c r="C1338" t="str">
        <f>VLOOKUP(A1338,Raw_Data!A:L,3,FALSE)</f>
        <v>Spain</v>
      </c>
      <c r="D1338" s="3">
        <f>VLOOKUP(A1338,Raw_Data!A:L,12,FALSE)</f>
        <v>3311</v>
      </c>
      <c r="E1338" s="3">
        <f>VLOOKUP(A1338,Raw_Data!A:L,11,FALSE)</f>
        <v>77</v>
      </c>
      <c r="F1338" t="str">
        <f>TEXT(VLOOKUP(A1338,Raw_Data!A:L,5,FALSE),"mmm")</f>
        <v>Feb</v>
      </c>
    </row>
    <row r="1339" spans="1:6" x14ac:dyDescent="0.35">
      <c r="A1339" s="3" t="s">
        <v>1906</v>
      </c>
      <c r="B1339" t="str">
        <f>VLOOKUP(A1339,Raw_Data!A:L,6,FALSE)</f>
        <v>Coffee grinder</v>
      </c>
      <c r="C1339" t="str">
        <f>VLOOKUP(A1339,Raw_Data!A:L,3,FALSE)</f>
        <v>Brazil</v>
      </c>
      <c r="D1339" s="3">
        <f>VLOOKUP(A1339,Raw_Data!A:L,12,FALSE)</f>
        <v>2604</v>
      </c>
      <c r="E1339" s="3">
        <f>VLOOKUP(A1339,Raw_Data!A:L,11,FALSE)</f>
        <v>62</v>
      </c>
      <c r="F1339" t="str">
        <f>TEXT(VLOOKUP(A1339,Raw_Data!A:L,5,FALSE),"mmm")</f>
        <v>Apr</v>
      </c>
    </row>
    <row r="1340" spans="1:6" x14ac:dyDescent="0.35">
      <c r="A1340" s="3" t="s">
        <v>1907</v>
      </c>
      <c r="B1340" t="str">
        <f>VLOOKUP(A1340,Raw_Data!A:L,6,FALSE)</f>
        <v>Iron</v>
      </c>
      <c r="C1340" t="str">
        <f>VLOOKUP(A1340,Raw_Data!A:L,3,FALSE)</f>
        <v>Ireland</v>
      </c>
      <c r="D1340" s="3">
        <f>VLOOKUP(A1340,Raw_Data!A:L,12,FALSE)</f>
        <v>2730</v>
      </c>
      <c r="E1340" s="3">
        <f>VLOOKUP(A1340,Raw_Data!A:L,11,FALSE)</f>
        <v>91</v>
      </c>
      <c r="F1340" t="str">
        <f>TEXT(VLOOKUP(A1340,Raw_Data!A:L,5,FALSE),"mmm")</f>
        <v>Jul</v>
      </c>
    </row>
    <row r="1341" spans="1:6" x14ac:dyDescent="0.35">
      <c r="A1341" s="3" t="s">
        <v>1908</v>
      </c>
      <c r="B1341" t="str">
        <f>VLOOKUP(A1341,Raw_Data!A:L,6,FALSE)</f>
        <v>Air conditioner</v>
      </c>
      <c r="C1341" t="str">
        <f>VLOOKUP(A1341,Raw_Data!A:L,3,FALSE)</f>
        <v>Egypt</v>
      </c>
      <c r="D1341" s="3">
        <f>VLOOKUP(A1341,Raw_Data!A:L,12,FALSE)</f>
        <v>59808</v>
      </c>
      <c r="E1341" s="3">
        <f>VLOOKUP(A1341,Raw_Data!A:L,11,FALSE)</f>
        <v>96</v>
      </c>
      <c r="F1341" t="str">
        <f>TEXT(VLOOKUP(A1341,Raw_Data!A:L,5,FALSE),"mmm")</f>
        <v>Jan</v>
      </c>
    </row>
    <row r="1342" spans="1:6" x14ac:dyDescent="0.35">
      <c r="A1342" s="3" t="s">
        <v>1909</v>
      </c>
      <c r="B1342" t="str">
        <f>VLOOKUP(A1342,Raw_Data!A:L,6,FALSE)</f>
        <v>Microwave</v>
      </c>
      <c r="C1342" t="str">
        <f>VLOOKUP(A1342,Raw_Data!A:L,3,FALSE)</f>
        <v>India</v>
      </c>
      <c r="D1342" s="3">
        <f>VLOOKUP(A1342,Raw_Data!A:L,12,FALSE)</f>
        <v>5396</v>
      </c>
      <c r="E1342" s="3">
        <f>VLOOKUP(A1342,Raw_Data!A:L,11,FALSE)</f>
        <v>71</v>
      </c>
      <c r="F1342" t="str">
        <f>TEXT(VLOOKUP(A1342,Raw_Data!A:L,5,FALSE),"mmm")</f>
        <v>Apr</v>
      </c>
    </row>
    <row r="1343" spans="1:6" x14ac:dyDescent="0.35">
      <c r="A1343" s="3" t="s">
        <v>1910</v>
      </c>
      <c r="B1343" t="str">
        <f>VLOOKUP(A1343,Raw_Data!A:L,6,FALSE)</f>
        <v>Coffee grinder</v>
      </c>
      <c r="C1343" t="str">
        <f>VLOOKUP(A1343,Raw_Data!A:L,3,FALSE)</f>
        <v>Mexico</v>
      </c>
      <c r="D1343" s="3">
        <f>VLOOKUP(A1343,Raw_Data!A:L,12,FALSE)</f>
        <v>2880</v>
      </c>
      <c r="E1343" s="3">
        <f>VLOOKUP(A1343,Raw_Data!A:L,11,FALSE)</f>
        <v>64</v>
      </c>
      <c r="F1343" t="str">
        <f>TEXT(VLOOKUP(A1343,Raw_Data!A:L,5,FALSE),"mmm")</f>
        <v>Mar</v>
      </c>
    </row>
    <row r="1344" spans="1:6" x14ac:dyDescent="0.35">
      <c r="A1344" s="3" t="s">
        <v>1911</v>
      </c>
      <c r="B1344" t="str">
        <f>VLOOKUP(A1344,Raw_Data!A:L,6,FALSE)</f>
        <v>Washing Machine</v>
      </c>
      <c r="C1344" t="str">
        <f>VLOOKUP(A1344,Raw_Data!A:L,3,FALSE)</f>
        <v>China</v>
      </c>
      <c r="D1344" s="3">
        <f>VLOOKUP(A1344,Raw_Data!A:L,12,FALSE)</f>
        <v>4320</v>
      </c>
      <c r="E1344" s="3">
        <f>VLOOKUP(A1344,Raw_Data!A:L,11,FALSE)</f>
        <v>6</v>
      </c>
      <c r="F1344" t="str">
        <f>TEXT(VLOOKUP(A1344,Raw_Data!A:L,5,FALSE),"mmm")</f>
        <v>Jun</v>
      </c>
    </row>
    <row r="1345" spans="1:6" x14ac:dyDescent="0.35">
      <c r="A1345" s="3" t="s">
        <v>1912</v>
      </c>
      <c r="B1345" t="str">
        <f>VLOOKUP(A1345,Raw_Data!A:L,6,FALSE)</f>
        <v>Coffee grinder</v>
      </c>
      <c r="C1345" t="str">
        <f>VLOOKUP(A1345,Raw_Data!A:L,3,FALSE)</f>
        <v>USA</v>
      </c>
      <c r="D1345" s="3">
        <f>VLOOKUP(A1345,Raw_Data!A:L,12,FALSE)</f>
        <v>2646</v>
      </c>
      <c r="E1345" s="3">
        <f>VLOOKUP(A1345,Raw_Data!A:L,11,FALSE)</f>
        <v>42</v>
      </c>
      <c r="F1345" t="str">
        <f>TEXT(VLOOKUP(A1345,Raw_Data!A:L,5,FALSE),"mmm")</f>
        <v>Jun</v>
      </c>
    </row>
    <row r="1346" spans="1:6" x14ac:dyDescent="0.35">
      <c r="A1346" s="3" t="s">
        <v>1913</v>
      </c>
      <c r="B1346" t="str">
        <f>VLOOKUP(A1346,Raw_Data!A:L,6,FALSE)</f>
        <v>Ceiling fan</v>
      </c>
      <c r="C1346" t="str">
        <f>VLOOKUP(A1346,Raw_Data!A:L,3,FALSE)</f>
        <v>UK</v>
      </c>
      <c r="D1346" s="3">
        <f>VLOOKUP(A1346,Raw_Data!A:L,12,FALSE)</f>
        <v>1050</v>
      </c>
      <c r="E1346" s="3">
        <f>VLOOKUP(A1346,Raw_Data!A:L,11,FALSE)</f>
        <v>7</v>
      </c>
      <c r="F1346" t="str">
        <f>TEXT(VLOOKUP(A1346,Raw_Data!A:L,5,FALSE),"mmm")</f>
        <v>Jan</v>
      </c>
    </row>
    <row r="1347" spans="1:6" x14ac:dyDescent="0.35">
      <c r="A1347" s="3" t="s">
        <v>1914</v>
      </c>
      <c r="B1347" t="str">
        <f>VLOOKUP(A1347,Raw_Data!A:L,6,FALSE)</f>
        <v>Oven</v>
      </c>
      <c r="C1347" t="str">
        <f>VLOOKUP(A1347,Raw_Data!A:L,3,FALSE)</f>
        <v>Israel</v>
      </c>
      <c r="D1347" s="3">
        <f>VLOOKUP(A1347,Raw_Data!A:L,12,FALSE)</f>
        <v>11760</v>
      </c>
      <c r="E1347" s="3">
        <f>VLOOKUP(A1347,Raw_Data!A:L,11,FALSE)</f>
        <v>24</v>
      </c>
      <c r="F1347" t="str">
        <f>TEXT(VLOOKUP(A1347,Raw_Data!A:L,5,FALSE),"mmm")</f>
        <v>Oct</v>
      </c>
    </row>
    <row r="1348" spans="1:6" x14ac:dyDescent="0.35">
      <c r="A1348" s="3" t="s">
        <v>1915</v>
      </c>
      <c r="B1348" t="str">
        <f>VLOOKUP(A1348,Raw_Data!A:L,6,FALSE)</f>
        <v>Dishwasher</v>
      </c>
      <c r="C1348" t="str">
        <f>VLOOKUP(A1348,Raw_Data!A:L,3,FALSE)</f>
        <v>Romania</v>
      </c>
      <c r="D1348" s="3">
        <f>VLOOKUP(A1348,Raw_Data!A:L,12,FALSE)</f>
        <v>9500</v>
      </c>
      <c r="E1348" s="3">
        <f>VLOOKUP(A1348,Raw_Data!A:L,11,FALSE)</f>
        <v>19</v>
      </c>
      <c r="F1348" t="str">
        <f>TEXT(VLOOKUP(A1348,Raw_Data!A:L,5,FALSE),"mmm")</f>
        <v>Oct</v>
      </c>
    </row>
    <row r="1349" spans="1:6" x14ac:dyDescent="0.35">
      <c r="A1349" s="3" t="s">
        <v>1917</v>
      </c>
      <c r="B1349" t="str">
        <f>VLOOKUP(A1349,Raw_Data!A:L,6,FALSE)</f>
        <v>Vacuum Cleaner</v>
      </c>
      <c r="C1349" t="str">
        <f>VLOOKUP(A1349,Raw_Data!A:L,3,FALSE)</f>
        <v>India</v>
      </c>
      <c r="D1349" s="3">
        <f>VLOOKUP(A1349,Raw_Data!A:L,12,FALSE)</f>
        <v>3600</v>
      </c>
      <c r="E1349" s="3">
        <f>VLOOKUP(A1349,Raw_Data!A:L,11,FALSE)</f>
        <v>16</v>
      </c>
      <c r="F1349" t="str">
        <f>TEXT(VLOOKUP(A1349,Raw_Data!A:L,5,FALSE),"mmm")</f>
        <v>Aug</v>
      </c>
    </row>
    <row r="1350" spans="1:6" x14ac:dyDescent="0.35">
      <c r="A1350" s="3" t="s">
        <v>1918</v>
      </c>
      <c r="B1350" t="str">
        <f>VLOOKUP(A1350,Raw_Data!A:L,6,FALSE)</f>
        <v>Toaster</v>
      </c>
      <c r="C1350" t="str">
        <f>VLOOKUP(A1350,Raw_Data!A:L,3,FALSE)</f>
        <v>China</v>
      </c>
      <c r="D1350" s="3">
        <f>VLOOKUP(A1350,Raw_Data!A:L,12,FALSE)</f>
        <v>1505</v>
      </c>
      <c r="E1350" s="3">
        <f>VLOOKUP(A1350,Raw_Data!A:L,11,FALSE)</f>
        <v>35</v>
      </c>
      <c r="F1350" t="str">
        <f>TEXT(VLOOKUP(A1350,Raw_Data!A:L,5,FALSE),"mmm")</f>
        <v>Oct</v>
      </c>
    </row>
    <row r="1351" spans="1:6" x14ac:dyDescent="0.35">
      <c r="A1351" s="3" t="s">
        <v>1919</v>
      </c>
      <c r="B1351" t="str">
        <f>VLOOKUP(A1351,Raw_Data!A:L,6,FALSE)</f>
        <v>Blender</v>
      </c>
      <c r="C1351" t="str">
        <f>VLOOKUP(A1351,Raw_Data!A:L,3,FALSE)</f>
        <v>Netherlands</v>
      </c>
      <c r="D1351" s="3">
        <f>VLOOKUP(A1351,Raw_Data!A:L,12,FALSE)</f>
        <v>141</v>
      </c>
      <c r="E1351" s="3">
        <f>VLOOKUP(A1351,Raw_Data!A:L,11,FALSE)</f>
        <v>3</v>
      </c>
      <c r="F1351" t="str">
        <f>TEXT(VLOOKUP(A1351,Raw_Data!A:L,5,FALSE),"mmm")</f>
        <v>May</v>
      </c>
    </row>
    <row r="1352" spans="1:6" x14ac:dyDescent="0.35">
      <c r="A1352" s="3" t="s">
        <v>1920</v>
      </c>
      <c r="B1352" t="str">
        <f>VLOOKUP(A1352,Raw_Data!A:L,6,FALSE)</f>
        <v>Refrigerator</v>
      </c>
      <c r="C1352" t="str">
        <f>VLOOKUP(A1352,Raw_Data!A:L,3,FALSE)</f>
        <v>China</v>
      </c>
      <c r="D1352" s="3">
        <f>VLOOKUP(A1352,Raw_Data!A:L,12,FALSE)</f>
        <v>85260</v>
      </c>
      <c r="E1352" s="3">
        <f>VLOOKUP(A1352,Raw_Data!A:L,11,FALSE)</f>
        <v>98</v>
      </c>
      <c r="F1352" t="str">
        <f>TEXT(VLOOKUP(A1352,Raw_Data!A:L,5,FALSE),"mmm")</f>
        <v>Jul</v>
      </c>
    </row>
    <row r="1353" spans="1:6" x14ac:dyDescent="0.35">
      <c r="A1353" s="3" t="s">
        <v>1922</v>
      </c>
      <c r="B1353" t="str">
        <f>VLOOKUP(A1353,Raw_Data!A:L,6,FALSE)</f>
        <v>Washing Machine</v>
      </c>
      <c r="C1353" t="str">
        <f>VLOOKUP(A1353,Raw_Data!A:L,3,FALSE)</f>
        <v>Australia</v>
      </c>
      <c r="D1353" s="3">
        <f>VLOOKUP(A1353,Raw_Data!A:L,12,FALSE)</f>
        <v>13224</v>
      </c>
      <c r="E1353" s="3">
        <f>VLOOKUP(A1353,Raw_Data!A:L,11,FALSE)</f>
        <v>29</v>
      </c>
      <c r="F1353" t="str">
        <f>TEXT(VLOOKUP(A1353,Raw_Data!A:L,5,FALSE),"mmm")</f>
        <v>Jun</v>
      </c>
    </row>
    <row r="1354" spans="1:6" x14ac:dyDescent="0.35">
      <c r="A1354" s="3" t="s">
        <v>1923</v>
      </c>
      <c r="B1354" t="str">
        <f>VLOOKUP(A1354,Raw_Data!A:L,6,FALSE)</f>
        <v>Air conditioner</v>
      </c>
      <c r="C1354" t="str">
        <f>VLOOKUP(A1354,Raw_Data!A:L,3,FALSE)</f>
        <v>India</v>
      </c>
      <c r="D1354" s="3">
        <f>VLOOKUP(A1354,Raw_Data!A:L,12,FALSE)</f>
        <v>40950</v>
      </c>
      <c r="E1354" s="3">
        <f>VLOOKUP(A1354,Raw_Data!A:L,11,FALSE)</f>
        <v>78</v>
      </c>
      <c r="F1354" t="str">
        <f>TEXT(VLOOKUP(A1354,Raw_Data!A:L,5,FALSE),"mmm")</f>
        <v>Jun</v>
      </c>
    </row>
    <row r="1355" spans="1:6" x14ac:dyDescent="0.35">
      <c r="A1355" s="3" t="s">
        <v>1924</v>
      </c>
      <c r="B1355" t="str">
        <f>VLOOKUP(A1355,Raw_Data!A:L,6,FALSE)</f>
        <v>Coffee grinder</v>
      </c>
      <c r="C1355" t="str">
        <f>VLOOKUP(A1355,Raw_Data!A:L,3,FALSE)</f>
        <v>India</v>
      </c>
      <c r="D1355" s="3">
        <f>VLOOKUP(A1355,Raw_Data!A:L,12,FALSE)</f>
        <v>189</v>
      </c>
      <c r="E1355" s="3">
        <f>VLOOKUP(A1355,Raw_Data!A:L,11,FALSE)</f>
        <v>3</v>
      </c>
      <c r="F1355" t="str">
        <f>TEXT(VLOOKUP(A1355,Raw_Data!A:L,5,FALSE),"mmm")</f>
        <v>Aug</v>
      </c>
    </row>
    <row r="1356" spans="1:6" x14ac:dyDescent="0.35">
      <c r="A1356" s="3" t="s">
        <v>1925</v>
      </c>
      <c r="B1356" t="str">
        <f>VLOOKUP(A1356,Raw_Data!A:L,6,FALSE)</f>
        <v>Iron</v>
      </c>
      <c r="C1356" t="str">
        <f>VLOOKUP(A1356,Raw_Data!A:L,3,FALSE)</f>
        <v>USA</v>
      </c>
      <c r="D1356" s="3">
        <f>VLOOKUP(A1356,Raw_Data!A:L,12,FALSE)</f>
        <v>988</v>
      </c>
      <c r="E1356" s="3">
        <f>VLOOKUP(A1356,Raw_Data!A:L,11,FALSE)</f>
        <v>38</v>
      </c>
      <c r="F1356" t="str">
        <f>TEXT(VLOOKUP(A1356,Raw_Data!A:L,5,FALSE),"mmm")</f>
        <v>Mar</v>
      </c>
    </row>
    <row r="1357" spans="1:6" x14ac:dyDescent="0.35">
      <c r="A1357" s="3" t="s">
        <v>1926</v>
      </c>
      <c r="B1357" t="str">
        <f>VLOOKUP(A1357,Raw_Data!A:L,6,FALSE)</f>
        <v>Dishwasher</v>
      </c>
      <c r="C1357" t="str">
        <f>VLOOKUP(A1357,Raw_Data!A:L,3,FALSE)</f>
        <v>USA</v>
      </c>
      <c r="D1357" s="3">
        <f>VLOOKUP(A1357,Raw_Data!A:L,12,FALSE)</f>
        <v>31000</v>
      </c>
      <c r="E1357" s="3">
        <f>VLOOKUP(A1357,Raw_Data!A:L,11,FALSE)</f>
        <v>62</v>
      </c>
      <c r="F1357" t="str">
        <f>TEXT(VLOOKUP(A1357,Raw_Data!A:L,5,FALSE),"mmm")</f>
        <v>May</v>
      </c>
    </row>
    <row r="1358" spans="1:6" x14ac:dyDescent="0.35">
      <c r="A1358" s="3" t="s">
        <v>1927</v>
      </c>
      <c r="B1358" t="str">
        <f>VLOOKUP(A1358,Raw_Data!A:L,6,FALSE)</f>
        <v>Iron</v>
      </c>
      <c r="C1358" t="str">
        <f>VLOOKUP(A1358,Raw_Data!A:L,3,FALSE)</f>
        <v>Ireland</v>
      </c>
      <c r="D1358" s="3">
        <f>VLOOKUP(A1358,Raw_Data!A:L,12,FALSE)</f>
        <v>1421</v>
      </c>
      <c r="E1358" s="3">
        <f>VLOOKUP(A1358,Raw_Data!A:L,11,FALSE)</f>
        <v>49</v>
      </c>
      <c r="F1358" t="str">
        <f>TEXT(VLOOKUP(A1358,Raw_Data!A:L,5,FALSE),"mmm")</f>
        <v>Jul</v>
      </c>
    </row>
    <row r="1359" spans="1:6" x14ac:dyDescent="0.35">
      <c r="A1359" s="3" t="s">
        <v>1928</v>
      </c>
      <c r="B1359" t="str">
        <f>VLOOKUP(A1359,Raw_Data!A:L,6,FALSE)</f>
        <v>Iron</v>
      </c>
      <c r="C1359" t="str">
        <f>VLOOKUP(A1359,Raw_Data!A:L,3,FALSE)</f>
        <v>USA</v>
      </c>
      <c r="D1359" s="3">
        <f>VLOOKUP(A1359,Raw_Data!A:L,12,FALSE)</f>
        <v>1288</v>
      </c>
      <c r="E1359" s="3">
        <f>VLOOKUP(A1359,Raw_Data!A:L,11,FALSE)</f>
        <v>56</v>
      </c>
      <c r="F1359" t="str">
        <f>TEXT(VLOOKUP(A1359,Raw_Data!A:L,5,FALSE),"mmm")</f>
        <v>May</v>
      </c>
    </row>
    <row r="1360" spans="1:6" x14ac:dyDescent="0.35">
      <c r="A1360" s="3" t="s">
        <v>1929</v>
      </c>
      <c r="B1360" t="str">
        <f>VLOOKUP(A1360,Raw_Data!A:L,6,FALSE)</f>
        <v>Oven</v>
      </c>
      <c r="C1360" t="str">
        <f>VLOOKUP(A1360,Raw_Data!A:L,3,FALSE)</f>
        <v>Malaysia</v>
      </c>
      <c r="D1360" s="3">
        <f>VLOOKUP(A1360,Raw_Data!A:L,12,FALSE)</f>
        <v>990</v>
      </c>
      <c r="E1360" s="3">
        <f>VLOOKUP(A1360,Raw_Data!A:L,11,FALSE)</f>
        <v>2</v>
      </c>
      <c r="F1360" t="str">
        <f>TEXT(VLOOKUP(A1360,Raw_Data!A:L,5,FALSE),"mmm")</f>
        <v>Oct</v>
      </c>
    </row>
    <row r="1361" spans="1:6" x14ac:dyDescent="0.35">
      <c r="A1361" s="3" t="s">
        <v>1930</v>
      </c>
      <c r="B1361" t="str">
        <f>VLOOKUP(A1361,Raw_Data!A:L,6,FALSE)</f>
        <v>Dishwasher</v>
      </c>
      <c r="C1361" t="str">
        <f>VLOOKUP(A1361,Raw_Data!A:L,3,FALSE)</f>
        <v>Japan</v>
      </c>
      <c r="D1361" s="3">
        <f>VLOOKUP(A1361,Raw_Data!A:L,12,FALSE)</f>
        <v>480</v>
      </c>
      <c r="E1361" s="3">
        <f>VLOOKUP(A1361,Raw_Data!A:L,11,FALSE)</f>
        <v>1</v>
      </c>
      <c r="F1361" t="str">
        <f>TEXT(VLOOKUP(A1361,Raw_Data!A:L,5,FALSE),"mmm")</f>
        <v>Oct</v>
      </c>
    </row>
    <row r="1362" spans="1:6" x14ac:dyDescent="0.35">
      <c r="A1362" s="3" t="s">
        <v>1931</v>
      </c>
      <c r="B1362" t="str">
        <f>VLOOKUP(A1362,Raw_Data!A:L,6,FALSE)</f>
        <v>Refrigerator</v>
      </c>
      <c r="C1362" t="str">
        <f>VLOOKUP(A1362,Raw_Data!A:L,3,FALSE)</f>
        <v>Czech Republic</v>
      </c>
      <c r="D1362" s="3">
        <f>VLOOKUP(A1362,Raw_Data!A:L,12,FALSE)</f>
        <v>60450</v>
      </c>
      <c r="E1362" s="3">
        <f>VLOOKUP(A1362,Raw_Data!A:L,11,FALSE)</f>
        <v>65</v>
      </c>
      <c r="F1362" t="str">
        <f>TEXT(VLOOKUP(A1362,Raw_Data!A:L,5,FALSE),"mmm")</f>
        <v>Mar</v>
      </c>
    </row>
    <row r="1363" spans="1:6" x14ac:dyDescent="0.35">
      <c r="A1363" s="3" t="s">
        <v>1932</v>
      </c>
      <c r="B1363" t="str">
        <f>VLOOKUP(A1363,Raw_Data!A:L,6,FALSE)</f>
        <v>Ceiling fan</v>
      </c>
      <c r="C1363" t="str">
        <f>VLOOKUP(A1363,Raw_Data!A:L,3,FALSE)</f>
        <v>Greece</v>
      </c>
      <c r="D1363" s="3">
        <f>VLOOKUP(A1363,Raw_Data!A:L,12,FALSE)</f>
        <v>7700</v>
      </c>
      <c r="E1363" s="3">
        <f>VLOOKUP(A1363,Raw_Data!A:L,11,FALSE)</f>
        <v>70</v>
      </c>
      <c r="F1363" t="str">
        <f>TEXT(VLOOKUP(A1363,Raw_Data!A:L,5,FALSE),"mmm")</f>
        <v>Jul</v>
      </c>
    </row>
    <row r="1364" spans="1:6" x14ac:dyDescent="0.35">
      <c r="A1364" s="3" t="s">
        <v>1933</v>
      </c>
      <c r="B1364" t="str">
        <f>VLOOKUP(A1364,Raw_Data!A:L,6,FALSE)</f>
        <v>Refrigerator</v>
      </c>
      <c r="C1364" t="str">
        <f>VLOOKUP(A1364,Raw_Data!A:L,3,FALSE)</f>
        <v>USA</v>
      </c>
      <c r="D1364" s="3">
        <f>VLOOKUP(A1364,Raw_Data!A:L,12,FALSE)</f>
        <v>50960</v>
      </c>
      <c r="E1364" s="3">
        <f>VLOOKUP(A1364,Raw_Data!A:L,11,FALSE)</f>
        <v>56</v>
      </c>
      <c r="F1364" t="str">
        <f>TEXT(VLOOKUP(A1364,Raw_Data!A:L,5,FALSE),"mmm")</f>
        <v>May</v>
      </c>
    </row>
    <row r="1365" spans="1:6" x14ac:dyDescent="0.35">
      <c r="A1365" s="3" t="s">
        <v>1934</v>
      </c>
      <c r="B1365" t="str">
        <f>VLOOKUP(A1365,Raw_Data!A:L,6,FALSE)</f>
        <v>Coffee grinder</v>
      </c>
      <c r="C1365" t="str">
        <f>VLOOKUP(A1365,Raw_Data!A:L,3,FALSE)</f>
        <v>Israel</v>
      </c>
      <c r="D1365" s="3">
        <f>VLOOKUP(A1365,Raw_Data!A:L,12,FALSE)</f>
        <v>2484</v>
      </c>
      <c r="E1365" s="3">
        <f>VLOOKUP(A1365,Raw_Data!A:L,11,FALSE)</f>
        <v>36</v>
      </c>
      <c r="F1365" t="str">
        <f>TEXT(VLOOKUP(A1365,Raw_Data!A:L,5,FALSE),"mmm")</f>
        <v>Apr</v>
      </c>
    </row>
    <row r="1366" spans="1:6" x14ac:dyDescent="0.35">
      <c r="A1366" s="3" t="s">
        <v>1935</v>
      </c>
      <c r="B1366" t="str">
        <f>VLOOKUP(A1366,Raw_Data!A:L,6,FALSE)</f>
        <v>Air conditioner</v>
      </c>
      <c r="C1366" t="str">
        <f>VLOOKUP(A1366,Raw_Data!A:L,3,FALSE)</f>
        <v>Russia</v>
      </c>
      <c r="D1366" s="3">
        <f>VLOOKUP(A1366,Raw_Data!A:L,12,FALSE)</f>
        <v>53200</v>
      </c>
      <c r="E1366" s="3">
        <f>VLOOKUP(A1366,Raw_Data!A:L,11,FALSE)</f>
        <v>80</v>
      </c>
      <c r="F1366" t="str">
        <f>TEXT(VLOOKUP(A1366,Raw_Data!A:L,5,FALSE),"mmm")</f>
        <v>Jan</v>
      </c>
    </row>
    <row r="1367" spans="1:6" x14ac:dyDescent="0.35">
      <c r="A1367" s="3" t="s">
        <v>1936</v>
      </c>
      <c r="B1367" t="str">
        <f>VLOOKUP(A1367,Raw_Data!A:L,6,FALSE)</f>
        <v>Ceiling fan</v>
      </c>
      <c r="C1367" t="str">
        <f>VLOOKUP(A1367,Raw_Data!A:L,3,FALSE)</f>
        <v>Saudi Arabia</v>
      </c>
      <c r="D1367" s="3">
        <f>VLOOKUP(A1367,Raw_Data!A:L,12,FALSE)</f>
        <v>9724</v>
      </c>
      <c r="E1367" s="3">
        <f>VLOOKUP(A1367,Raw_Data!A:L,11,FALSE)</f>
        <v>68</v>
      </c>
      <c r="F1367" t="str">
        <f>TEXT(VLOOKUP(A1367,Raw_Data!A:L,5,FALSE),"mmm")</f>
        <v>Sep</v>
      </c>
    </row>
    <row r="1368" spans="1:6" x14ac:dyDescent="0.35">
      <c r="A1368" s="3" t="s">
        <v>1937</v>
      </c>
      <c r="B1368" t="str">
        <f>VLOOKUP(A1368,Raw_Data!A:L,6,FALSE)</f>
        <v>Air conditioner</v>
      </c>
      <c r="C1368" t="str">
        <f>VLOOKUP(A1368,Raw_Data!A:L,3,FALSE)</f>
        <v>Japan</v>
      </c>
      <c r="D1368" s="3">
        <f>VLOOKUP(A1368,Raw_Data!A:L,12,FALSE)</f>
        <v>11424</v>
      </c>
      <c r="E1368" s="3">
        <f>VLOOKUP(A1368,Raw_Data!A:L,11,FALSE)</f>
        <v>17</v>
      </c>
      <c r="F1368" t="str">
        <f>TEXT(VLOOKUP(A1368,Raw_Data!A:L,5,FALSE),"mmm")</f>
        <v>Mar</v>
      </c>
    </row>
    <row r="1369" spans="1:6" x14ac:dyDescent="0.35">
      <c r="A1369" s="3" t="s">
        <v>1938</v>
      </c>
      <c r="B1369" t="str">
        <f>VLOOKUP(A1369,Raw_Data!A:L,6,FALSE)</f>
        <v>Toaster</v>
      </c>
      <c r="C1369" t="str">
        <f>VLOOKUP(A1369,Raw_Data!A:L,3,FALSE)</f>
        <v>USA</v>
      </c>
      <c r="D1369" s="3">
        <f>VLOOKUP(A1369,Raw_Data!A:L,12,FALSE)</f>
        <v>3420</v>
      </c>
      <c r="E1369" s="3">
        <f>VLOOKUP(A1369,Raw_Data!A:L,11,FALSE)</f>
        <v>76</v>
      </c>
      <c r="F1369" t="str">
        <f>TEXT(VLOOKUP(A1369,Raw_Data!A:L,5,FALSE),"mmm")</f>
        <v>May</v>
      </c>
    </row>
    <row r="1370" spans="1:6" x14ac:dyDescent="0.35">
      <c r="A1370" s="3" t="s">
        <v>1939</v>
      </c>
      <c r="B1370" t="str">
        <f>VLOOKUP(A1370,Raw_Data!A:L,6,FALSE)</f>
        <v>Coffee grinder</v>
      </c>
      <c r="C1370" t="str">
        <f>VLOOKUP(A1370,Raw_Data!A:L,3,FALSE)</f>
        <v>Romania</v>
      </c>
      <c r="D1370" s="3">
        <f>VLOOKUP(A1370,Raw_Data!A:L,12,FALSE)</f>
        <v>1608</v>
      </c>
      <c r="E1370" s="3">
        <f>VLOOKUP(A1370,Raw_Data!A:L,11,FALSE)</f>
        <v>24</v>
      </c>
      <c r="F1370" t="str">
        <f>TEXT(VLOOKUP(A1370,Raw_Data!A:L,5,FALSE),"mmm")</f>
        <v>Mar</v>
      </c>
    </row>
    <row r="1371" spans="1:6" x14ac:dyDescent="0.35">
      <c r="A1371" s="3" t="s">
        <v>1940</v>
      </c>
      <c r="B1371" t="str">
        <f>VLOOKUP(A1371,Raw_Data!A:L,6,FALSE)</f>
        <v>Blender</v>
      </c>
      <c r="C1371" t="str">
        <f>VLOOKUP(A1371,Raw_Data!A:L,3,FALSE)</f>
        <v>India</v>
      </c>
      <c r="D1371" s="3">
        <f>VLOOKUP(A1371,Raw_Data!A:L,12,FALSE)</f>
        <v>1140</v>
      </c>
      <c r="E1371" s="3">
        <f>VLOOKUP(A1371,Raw_Data!A:L,11,FALSE)</f>
        <v>30</v>
      </c>
      <c r="F1371" t="str">
        <f>TEXT(VLOOKUP(A1371,Raw_Data!A:L,5,FALSE),"mmm")</f>
        <v>Jan</v>
      </c>
    </row>
    <row r="1372" spans="1:6" x14ac:dyDescent="0.35">
      <c r="A1372" s="3" t="s">
        <v>1941</v>
      </c>
      <c r="B1372" t="str">
        <f>VLOOKUP(A1372,Raw_Data!A:L,6,FALSE)</f>
        <v>Oven</v>
      </c>
      <c r="C1372" t="str">
        <f>VLOOKUP(A1372,Raw_Data!A:L,3,FALSE)</f>
        <v>Mexico</v>
      </c>
      <c r="D1372" s="3">
        <f>VLOOKUP(A1372,Raw_Data!A:L,12,FALSE)</f>
        <v>10890</v>
      </c>
      <c r="E1372" s="3">
        <f>VLOOKUP(A1372,Raw_Data!A:L,11,FALSE)</f>
        <v>22</v>
      </c>
      <c r="F1372" t="str">
        <f>TEXT(VLOOKUP(A1372,Raw_Data!A:L,5,FALSE),"mmm")</f>
        <v>Oct</v>
      </c>
    </row>
    <row r="1373" spans="1:6" x14ac:dyDescent="0.35">
      <c r="A1373" s="3" t="s">
        <v>1942</v>
      </c>
      <c r="B1373" t="str">
        <f>VLOOKUP(A1373,Raw_Data!A:L,6,FALSE)</f>
        <v>Blender</v>
      </c>
      <c r="C1373" t="str">
        <f>VLOOKUP(A1373,Raw_Data!A:L,3,FALSE)</f>
        <v>Mexico</v>
      </c>
      <c r="D1373" s="3">
        <f>VLOOKUP(A1373,Raw_Data!A:L,12,FALSE)</f>
        <v>2451</v>
      </c>
      <c r="E1373" s="3">
        <f>VLOOKUP(A1373,Raw_Data!A:L,11,FALSE)</f>
        <v>57</v>
      </c>
      <c r="F1373" t="str">
        <f>TEXT(VLOOKUP(A1373,Raw_Data!A:L,5,FALSE),"mmm")</f>
        <v>Apr</v>
      </c>
    </row>
    <row r="1374" spans="1:6" x14ac:dyDescent="0.35">
      <c r="A1374" s="3" t="s">
        <v>1944</v>
      </c>
      <c r="B1374" t="str">
        <f>VLOOKUP(A1374,Raw_Data!A:L,6,FALSE)</f>
        <v>Refrigerator</v>
      </c>
      <c r="C1374" t="str">
        <f>VLOOKUP(A1374,Raw_Data!A:L,3,FALSE)</f>
        <v>South Africa</v>
      </c>
      <c r="D1374" s="3">
        <f>VLOOKUP(A1374,Raw_Data!A:L,12,FALSE)</f>
        <v>53940</v>
      </c>
      <c r="E1374" s="3">
        <f>VLOOKUP(A1374,Raw_Data!A:L,11,FALSE)</f>
        <v>58</v>
      </c>
      <c r="F1374" t="str">
        <f>TEXT(VLOOKUP(A1374,Raw_Data!A:L,5,FALSE),"mmm")</f>
        <v>Jun</v>
      </c>
    </row>
    <row r="1375" spans="1:6" x14ac:dyDescent="0.35">
      <c r="A1375" s="3" t="s">
        <v>1945</v>
      </c>
      <c r="B1375" t="str">
        <f>VLOOKUP(A1375,Raw_Data!A:L,6,FALSE)</f>
        <v>Oven</v>
      </c>
      <c r="C1375" t="str">
        <f>VLOOKUP(A1375,Raw_Data!A:L,3,FALSE)</f>
        <v>USA</v>
      </c>
      <c r="D1375" s="3">
        <f>VLOOKUP(A1375,Raw_Data!A:L,12,FALSE)</f>
        <v>43120</v>
      </c>
      <c r="E1375" s="3">
        <f>VLOOKUP(A1375,Raw_Data!A:L,11,FALSE)</f>
        <v>88</v>
      </c>
      <c r="F1375" t="str">
        <f>TEXT(VLOOKUP(A1375,Raw_Data!A:L,5,FALSE),"mmm")</f>
        <v>Mar</v>
      </c>
    </row>
    <row r="1376" spans="1:6" x14ac:dyDescent="0.35">
      <c r="A1376" s="3" t="s">
        <v>1946</v>
      </c>
      <c r="B1376" t="str">
        <f>VLOOKUP(A1376,Raw_Data!A:L,6,FALSE)</f>
        <v>Air conditioner</v>
      </c>
      <c r="C1376" t="str">
        <f>VLOOKUP(A1376,Raw_Data!A:L,3,FALSE)</f>
        <v>China</v>
      </c>
      <c r="D1376" s="3">
        <f>VLOOKUP(A1376,Raw_Data!A:L,12,FALSE)</f>
        <v>64484</v>
      </c>
      <c r="E1376" s="3">
        <f>VLOOKUP(A1376,Raw_Data!A:L,11,FALSE)</f>
        <v>98</v>
      </c>
      <c r="F1376" t="str">
        <f>TEXT(VLOOKUP(A1376,Raw_Data!A:L,5,FALSE),"mmm")</f>
        <v>Jan</v>
      </c>
    </row>
    <row r="1377" spans="1:6" x14ac:dyDescent="0.35">
      <c r="A1377" s="3" t="s">
        <v>1947</v>
      </c>
      <c r="B1377" t="str">
        <f>VLOOKUP(A1377,Raw_Data!A:L,6,FALSE)</f>
        <v>Toaster</v>
      </c>
      <c r="C1377" t="str">
        <f>VLOOKUP(A1377,Raw_Data!A:L,3,FALSE)</f>
        <v>Malaysia</v>
      </c>
      <c r="D1377" s="3">
        <f>VLOOKUP(A1377,Raw_Data!A:L,12,FALSE)</f>
        <v>1175</v>
      </c>
      <c r="E1377" s="3">
        <f>VLOOKUP(A1377,Raw_Data!A:L,11,FALSE)</f>
        <v>25</v>
      </c>
      <c r="F1377" t="str">
        <f>TEXT(VLOOKUP(A1377,Raw_Data!A:L,5,FALSE),"mmm")</f>
        <v>Apr</v>
      </c>
    </row>
    <row r="1378" spans="1:6" x14ac:dyDescent="0.35">
      <c r="A1378" s="3" t="s">
        <v>1948</v>
      </c>
      <c r="B1378" t="str">
        <f>VLOOKUP(A1378,Raw_Data!A:L,6,FALSE)</f>
        <v>Vacuum Cleaner</v>
      </c>
      <c r="C1378" t="str">
        <f>VLOOKUP(A1378,Raw_Data!A:L,3,FALSE)</f>
        <v>Peru</v>
      </c>
      <c r="D1378" s="3">
        <f>VLOOKUP(A1378,Raw_Data!A:L,12,FALSE)</f>
        <v>2640</v>
      </c>
      <c r="E1378" s="3">
        <f>VLOOKUP(A1378,Raw_Data!A:L,11,FALSE)</f>
        <v>12</v>
      </c>
      <c r="F1378" t="str">
        <f>TEXT(VLOOKUP(A1378,Raw_Data!A:L,5,FALSE),"mmm")</f>
        <v>May</v>
      </c>
    </row>
    <row r="1379" spans="1:6" x14ac:dyDescent="0.35">
      <c r="A1379" s="3" t="s">
        <v>1949</v>
      </c>
      <c r="B1379" t="str">
        <f>VLOOKUP(A1379,Raw_Data!A:L,6,FALSE)</f>
        <v>Refrigerator</v>
      </c>
      <c r="C1379" t="str">
        <f>VLOOKUP(A1379,Raw_Data!A:L,3,FALSE)</f>
        <v>Vietnam</v>
      </c>
      <c r="D1379" s="3">
        <f>VLOOKUP(A1379,Raw_Data!A:L,12,FALSE)</f>
        <v>7800</v>
      </c>
      <c r="E1379" s="3">
        <f>VLOOKUP(A1379,Raw_Data!A:L,11,FALSE)</f>
        <v>15</v>
      </c>
      <c r="F1379" t="str">
        <f>TEXT(VLOOKUP(A1379,Raw_Data!A:L,5,FALSE),"mmm")</f>
        <v>Mar</v>
      </c>
    </row>
    <row r="1380" spans="1:6" x14ac:dyDescent="0.35">
      <c r="A1380" s="3" t="s">
        <v>1950</v>
      </c>
      <c r="B1380" t="str">
        <f>VLOOKUP(A1380,Raw_Data!A:L,6,FALSE)</f>
        <v>Refrigerator</v>
      </c>
      <c r="C1380" t="str">
        <f>VLOOKUP(A1380,Raw_Data!A:L,3,FALSE)</f>
        <v>Saudi Arabia</v>
      </c>
      <c r="D1380" s="3">
        <f>VLOOKUP(A1380,Raw_Data!A:L,12,FALSE)</f>
        <v>51940</v>
      </c>
      <c r="E1380" s="3">
        <f>VLOOKUP(A1380,Raw_Data!A:L,11,FALSE)</f>
        <v>53</v>
      </c>
      <c r="F1380" t="str">
        <f>TEXT(VLOOKUP(A1380,Raw_Data!A:L,5,FALSE),"mmm")</f>
        <v>May</v>
      </c>
    </row>
    <row r="1381" spans="1:6" x14ac:dyDescent="0.35">
      <c r="A1381" s="3" t="s">
        <v>1951</v>
      </c>
      <c r="B1381" t="str">
        <f>VLOOKUP(A1381,Raw_Data!A:L,6,FALSE)</f>
        <v>Oven</v>
      </c>
      <c r="C1381" t="str">
        <f>VLOOKUP(A1381,Raw_Data!A:L,3,FALSE)</f>
        <v>Australia</v>
      </c>
      <c r="D1381" s="3">
        <f>VLOOKUP(A1381,Raw_Data!A:L,12,FALSE)</f>
        <v>4950</v>
      </c>
      <c r="E1381" s="3">
        <f>VLOOKUP(A1381,Raw_Data!A:L,11,FALSE)</f>
        <v>10</v>
      </c>
      <c r="F1381" t="str">
        <f>TEXT(VLOOKUP(A1381,Raw_Data!A:L,5,FALSE),"mmm")</f>
        <v>Jul</v>
      </c>
    </row>
    <row r="1382" spans="1:6" x14ac:dyDescent="0.35">
      <c r="A1382" s="3" t="s">
        <v>1952</v>
      </c>
      <c r="B1382" t="str">
        <f>VLOOKUP(A1382,Raw_Data!A:L,6,FALSE)</f>
        <v>Air conditioner</v>
      </c>
      <c r="C1382" t="str">
        <f>VLOOKUP(A1382,Raw_Data!A:L,3,FALSE)</f>
        <v>Australia</v>
      </c>
      <c r="D1382" s="3">
        <f>VLOOKUP(A1382,Raw_Data!A:L,12,FALSE)</f>
        <v>31122</v>
      </c>
      <c r="E1382" s="3">
        <f>VLOOKUP(A1382,Raw_Data!A:L,11,FALSE)</f>
        <v>57</v>
      </c>
      <c r="F1382" t="str">
        <f>TEXT(VLOOKUP(A1382,Raw_Data!A:L,5,FALSE),"mmm")</f>
        <v>Jun</v>
      </c>
    </row>
    <row r="1383" spans="1:6" x14ac:dyDescent="0.35">
      <c r="A1383" s="3" t="s">
        <v>1953</v>
      </c>
      <c r="B1383" t="str">
        <f>VLOOKUP(A1383,Raw_Data!A:L,6,FALSE)</f>
        <v>Air conditioner</v>
      </c>
      <c r="C1383" t="str">
        <f>VLOOKUP(A1383,Raw_Data!A:L,3,FALSE)</f>
        <v>Israel</v>
      </c>
      <c r="D1383" s="3">
        <f>VLOOKUP(A1383,Raw_Data!A:L,12,FALSE)</f>
        <v>65835</v>
      </c>
      <c r="E1383" s="3">
        <f>VLOOKUP(A1383,Raw_Data!A:L,11,FALSE)</f>
        <v>95</v>
      </c>
      <c r="F1383" t="str">
        <f>TEXT(VLOOKUP(A1383,Raw_Data!A:L,5,FALSE),"mmm")</f>
        <v>Nov</v>
      </c>
    </row>
    <row r="1384" spans="1:6" x14ac:dyDescent="0.35">
      <c r="A1384" s="3" t="s">
        <v>1954</v>
      </c>
      <c r="B1384" t="str">
        <f>VLOOKUP(A1384,Raw_Data!A:L,6,FALSE)</f>
        <v>Toaster</v>
      </c>
      <c r="C1384" t="str">
        <f>VLOOKUP(A1384,Raw_Data!A:L,3,FALSE)</f>
        <v>Japan</v>
      </c>
      <c r="D1384" s="3">
        <f>VLOOKUP(A1384,Raw_Data!A:L,12,FALSE)</f>
        <v>2520</v>
      </c>
      <c r="E1384" s="3">
        <f>VLOOKUP(A1384,Raw_Data!A:L,11,FALSE)</f>
        <v>56</v>
      </c>
      <c r="F1384" t="str">
        <f>TEXT(VLOOKUP(A1384,Raw_Data!A:L,5,FALSE),"mmm")</f>
        <v>Feb</v>
      </c>
    </row>
    <row r="1385" spans="1:6" x14ac:dyDescent="0.35">
      <c r="A1385" s="3" t="s">
        <v>1955</v>
      </c>
      <c r="B1385" t="str">
        <f>VLOOKUP(A1385,Raw_Data!A:L,6,FALSE)</f>
        <v>Air conditioner</v>
      </c>
      <c r="C1385" t="str">
        <f>VLOOKUP(A1385,Raw_Data!A:L,3,FALSE)</f>
        <v>India</v>
      </c>
      <c r="D1385" s="3">
        <f>VLOOKUP(A1385,Raw_Data!A:L,12,FALSE)</f>
        <v>56525</v>
      </c>
      <c r="E1385" s="3">
        <f>VLOOKUP(A1385,Raw_Data!A:L,11,FALSE)</f>
        <v>95</v>
      </c>
      <c r="F1385" t="str">
        <f>TEXT(VLOOKUP(A1385,Raw_Data!A:L,5,FALSE),"mmm")</f>
        <v>Oct</v>
      </c>
    </row>
    <row r="1386" spans="1:6" x14ac:dyDescent="0.35">
      <c r="A1386" s="3" t="s">
        <v>1956</v>
      </c>
      <c r="B1386" t="str">
        <f>VLOOKUP(A1386,Raw_Data!A:L,6,FALSE)</f>
        <v>Iron</v>
      </c>
      <c r="C1386" t="str">
        <f>VLOOKUP(A1386,Raw_Data!A:L,3,FALSE)</f>
        <v>UAE</v>
      </c>
      <c r="D1386" s="3">
        <f>VLOOKUP(A1386,Raw_Data!A:L,12,FALSE)</f>
        <v>2668</v>
      </c>
      <c r="E1386" s="3">
        <f>VLOOKUP(A1386,Raw_Data!A:L,11,FALSE)</f>
        <v>92</v>
      </c>
      <c r="F1386" t="str">
        <f>TEXT(VLOOKUP(A1386,Raw_Data!A:L,5,FALSE),"mmm")</f>
        <v>Sep</v>
      </c>
    </row>
    <row r="1387" spans="1:6" x14ac:dyDescent="0.35">
      <c r="A1387" s="3" t="s">
        <v>1957</v>
      </c>
      <c r="B1387" t="str">
        <f>VLOOKUP(A1387,Raw_Data!A:L,6,FALSE)</f>
        <v>Iron</v>
      </c>
      <c r="C1387" t="str">
        <f>VLOOKUP(A1387,Raw_Data!A:L,3,FALSE)</f>
        <v>France</v>
      </c>
      <c r="D1387" s="3">
        <f>VLOOKUP(A1387,Raw_Data!A:L,12,FALSE)</f>
        <v>2700</v>
      </c>
      <c r="E1387" s="3">
        <f>VLOOKUP(A1387,Raw_Data!A:L,11,FALSE)</f>
        <v>90</v>
      </c>
      <c r="F1387" t="str">
        <f>TEXT(VLOOKUP(A1387,Raw_Data!A:L,5,FALSE),"mmm")</f>
        <v>Feb</v>
      </c>
    </row>
    <row r="1388" spans="1:6" x14ac:dyDescent="0.35">
      <c r="A1388" s="3" t="s">
        <v>1958</v>
      </c>
      <c r="B1388" t="str">
        <f>VLOOKUP(A1388,Raw_Data!A:L,6,FALSE)</f>
        <v>Iron</v>
      </c>
      <c r="C1388" t="str">
        <f>VLOOKUP(A1388,Raw_Data!A:L,3,FALSE)</f>
        <v>India</v>
      </c>
      <c r="D1388" s="3">
        <f>VLOOKUP(A1388,Raw_Data!A:L,12,FALSE)</f>
        <v>1978</v>
      </c>
      <c r="E1388" s="3">
        <f>VLOOKUP(A1388,Raw_Data!A:L,11,FALSE)</f>
        <v>86</v>
      </c>
      <c r="F1388" t="str">
        <f>TEXT(VLOOKUP(A1388,Raw_Data!A:L,5,FALSE),"mmm")</f>
        <v>Jan</v>
      </c>
    </row>
    <row r="1389" spans="1:6" x14ac:dyDescent="0.35">
      <c r="A1389" s="3" t="s">
        <v>1959</v>
      </c>
      <c r="B1389" t="str">
        <f>VLOOKUP(A1389,Raw_Data!A:L,6,FALSE)</f>
        <v>Microwave</v>
      </c>
      <c r="C1389" t="str">
        <f>VLOOKUP(A1389,Raw_Data!A:L,3,FALSE)</f>
        <v>Austria</v>
      </c>
      <c r="D1389" s="3">
        <f>VLOOKUP(A1389,Raw_Data!A:L,12,FALSE)</f>
        <v>3869</v>
      </c>
      <c r="E1389" s="3">
        <f>VLOOKUP(A1389,Raw_Data!A:L,11,FALSE)</f>
        <v>53</v>
      </c>
      <c r="F1389" t="str">
        <f>TEXT(VLOOKUP(A1389,Raw_Data!A:L,5,FALSE),"mmm")</f>
        <v>Jul</v>
      </c>
    </row>
    <row r="1390" spans="1:6" x14ac:dyDescent="0.35">
      <c r="A1390" s="3" t="s">
        <v>1960</v>
      </c>
      <c r="B1390" t="str">
        <f>VLOOKUP(A1390,Raw_Data!A:L,6,FALSE)</f>
        <v>Refrigerator</v>
      </c>
      <c r="C1390" t="str">
        <f>VLOOKUP(A1390,Raw_Data!A:L,3,FALSE)</f>
        <v>Netherlands</v>
      </c>
      <c r="D1390" s="3">
        <f>VLOOKUP(A1390,Raw_Data!A:L,12,FALSE)</f>
        <v>14700</v>
      </c>
      <c r="E1390" s="3">
        <f>VLOOKUP(A1390,Raw_Data!A:L,11,FALSE)</f>
        <v>15</v>
      </c>
      <c r="F1390" t="str">
        <f>TEXT(VLOOKUP(A1390,Raw_Data!A:L,5,FALSE),"mmm")</f>
        <v>Apr</v>
      </c>
    </row>
    <row r="1391" spans="1:6" x14ac:dyDescent="0.35">
      <c r="A1391" s="3" t="s">
        <v>1961</v>
      </c>
      <c r="B1391" t="str">
        <f>VLOOKUP(A1391,Raw_Data!A:L,6,FALSE)</f>
        <v>Ceiling fan</v>
      </c>
      <c r="C1391" t="str">
        <f>VLOOKUP(A1391,Raw_Data!A:L,3,FALSE)</f>
        <v>UK</v>
      </c>
      <c r="D1391" s="3">
        <f>VLOOKUP(A1391,Raw_Data!A:L,12,FALSE)</f>
        <v>12600</v>
      </c>
      <c r="E1391" s="3">
        <f>VLOOKUP(A1391,Raw_Data!A:L,11,FALSE)</f>
        <v>84</v>
      </c>
      <c r="F1391" t="str">
        <f>TEXT(VLOOKUP(A1391,Raw_Data!A:L,5,FALSE),"mmm")</f>
        <v>Feb</v>
      </c>
    </row>
    <row r="1392" spans="1:6" x14ac:dyDescent="0.35">
      <c r="A1392" s="3" t="s">
        <v>1963</v>
      </c>
      <c r="B1392" t="str">
        <f>VLOOKUP(A1392,Raw_Data!A:L,6,FALSE)</f>
        <v>Coffee grinder</v>
      </c>
      <c r="C1392" t="str">
        <f>VLOOKUP(A1392,Raw_Data!A:L,3,FALSE)</f>
        <v>Japan</v>
      </c>
      <c r="D1392" s="3">
        <f>VLOOKUP(A1392,Raw_Data!A:L,12,FALSE)</f>
        <v>448</v>
      </c>
      <c r="E1392" s="3">
        <f>VLOOKUP(A1392,Raw_Data!A:L,11,FALSE)</f>
        <v>14</v>
      </c>
      <c r="F1392" t="str">
        <f>TEXT(VLOOKUP(A1392,Raw_Data!A:L,5,FALSE),"mmm")</f>
        <v>Jan</v>
      </c>
    </row>
    <row r="1393" spans="1:6" x14ac:dyDescent="0.35">
      <c r="A1393" s="3" t="s">
        <v>1964</v>
      </c>
      <c r="B1393" t="str">
        <f>VLOOKUP(A1393,Raw_Data!A:L,6,FALSE)</f>
        <v>Air conditioner</v>
      </c>
      <c r="C1393" t="str">
        <f>VLOOKUP(A1393,Raw_Data!A:L,3,FALSE)</f>
        <v>Ireland</v>
      </c>
      <c r="D1393" s="3">
        <f>VLOOKUP(A1393,Raw_Data!A:L,12,FALSE)</f>
        <v>5600</v>
      </c>
      <c r="E1393" s="3">
        <f>VLOOKUP(A1393,Raw_Data!A:L,11,FALSE)</f>
        <v>8</v>
      </c>
      <c r="F1393" t="str">
        <f>TEXT(VLOOKUP(A1393,Raw_Data!A:L,5,FALSE),"mmm")</f>
        <v>Jul</v>
      </c>
    </row>
    <row r="1394" spans="1:6" x14ac:dyDescent="0.35">
      <c r="A1394" s="3" t="s">
        <v>1965</v>
      </c>
      <c r="B1394" t="str">
        <f>VLOOKUP(A1394,Raw_Data!A:L,6,FALSE)</f>
        <v>Iron</v>
      </c>
      <c r="C1394" t="str">
        <f>VLOOKUP(A1394,Raw_Data!A:L,3,FALSE)</f>
        <v>South Africa</v>
      </c>
      <c r="D1394" s="3">
        <f>VLOOKUP(A1394,Raw_Data!A:L,12,FALSE)</f>
        <v>1820</v>
      </c>
      <c r="E1394" s="3">
        <f>VLOOKUP(A1394,Raw_Data!A:L,11,FALSE)</f>
        <v>70</v>
      </c>
      <c r="F1394" t="str">
        <f>TEXT(VLOOKUP(A1394,Raw_Data!A:L,5,FALSE),"mmm")</f>
        <v>Apr</v>
      </c>
    </row>
    <row r="1395" spans="1:6" x14ac:dyDescent="0.35">
      <c r="A1395" s="3" t="s">
        <v>1966</v>
      </c>
      <c r="B1395" t="str">
        <f>VLOOKUP(A1395,Raw_Data!A:L,6,FALSE)</f>
        <v>Washing Machine</v>
      </c>
      <c r="C1395" t="str">
        <f>VLOOKUP(A1395,Raw_Data!A:L,3,FALSE)</f>
        <v>Australia</v>
      </c>
      <c r="D1395" s="3">
        <f>VLOOKUP(A1395,Raw_Data!A:L,12,FALSE)</f>
        <v>49296</v>
      </c>
      <c r="E1395" s="3">
        <f>VLOOKUP(A1395,Raw_Data!A:L,11,FALSE)</f>
        <v>79</v>
      </c>
      <c r="F1395" t="str">
        <f>TEXT(VLOOKUP(A1395,Raw_Data!A:L,5,FALSE),"mmm")</f>
        <v>Jul</v>
      </c>
    </row>
    <row r="1396" spans="1:6" x14ac:dyDescent="0.35">
      <c r="A1396" s="3" t="s">
        <v>1967</v>
      </c>
      <c r="B1396" t="str">
        <f>VLOOKUP(A1396,Raw_Data!A:L,6,FALSE)</f>
        <v>Washing Machine</v>
      </c>
      <c r="C1396" t="str">
        <f>VLOOKUP(A1396,Raw_Data!A:L,3,FALSE)</f>
        <v>USA</v>
      </c>
      <c r="D1396" s="3">
        <f>VLOOKUP(A1396,Raw_Data!A:L,12,FALSE)</f>
        <v>49840</v>
      </c>
      <c r="E1396" s="3">
        <f>VLOOKUP(A1396,Raw_Data!A:L,11,FALSE)</f>
        <v>89</v>
      </c>
      <c r="F1396" t="str">
        <f>TEXT(VLOOKUP(A1396,Raw_Data!A:L,5,FALSE),"mmm")</f>
        <v>Apr</v>
      </c>
    </row>
    <row r="1397" spans="1:6" x14ac:dyDescent="0.35">
      <c r="A1397" s="3" t="s">
        <v>1968</v>
      </c>
      <c r="B1397" t="str">
        <f>VLOOKUP(A1397,Raw_Data!A:L,6,FALSE)</f>
        <v>Refrigerator</v>
      </c>
      <c r="C1397" t="str">
        <f>VLOOKUP(A1397,Raw_Data!A:L,3,FALSE)</f>
        <v>Poland</v>
      </c>
      <c r="D1397" s="3">
        <f>VLOOKUP(A1397,Raw_Data!A:L,12,FALSE)</f>
        <v>18430</v>
      </c>
      <c r="E1397" s="3">
        <f>VLOOKUP(A1397,Raw_Data!A:L,11,FALSE)</f>
        <v>19</v>
      </c>
      <c r="F1397" t="str">
        <f>TEXT(VLOOKUP(A1397,Raw_Data!A:L,5,FALSE),"mmm")</f>
        <v>Jan</v>
      </c>
    </row>
    <row r="1398" spans="1:6" x14ac:dyDescent="0.35">
      <c r="A1398" s="3" t="s">
        <v>1969</v>
      </c>
      <c r="B1398" t="str">
        <f>VLOOKUP(A1398,Raw_Data!A:L,6,FALSE)</f>
        <v>Microwave</v>
      </c>
      <c r="C1398" t="str">
        <f>VLOOKUP(A1398,Raw_Data!A:L,3,FALSE)</f>
        <v>Brazil</v>
      </c>
      <c r="D1398" s="3">
        <f>VLOOKUP(A1398,Raw_Data!A:L,12,FALSE)</f>
        <v>6370</v>
      </c>
      <c r="E1398" s="3">
        <f>VLOOKUP(A1398,Raw_Data!A:L,11,FALSE)</f>
        <v>91</v>
      </c>
      <c r="F1398" t="str">
        <f>TEXT(VLOOKUP(A1398,Raw_Data!A:L,5,FALSE),"mmm")</f>
        <v>Jan</v>
      </c>
    </row>
    <row r="1399" spans="1:6" x14ac:dyDescent="0.35">
      <c r="A1399" s="3" t="s">
        <v>1970</v>
      </c>
      <c r="B1399" t="str">
        <f>VLOOKUP(A1399,Raw_Data!A:L,6,FALSE)</f>
        <v>Washing Machine</v>
      </c>
      <c r="C1399" t="str">
        <f>VLOOKUP(A1399,Raw_Data!A:L,3,FALSE)</f>
        <v>India</v>
      </c>
      <c r="D1399" s="3">
        <f>VLOOKUP(A1399,Raw_Data!A:L,12,FALSE)</f>
        <v>25920</v>
      </c>
      <c r="E1399" s="3">
        <f>VLOOKUP(A1399,Raw_Data!A:L,11,FALSE)</f>
        <v>54</v>
      </c>
      <c r="F1399" t="str">
        <f>TEXT(VLOOKUP(A1399,Raw_Data!A:L,5,FALSE),"mmm")</f>
        <v>Feb</v>
      </c>
    </row>
    <row r="1400" spans="1:6" x14ac:dyDescent="0.35">
      <c r="A1400" s="3" t="s">
        <v>1971</v>
      </c>
      <c r="B1400" t="str">
        <f>VLOOKUP(A1400,Raw_Data!A:L,6,FALSE)</f>
        <v>Dishwasher</v>
      </c>
      <c r="C1400" t="str">
        <f>VLOOKUP(A1400,Raw_Data!A:L,3,FALSE)</f>
        <v>UK</v>
      </c>
      <c r="D1400" s="3">
        <f>VLOOKUP(A1400,Raw_Data!A:L,12,FALSE)</f>
        <v>40950</v>
      </c>
      <c r="E1400" s="3">
        <f>VLOOKUP(A1400,Raw_Data!A:L,11,FALSE)</f>
        <v>90</v>
      </c>
      <c r="F1400" t="str">
        <f>TEXT(VLOOKUP(A1400,Raw_Data!A:L,5,FALSE),"mmm")</f>
        <v>Apr</v>
      </c>
    </row>
    <row r="1401" spans="1:6" x14ac:dyDescent="0.35">
      <c r="A1401" s="3" t="s">
        <v>1972</v>
      </c>
      <c r="B1401" t="str">
        <f>VLOOKUP(A1401,Raw_Data!A:L,6,FALSE)</f>
        <v>Coffee grinder</v>
      </c>
      <c r="C1401" t="str">
        <f>VLOOKUP(A1401,Raw_Data!A:L,3,FALSE)</f>
        <v>Japan</v>
      </c>
      <c r="D1401" s="3">
        <f>VLOOKUP(A1401,Raw_Data!A:L,12,FALSE)</f>
        <v>5589</v>
      </c>
      <c r="E1401" s="3">
        <f>VLOOKUP(A1401,Raw_Data!A:L,11,FALSE)</f>
        <v>81</v>
      </c>
      <c r="F1401" t="str">
        <f>TEXT(VLOOKUP(A1401,Raw_Data!A:L,5,FALSE),"mmm")</f>
        <v>Dec</v>
      </c>
    </row>
    <row r="1402" spans="1:6" x14ac:dyDescent="0.35">
      <c r="A1402" s="3" t="s">
        <v>1973</v>
      </c>
      <c r="B1402" t="str">
        <f>VLOOKUP(A1402,Raw_Data!A:L,6,FALSE)</f>
        <v>Coffee grinder</v>
      </c>
      <c r="C1402" t="str">
        <f>VLOOKUP(A1402,Raw_Data!A:L,3,FALSE)</f>
        <v>Australia</v>
      </c>
      <c r="D1402" s="3">
        <f>VLOOKUP(A1402,Raw_Data!A:L,12,FALSE)</f>
        <v>504</v>
      </c>
      <c r="E1402" s="3">
        <f>VLOOKUP(A1402,Raw_Data!A:L,11,FALSE)</f>
        <v>8</v>
      </c>
      <c r="F1402" t="str">
        <f>TEXT(VLOOKUP(A1402,Raw_Data!A:L,5,FALSE),"mmm")</f>
        <v>Sep</v>
      </c>
    </row>
    <row r="1403" spans="1:6" x14ac:dyDescent="0.35">
      <c r="A1403" s="3" t="s">
        <v>1974</v>
      </c>
      <c r="B1403" t="str">
        <f>VLOOKUP(A1403,Raw_Data!A:L,6,FALSE)</f>
        <v>Toaster</v>
      </c>
      <c r="C1403" t="str">
        <f>VLOOKUP(A1403,Raw_Data!A:L,3,FALSE)</f>
        <v>Ireland</v>
      </c>
      <c r="D1403" s="3">
        <f>VLOOKUP(A1403,Raw_Data!A:L,12,FALSE)</f>
        <v>1406</v>
      </c>
      <c r="E1403" s="3">
        <f>VLOOKUP(A1403,Raw_Data!A:L,11,FALSE)</f>
        <v>37</v>
      </c>
      <c r="F1403" t="str">
        <f>TEXT(VLOOKUP(A1403,Raw_Data!A:L,5,FALSE),"mmm")</f>
        <v>Jan</v>
      </c>
    </row>
    <row r="1404" spans="1:6" x14ac:dyDescent="0.35">
      <c r="A1404" s="3" t="s">
        <v>1975</v>
      </c>
      <c r="B1404" t="str">
        <f>VLOOKUP(A1404,Raw_Data!A:L,6,FALSE)</f>
        <v>Vacuum Cleaner</v>
      </c>
      <c r="C1404" t="str">
        <f>VLOOKUP(A1404,Raw_Data!A:L,3,FALSE)</f>
        <v>France</v>
      </c>
      <c r="D1404" s="3">
        <f>VLOOKUP(A1404,Raw_Data!A:L,12,FALSE)</f>
        <v>7200</v>
      </c>
      <c r="E1404" s="3">
        <f>VLOOKUP(A1404,Raw_Data!A:L,11,FALSE)</f>
        <v>36</v>
      </c>
      <c r="F1404" t="str">
        <f>TEXT(VLOOKUP(A1404,Raw_Data!A:L,5,FALSE),"mmm")</f>
        <v>Aug</v>
      </c>
    </row>
    <row r="1405" spans="1:6" x14ac:dyDescent="0.35">
      <c r="A1405" s="3" t="s">
        <v>1976</v>
      </c>
      <c r="B1405" t="str">
        <f>VLOOKUP(A1405,Raw_Data!A:L,6,FALSE)</f>
        <v>Coffee grinder</v>
      </c>
      <c r="C1405" t="str">
        <f>VLOOKUP(A1405,Raw_Data!A:L,3,FALSE)</f>
        <v>Japan</v>
      </c>
      <c r="D1405" s="3">
        <f>VLOOKUP(A1405,Raw_Data!A:L,12,FALSE)</f>
        <v>2139</v>
      </c>
      <c r="E1405" s="3">
        <f>VLOOKUP(A1405,Raw_Data!A:L,11,FALSE)</f>
        <v>31</v>
      </c>
      <c r="F1405" t="str">
        <f>TEXT(VLOOKUP(A1405,Raw_Data!A:L,5,FALSE),"mmm")</f>
        <v>Apr</v>
      </c>
    </row>
    <row r="1406" spans="1:6" x14ac:dyDescent="0.35">
      <c r="A1406" s="3" t="s">
        <v>1977</v>
      </c>
      <c r="B1406" t="str">
        <f>VLOOKUP(A1406,Raw_Data!A:L,6,FALSE)</f>
        <v>Iron</v>
      </c>
      <c r="C1406" t="str">
        <f>VLOOKUP(A1406,Raw_Data!A:L,3,FALSE)</f>
        <v>Mexico</v>
      </c>
      <c r="D1406" s="3">
        <f>VLOOKUP(A1406,Raw_Data!A:L,12,FALSE)</f>
        <v>1716</v>
      </c>
      <c r="E1406" s="3">
        <f>VLOOKUP(A1406,Raw_Data!A:L,11,FALSE)</f>
        <v>66</v>
      </c>
      <c r="F1406" t="str">
        <f>TEXT(VLOOKUP(A1406,Raw_Data!A:L,5,FALSE),"mmm")</f>
        <v>Nov</v>
      </c>
    </row>
    <row r="1407" spans="1:6" x14ac:dyDescent="0.35">
      <c r="A1407" s="3" t="s">
        <v>1978</v>
      </c>
      <c r="B1407" t="str">
        <f>VLOOKUP(A1407,Raw_Data!A:L,6,FALSE)</f>
        <v>Iron</v>
      </c>
      <c r="C1407" t="str">
        <f>VLOOKUP(A1407,Raw_Data!A:L,3,FALSE)</f>
        <v>Russia</v>
      </c>
      <c r="D1407" s="3">
        <f>VLOOKUP(A1407,Raw_Data!A:L,12,FALSE)</f>
        <v>1200</v>
      </c>
      <c r="E1407" s="3">
        <f>VLOOKUP(A1407,Raw_Data!A:L,11,FALSE)</f>
        <v>40</v>
      </c>
      <c r="F1407" t="str">
        <f>TEXT(VLOOKUP(A1407,Raw_Data!A:L,5,FALSE),"mmm")</f>
        <v>May</v>
      </c>
    </row>
    <row r="1408" spans="1:6" x14ac:dyDescent="0.35">
      <c r="A1408" s="3" t="s">
        <v>1979</v>
      </c>
      <c r="B1408" t="str">
        <f>VLOOKUP(A1408,Raw_Data!A:L,6,FALSE)</f>
        <v>Blender</v>
      </c>
      <c r="C1408" t="str">
        <f>VLOOKUP(A1408,Raw_Data!A:L,3,FALSE)</f>
        <v>Czech Republic</v>
      </c>
      <c r="D1408" s="3">
        <f>VLOOKUP(A1408,Raw_Data!A:L,12,FALSE)</f>
        <v>184</v>
      </c>
      <c r="E1408" s="3">
        <f>VLOOKUP(A1408,Raw_Data!A:L,11,FALSE)</f>
        <v>4</v>
      </c>
      <c r="F1408" t="str">
        <f>TEXT(VLOOKUP(A1408,Raw_Data!A:L,5,FALSE),"mmm")</f>
        <v>Nov</v>
      </c>
    </row>
    <row r="1409" spans="1:6" x14ac:dyDescent="0.35">
      <c r="A1409" s="3" t="s">
        <v>1980</v>
      </c>
      <c r="B1409" t="str">
        <f>VLOOKUP(A1409,Raw_Data!A:L,6,FALSE)</f>
        <v>Oven</v>
      </c>
      <c r="C1409" t="str">
        <f>VLOOKUP(A1409,Raw_Data!A:L,3,FALSE)</f>
        <v>Ireland</v>
      </c>
      <c r="D1409" s="3">
        <f>VLOOKUP(A1409,Raw_Data!A:L,12,FALSE)</f>
        <v>27500</v>
      </c>
      <c r="E1409" s="3">
        <f>VLOOKUP(A1409,Raw_Data!A:L,11,FALSE)</f>
        <v>55</v>
      </c>
      <c r="F1409" t="str">
        <f>TEXT(VLOOKUP(A1409,Raw_Data!A:L,5,FALSE),"mmm")</f>
        <v>Jul</v>
      </c>
    </row>
    <row r="1410" spans="1:6" x14ac:dyDescent="0.35">
      <c r="A1410" s="3" t="s">
        <v>1981</v>
      </c>
      <c r="B1410" t="str">
        <f>VLOOKUP(A1410,Raw_Data!A:L,6,FALSE)</f>
        <v>Air conditioner</v>
      </c>
      <c r="C1410" t="str">
        <f>VLOOKUP(A1410,Raw_Data!A:L,3,FALSE)</f>
        <v>Netherlands</v>
      </c>
      <c r="D1410" s="3">
        <f>VLOOKUP(A1410,Raw_Data!A:L,12,FALSE)</f>
        <v>10864</v>
      </c>
      <c r="E1410" s="3">
        <f>VLOOKUP(A1410,Raw_Data!A:L,11,FALSE)</f>
        <v>16</v>
      </c>
      <c r="F1410" t="str">
        <f>TEXT(VLOOKUP(A1410,Raw_Data!A:L,5,FALSE),"mmm")</f>
        <v>Jan</v>
      </c>
    </row>
    <row r="1411" spans="1:6" x14ac:dyDescent="0.35">
      <c r="A1411" s="3" t="s">
        <v>1982</v>
      </c>
      <c r="B1411" t="str">
        <f>VLOOKUP(A1411,Raw_Data!A:L,6,FALSE)</f>
        <v>Air conditioner</v>
      </c>
      <c r="C1411" t="str">
        <f>VLOOKUP(A1411,Raw_Data!A:L,3,FALSE)</f>
        <v>South Africa</v>
      </c>
      <c r="D1411" s="3">
        <f>VLOOKUP(A1411,Raw_Data!A:L,12,FALSE)</f>
        <v>7560</v>
      </c>
      <c r="E1411" s="3">
        <f>VLOOKUP(A1411,Raw_Data!A:L,11,FALSE)</f>
        <v>12</v>
      </c>
      <c r="F1411" t="str">
        <f>TEXT(VLOOKUP(A1411,Raw_Data!A:L,5,FALSE),"mmm")</f>
        <v>Jul</v>
      </c>
    </row>
    <row r="1412" spans="1:6" x14ac:dyDescent="0.35">
      <c r="A1412" s="3" t="s">
        <v>1983</v>
      </c>
      <c r="B1412" t="str">
        <f>VLOOKUP(A1412,Raw_Data!A:L,6,FALSE)</f>
        <v>Coffee grinder</v>
      </c>
      <c r="C1412" t="str">
        <f>VLOOKUP(A1412,Raw_Data!A:L,3,FALSE)</f>
        <v>Canada</v>
      </c>
      <c r="D1412" s="3">
        <f>VLOOKUP(A1412,Raw_Data!A:L,12,FALSE)</f>
        <v>65</v>
      </c>
      <c r="E1412" s="3">
        <f>VLOOKUP(A1412,Raw_Data!A:L,11,FALSE)</f>
        <v>1</v>
      </c>
      <c r="F1412" t="str">
        <f>TEXT(VLOOKUP(A1412,Raw_Data!A:L,5,FALSE),"mmm")</f>
        <v>Feb</v>
      </c>
    </row>
    <row r="1413" spans="1:6" x14ac:dyDescent="0.35">
      <c r="A1413" s="3" t="s">
        <v>1984</v>
      </c>
      <c r="B1413" t="str">
        <f>VLOOKUP(A1413,Raw_Data!A:L,6,FALSE)</f>
        <v>Oven</v>
      </c>
      <c r="C1413" t="str">
        <f>VLOOKUP(A1413,Raw_Data!A:L,3,FALSE)</f>
        <v>India</v>
      </c>
      <c r="D1413" s="3">
        <f>VLOOKUP(A1413,Raw_Data!A:L,12,FALSE)</f>
        <v>1500</v>
      </c>
      <c r="E1413" s="3">
        <f>VLOOKUP(A1413,Raw_Data!A:L,11,FALSE)</f>
        <v>3</v>
      </c>
      <c r="F1413" t="str">
        <f>TEXT(VLOOKUP(A1413,Raw_Data!A:L,5,FALSE),"mmm")</f>
        <v>Dec</v>
      </c>
    </row>
    <row r="1414" spans="1:6" x14ac:dyDescent="0.35">
      <c r="A1414" s="3" t="s">
        <v>1985</v>
      </c>
      <c r="B1414" t="str">
        <f>VLOOKUP(A1414,Raw_Data!A:L,6,FALSE)</f>
        <v>Vacuum Cleaner</v>
      </c>
      <c r="C1414" t="str">
        <f>VLOOKUP(A1414,Raw_Data!A:L,3,FALSE)</f>
        <v>UAE</v>
      </c>
      <c r="D1414" s="3">
        <f>VLOOKUP(A1414,Raw_Data!A:L,12,FALSE)</f>
        <v>6000</v>
      </c>
      <c r="E1414" s="3">
        <f>VLOOKUP(A1414,Raw_Data!A:L,11,FALSE)</f>
        <v>30</v>
      </c>
      <c r="F1414" t="str">
        <f>TEXT(VLOOKUP(A1414,Raw_Data!A:L,5,FALSE),"mmm")</f>
        <v>Oct</v>
      </c>
    </row>
    <row r="1415" spans="1:6" x14ac:dyDescent="0.35">
      <c r="A1415" s="3" t="s">
        <v>1986</v>
      </c>
      <c r="B1415" t="str">
        <f>VLOOKUP(A1415,Raw_Data!A:L,6,FALSE)</f>
        <v>Oven</v>
      </c>
      <c r="C1415" t="str">
        <f>VLOOKUP(A1415,Raw_Data!A:L,3,FALSE)</f>
        <v>Germany</v>
      </c>
      <c r="D1415" s="3">
        <f>VLOOKUP(A1415,Raw_Data!A:L,12,FALSE)</f>
        <v>49000</v>
      </c>
      <c r="E1415" s="3">
        <f>VLOOKUP(A1415,Raw_Data!A:L,11,FALSE)</f>
        <v>100</v>
      </c>
      <c r="F1415" t="str">
        <f>TEXT(VLOOKUP(A1415,Raw_Data!A:L,5,FALSE),"mmm")</f>
        <v>Aug</v>
      </c>
    </row>
    <row r="1416" spans="1:6" x14ac:dyDescent="0.35">
      <c r="A1416" s="3" t="s">
        <v>1987</v>
      </c>
      <c r="B1416" t="str">
        <f>VLOOKUP(A1416,Raw_Data!A:L,6,FALSE)</f>
        <v>Iron</v>
      </c>
      <c r="C1416" t="str">
        <f>VLOOKUP(A1416,Raw_Data!A:L,3,FALSE)</f>
        <v>Argentina</v>
      </c>
      <c r="D1416" s="3">
        <f>VLOOKUP(A1416,Raw_Data!A:L,12,FALSE)</f>
        <v>270</v>
      </c>
      <c r="E1416" s="3">
        <f>VLOOKUP(A1416,Raw_Data!A:L,11,FALSE)</f>
        <v>9</v>
      </c>
      <c r="F1416" t="str">
        <f>TEXT(VLOOKUP(A1416,Raw_Data!A:L,5,FALSE),"mmm")</f>
        <v>Mar</v>
      </c>
    </row>
    <row r="1417" spans="1:6" x14ac:dyDescent="0.35">
      <c r="A1417" s="3" t="s">
        <v>1988</v>
      </c>
      <c r="B1417" t="str">
        <f>VLOOKUP(A1417,Raw_Data!A:L,6,FALSE)</f>
        <v>Coffee grinder</v>
      </c>
      <c r="C1417" t="str">
        <f>VLOOKUP(A1417,Raw_Data!A:L,3,FALSE)</f>
        <v>USA</v>
      </c>
      <c r="D1417" s="3">
        <f>VLOOKUP(A1417,Raw_Data!A:L,12,FALSE)</f>
        <v>550</v>
      </c>
      <c r="E1417" s="3">
        <f>VLOOKUP(A1417,Raw_Data!A:L,11,FALSE)</f>
        <v>10</v>
      </c>
      <c r="F1417" t="str">
        <f>TEXT(VLOOKUP(A1417,Raw_Data!A:L,5,FALSE),"mmm")</f>
        <v>May</v>
      </c>
    </row>
    <row r="1418" spans="1:6" x14ac:dyDescent="0.35">
      <c r="A1418" s="3" t="s">
        <v>1989</v>
      </c>
      <c r="B1418" t="str">
        <f>VLOOKUP(A1418,Raw_Data!A:L,6,FALSE)</f>
        <v>Blender</v>
      </c>
      <c r="C1418" t="str">
        <f>VLOOKUP(A1418,Raw_Data!A:L,3,FALSE)</f>
        <v>Italy</v>
      </c>
      <c r="D1418" s="3">
        <f>VLOOKUP(A1418,Raw_Data!A:L,12,FALSE)</f>
        <v>1008</v>
      </c>
      <c r="E1418" s="3">
        <f>VLOOKUP(A1418,Raw_Data!A:L,11,FALSE)</f>
        <v>24</v>
      </c>
      <c r="F1418" t="str">
        <f>TEXT(VLOOKUP(A1418,Raw_Data!A:L,5,FALSE),"mmm")</f>
        <v>Jul</v>
      </c>
    </row>
    <row r="1419" spans="1:6" x14ac:dyDescent="0.35">
      <c r="A1419" s="3" t="s">
        <v>1990</v>
      </c>
      <c r="B1419" t="str">
        <f>VLOOKUP(A1419,Raw_Data!A:L,6,FALSE)</f>
        <v>Iron</v>
      </c>
      <c r="C1419" t="str">
        <f>VLOOKUP(A1419,Raw_Data!A:L,3,FALSE)</f>
        <v>Japan</v>
      </c>
      <c r="D1419" s="3">
        <f>VLOOKUP(A1419,Raw_Data!A:L,12,FALSE)</f>
        <v>1144</v>
      </c>
      <c r="E1419" s="3">
        <f>VLOOKUP(A1419,Raw_Data!A:L,11,FALSE)</f>
        <v>44</v>
      </c>
      <c r="F1419" t="str">
        <f>TEXT(VLOOKUP(A1419,Raw_Data!A:L,5,FALSE),"mmm")</f>
        <v>Nov</v>
      </c>
    </row>
    <row r="1420" spans="1:6" x14ac:dyDescent="0.35">
      <c r="A1420" s="3" t="s">
        <v>1991</v>
      </c>
      <c r="B1420" t="str">
        <f>VLOOKUP(A1420,Raw_Data!A:L,6,FALSE)</f>
        <v>Coffee grinder</v>
      </c>
      <c r="C1420" t="str">
        <f>VLOOKUP(A1420,Raw_Data!A:L,3,FALSE)</f>
        <v>Spain</v>
      </c>
      <c r="D1420" s="3">
        <f>VLOOKUP(A1420,Raw_Data!A:L,12,FALSE)</f>
        <v>3763</v>
      </c>
      <c r="E1420" s="3">
        <f>VLOOKUP(A1420,Raw_Data!A:L,11,FALSE)</f>
        <v>71</v>
      </c>
      <c r="F1420" t="str">
        <f>TEXT(VLOOKUP(A1420,Raw_Data!A:L,5,FALSE),"mmm")</f>
        <v>May</v>
      </c>
    </row>
    <row r="1421" spans="1:6" x14ac:dyDescent="0.35">
      <c r="A1421" s="3" t="s">
        <v>1992</v>
      </c>
      <c r="B1421" t="str">
        <f>VLOOKUP(A1421,Raw_Data!A:L,6,FALSE)</f>
        <v>Oven</v>
      </c>
      <c r="C1421" t="str">
        <f>VLOOKUP(A1421,Raw_Data!A:L,3,FALSE)</f>
        <v>Saudi Arabia</v>
      </c>
      <c r="D1421" s="3">
        <f>VLOOKUP(A1421,Raw_Data!A:L,12,FALSE)</f>
        <v>42140</v>
      </c>
      <c r="E1421" s="3">
        <f>VLOOKUP(A1421,Raw_Data!A:L,11,FALSE)</f>
        <v>86</v>
      </c>
      <c r="F1421" t="str">
        <f>TEXT(VLOOKUP(A1421,Raw_Data!A:L,5,FALSE),"mmm")</f>
        <v>Feb</v>
      </c>
    </row>
    <row r="1422" spans="1:6" x14ac:dyDescent="0.35">
      <c r="A1422" s="3" t="s">
        <v>1993</v>
      </c>
      <c r="B1422" t="str">
        <f>VLOOKUP(A1422,Raw_Data!A:L,6,FALSE)</f>
        <v>Iron</v>
      </c>
      <c r="C1422" t="str">
        <f>VLOOKUP(A1422,Raw_Data!A:L,3,FALSE)</f>
        <v>Poland</v>
      </c>
      <c r="D1422" s="3">
        <f>VLOOKUP(A1422,Raw_Data!A:L,12,FALSE)</f>
        <v>494</v>
      </c>
      <c r="E1422" s="3">
        <f>VLOOKUP(A1422,Raw_Data!A:L,11,FALSE)</f>
        <v>19</v>
      </c>
      <c r="F1422" t="str">
        <f>TEXT(VLOOKUP(A1422,Raw_Data!A:L,5,FALSE),"mmm")</f>
        <v>Apr</v>
      </c>
    </row>
    <row r="1423" spans="1:6" x14ac:dyDescent="0.35">
      <c r="A1423" s="3" t="s">
        <v>1994</v>
      </c>
      <c r="B1423" t="str">
        <f>VLOOKUP(A1423,Raw_Data!A:L,6,FALSE)</f>
        <v>Microwave</v>
      </c>
      <c r="C1423" t="str">
        <f>VLOOKUP(A1423,Raw_Data!A:L,3,FALSE)</f>
        <v>Malaysia</v>
      </c>
      <c r="D1423" s="3">
        <f>VLOOKUP(A1423,Raw_Data!A:L,12,FALSE)</f>
        <v>636</v>
      </c>
      <c r="E1423" s="3">
        <f>VLOOKUP(A1423,Raw_Data!A:L,11,FALSE)</f>
        <v>12</v>
      </c>
      <c r="F1423" t="str">
        <f>TEXT(VLOOKUP(A1423,Raw_Data!A:L,5,FALSE),"mmm")</f>
        <v>Feb</v>
      </c>
    </row>
    <row r="1424" spans="1:6" x14ac:dyDescent="0.35">
      <c r="A1424" s="3" t="s">
        <v>1995</v>
      </c>
      <c r="B1424" t="str">
        <f>VLOOKUP(A1424,Raw_Data!A:L,6,FALSE)</f>
        <v>Washing Machine</v>
      </c>
      <c r="C1424" t="str">
        <f>VLOOKUP(A1424,Raw_Data!A:L,3,FALSE)</f>
        <v>Chile</v>
      </c>
      <c r="D1424" s="3">
        <f>VLOOKUP(A1424,Raw_Data!A:L,12,FALSE)</f>
        <v>26488</v>
      </c>
      <c r="E1424" s="3">
        <f>VLOOKUP(A1424,Raw_Data!A:L,11,FALSE)</f>
        <v>43</v>
      </c>
      <c r="F1424" t="str">
        <f>TEXT(VLOOKUP(A1424,Raw_Data!A:L,5,FALSE),"mmm")</f>
        <v>Sep</v>
      </c>
    </row>
    <row r="1425" spans="1:6" x14ac:dyDescent="0.35">
      <c r="A1425" s="3" t="s">
        <v>1996</v>
      </c>
      <c r="B1425" t="str">
        <f>VLOOKUP(A1425,Raw_Data!A:L,6,FALSE)</f>
        <v>Vacuum Cleaner</v>
      </c>
      <c r="C1425" t="str">
        <f>VLOOKUP(A1425,Raw_Data!A:L,3,FALSE)</f>
        <v>Canada</v>
      </c>
      <c r="D1425" s="3">
        <f>VLOOKUP(A1425,Raw_Data!A:L,12,FALSE)</f>
        <v>12600</v>
      </c>
      <c r="E1425" s="3">
        <f>VLOOKUP(A1425,Raw_Data!A:L,11,FALSE)</f>
        <v>56</v>
      </c>
      <c r="F1425" t="str">
        <f>TEXT(VLOOKUP(A1425,Raw_Data!A:L,5,FALSE),"mmm")</f>
        <v>Apr</v>
      </c>
    </row>
    <row r="1426" spans="1:6" x14ac:dyDescent="0.35">
      <c r="A1426" s="3" t="s">
        <v>1997</v>
      </c>
      <c r="B1426" t="str">
        <f>VLOOKUP(A1426,Raw_Data!A:L,6,FALSE)</f>
        <v>Vacuum Cleaner</v>
      </c>
      <c r="C1426" t="str">
        <f>VLOOKUP(A1426,Raw_Data!A:L,3,FALSE)</f>
        <v>Chile</v>
      </c>
      <c r="D1426" s="3">
        <f>VLOOKUP(A1426,Raw_Data!A:L,12,FALSE)</f>
        <v>10535</v>
      </c>
      <c r="E1426" s="3">
        <f>VLOOKUP(A1426,Raw_Data!A:L,11,FALSE)</f>
        <v>49</v>
      </c>
      <c r="F1426" t="str">
        <f>TEXT(VLOOKUP(A1426,Raw_Data!A:L,5,FALSE),"mmm")</f>
        <v>Feb</v>
      </c>
    </row>
    <row r="1427" spans="1:6" x14ac:dyDescent="0.35">
      <c r="A1427" s="3" t="s">
        <v>1998</v>
      </c>
      <c r="B1427" t="str">
        <f>VLOOKUP(A1427,Raw_Data!A:L,6,FALSE)</f>
        <v>Washing Machine</v>
      </c>
      <c r="C1427" t="str">
        <f>VLOOKUP(A1427,Raw_Data!A:L,3,FALSE)</f>
        <v>China</v>
      </c>
      <c r="D1427" s="3">
        <f>VLOOKUP(A1427,Raw_Data!A:L,12,FALSE)</f>
        <v>14952</v>
      </c>
      <c r="E1427" s="3">
        <f>VLOOKUP(A1427,Raw_Data!A:L,11,FALSE)</f>
        <v>21</v>
      </c>
      <c r="F1427" t="str">
        <f>TEXT(VLOOKUP(A1427,Raw_Data!A:L,5,FALSE),"mmm")</f>
        <v>Nov</v>
      </c>
    </row>
    <row r="1428" spans="1:6" x14ac:dyDescent="0.35">
      <c r="A1428" s="3" t="s">
        <v>1999</v>
      </c>
      <c r="B1428" t="str">
        <f>VLOOKUP(A1428,Raw_Data!A:L,6,FALSE)</f>
        <v>Toaster</v>
      </c>
      <c r="C1428" t="str">
        <f>VLOOKUP(A1428,Raw_Data!A:L,3,FALSE)</f>
        <v>USA</v>
      </c>
      <c r="D1428" s="3">
        <f>VLOOKUP(A1428,Raw_Data!A:L,12,FALSE)</f>
        <v>1978</v>
      </c>
      <c r="E1428" s="3">
        <f>VLOOKUP(A1428,Raw_Data!A:L,11,FALSE)</f>
        <v>43</v>
      </c>
      <c r="F1428" t="str">
        <f>TEXT(VLOOKUP(A1428,Raw_Data!A:L,5,FALSE),"mmm")</f>
        <v>Jun</v>
      </c>
    </row>
    <row r="1429" spans="1:6" x14ac:dyDescent="0.35">
      <c r="A1429" s="3" t="s">
        <v>2000</v>
      </c>
      <c r="B1429" t="str">
        <f>VLOOKUP(A1429,Raw_Data!A:L,6,FALSE)</f>
        <v>Refrigerator</v>
      </c>
      <c r="C1429" t="str">
        <f>VLOOKUP(A1429,Raw_Data!A:L,3,FALSE)</f>
        <v>Colombia</v>
      </c>
      <c r="D1429" s="3">
        <f>VLOOKUP(A1429,Raw_Data!A:L,12,FALSE)</f>
        <v>11520</v>
      </c>
      <c r="E1429" s="3">
        <f>VLOOKUP(A1429,Raw_Data!A:L,11,FALSE)</f>
        <v>12</v>
      </c>
      <c r="F1429" t="str">
        <f>TEXT(VLOOKUP(A1429,Raw_Data!A:L,5,FALSE),"mmm")</f>
        <v>Dec</v>
      </c>
    </row>
    <row r="1430" spans="1:6" x14ac:dyDescent="0.35">
      <c r="A1430" s="3" t="s">
        <v>2001</v>
      </c>
      <c r="B1430" t="str">
        <f>VLOOKUP(A1430,Raw_Data!A:L,6,FALSE)</f>
        <v>Vacuum Cleaner</v>
      </c>
      <c r="C1430" t="str">
        <f>VLOOKUP(A1430,Raw_Data!A:L,3,FALSE)</f>
        <v>Argentina</v>
      </c>
      <c r="D1430" s="3">
        <f>VLOOKUP(A1430,Raw_Data!A:L,12,FALSE)</f>
        <v>19197</v>
      </c>
      <c r="E1430" s="3">
        <f>VLOOKUP(A1430,Raw_Data!A:L,11,FALSE)</f>
        <v>79</v>
      </c>
      <c r="F1430" t="str">
        <f>TEXT(VLOOKUP(A1430,Raw_Data!A:L,5,FALSE),"mmm")</f>
        <v>Mar</v>
      </c>
    </row>
    <row r="1431" spans="1:6" x14ac:dyDescent="0.35">
      <c r="A1431" s="3" t="s">
        <v>2002</v>
      </c>
      <c r="B1431" t="str">
        <f>VLOOKUP(A1431,Raw_Data!A:L,6,FALSE)</f>
        <v>Air conditioner</v>
      </c>
      <c r="C1431" t="str">
        <f>VLOOKUP(A1431,Raw_Data!A:L,3,FALSE)</f>
        <v>South Korea</v>
      </c>
      <c r="D1431" s="3">
        <f>VLOOKUP(A1431,Raw_Data!A:L,12,FALSE)</f>
        <v>5985</v>
      </c>
      <c r="E1431" s="3">
        <f>VLOOKUP(A1431,Raw_Data!A:L,11,FALSE)</f>
        <v>9</v>
      </c>
      <c r="F1431" t="str">
        <f>TEXT(VLOOKUP(A1431,Raw_Data!A:L,5,FALSE),"mmm")</f>
        <v>Sep</v>
      </c>
    </row>
    <row r="1432" spans="1:6" x14ac:dyDescent="0.35">
      <c r="A1432" s="3" t="s">
        <v>2003</v>
      </c>
      <c r="B1432" t="str">
        <f>VLOOKUP(A1432,Raw_Data!A:L,6,FALSE)</f>
        <v>Iron</v>
      </c>
      <c r="C1432" t="str">
        <f>VLOOKUP(A1432,Raw_Data!A:L,3,FALSE)</f>
        <v>Thailand</v>
      </c>
      <c r="D1432" s="3">
        <f>VLOOKUP(A1432,Raw_Data!A:L,12,FALSE)</f>
        <v>2820</v>
      </c>
      <c r="E1432" s="3">
        <f>VLOOKUP(A1432,Raw_Data!A:L,11,FALSE)</f>
        <v>94</v>
      </c>
      <c r="F1432" t="str">
        <f>TEXT(VLOOKUP(A1432,Raw_Data!A:L,5,FALSE),"mmm")</f>
        <v>May</v>
      </c>
    </row>
    <row r="1433" spans="1:6" x14ac:dyDescent="0.35">
      <c r="A1433" s="3" t="s">
        <v>2004</v>
      </c>
      <c r="B1433" t="str">
        <f>VLOOKUP(A1433,Raw_Data!A:L,6,FALSE)</f>
        <v>Dishwasher</v>
      </c>
      <c r="C1433" t="str">
        <f>VLOOKUP(A1433,Raw_Data!A:L,3,FALSE)</f>
        <v>Brazil</v>
      </c>
      <c r="D1433" s="3">
        <f>VLOOKUP(A1433,Raw_Data!A:L,12,FALSE)</f>
        <v>26250</v>
      </c>
      <c r="E1433" s="3">
        <f>VLOOKUP(A1433,Raw_Data!A:L,11,FALSE)</f>
        <v>75</v>
      </c>
      <c r="F1433" t="str">
        <f>TEXT(VLOOKUP(A1433,Raw_Data!A:L,5,FALSE),"mmm")</f>
        <v>Sep</v>
      </c>
    </row>
    <row r="1434" spans="1:6" x14ac:dyDescent="0.35">
      <c r="A1434" s="3" t="s">
        <v>2005</v>
      </c>
      <c r="B1434" t="str">
        <f>VLOOKUP(A1434,Raw_Data!A:L,6,FALSE)</f>
        <v>Iron</v>
      </c>
      <c r="C1434" t="str">
        <f>VLOOKUP(A1434,Raw_Data!A:L,3,FALSE)</f>
        <v>India</v>
      </c>
      <c r="D1434" s="3">
        <f>VLOOKUP(A1434,Raw_Data!A:L,12,FALSE)</f>
        <v>2548</v>
      </c>
      <c r="E1434" s="3">
        <f>VLOOKUP(A1434,Raw_Data!A:L,11,FALSE)</f>
        <v>91</v>
      </c>
      <c r="F1434" t="str">
        <f>TEXT(VLOOKUP(A1434,Raw_Data!A:L,5,FALSE),"mmm")</f>
        <v>Jan</v>
      </c>
    </row>
    <row r="1435" spans="1:6" x14ac:dyDescent="0.35">
      <c r="A1435" s="3" t="s">
        <v>2006</v>
      </c>
      <c r="B1435" t="str">
        <f>VLOOKUP(A1435,Raw_Data!A:L,6,FALSE)</f>
        <v>Vacuum Cleaner</v>
      </c>
      <c r="C1435" t="str">
        <f>VLOOKUP(A1435,Raw_Data!A:L,3,FALSE)</f>
        <v>USA</v>
      </c>
      <c r="D1435" s="3">
        <f>VLOOKUP(A1435,Raw_Data!A:L,12,FALSE)</f>
        <v>23520</v>
      </c>
      <c r="E1435" s="3">
        <f>VLOOKUP(A1435,Raw_Data!A:L,11,FALSE)</f>
        <v>96</v>
      </c>
      <c r="F1435" t="str">
        <f>TEXT(VLOOKUP(A1435,Raw_Data!A:L,5,FALSE),"mmm")</f>
        <v>Jul</v>
      </c>
    </row>
    <row r="1436" spans="1:6" x14ac:dyDescent="0.35">
      <c r="A1436" s="3" t="s">
        <v>2007</v>
      </c>
      <c r="B1436" t="str">
        <f>VLOOKUP(A1436,Raw_Data!A:L,6,FALSE)</f>
        <v>Ceiling fan</v>
      </c>
      <c r="C1436" t="str">
        <f>VLOOKUP(A1436,Raw_Data!A:L,3,FALSE)</f>
        <v>Israel</v>
      </c>
      <c r="D1436" s="3">
        <f>VLOOKUP(A1436,Raw_Data!A:L,12,FALSE)</f>
        <v>7293</v>
      </c>
      <c r="E1436" s="3">
        <f>VLOOKUP(A1436,Raw_Data!A:L,11,FALSE)</f>
        <v>51</v>
      </c>
      <c r="F1436" t="str">
        <f>TEXT(VLOOKUP(A1436,Raw_Data!A:L,5,FALSE),"mmm")</f>
        <v>Dec</v>
      </c>
    </row>
    <row r="1437" spans="1:6" x14ac:dyDescent="0.35">
      <c r="A1437" s="3" t="s">
        <v>2008</v>
      </c>
      <c r="B1437" t="str">
        <f>VLOOKUP(A1437,Raw_Data!A:L,6,FALSE)</f>
        <v>Blender</v>
      </c>
      <c r="C1437" t="str">
        <f>VLOOKUP(A1437,Raw_Data!A:L,3,FALSE)</f>
        <v>Malaysia</v>
      </c>
      <c r="D1437" s="3">
        <f>VLOOKUP(A1437,Raw_Data!A:L,12,FALSE)</f>
        <v>3283</v>
      </c>
      <c r="E1437" s="3">
        <f>VLOOKUP(A1437,Raw_Data!A:L,11,FALSE)</f>
        <v>67</v>
      </c>
      <c r="F1437" t="str">
        <f>TEXT(VLOOKUP(A1437,Raw_Data!A:L,5,FALSE),"mmm")</f>
        <v>Aug</v>
      </c>
    </row>
    <row r="1438" spans="1:6" x14ac:dyDescent="0.35">
      <c r="A1438" s="3" t="s">
        <v>2009</v>
      </c>
      <c r="B1438" t="str">
        <f>VLOOKUP(A1438,Raw_Data!A:L,6,FALSE)</f>
        <v>Toaster</v>
      </c>
      <c r="C1438" t="str">
        <f>VLOOKUP(A1438,Raw_Data!A:L,3,FALSE)</f>
        <v>China</v>
      </c>
      <c r="D1438" s="3">
        <f>VLOOKUP(A1438,Raw_Data!A:L,12,FALSE)</f>
        <v>4250</v>
      </c>
      <c r="E1438" s="3">
        <f>VLOOKUP(A1438,Raw_Data!A:L,11,FALSE)</f>
        <v>85</v>
      </c>
      <c r="F1438" t="str">
        <f>TEXT(VLOOKUP(A1438,Raw_Data!A:L,5,FALSE),"mmm")</f>
        <v>Apr</v>
      </c>
    </row>
    <row r="1439" spans="1:6" x14ac:dyDescent="0.35">
      <c r="A1439" s="3" t="s">
        <v>2010</v>
      </c>
      <c r="B1439" t="str">
        <f>VLOOKUP(A1439,Raw_Data!A:L,6,FALSE)</f>
        <v>Refrigerator</v>
      </c>
      <c r="C1439" t="str">
        <f>VLOOKUP(A1439,Raw_Data!A:L,3,FALSE)</f>
        <v>Thailand</v>
      </c>
      <c r="D1439" s="3">
        <f>VLOOKUP(A1439,Raw_Data!A:L,12,FALSE)</f>
        <v>51700</v>
      </c>
      <c r="E1439" s="3">
        <f>VLOOKUP(A1439,Raw_Data!A:L,11,FALSE)</f>
        <v>55</v>
      </c>
      <c r="F1439" t="str">
        <f>TEXT(VLOOKUP(A1439,Raw_Data!A:L,5,FALSE),"mmm")</f>
        <v>Dec</v>
      </c>
    </row>
    <row r="1440" spans="1:6" x14ac:dyDescent="0.35">
      <c r="A1440" s="3" t="s">
        <v>2011</v>
      </c>
      <c r="B1440" t="str">
        <f>VLOOKUP(A1440,Raw_Data!A:L,6,FALSE)</f>
        <v>Washing Machine</v>
      </c>
      <c r="C1440" t="str">
        <f>VLOOKUP(A1440,Raw_Data!A:L,3,FALSE)</f>
        <v>Germany</v>
      </c>
      <c r="D1440" s="3">
        <f>VLOOKUP(A1440,Raw_Data!A:L,12,FALSE)</f>
        <v>22080</v>
      </c>
      <c r="E1440" s="3">
        <f>VLOOKUP(A1440,Raw_Data!A:L,11,FALSE)</f>
        <v>46</v>
      </c>
      <c r="F1440" t="str">
        <f>TEXT(VLOOKUP(A1440,Raw_Data!A:L,5,FALSE),"mmm")</f>
        <v>Jan</v>
      </c>
    </row>
    <row r="1441" spans="1:6" x14ac:dyDescent="0.35">
      <c r="A1441" s="3" t="s">
        <v>2012</v>
      </c>
      <c r="B1441" t="str">
        <f>VLOOKUP(A1441,Raw_Data!A:L,6,FALSE)</f>
        <v>Vacuum Cleaner</v>
      </c>
      <c r="C1441" t="str">
        <f>VLOOKUP(A1441,Raw_Data!A:L,3,FALSE)</f>
        <v>Spain</v>
      </c>
      <c r="D1441" s="3">
        <f>VLOOKUP(A1441,Raw_Data!A:L,12,FALSE)</f>
        <v>13662</v>
      </c>
      <c r="E1441" s="3">
        <f>VLOOKUP(A1441,Raw_Data!A:L,11,FALSE)</f>
        <v>69</v>
      </c>
      <c r="F1441" t="str">
        <f>TEXT(VLOOKUP(A1441,Raw_Data!A:L,5,FALSE),"mmm")</f>
        <v>Jun</v>
      </c>
    </row>
    <row r="1442" spans="1:6" x14ac:dyDescent="0.35">
      <c r="A1442" s="3" t="s">
        <v>2013</v>
      </c>
      <c r="B1442" t="str">
        <f>VLOOKUP(A1442,Raw_Data!A:L,6,FALSE)</f>
        <v>Ceiling fan</v>
      </c>
      <c r="C1442" t="str">
        <f>VLOOKUP(A1442,Raw_Data!A:L,3,FALSE)</f>
        <v>Netherlands</v>
      </c>
      <c r="D1442" s="3">
        <f>VLOOKUP(A1442,Raw_Data!A:L,12,FALSE)</f>
        <v>8646</v>
      </c>
      <c r="E1442" s="3">
        <f>VLOOKUP(A1442,Raw_Data!A:L,11,FALSE)</f>
        <v>66</v>
      </c>
      <c r="F1442" t="str">
        <f>TEXT(VLOOKUP(A1442,Raw_Data!A:L,5,FALSE),"mmm")</f>
        <v>Sep</v>
      </c>
    </row>
    <row r="1443" spans="1:6" x14ac:dyDescent="0.35">
      <c r="A1443" s="3" t="s">
        <v>2014</v>
      </c>
      <c r="B1443" t="str">
        <f>VLOOKUP(A1443,Raw_Data!A:L,6,FALSE)</f>
        <v>Refrigerator</v>
      </c>
      <c r="C1443" t="str">
        <f>VLOOKUP(A1443,Raw_Data!A:L,3,FALSE)</f>
        <v>Colombia</v>
      </c>
      <c r="D1443" s="3">
        <f>VLOOKUP(A1443,Raw_Data!A:L,12,FALSE)</f>
        <v>37230</v>
      </c>
      <c r="E1443" s="3">
        <f>VLOOKUP(A1443,Raw_Data!A:L,11,FALSE)</f>
        <v>51</v>
      </c>
      <c r="F1443" t="str">
        <f>TEXT(VLOOKUP(A1443,Raw_Data!A:L,5,FALSE),"mmm")</f>
        <v>Jul</v>
      </c>
    </row>
    <row r="1444" spans="1:6" x14ac:dyDescent="0.35">
      <c r="A1444" s="3" t="s">
        <v>2015</v>
      </c>
      <c r="B1444" t="str">
        <f>VLOOKUP(A1444,Raw_Data!A:L,6,FALSE)</f>
        <v>Washing Machine</v>
      </c>
      <c r="C1444" t="str">
        <f>VLOOKUP(A1444,Raw_Data!A:L,3,FALSE)</f>
        <v>Germany</v>
      </c>
      <c r="D1444" s="3">
        <f>VLOOKUP(A1444,Raw_Data!A:L,12,FALSE)</f>
        <v>18688</v>
      </c>
      <c r="E1444" s="3">
        <f>VLOOKUP(A1444,Raw_Data!A:L,11,FALSE)</f>
        <v>32</v>
      </c>
      <c r="F1444" t="str">
        <f>TEXT(VLOOKUP(A1444,Raw_Data!A:L,5,FALSE),"mmm")</f>
        <v>Nov</v>
      </c>
    </row>
    <row r="1445" spans="1:6" x14ac:dyDescent="0.35">
      <c r="A1445" s="3" t="s">
        <v>2016</v>
      </c>
      <c r="B1445" t="str">
        <f>VLOOKUP(A1445,Raw_Data!A:L,6,FALSE)</f>
        <v>Ceiling fan</v>
      </c>
      <c r="C1445" t="str">
        <f>VLOOKUP(A1445,Raw_Data!A:L,3,FALSE)</f>
        <v>USA</v>
      </c>
      <c r="D1445" s="3">
        <f>VLOOKUP(A1445,Raw_Data!A:L,12,FALSE)</f>
        <v>7808</v>
      </c>
      <c r="E1445" s="3">
        <f>VLOOKUP(A1445,Raw_Data!A:L,11,FALSE)</f>
        <v>61</v>
      </c>
      <c r="F1445" t="str">
        <f>TEXT(VLOOKUP(A1445,Raw_Data!A:L,5,FALSE),"mmm")</f>
        <v>Aug</v>
      </c>
    </row>
    <row r="1446" spans="1:6" x14ac:dyDescent="0.35">
      <c r="A1446" s="3" t="s">
        <v>2018</v>
      </c>
      <c r="B1446" t="str">
        <f>VLOOKUP(A1446,Raw_Data!A:L,6,FALSE)</f>
        <v>Refrigerator</v>
      </c>
      <c r="C1446" t="str">
        <f>VLOOKUP(A1446,Raw_Data!A:L,3,FALSE)</f>
        <v>UK</v>
      </c>
      <c r="D1446" s="3">
        <f>VLOOKUP(A1446,Raw_Data!A:L,12,FALSE)</f>
        <v>77000</v>
      </c>
      <c r="E1446" s="3">
        <f>VLOOKUP(A1446,Raw_Data!A:L,11,FALSE)</f>
        <v>77</v>
      </c>
      <c r="F1446" t="str">
        <f>TEXT(VLOOKUP(A1446,Raw_Data!A:L,5,FALSE),"mmm")</f>
        <v>Nov</v>
      </c>
    </row>
    <row r="1447" spans="1:6" x14ac:dyDescent="0.35">
      <c r="A1447" s="3" t="s">
        <v>2019</v>
      </c>
      <c r="B1447" t="str">
        <f>VLOOKUP(A1447,Raw_Data!A:L,6,FALSE)</f>
        <v>Toaster</v>
      </c>
      <c r="C1447" t="str">
        <f>VLOOKUP(A1447,Raw_Data!A:L,3,FALSE)</f>
        <v>France</v>
      </c>
      <c r="D1447" s="3">
        <f>VLOOKUP(A1447,Raw_Data!A:L,12,FALSE)</f>
        <v>1222</v>
      </c>
      <c r="E1447" s="3">
        <f>VLOOKUP(A1447,Raw_Data!A:L,11,FALSE)</f>
        <v>26</v>
      </c>
      <c r="F1447" t="str">
        <f>TEXT(VLOOKUP(A1447,Raw_Data!A:L,5,FALSE),"mmm")</f>
        <v>Jul</v>
      </c>
    </row>
    <row r="1448" spans="1:6" x14ac:dyDescent="0.35">
      <c r="A1448" s="3" t="s">
        <v>2020</v>
      </c>
      <c r="B1448" t="str">
        <f>VLOOKUP(A1448,Raw_Data!A:L,6,FALSE)</f>
        <v>Ceiling fan</v>
      </c>
      <c r="C1448" t="str">
        <f>VLOOKUP(A1448,Raw_Data!A:L,3,FALSE)</f>
        <v>Israel</v>
      </c>
      <c r="D1448" s="3">
        <f>VLOOKUP(A1448,Raw_Data!A:L,12,FALSE)</f>
        <v>11808</v>
      </c>
      <c r="E1448" s="3">
        <f>VLOOKUP(A1448,Raw_Data!A:L,11,FALSE)</f>
        <v>82</v>
      </c>
      <c r="F1448" t="str">
        <f>TEXT(VLOOKUP(A1448,Raw_Data!A:L,5,FALSE),"mmm")</f>
        <v>Dec</v>
      </c>
    </row>
    <row r="1449" spans="1:6" x14ac:dyDescent="0.35">
      <c r="A1449" s="3" t="s">
        <v>2021</v>
      </c>
      <c r="B1449" t="str">
        <f>VLOOKUP(A1449,Raw_Data!A:L,6,FALSE)</f>
        <v>Iron</v>
      </c>
      <c r="C1449" t="str">
        <f>VLOOKUP(A1449,Raw_Data!A:L,3,FALSE)</f>
        <v>Saudi Arabia</v>
      </c>
      <c r="D1449" s="3">
        <f>VLOOKUP(A1449,Raw_Data!A:L,12,FALSE)</f>
        <v>464</v>
      </c>
      <c r="E1449" s="3">
        <f>VLOOKUP(A1449,Raw_Data!A:L,11,FALSE)</f>
        <v>16</v>
      </c>
      <c r="F1449" t="str">
        <f>TEXT(VLOOKUP(A1449,Raw_Data!A:L,5,FALSE),"mmm")</f>
        <v>Jan</v>
      </c>
    </row>
    <row r="1450" spans="1:6" x14ac:dyDescent="0.35">
      <c r="A1450" s="3" t="s">
        <v>2022</v>
      </c>
      <c r="B1450" t="str">
        <f>VLOOKUP(A1450,Raw_Data!A:L,6,FALSE)</f>
        <v>Toaster</v>
      </c>
      <c r="C1450" t="str">
        <f>VLOOKUP(A1450,Raw_Data!A:L,3,FALSE)</f>
        <v>USA</v>
      </c>
      <c r="D1450" s="3">
        <f>VLOOKUP(A1450,Raw_Data!A:L,12,FALSE)</f>
        <v>440</v>
      </c>
      <c r="E1450" s="3">
        <f>VLOOKUP(A1450,Raw_Data!A:L,11,FALSE)</f>
        <v>10</v>
      </c>
      <c r="F1450" t="str">
        <f>TEXT(VLOOKUP(A1450,Raw_Data!A:L,5,FALSE),"mmm")</f>
        <v>Jul</v>
      </c>
    </row>
    <row r="1451" spans="1:6" x14ac:dyDescent="0.35">
      <c r="A1451" s="3" t="s">
        <v>2023</v>
      </c>
      <c r="B1451" t="str">
        <f>VLOOKUP(A1451,Raw_Data!A:L,6,FALSE)</f>
        <v>Dishwasher</v>
      </c>
      <c r="C1451" t="str">
        <f>VLOOKUP(A1451,Raw_Data!A:L,3,FALSE)</f>
        <v>Japan</v>
      </c>
      <c r="D1451" s="3">
        <f>VLOOKUP(A1451,Raw_Data!A:L,12,FALSE)</f>
        <v>26250</v>
      </c>
      <c r="E1451" s="3">
        <f>VLOOKUP(A1451,Raw_Data!A:L,11,FALSE)</f>
        <v>75</v>
      </c>
      <c r="F1451" t="str">
        <f>TEXT(VLOOKUP(A1451,Raw_Data!A:L,5,FALSE),"mmm")</f>
        <v>Jan</v>
      </c>
    </row>
    <row r="1452" spans="1:6" x14ac:dyDescent="0.35">
      <c r="A1452" s="3" t="s">
        <v>2024</v>
      </c>
      <c r="B1452" t="str">
        <f>VLOOKUP(A1452,Raw_Data!A:L,6,FALSE)</f>
        <v>Blender</v>
      </c>
      <c r="C1452" t="str">
        <f>VLOOKUP(A1452,Raw_Data!A:L,3,FALSE)</f>
        <v>Czech Republic</v>
      </c>
      <c r="D1452" s="3">
        <f>VLOOKUP(A1452,Raw_Data!A:L,12,FALSE)</f>
        <v>3570</v>
      </c>
      <c r="E1452" s="3">
        <f>VLOOKUP(A1452,Raw_Data!A:L,11,FALSE)</f>
        <v>85</v>
      </c>
      <c r="F1452" t="str">
        <f>TEXT(VLOOKUP(A1452,Raw_Data!A:L,5,FALSE),"mmm")</f>
        <v>Sep</v>
      </c>
    </row>
    <row r="1453" spans="1:6" x14ac:dyDescent="0.35">
      <c r="A1453" s="3" t="s">
        <v>2025</v>
      </c>
      <c r="B1453" t="str">
        <f>VLOOKUP(A1453,Raw_Data!A:L,6,FALSE)</f>
        <v>Vacuum Cleaner</v>
      </c>
      <c r="C1453" t="str">
        <f>VLOOKUP(A1453,Raw_Data!A:L,3,FALSE)</f>
        <v>Malaysia</v>
      </c>
      <c r="D1453" s="3">
        <f>VLOOKUP(A1453,Raw_Data!A:L,12,FALSE)</f>
        <v>13420</v>
      </c>
      <c r="E1453" s="3">
        <f>VLOOKUP(A1453,Raw_Data!A:L,11,FALSE)</f>
        <v>61</v>
      </c>
      <c r="F1453" t="str">
        <f>TEXT(VLOOKUP(A1453,Raw_Data!A:L,5,FALSE),"mmm")</f>
        <v>Nov</v>
      </c>
    </row>
    <row r="1454" spans="1:6" x14ac:dyDescent="0.35">
      <c r="A1454" s="3" t="s">
        <v>2026</v>
      </c>
      <c r="B1454" t="str">
        <f>VLOOKUP(A1454,Raw_Data!A:L,6,FALSE)</f>
        <v>Dishwasher</v>
      </c>
      <c r="C1454" t="str">
        <f>VLOOKUP(A1454,Raw_Data!A:L,3,FALSE)</f>
        <v>Greece</v>
      </c>
      <c r="D1454" s="3">
        <f>VLOOKUP(A1454,Raw_Data!A:L,12,FALSE)</f>
        <v>37830</v>
      </c>
      <c r="E1454" s="3">
        <f>VLOOKUP(A1454,Raw_Data!A:L,11,FALSE)</f>
        <v>78</v>
      </c>
      <c r="F1454" t="str">
        <f>TEXT(VLOOKUP(A1454,Raw_Data!A:L,5,FALSE),"mmm")</f>
        <v>Sep</v>
      </c>
    </row>
    <row r="1455" spans="1:6" x14ac:dyDescent="0.35">
      <c r="A1455" s="3" t="s">
        <v>2027</v>
      </c>
      <c r="B1455" t="str">
        <f>VLOOKUP(A1455,Raw_Data!A:L,6,FALSE)</f>
        <v>Air conditioner</v>
      </c>
      <c r="C1455" t="str">
        <f>VLOOKUP(A1455,Raw_Data!A:L,3,FALSE)</f>
        <v>USA</v>
      </c>
      <c r="D1455" s="3">
        <f>VLOOKUP(A1455,Raw_Data!A:L,12,FALSE)</f>
        <v>63840</v>
      </c>
      <c r="E1455" s="3">
        <f>VLOOKUP(A1455,Raw_Data!A:L,11,FALSE)</f>
        <v>95</v>
      </c>
      <c r="F1455" t="str">
        <f>TEXT(VLOOKUP(A1455,Raw_Data!A:L,5,FALSE),"mmm")</f>
        <v>Sep</v>
      </c>
    </row>
    <row r="1456" spans="1:6" x14ac:dyDescent="0.35">
      <c r="A1456" s="3" t="s">
        <v>2028</v>
      </c>
      <c r="B1456" t="str">
        <f>VLOOKUP(A1456,Raw_Data!A:L,6,FALSE)</f>
        <v>Air conditioner</v>
      </c>
      <c r="C1456" t="str">
        <f>VLOOKUP(A1456,Raw_Data!A:L,3,FALSE)</f>
        <v>Czech Republic</v>
      </c>
      <c r="D1456" s="3">
        <f>VLOOKUP(A1456,Raw_Data!A:L,12,FALSE)</f>
        <v>40950</v>
      </c>
      <c r="E1456" s="3">
        <f>VLOOKUP(A1456,Raw_Data!A:L,11,FALSE)</f>
        <v>65</v>
      </c>
      <c r="F1456" t="str">
        <f>TEXT(VLOOKUP(A1456,Raw_Data!A:L,5,FALSE),"mmm")</f>
        <v>May</v>
      </c>
    </row>
    <row r="1457" spans="1:6" x14ac:dyDescent="0.35">
      <c r="A1457" s="3" t="s">
        <v>2029</v>
      </c>
      <c r="B1457" t="str">
        <f>VLOOKUP(A1457,Raw_Data!A:L,6,FALSE)</f>
        <v>Washing Machine</v>
      </c>
      <c r="C1457" t="str">
        <f>VLOOKUP(A1457,Raw_Data!A:L,3,FALSE)</f>
        <v>Australia</v>
      </c>
      <c r="D1457" s="3">
        <f>VLOOKUP(A1457,Raw_Data!A:L,12,FALSE)</f>
        <v>22016</v>
      </c>
      <c r="E1457" s="3">
        <f>VLOOKUP(A1457,Raw_Data!A:L,11,FALSE)</f>
        <v>32</v>
      </c>
      <c r="F1457" t="str">
        <f>TEXT(VLOOKUP(A1457,Raw_Data!A:L,5,FALSE),"mmm")</f>
        <v>Oct</v>
      </c>
    </row>
    <row r="1458" spans="1:6" x14ac:dyDescent="0.35">
      <c r="A1458" s="3" t="s">
        <v>2030</v>
      </c>
      <c r="B1458" t="str">
        <f>VLOOKUP(A1458,Raw_Data!A:L,6,FALSE)</f>
        <v>Toaster</v>
      </c>
      <c r="C1458" t="str">
        <f>VLOOKUP(A1458,Raw_Data!A:L,3,FALSE)</f>
        <v>China</v>
      </c>
      <c r="D1458" s="3">
        <f>VLOOKUP(A1458,Raw_Data!A:L,12,FALSE)</f>
        <v>2064</v>
      </c>
      <c r="E1458" s="3">
        <f>VLOOKUP(A1458,Raw_Data!A:L,11,FALSE)</f>
        <v>43</v>
      </c>
      <c r="F1458" t="str">
        <f>TEXT(VLOOKUP(A1458,Raw_Data!A:L,5,FALSE),"mmm")</f>
        <v>May</v>
      </c>
    </row>
    <row r="1459" spans="1:6" x14ac:dyDescent="0.35">
      <c r="A1459" s="3" t="s">
        <v>2031</v>
      </c>
      <c r="B1459" t="str">
        <f>VLOOKUP(A1459,Raw_Data!A:L,6,FALSE)</f>
        <v>Coffee grinder</v>
      </c>
      <c r="C1459" t="str">
        <f>VLOOKUP(A1459,Raw_Data!A:L,3,FALSE)</f>
        <v>UK</v>
      </c>
      <c r="D1459" s="3">
        <f>VLOOKUP(A1459,Raw_Data!A:L,12,FALSE)</f>
        <v>4288</v>
      </c>
      <c r="E1459" s="3">
        <f>VLOOKUP(A1459,Raw_Data!A:L,11,FALSE)</f>
        <v>64</v>
      </c>
      <c r="F1459" t="str">
        <f>TEXT(VLOOKUP(A1459,Raw_Data!A:L,5,FALSE),"mmm")</f>
        <v>May</v>
      </c>
    </row>
    <row r="1460" spans="1:6" x14ac:dyDescent="0.35">
      <c r="A1460" s="3" t="s">
        <v>2032</v>
      </c>
      <c r="B1460" t="str">
        <f>VLOOKUP(A1460,Raw_Data!A:L,6,FALSE)</f>
        <v>Dishwasher</v>
      </c>
      <c r="C1460" t="str">
        <f>VLOOKUP(A1460,Raw_Data!A:L,3,FALSE)</f>
        <v>Ireland</v>
      </c>
      <c r="D1460" s="3">
        <f>VLOOKUP(A1460,Raw_Data!A:L,12,FALSE)</f>
        <v>30550</v>
      </c>
      <c r="E1460" s="3">
        <f>VLOOKUP(A1460,Raw_Data!A:L,11,FALSE)</f>
        <v>65</v>
      </c>
      <c r="F1460" t="str">
        <f>TEXT(VLOOKUP(A1460,Raw_Data!A:L,5,FALSE),"mmm")</f>
        <v>Jul</v>
      </c>
    </row>
    <row r="1461" spans="1:6" x14ac:dyDescent="0.35">
      <c r="A1461" s="3" t="s">
        <v>2033</v>
      </c>
      <c r="B1461" t="str">
        <f>VLOOKUP(A1461,Raw_Data!A:L,6,FALSE)</f>
        <v>Vacuum Cleaner</v>
      </c>
      <c r="C1461" t="str">
        <f>VLOOKUP(A1461,Raw_Data!A:L,3,FALSE)</f>
        <v>Netherlands</v>
      </c>
      <c r="D1461" s="3">
        <f>VLOOKUP(A1461,Raw_Data!A:L,12,FALSE)</f>
        <v>24300</v>
      </c>
      <c r="E1461" s="3">
        <f>VLOOKUP(A1461,Raw_Data!A:L,11,FALSE)</f>
        <v>100</v>
      </c>
      <c r="F1461" t="str">
        <f>TEXT(VLOOKUP(A1461,Raw_Data!A:L,5,FALSE),"mmm")</f>
        <v>Sep</v>
      </c>
    </row>
    <row r="1462" spans="1:6" x14ac:dyDescent="0.35">
      <c r="A1462" s="3" t="s">
        <v>2034</v>
      </c>
      <c r="B1462" t="str">
        <f>VLOOKUP(A1462,Raw_Data!A:L,6,FALSE)</f>
        <v>Washing Machine</v>
      </c>
      <c r="C1462" t="str">
        <f>VLOOKUP(A1462,Raw_Data!A:L,3,FALSE)</f>
        <v>USA</v>
      </c>
      <c r="D1462" s="3">
        <f>VLOOKUP(A1462,Raw_Data!A:L,12,FALSE)</f>
        <v>45264</v>
      </c>
      <c r="E1462" s="3">
        <f>VLOOKUP(A1462,Raw_Data!A:L,11,FALSE)</f>
        <v>82</v>
      </c>
      <c r="F1462" t="str">
        <f>TEXT(VLOOKUP(A1462,Raw_Data!A:L,5,FALSE),"mmm")</f>
        <v>Jun</v>
      </c>
    </row>
    <row r="1463" spans="1:6" x14ac:dyDescent="0.35">
      <c r="A1463" s="3" t="s">
        <v>2035</v>
      </c>
      <c r="B1463" t="str">
        <f>VLOOKUP(A1463,Raw_Data!A:L,6,FALSE)</f>
        <v>Oven</v>
      </c>
      <c r="C1463" t="str">
        <f>VLOOKUP(A1463,Raw_Data!A:L,3,FALSE)</f>
        <v>Netherlands</v>
      </c>
      <c r="D1463" s="3">
        <f>VLOOKUP(A1463,Raw_Data!A:L,12,FALSE)</f>
        <v>490</v>
      </c>
      <c r="E1463" s="3">
        <f>VLOOKUP(A1463,Raw_Data!A:L,11,FALSE)</f>
        <v>1</v>
      </c>
      <c r="F1463" t="str">
        <f>TEXT(VLOOKUP(A1463,Raw_Data!A:L,5,FALSE),"mmm")</f>
        <v>Oct</v>
      </c>
    </row>
    <row r="1464" spans="1:6" x14ac:dyDescent="0.35">
      <c r="A1464" s="3" t="s">
        <v>2036</v>
      </c>
      <c r="B1464" t="str">
        <f>VLOOKUP(A1464,Raw_Data!A:L,6,FALSE)</f>
        <v>Microwave</v>
      </c>
      <c r="C1464" t="str">
        <f>VLOOKUP(A1464,Raw_Data!A:L,3,FALSE)</f>
        <v>Peru</v>
      </c>
      <c r="D1464" s="3">
        <f>VLOOKUP(A1464,Raw_Data!A:L,12,FALSE)</f>
        <v>5395</v>
      </c>
      <c r="E1464" s="3">
        <f>VLOOKUP(A1464,Raw_Data!A:L,11,FALSE)</f>
        <v>83</v>
      </c>
      <c r="F1464" t="str">
        <f>TEXT(VLOOKUP(A1464,Raw_Data!A:L,5,FALSE),"mmm")</f>
        <v>Feb</v>
      </c>
    </row>
    <row r="1465" spans="1:6" x14ac:dyDescent="0.35">
      <c r="A1465" s="3" t="s">
        <v>2037</v>
      </c>
      <c r="B1465" t="str">
        <f>VLOOKUP(A1465,Raw_Data!A:L,6,FALSE)</f>
        <v>Blender</v>
      </c>
      <c r="C1465" t="str">
        <f>VLOOKUP(A1465,Raw_Data!A:L,3,FALSE)</f>
        <v>Austria</v>
      </c>
      <c r="D1465" s="3">
        <f>VLOOKUP(A1465,Raw_Data!A:L,12,FALSE)</f>
        <v>1118</v>
      </c>
      <c r="E1465" s="3">
        <f>VLOOKUP(A1465,Raw_Data!A:L,11,FALSE)</f>
        <v>26</v>
      </c>
      <c r="F1465" t="str">
        <f>TEXT(VLOOKUP(A1465,Raw_Data!A:L,5,FALSE),"mmm")</f>
        <v>Apr</v>
      </c>
    </row>
    <row r="1466" spans="1:6" x14ac:dyDescent="0.35">
      <c r="A1466" s="3" t="s">
        <v>2038</v>
      </c>
      <c r="B1466" t="str">
        <f>VLOOKUP(A1466,Raw_Data!A:L,6,FALSE)</f>
        <v>Washing Machine</v>
      </c>
      <c r="C1466" t="str">
        <f>VLOOKUP(A1466,Raw_Data!A:L,3,FALSE)</f>
        <v>USA</v>
      </c>
      <c r="D1466" s="3">
        <f>VLOOKUP(A1466,Raw_Data!A:L,12,FALSE)</f>
        <v>39424</v>
      </c>
      <c r="E1466" s="3">
        <f>VLOOKUP(A1466,Raw_Data!A:L,11,FALSE)</f>
        <v>64</v>
      </c>
      <c r="F1466" t="str">
        <f>TEXT(VLOOKUP(A1466,Raw_Data!A:L,5,FALSE),"mmm")</f>
        <v>Mar</v>
      </c>
    </row>
    <row r="1467" spans="1:6" x14ac:dyDescent="0.35">
      <c r="A1467" s="3" t="s">
        <v>2039</v>
      </c>
      <c r="B1467" t="str">
        <f>VLOOKUP(A1467,Raw_Data!A:L,6,FALSE)</f>
        <v>Oven</v>
      </c>
      <c r="C1467" t="str">
        <f>VLOOKUP(A1467,Raw_Data!A:L,3,FALSE)</f>
        <v>Argentina</v>
      </c>
      <c r="D1467" s="3">
        <f>VLOOKUP(A1467,Raw_Data!A:L,12,FALSE)</f>
        <v>18620</v>
      </c>
      <c r="E1467" s="3">
        <f>VLOOKUP(A1467,Raw_Data!A:L,11,FALSE)</f>
        <v>38</v>
      </c>
      <c r="F1467" t="str">
        <f>TEXT(VLOOKUP(A1467,Raw_Data!A:L,5,FALSE),"mmm")</f>
        <v>Mar</v>
      </c>
    </row>
    <row r="1468" spans="1:6" x14ac:dyDescent="0.35">
      <c r="A1468" s="3" t="s">
        <v>2040</v>
      </c>
      <c r="B1468" t="str">
        <f>VLOOKUP(A1468,Raw_Data!A:L,6,FALSE)</f>
        <v>Iron</v>
      </c>
      <c r="C1468" t="str">
        <f>VLOOKUP(A1468,Raw_Data!A:L,3,FALSE)</f>
        <v>India</v>
      </c>
      <c r="D1468" s="3">
        <f>VLOOKUP(A1468,Raw_Data!A:L,12,FALSE)</f>
        <v>1378</v>
      </c>
      <c r="E1468" s="3">
        <f>VLOOKUP(A1468,Raw_Data!A:L,11,FALSE)</f>
        <v>53</v>
      </c>
      <c r="F1468" t="str">
        <f>TEXT(VLOOKUP(A1468,Raw_Data!A:L,5,FALSE),"mmm")</f>
        <v>May</v>
      </c>
    </row>
    <row r="1469" spans="1:6" x14ac:dyDescent="0.35">
      <c r="A1469" s="3" t="s">
        <v>2041</v>
      </c>
      <c r="B1469" t="str">
        <f>VLOOKUP(A1469,Raw_Data!A:L,6,FALSE)</f>
        <v>Blender</v>
      </c>
      <c r="C1469" t="str">
        <f>VLOOKUP(A1469,Raw_Data!A:L,3,FALSE)</f>
        <v>France</v>
      </c>
      <c r="D1469" s="3">
        <f>VLOOKUP(A1469,Raw_Data!A:L,12,FALSE)</f>
        <v>2592</v>
      </c>
      <c r="E1469" s="3">
        <f>VLOOKUP(A1469,Raw_Data!A:L,11,FALSE)</f>
        <v>54</v>
      </c>
      <c r="F1469" t="str">
        <f>TEXT(VLOOKUP(A1469,Raw_Data!A:L,5,FALSE),"mmm")</f>
        <v>Oct</v>
      </c>
    </row>
    <row r="1470" spans="1:6" x14ac:dyDescent="0.35">
      <c r="A1470" s="3" t="s">
        <v>2042</v>
      </c>
      <c r="B1470" t="str">
        <f>VLOOKUP(A1470,Raw_Data!A:L,6,FALSE)</f>
        <v>Washing Machine</v>
      </c>
      <c r="C1470" t="str">
        <f>VLOOKUP(A1470,Raw_Data!A:L,3,FALSE)</f>
        <v>India</v>
      </c>
      <c r="D1470" s="3">
        <f>VLOOKUP(A1470,Raw_Data!A:L,12,FALSE)</f>
        <v>49856</v>
      </c>
      <c r="E1470" s="3">
        <f>VLOOKUP(A1470,Raw_Data!A:L,11,FALSE)</f>
        <v>82</v>
      </c>
      <c r="F1470" t="str">
        <f>TEXT(VLOOKUP(A1470,Raw_Data!A:L,5,FALSE),"mmm")</f>
        <v>Feb</v>
      </c>
    </row>
    <row r="1471" spans="1:6" x14ac:dyDescent="0.35">
      <c r="A1471" s="3" t="s">
        <v>2043</v>
      </c>
      <c r="B1471" t="str">
        <f>VLOOKUP(A1471,Raw_Data!A:L,6,FALSE)</f>
        <v>Refrigerator</v>
      </c>
      <c r="C1471" t="str">
        <f>VLOOKUP(A1471,Raw_Data!A:L,3,FALSE)</f>
        <v>China</v>
      </c>
      <c r="D1471" s="3">
        <f>VLOOKUP(A1471,Raw_Data!A:L,12,FALSE)</f>
        <v>65280</v>
      </c>
      <c r="E1471" s="3">
        <f>VLOOKUP(A1471,Raw_Data!A:L,11,FALSE)</f>
        <v>96</v>
      </c>
      <c r="F1471" t="str">
        <f>TEXT(VLOOKUP(A1471,Raw_Data!A:L,5,FALSE),"mmm")</f>
        <v>Apr</v>
      </c>
    </row>
    <row r="1472" spans="1:6" x14ac:dyDescent="0.35">
      <c r="A1472" s="3" t="s">
        <v>2044</v>
      </c>
      <c r="B1472" t="str">
        <f>VLOOKUP(A1472,Raw_Data!A:L,6,FALSE)</f>
        <v>Oven</v>
      </c>
      <c r="C1472" t="str">
        <f>VLOOKUP(A1472,Raw_Data!A:L,3,FALSE)</f>
        <v>USA</v>
      </c>
      <c r="D1472" s="3">
        <f>VLOOKUP(A1472,Raw_Data!A:L,12,FALSE)</f>
        <v>21500</v>
      </c>
      <c r="E1472" s="3">
        <f>VLOOKUP(A1472,Raw_Data!A:L,11,FALSE)</f>
        <v>43</v>
      </c>
      <c r="F1472" t="str">
        <f>TEXT(VLOOKUP(A1472,Raw_Data!A:L,5,FALSE),"mmm")</f>
        <v>Jun</v>
      </c>
    </row>
    <row r="1473" spans="1:6" x14ac:dyDescent="0.35">
      <c r="A1473" s="3" t="s">
        <v>2045</v>
      </c>
      <c r="B1473" t="str">
        <f>VLOOKUP(A1473,Raw_Data!A:L,6,FALSE)</f>
        <v>Air conditioner</v>
      </c>
      <c r="C1473" t="str">
        <f>VLOOKUP(A1473,Raw_Data!A:L,3,FALSE)</f>
        <v>Saudi Arabia</v>
      </c>
      <c r="D1473" s="3">
        <f>VLOOKUP(A1473,Raw_Data!A:L,12,FALSE)</f>
        <v>37884</v>
      </c>
      <c r="E1473" s="3">
        <f>VLOOKUP(A1473,Raw_Data!A:L,11,FALSE)</f>
        <v>82</v>
      </c>
      <c r="F1473" t="str">
        <f>TEXT(VLOOKUP(A1473,Raw_Data!A:L,5,FALSE),"mmm")</f>
        <v>Sep</v>
      </c>
    </row>
    <row r="1474" spans="1:6" x14ac:dyDescent="0.35">
      <c r="A1474" s="3" t="s">
        <v>2046</v>
      </c>
      <c r="B1474" t="str">
        <f>VLOOKUP(A1474,Raw_Data!A:L,6,FALSE)</f>
        <v>Microwave</v>
      </c>
      <c r="C1474" t="str">
        <f>VLOOKUP(A1474,Raw_Data!A:L,3,FALSE)</f>
        <v>South Africa</v>
      </c>
      <c r="D1474" s="3">
        <f>VLOOKUP(A1474,Raw_Data!A:L,12,FALSE)</f>
        <v>3450</v>
      </c>
      <c r="E1474" s="3">
        <f>VLOOKUP(A1474,Raw_Data!A:L,11,FALSE)</f>
        <v>50</v>
      </c>
      <c r="F1474" t="str">
        <f>TEXT(VLOOKUP(A1474,Raw_Data!A:L,5,FALSE),"mmm")</f>
        <v>Apr</v>
      </c>
    </row>
    <row r="1475" spans="1:6" x14ac:dyDescent="0.35">
      <c r="A1475" s="3" t="s">
        <v>2047</v>
      </c>
      <c r="B1475" t="str">
        <f>VLOOKUP(A1475,Raw_Data!A:L,6,FALSE)</f>
        <v>Coffee grinder</v>
      </c>
      <c r="C1475" t="str">
        <f>VLOOKUP(A1475,Raw_Data!A:L,3,FALSE)</f>
        <v>Ireland</v>
      </c>
      <c r="D1475" s="3">
        <f>VLOOKUP(A1475,Raw_Data!A:L,12,FALSE)</f>
        <v>517</v>
      </c>
      <c r="E1475" s="3">
        <f>VLOOKUP(A1475,Raw_Data!A:L,11,FALSE)</f>
        <v>11</v>
      </c>
      <c r="F1475" t="str">
        <f>TEXT(VLOOKUP(A1475,Raw_Data!A:L,5,FALSE),"mmm")</f>
        <v>Apr</v>
      </c>
    </row>
    <row r="1476" spans="1:6" x14ac:dyDescent="0.35">
      <c r="A1476" s="3" t="s">
        <v>2048</v>
      </c>
      <c r="B1476" t="str">
        <f>VLOOKUP(A1476,Raw_Data!A:L,6,FALSE)</f>
        <v>Dishwasher</v>
      </c>
      <c r="C1476" t="str">
        <f>VLOOKUP(A1476,Raw_Data!A:L,3,FALSE)</f>
        <v>Russia</v>
      </c>
      <c r="D1476" s="3">
        <f>VLOOKUP(A1476,Raw_Data!A:L,12,FALSE)</f>
        <v>32340</v>
      </c>
      <c r="E1476" s="3">
        <f>VLOOKUP(A1476,Raw_Data!A:L,11,FALSE)</f>
        <v>66</v>
      </c>
      <c r="F1476" t="str">
        <f>TEXT(VLOOKUP(A1476,Raw_Data!A:L,5,FALSE),"mmm")</f>
        <v>May</v>
      </c>
    </row>
    <row r="1477" spans="1:6" x14ac:dyDescent="0.35">
      <c r="A1477" s="3" t="s">
        <v>2049</v>
      </c>
      <c r="B1477" t="str">
        <f>VLOOKUP(A1477,Raw_Data!A:L,6,FALSE)</f>
        <v>Oven</v>
      </c>
      <c r="C1477" t="str">
        <f>VLOOKUP(A1477,Raw_Data!A:L,3,FALSE)</f>
        <v>Thailand</v>
      </c>
      <c r="D1477" s="3">
        <f>VLOOKUP(A1477,Raw_Data!A:L,12,FALSE)</f>
        <v>33810</v>
      </c>
      <c r="E1477" s="3">
        <f>VLOOKUP(A1477,Raw_Data!A:L,11,FALSE)</f>
        <v>69</v>
      </c>
      <c r="F1477" t="str">
        <f>TEXT(VLOOKUP(A1477,Raw_Data!A:L,5,FALSE),"mmm")</f>
        <v>Jun</v>
      </c>
    </row>
    <row r="1478" spans="1:6" x14ac:dyDescent="0.35">
      <c r="A1478" s="3" t="s">
        <v>2050</v>
      </c>
      <c r="B1478" t="str">
        <f>VLOOKUP(A1478,Raw_Data!A:L,6,FALSE)</f>
        <v>Microwave</v>
      </c>
      <c r="C1478" t="str">
        <f>VLOOKUP(A1478,Raw_Data!A:L,3,FALSE)</f>
        <v>Japan</v>
      </c>
      <c r="D1478" s="3">
        <f>VLOOKUP(A1478,Raw_Data!A:L,12,FALSE)</f>
        <v>6400</v>
      </c>
      <c r="E1478" s="3">
        <f>VLOOKUP(A1478,Raw_Data!A:L,11,FALSE)</f>
        <v>80</v>
      </c>
      <c r="F1478" t="str">
        <f>TEXT(VLOOKUP(A1478,Raw_Data!A:L,5,FALSE),"mmm")</f>
        <v>Mar</v>
      </c>
    </row>
    <row r="1479" spans="1:6" x14ac:dyDescent="0.35">
      <c r="A1479" s="3" t="s">
        <v>2051</v>
      </c>
      <c r="B1479" t="str">
        <f>VLOOKUP(A1479,Raw_Data!A:L,6,FALSE)</f>
        <v>Microwave</v>
      </c>
      <c r="C1479" t="str">
        <f>VLOOKUP(A1479,Raw_Data!A:L,3,FALSE)</f>
        <v>Germany</v>
      </c>
      <c r="D1479" s="3">
        <f>VLOOKUP(A1479,Raw_Data!A:L,12,FALSE)</f>
        <v>1368</v>
      </c>
      <c r="E1479" s="3">
        <f>VLOOKUP(A1479,Raw_Data!A:L,11,FALSE)</f>
        <v>18</v>
      </c>
      <c r="F1479" t="str">
        <f>TEXT(VLOOKUP(A1479,Raw_Data!A:L,5,FALSE),"mmm")</f>
        <v>Apr</v>
      </c>
    </row>
    <row r="1480" spans="1:6" x14ac:dyDescent="0.35">
      <c r="A1480" s="3" t="s">
        <v>2052</v>
      </c>
      <c r="B1480" t="str">
        <f>VLOOKUP(A1480,Raw_Data!A:L,6,FALSE)</f>
        <v>Air conditioner</v>
      </c>
      <c r="C1480" t="str">
        <f>VLOOKUP(A1480,Raw_Data!A:L,3,FALSE)</f>
        <v>Spain</v>
      </c>
      <c r="D1480" s="3">
        <f>VLOOKUP(A1480,Raw_Data!A:L,12,FALSE)</f>
        <v>36358</v>
      </c>
      <c r="E1480" s="3">
        <f>VLOOKUP(A1480,Raw_Data!A:L,11,FALSE)</f>
        <v>53</v>
      </c>
      <c r="F1480" t="str">
        <f>TEXT(VLOOKUP(A1480,Raw_Data!A:L,5,FALSE),"mmm")</f>
        <v>Mar</v>
      </c>
    </row>
    <row r="1481" spans="1:6" x14ac:dyDescent="0.35">
      <c r="A1481" s="3" t="s">
        <v>2053</v>
      </c>
      <c r="B1481" t="str">
        <f>VLOOKUP(A1481,Raw_Data!A:L,6,FALSE)</f>
        <v>Vacuum Cleaner</v>
      </c>
      <c r="C1481" t="str">
        <f>VLOOKUP(A1481,Raw_Data!A:L,3,FALSE)</f>
        <v>Netherlands</v>
      </c>
      <c r="D1481" s="3">
        <f>VLOOKUP(A1481,Raw_Data!A:L,12,FALSE)</f>
        <v>6913</v>
      </c>
      <c r="E1481" s="3">
        <f>VLOOKUP(A1481,Raw_Data!A:L,11,FALSE)</f>
        <v>31</v>
      </c>
      <c r="F1481" t="str">
        <f>TEXT(VLOOKUP(A1481,Raw_Data!A:L,5,FALSE),"mmm")</f>
        <v>Apr</v>
      </c>
    </row>
    <row r="1482" spans="1:6" x14ac:dyDescent="0.35">
      <c r="A1482" s="3" t="s">
        <v>2054</v>
      </c>
      <c r="B1482" t="str">
        <f>VLOOKUP(A1482,Raw_Data!A:L,6,FALSE)</f>
        <v>Vacuum Cleaner</v>
      </c>
      <c r="C1482" t="str">
        <f>VLOOKUP(A1482,Raw_Data!A:L,3,FALSE)</f>
        <v>Japan</v>
      </c>
      <c r="D1482" s="3">
        <f>VLOOKUP(A1482,Raw_Data!A:L,12,FALSE)</f>
        <v>14940</v>
      </c>
      <c r="E1482" s="3">
        <f>VLOOKUP(A1482,Raw_Data!A:L,11,FALSE)</f>
        <v>83</v>
      </c>
      <c r="F1482" t="str">
        <f>TEXT(VLOOKUP(A1482,Raw_Data!A:L,5,FALSE),"mmm")</f>
        <v>Aug</v>
      </c>
    </row>
    <row r="1483" spans="1:6" x14ac:dyDescent="0.35">
      <c r="A1483" s="3" t="s">
        <v>2055</v>
      </c>
      <c r="B1483" t="str">
        <f>VLOOKUP(A1483,Raw_Data!A:L,6,FALSE)</f>
        <v>Ceiling fan</v>
      </c>
      <c r="C1483" t="str">
        <f>VLOOKUP(A1483,Raw_Data!A:L,3,FALSE)</f>
        <v>Colombia</v>
      </c>
      <c r="D1483" s="3">
        <f>VLOOKUP(A1483,Raw_Data!A:L,12,FALSE)</f>
        <v>146</v>
      </c>
      <c r="E1483" s="3">
        <f>VLOOKUP(A1483,Raw_Data!A:L,11,FALSE)</f>
        <v>1</v>
      </c>
      <c r="F1483" t="str">
        <f>TEXT(VLOOKUP(A1483,Raw_Data!A:L,5,FALSE),"mmm")</f>
        <v>Aug</v>
      </c>
    </row>
    <row r="1484" spans="1:6" x14ac:dyDescent="0.35">
      <c r="A1484" s="3" t="s">
        <v>2056</v>
      </c>
      <c r="B1484" t="str">
        <f>VLOOKUP(A1484,Raw_Data!A:L,6,FALSE)</f>
        <v>Vacuum Cleaner</v>
      </c>
      <c r="C1484" t="str">
        <f>VLOOKUP(A1484,Raw_Data!A:L,3,FALSE)</f>
        <v>Colombia</v>
      </c>
      <c r="D1484" s="3">
        <f>VLOOKUP(A1484,Raw_Data!A:L,12,FALSE)</f>
        <v>8460</v>
      </c>
      <c r="E1484" s="3">
        <f>VLOOKUP(A1484,Raw_Data!A:L,11,FALSE)</f>
        <v>36</v>
      </c>
      <c r="F1484" t="str">
        <f>TEXT(VLOOKUP(A1484,Raw_Data!A:L,5,FALSE),"mmm")</f>
        <v>May</v>
      </c>
    </row>
    <row r="1485" spans="1:6" x14ac:dyDescent="0.35">
      <c r="A1485" s="3" t="s">
        <v>2057</v>
      </c>
      <c r="B1485" t="str">
        <f>VLOOKUP(A1485,Raw_Data!A:L,6,FALSE)</f>
        <v>Washing Machine</v>
      </c>
      <c r="C1485" t="str">
        <f>VLOOKUP(A1485,Raw_Data!A:L,3,FALSE)</f>
        <v>Greece</v>
      </c>
      <c r="D1485" s="3">
        <f>VLOOKUP(A1485,Raw_Data!A:L,12,FALSE)</f>
        <v>2640</v>
      </c>
      <c r="E1485" s="3">
        <f>VLOOKUP(A1485,Raw_Data!A:L,11,FALSE)</f>
        <v>6</v>
      </c>
      <c r="F1485" t="str">
        <f>TEXT(VLOOKUP(A1485,Raw_Data!A:L,5,FALSE),"mmm")</f>
        <v>Nov</v>
      </c>
    </row>
    <row r="1486" spans="1:6" x14ac:dyDescent="0.35">
      <c r="A1486" s="3" t="s">
        <v>2058</v>
      </c>
      <c r="B1486" t="str">
        <f>VLOOKUP(A1486,Raw_Data!A:L,6,FALSE)</f>
        <v>Iron</v>
      </c>
      <c r="C1486" t="str">
        <f>VLOOKUP(A1486,Raw_Data!A:L,3,FALSE)</f>
        <v>India</v>
      </c>
      <c r="D1486" s="3">
        <f>VLOOKUP(A1486,Raw_Data!A:L,12,FALSE)</f>
        <v>1064</v>
      </c>
      <c r="E1486" s="3">
        <f>VLOOKUP(A1486,Raw_Data!A:L,11,FALSE)</f>
        <v>38</v>
      </c>
      <c r="F1486" t="str">
        <f>TEXT(VLOOKUP(A1486,Raw_Data!A:L,5,FALSE),"mmm")</f>
        <v>Nov</v>
      </c>
    </row>
    <row r="1487" spans="1:6" x14ac:dyDescent="0.35">
      <c r="A1487" s="3" t="s">
        <v>2059</v>
      </c>
      <c r="B1487" t="str">
        <f>VLOOKUP(A1487,Raw_Data!A:L,6,FALSE)</f>
        <v>Vacuum Cleaner</v>
      </c>
      <c r="C1487" t="str">
        <f>VLOOKUP(A1487,Raw_Data!A:L,3,FALSE)</f>
        <v>Brazil</v>
      </c>
      <c r="D1487" s="3">
        <f>VLOOKUP(A1487,Raw_Data!A:L,12,FALSE)</f>
        <v>2130</v>
      </c>
      <c r="E1487" s="3">
        <f>VLOOKUP(A1487,Raw_Data!A:L,11,FALSE)</f>
        <v>10</v>
      </c>
      <c r="F1487" t="str">
        <f>TEXT(VLOOKUP(A1487,Raw_Data!A:L,5,FALSE),"mmm")</f>
        <v>Apr</v>
      </c>
    </row>
    <row r="1488" spans="1:6" x14ac:dyDescent="0.35">
      <c r="A1488" s="3" t="s">
        <v>2060</v>
      </c>
      <c r="B1488" t="str">
        <f>VLOOKUP(A1488,Raw_Data!A:L,6,FALSE)</f>
        <v>Air conditioner</v>
      </c>
      <c r="C1488" t="str">
        <f>VLOOKUP(A1488,Raw_Data!A:L,3,FALSE)</f>
        <v>USA</v>
      </c>
      <c r="D1488" s="3">
        <f>VLOOKUP(A1488,Raw_Data!A:L,12,FALSE)</f>
        <v>12635</v>
      </c>
      <c r="E1488" s="3">
        <f>VLOOKUP(A1488,Raw_Data!A:L,11,FALSE)</f>
        <v>19</v>
      </c>
      <c r="F1488" t="str">
        <f>TEXT(VLOOKUP(A1488,Raw_Data!A:L,5,FALSE),"mmm")</f>
        <v>Jul</v>
      </c>
    </row>
    <row r="1489" spans="1:6" x14ac:dyDescent="0.35">
      <c r="A1489" s="3" t="s">
        <v>2061</v>
      </c>
      <c r="B1489" t="str">
        <f>VLOOKUP(A1489,Raw_Data!A:L,6,FALSE)</f>
        <v>Oven</v>
      </c>
      <c r="C1489" t="str">
        <f>VLOOKUP(A1489,Raw_Data!A:L,3,FALSE)</f>
        <v>India</v>
      </c>
      <c r="D1489" s="3">
        <f>VLOOKUP(A1489,Raw_Data!A:L,12,FALSE)</f>
        <v>34650</v>
      </c>
      <c r="E1489" s="3">
        <f>VLOOKUP(A1489,Raw_Data!A:L,11,FALSE)</f>
        <v>70</v>
      </c>
      <c r="F1489" t="str">
        <f>TEXT(VLOOKUP(A1489,Raw_Data!A:L,5,FALSE),"mmm")</f>
        <v>Apr</v>
      </c>
    </row>
    <row r="1490" spans="1:6" x14ac:dyDescent="0.35">
      <c r="A1490" s="3" t="s">
        <v>2062</v>
      </c>
      <c r="B1490" t="str">
        <f>VLOOKUP(A1490,Raw_Data!A:L,6,FALSE)</f>
        <v>Coffee grinder</v>
      </c>
      <c r="C1490" t="str">
        <f>VLOOKUP(A1490,Raw_Data!A:L,3,FALSE)</f>
        <v>South Africa</v>
      </c>
      <c r="D1490" s="3">
        <f>VLOOKUP(A1490,Raw_Data!A:L,12,FALSE)</f>
        <v>871</v>
      </c>
      <c r="E1490" s="3">
        <f>VLOOKUP(A1490,Raw_Data!A:L,11,FALSE)</f>
        <v>13</v>
      </c>
      <c r="F1490" t="str">
        <f>TEXT(VLOOKUP(A1490,Raw_Data!A:L,5,FALSE),"mmm")</f>
        <v>Mar</v>
      </c>
    </row>
    <row r="1491" spans="1:6" x14ac:dyDescent="0.35">
      <c r="A1491" s="3" t="s">
        <v>2063</v>
      </c>
      <c r="B1491" t="str">
        <f>VLOOKUP(A1491,Raw_Data!A:L,6,FALSE)</f>
        <v>Oven</v>
      </c>
      <c r="C1491" t="str">
        <f>VLOOKUP(A1491,Raw_Data!A:L,3,FALSE)</f>
        <v>Austria</v>
      </c>
      <c r="D1491" s="3">
        <f>VLOOKUP(A1491,Raw_Data!A:L,12,FALSE)</f>
        <v>16170</v>
      </c>
      <c r="E1491" s="3">
        <f>VLOOKUP(A1491,Raw_Data!A:L,11,FALSE)</f>
        <v>33</v>
      </c>
      <c r="F1491" t="str">
        <f>TEXT(VLOOKUP(A1491,Raw_Data!A:L,5,FALSE),"mmm")</f>
        <v>Aug</v>
      </c>
    </row>
    <row r="1492" spans="1:6" x14ac:dyDescent="0.35">
      <c r="A1492" s="3" t="s">
        <v>2064</v>
      </c>
      <c r="B1492" t="str">
        <f>VLOOKUP(A1492,Raw_Data!A:L,6,FALSE)</f>
        <v>Oven</v>
      </c>
      <c r="C1492" t="str">
        <f>VLOOKUP(A1492,Raw_Data!A:L,3,FALSE)</f>
        <v>USA</v>
      </c>
      <c r="D1492" s="3">
        <f>VLOOKUP(A1492,Raw_Data!A:L,12,FALSE)</f>
        <v>32670</v>
      </c>
      <c r="E1492" s="3">
        <f>VLOOKUP(A1492,Raw_Data!A:L,11,FALSE)</f>
        <v>66</v>
      </c>
      <c r="F1492" t="str">
        <f>TEXT(VLOOKUP(A1492,Raw_Data!A:L,5,FALSE),"mmm")</f>
        <v>Jul</v>
      </c>
    </row>
    <row r="1493" spans="1:6" x14ac:dyDescent="0.35">
      <c r="A1493" s="3" t="s">
        <v>2065</v>
      </c>
      <c r="B1493" t="str">
        <f>VLOOKUP(A1493,Raw_Data!A:L,6,FALSE)</f>
        <v>Air conditioner</v>
      </c>
      <c r="C1493" t="str">
        <f>VLOOKUP(A1493,Raw_Data!A:L,3,FALSE)</f>
        <v>USA</v>
      </c>
      <c r="D1493" s="3">
        <f>VLOOKUP(A1493,Raw_Data!A:L,12,FALSE)</f>
        <v>59500</v>
      </c>
      <c r="E1493" s="3">
        <f>VLOOKUP(A1493,Raw_Data!A:L,11,FALSE)</f>
        <v>85</v>
      </c>
      <c r="F1493" t="str">
        <f>TEXT(VLOOKUP(A1493,Raw_Data!A:L,5,FALSE),"mmm")</f>
        <v>Dec</v>
      </c>
    </row>
    <row r="1494" spans="1:6" x14ac:dyDescent="0.35">
      <c r="A1494" s="3" t="s">
        <v>2066</v>
      </c>
      <c r="B1494" t="str">
        <f>VLOOKUP(A1494,Raw_Data!A:L,6,FALSE)</f>
        <v>Blender</v>
      </c>
      <c r="C1494" t="str">
        <f>VLOOKUP(A1494,Raw_Data!A:L,3,FALSE)</f>
        <v>Saudi Arabia</v>
      </c>
      <c r="D1494" s="3">
        <f>VLOOKUP(A1494,Raw_Data!A:L,12,FALSE)</f>
        <v>3698</v>
      </c>
      <c r="E1494" s="3">
        <f>VLOOKUP(A1494,Raw_Data!A:L,11,FALSE)</f>
        <v>86</v>
      </c>
      <c r="F1494" t="str">
        <f>TEXT(VLOOKUP(A1494,Raw_Data!A:L,5,FALSE),"mmm")</f>
        <v>Apr</v>
      </c>
    </row>
    <row r="1495" spans="1:6" x14ac:dyDescent="0.35">
      <c r="A1495" s="3" t="s">
        <v>2067</v>
      </c>
      <c r="B1495" t="str">
        <f>VLOOKUP(A1495,Raw_Data!A:L,6,FALSE)</f>
        <v>Washing Machine</v>
      </c>
      <c r="C1495" t="str">
        <f>VLOOKUP(A1495,Raw_Data!A:L,3,FALSE)</f>
        <v>Canada</v>
      </c>
      <c r="D1495" s="3">
        <f>VLOOKUP(A1495,Raw_Data!A:L,12,FALSE)</f>
        <v>30184</v>
      </c>
      <c r="E1495" s="3">
        <f>VLOOKUP(A1495,Raw_Data!A:L,11,FALSE)</f>
        <v>49</v>
      </c>
      <c r="F1495" t="str">
        <f>TEXT(VLOOKUP(A1495,Raw_Data!A:L,5,FALSE),"mmm")</f>
        <v>Jul</v>
      </c>
    </row>
    <row r="1496" spans="1:6" x14ac:dyDescent="0.35">
      <c r="A1496" s="3" t="s">
        <v>2068</v>
      </c>
      <c r="B1496" t="str">
        <f>VLOOKUP(A1496,Raw_Data!A:L,6,FALSE)</f>
        <v>Vacuum Cleaner</v>
      </c>
      <c r="C1496" t="str">
        <f>VLOOKUP(A1496,Raw_Data!A:L,3,FALSE)</f>
        <v>USA</v>
      </c>
      <c r="D1496" s="3">
        <f>VLOOKUP(A1496,Raw_Data!A:L,12,FALSE)</f>
        <v>22785</v>
      </c>
      <c r="E1496" s="3">
        <f>VLOOKUP(A1496,Raw_Data!A:L,11,FALSE)</f>
        <v>93</v>
      </c>
      <c r="F1496" t="str">
        <f>TEXT(VLOOKUP(A1496,Raw_Data!A:L,5,FALSE),"mmm")</f>
        <v>Jun</v>
      </c>
    </row>
    <row r="1497" spans="1:6" x14ac:dyDescent="0.35">
      <c r="A1497" s="3" t="s">
        <v>2069</v>
      </c>
      <c r="B1497" t="str">
        <f>VLOOKUP(A1497,Raw_Data!A:L,6,FALSE)</f>
        <v>Vacuum Cleaner</v>
      </c>
      <c r="C1497" t="str">
        <f>VLOOKUP(A1497,Raw_Data!A:L,3,FALSE)</f>
        <v>Israel</v>
      </c>
      <c r="D1497" s="3">
        <f>VLOOKUP(A1497,Raw_Data!A:L,12,FALSE)</f>
        <v>19401</v>
      </c>
      <c r="E1497" s="3">
        <f>VLOOKUP(A1497,Raw_Data!A:L,11,FALSE)</f>
        <v>87</v>
      </c>
      <c r="F1497" t="str">
        <f>TEXT(VLOOKUP(A1497,Raw_Data!A:L,5,FALSE),"mmm")</f>
        <v>Jun</v>
      </c>
    </row>
    <row r="1498" spans="1:6" x14ac:dyDescent="0.35">
      <c r="A1498" s="3" t="s">
        <v>2070</v>
      </c>
      <c r="B1498" t="str">
        <f>VLOOKUP(A1498,Raw_Data!A:L,6,FALSE)</f>
        <v>Microwave</v>
      </c>
      <c r="C1498" t="str">
        <f>VLOOKUP(A1498,Raw_Data!A:L,3,FALSE)</f>
        <v>Netherlands</v>
      </c>
      <c r="D1498" s="3">
        <f>VLOOKUP(A1498,Raw_Data!A:L,12,FALSE)</f>
        <v>3066</v>
      </c>
      <c r="E1498" s="3">
        <f>VLOOKUP(A1498,Raw_Data!A:L,11,FALSE)</f>
        <v>42</v>
      </c>
      <c r="F1498" t="str">
        <f>TEXT(VLOOKUP(A1498,Raw_Data!A:L,5,FALSE),"mmm")</f>
        <v>Jul</v>
      </c>
    </row>
    <row r="1499" spans="1:6" x14ac:dyDescent="0.35">
      <c r="A1499" s="3" t="s">
        <v>2071</v>
      </c>
      <c r="B1499" t="str">
        <f>VLOOKUP(A1499,Raw_Data!A:L,6,FALSE)</f>
        <v>Coffee grinder</v>
      </c>
      <c r="C1499" t="str">
        <f>VLOOKUP(A1499,Raw_Data!A:L,3,FALSE)</f>
        <v>South Africa</v>
      </c>
      <c r="D1499" s="3">
        <f>VLOOKUP(A1499,Raw_Data!A:L,12,FALSE)</f>
        <v>5159</v>
      </c>
      <c r="E1499" s="3">
        <f>VLOOKUP(A1499,Raw_Data!A:L,11,FALSE)</f>
        <v>77</v>
      </c>
      <c r="F1499" t="str">
        <f>TEXT(VLOOKUP(A1499,Raw_Data!A:L,5,FALSE),"mmm")</f>
        <v>May</v>
      </c>
    </row>
    <row r="1500" spans="1:6" x14ac:dyDescent="0.35">
      <c r="A1500" s="3" t="s">
        <v>2072</v>
      </c>
      <c r="B1500" t="str">
        <f>VLOOKUP(A1500,Raw_Data!A:L,6,FALSE)</f>
        <v>Iron</v>
      </c>
      <c r="C1500" t="str">
        <f>VLOOKUP(A1500,Raw_Data!A:L,3,FALSE)</f>
        <v>Czech Republic</v>
      </c>
      <c r="D1500" s="3">
        <f>VLOOKUP(A1500,Raw_Data!A:L,12,FALSE)</f>
        <v>2880</v>
      </c>
      <c r="E1500" s="3">
        <f>VLOOKUP(A1500,Raw_Data!A:L,11,FALSE)</f>
        <v>96</v>
      </c>
      <c r="F1500" t="str">
        <f>TEXT(VLOOKUP(A1500,Raw_Data!A:L,5,FALSE),"mmm")</f>
        <v>Feb</v>
      </c>
    </row>
    <row r="1501" spans="1:6" x14ac:dyDescent="0.35">
      <c r="A1501" s="3" t="s">
        <v>2073</v>
      </c>
      <c r="B1501" t="str">
        <f>VLOOKUP(A1501,Raw_Data!A:L,6,FALSE)</f>
        <v>Blender</v>
      </c>
      <c r="C1501" t="str">
        <f>VLOOKUP(A1501,Raw_Data!A:L,3,FALSE)</f>
        <v>USA</v>
      </c>
      <c r="D1501" s="3">
        <f>VLOOKUP(A1501,Raw_Data!A:L,12,FALSE)</f>
        <v>4606</v>
      </c>
      <c r="E1501" s="3">
        <f>VLOOKUP(A1501,Raw_Data!A:L,11,FALSE)</f>
        <v>94</v>
      </c>
      <c r="F1501" t="str">
        <f>TEXT(VLOOKUP(A1501,Raw_Data!A:L,5,FALSE),"mmm")</f>
        <v>Jan</v>
      </c>
    </row>
    <row r="1502" spans="1:6" x14ac:dyDescent="0.35">
      <c r="A1502" s="3" t="s">
        <v>2074</v>
      </c>
      <c r="B1502" t="str">
        <f>VLOOKUP(A1502,Raw_Data!A:L,6,FALSE)</f>
        <v>Oven</v>
      </c>
      <c r="C1502" t="str">
        <f>VLOOKUP(A1502,Raw_Data!A:L,3,FALSE)</f>
        <v>Egypt</v>
      </c>
      <c r="D1502" s="3">
        <f>VLOOKUP(A1502,Raw_Data!A:L,12,FALSE)</f>
        <v>40095</v>
      </c>
      <c r="E1502" s="3">
        <f>VLOOKUP(A1502,Raw_Data!A:L,11,FALSE)</f>
        <v>81</v>
      </c>
      <c r="F1502" t="str">
        <f>TEXT(VLOOKUP(A1502,Raw_Data!A:L,5,FALSE),"mmm")</f>
        <v>Oct</v>
      </c>
    </row>
    <row r="1503" spans="1:6" x14ac:dyDescent="0.35">
      <c r="A1503" s="3" t="s">
        <v>2075</v>
      </c>
      <c r="B1503" t="str">
        <f>VLOOKUP(A1503,Raw_Data!A:L,6,FALSE)</f>
        <v>Dishwasher</v>
      </c>
      <c r="C1503" t="str">
        <f>VLOOKUP(A1503,Raw_Data!A:L,3,FALSE)</f>
        <v>UK</v>
      </c>
      <c r="D1503" s="3">
        <f>VLOOKUP(A1503,Raw_Data!A:L,12,FALSE)</f>
        <v>6790</v>
      </c>
      <c r="E1503" s="3">
        <f>VLOOKUP(A1503,Raw_Data!A:L,11,FALSE)</f>
        <v>14</v>
      </c>
      <c r="F1503" t="str">
        <f>TEXT(VLOOKUP(A1503,Raw_Data!A:L,5,FALSE),"mmm")</f>
        <v>Sep</v>
      </c>
    </row>
    <row r="1504" spans="1:6" x14ac:dyDescent="0.35">
      <c r="A1504" s="3" t="s">
        <v>2076</v>
      </c>
      <c r="B1504" t="str">
        <f>VLOOKUP(A1504,Raw_Data!A:L,6,FALSE)</f>
        <v>Ceiling fan</v>
      </c>
      <c r="C1504" t="str">
        <f>VLOOKUP(A1504,Raw_Data!A:L,3,FALSE)</f>
        <v>USA</v>
      </c>
      <c r="D1504" s="3">
        <f>VLOOKUP(A1504,Raw_Data!A:L,12,FALSE)</f>
        <v>7540</v>
      </c>
      <c r="E1504" s="3">
        <f>VLOOKUP(A1504,Raw_Data!A:L,11,FALSE)</f>
        <v>65</v>
      </c>
      <c r="F1504" t="str">
        <f>TEXT(VLOOKUP(A1504,Raw_Data!A:L,5,FALSE),"mmm")</f>
        <v>Jan</v>
      </c>
    </row>
    <row r="1505" spans="1:6" x14ac:dyDescent="0.35">
      <c r="A1505" s="3" t="s">
        <v>2077</v>
      </c>
      <c r="B1505" t="str">
        <f>VLOOKUP(A1505,Raw_Data!A:L,6,FALSE)</f>
        <v>Air conditioner</v>
      </c>
      <c r="C1505" t="str">
        <f>VLOOKUP(A1505,Raw_Data!A:L,3,FALSE)</f>
        <v>Canada</v>
      </c>
      <c r="D1505" s="3">
        <f>VLOOKUP(A1505,Raw_Data!A:L,12,FALSE)</f>
        <v>62510</v>
      </c>
      <c r="E1505" s="3">
        <f>VLOOKUP(A1505,Raw_Data!A:L,11,FALSE)</f>
        <v>95</v>
      </c>
      <c r="F1505" t="str">
        <f>TEXT(VLOOKUP(A1505,Raw_Data!A:L,5,FALSE),"mmm")</f>
        <v>Aug</v>
      </c>
    </row>
    <row r="1506" spans="1:6" x14ac:dyDescent="0.35">
      <c r="A1506" s="3" t="s">
        <v>2078</v>
      </c>
      <c r="B1506" t="str">
        <f>VLOOKUP(A1506,Raw_Data!A:L,6,FALSE)</f>
        <v>Iron</v>
      </c>
      <c r="C1506" t="str">
        <f>VLOOKUP(A1506,Raw_Data!A:L,3,FALSE)</f>
        <v>Saudi Arabia</v>
      </c>
      <c r="D1506" s="3">
        <f>VLOOKUP(A1506,Raw_Data!A:L,12,FALSE)</f>
        <v>1620</v>
      </c>
      <c r="E1506" s="3">
        <f>VLOOKUP(A1506,Raw_Data!A:L,11,FALSE)</f>
        <v>60</v>
      </c>
      <c r="F1506" t="str">
        <f>TEXT(VLOOKUP(A1506,Raw_Data!A:L,5,FALSE),"mmm")</f>
        <v>Apr</v>
      </c>
    </row>
    <row r="1507" spans="1:6" x14ac:dyDescent="0.35">
      <c r="A1507" s="3" t="s">
        <v>2079</v>
      </c>
      <c r="B1507" t="str">
        <f>VLOOKUP(A1507,Raw_Data!A:L,6,FALSE)</f>
        <v>Washing Machine</v>
      </c>
      <c r="C1507" t="str">
        <f>VLOOKUP(A1507,Raw_Data!A:L,3,FALSE)</f>
        <v>Russia</v>
      </c>
      <c r="D1507" s="3">
        <f>VLOOKUP(A1507,Raw_Data!A:L,12,FALSE)</f>
        <v>13984</v>
      </c>
      <c r="E1507" s="3">
        <f>VLOOKUP(A1507,Raw_Data!A:L,11,FALSE)</f>
        <v>23</v>
      </c>
      <c r="F1507" t="str">
        <f>TEXT(VLOOKUP(A1507,Raw_Data!A:L,5,FALSE),"mmm")</f>
        <v>Apr</v>
      </c>
    </row>
    <row r="1508" spans="1:6" x14ac:dyDescent="0.35">
      <c r="A1508" s="3" t="s">
        <v>2080</v>
      </c>
      <c r="B1508" t="str">
        <f>VLOOKUP(A1508,Raw_Data!A:L,6,FALSE)</f>
        <v>Toaster</v>
      </c>
      <c r="C1508" t="str">
        <f>VLOOKUP(A1508,Raw_Data!A:L,3,FALSE)</f>
        <v>China</v>
      </c>
      <c r="D1508" s="3">
        <f>VLOOKUP(A1508,Raw_Data!A:L,12,FALSE)</f>
        <v>343</v>
      </c>
      <c r="E1508" s="3">
        <f>VLOOKUP(A1508,Raw_Data!A:L,11,FALSE)</f>
        <v>7</v>
      </c>
      <c r="F1508" t="str">
        <f>TEXT(VLOOKUP(A1508,Raw_Data!A:L,5,FALSE),"mmm")</f>
        <v>Apr</v>
      </c>
    </row>
    <row r="1509" spans="1:6" x14ac:dyDescent="0.35">
      <c r="A1509" s="3" t="s">
        <v>2081</v>
      </c>
      <c r="B1509" t="str">
        <f>VLOOKUP(A1509,Raw_Data!A:L,6,FALSE)</f>
        <v>Microwave</v>
      </c>
      <c r="C1509" t="str">
        <f>VLOOKUP(A1509,Raw_Data!A:L,3,FALSE)</f>
        <v>Colombia</v>
      </c>
      <c r="D1509" s="3">
        <f>VLOOKUP(A1509,Raw_Data!A:L,12,FALSE)</f>
        <v>4692</v>
      </c>
      <c r="E1509" s="3">
        <f>VLOOKUP(A1509,Raw_Data!A:L,11,FALSE)</f>
        <v>68</v>
      </c>
      <c r="F1509" t="str">
        <f>TEXT(VLOOKUP(A1509,Raw_Data!A:L,5,FALSE),"mmm")</f>
        <v>Oct</v>
      </c>
    </row>
    <row r="1510" spans="1:6" x14ac:dyDescent="0.35">
      <c r="A1510" s="3" t="s">
        <v>2082</v>
      </c>
      <c r="B1510" t="str">
        <f>VLOOKUP(A1510,Raw_Data!A:L,6,FALSE)</f>
        <v>Coffee grinder</v>
      </c>
      <c r="C1510" t="str">
        <f>VLOOKUP(A1510,Raw_Data!A:L,3,FALSE)</f>
        <v>Malaysia</v>
      </c>
      <c r="D1510" s="3">
        <f>VLOOKUP(A1510,Raw_Data!A:L,12,FALSE)</f>
        <v>5120</v>
      </c>
      <c r="E1510" s="3">
        <f>VLOOKUP(A1510,Raw_Data!A:L,11,FALSE)</f>
        <v>80</v>
      </c>
      <c r="F1510" t="str">
        <f>TEXT(VLOOKUP(A1510,Raw_Data!A:L,5,FALSE),"mmm")</f>
        <v>Jan</v>
      </c>
    </row>
    <row r="1511" spans="1:6" x14ac:dyDescent="0.35">
      <c r="A1511" s="3" t="s">
        <v>2083</v>
      </c>
      <c r="B1511" t="str">
        <f>VLOOKUP(A1511,Raw_Data!A:L,6,FALSE)</f>
        <v>Iron</v>
      </c>
      <c r="C1511" t="str">
        <f>VLOOKUP(A1511,Raw_Data!A:L,3,FALSE)</f>
        <v>Saudi Arabia</v>
      </c>
      <c r="D1511" s="3">
        <f>VLOOKUP(A1511,Raw_Data!A:L,12,FALSE)</f>
        <v>1566</v>
      </c>
      <c r="E1511" s="3">
        <f>VLOOKUP(A1511,Raw_Data!A:L,11,FALSE)</f>
        <v>58</v>
      </c>
      <c r="F1511" t="str">
        <f>TEXT(VLOOKUP(A1511,Raw_Data!A:L,5,FALSE),"mmm")</f>
        <v>Sep</v>
      </c>
    </row>
    <row r="1512" spans="1:6" x14ac:dyDescent="0.35">
      <c r="A1512" s="3" t="s">
        <v>2084</v>
      </c>
      <c r="B1512" t="str">
        <f>VLOOKUP(A1512,Raw_Data!A:L,6,FALSE)</f>
        <v>Dishwasher</v>
      </c>
      <c r="C1512" t="str">
        <f>VLOOKUP(A1512,Raw_Data!A:L,3,FALSE)</f>
        <v>Czech Republic</v>
      </c>
      <c r="D1512" s="3">
        <f>VLOOKUP(A1512,Raw_Data!A:L,12,FALSE)</f>
        <v>25500</v>
      </c>
      <c r="E1512" s="3">
        <f>VLOOKUP(A1512,Raw_Data!A:L,11,FALSE)</f>
        <v>51</v>
      </c>
      <c r="F1512" t="str">
        <f>TEXT(VLOOKUP(A1512,Raw_Data!A:L,5,FALSE),"mmm")</f>
        <v>Aug</v>
      </c>
    </row>
    <row r="1513" spans="1:6" x14ac:dyDescent="0.35">
      <c r="A1513" s="3" t="s">
        <v>2085</v>
      </c>
      <c r="B1513" t="str">
        <f>VLOOKUP(A1513,Raw_Data!A:L,6,FALSE)</f>
        <v>Microwave</v>
      </c>
      <c r="C1513" t="str">
        <f>VLOOKUP(A1513,Raw_Data!A:L,3,FALSE)</f>
        <v>Egypt</v>
      </c>
      <c r="D1513" s="3">
        <f>VLOOKUP(A1513,Raw_Data!A:L,12,FALSE)</f>
        <v>180</v>
      </c>
      <c r="E1513" s="3">
        <f>VLOOKUP(A1513,Raw_Data!A:L,11,FALSE)</f>
        <v>3</v>
      </c>
      <c r="F1513" t="str">
        <f>TEXT(VLOOKUP(A1513,Raw_Data!A:L,5,FALSE),"mmm")</f>
        <v>Oct</v>
      </c>
    </row>
    <row r="1514" spans="1:6" x14ac:dyDescent="0.35">
      <c r="A1514" s="3" t="s">
        <v>2086</v>
      </c>
      <c r="B1514" t="str">
        <f>VLOOKUP(A1514,Raw_Data!A:L,6,FALSE)</f>
        <v>Air conditioner</v>
      </c>
      <c r="C1514" t="str">
        <f>VLOOKUP(A1514,Raw_Data!A:L,3,FALSE)</f>
        <v>Israel</v>
      </c>
      <c r="D1514" s="3">
        <f>VLOOKUP(A1514,Raw_Data!A:L,12,FALSE)</f>
        <v>25480</v>
      </c>
      <c r="E1514" s="3">
        <f>VLOOKUP(A1514,Raw_Data!A:L,11,FALSE)</f>
        <v>40</v>
      </c>
      <c r="F1514" t="str">
        <f>TEXT(VLOOKUP(A1514,Raw_Data!A:L,5,FALSE),"mmm")</f>
        <v>Oct</v>
      </c>
    </row>
    <row r="1515" spans="1:6" x14ac:dyDescent="0.35">
      <c r="A1515" s="3" t="s">
        <v>2087</v>
      </c>
      <c r="B1515" t="str">
        <f>VLOOKUP(A1515,Raw_Data!A:L,6,FALSE)</f>
        <v>Vacuum Cleaner</v>
      </c>
      <c r="C1515" t="str">
        <f>VLOOKUP(A1515,Raw_Data!A:L,3,FALSE)</f>
        <v>Japan</v>
      </c>
      <c r="D1515" s="3">
        <f>VLOOKUP(A1515,Raw_Data!A:L,12,FALSE)</f>
        <v>1246</v>
      </c>
      <c r="E1515" s="3">
        <f>VLOOKUP(A1515,Raw_Data!A:L,11,FALSE)</f>
        <v>7</v>
      </c>
      <c r="F1515" t="str">
        <f>TEXT(VLOOKUP(A1515,Raw_Data!A:L,5,FALSE),"mmm")</f>
        <v>Feb</v>
      </c>
    </row>
    <row r="1516" spans="1:6" x14ac:dyDescent="0.35">
      <c r="A1516" s="3" t="s">
        <v>2088</v>
      </c>
      <c r="B1516" t="str">
        <f>VLOOKUP(A1516,Raw_Data!A:L,6,FALSE)</f>
        <v>Oven</v>
      </c>
      <c r="C1516" t="str">
        <f>VLOOKUP(A1516,Raw_Data!A:L,3,FALSE)</f>
        <v>Poland</v>
      </c>
      <c r="D1516" s="3">
        <f>VLOOKUP(A1516,Raw_Data!A:L,12,FALSE)</f>
        <v>42000</v>
      </c>
      <c r="E1516" s="3">
        <f>VLOOKUP(A1516,Raw_Data!A:L,11,FALSE)</f>
        <v>84</v>
      </c>
      <c r="F1516" t="str">
        <f>TEXT(VLOOKUP(A1516,Raw_Data!A:L,5,FALSE),"mmm")</f>
        <v>Nov</v>
      </c>
    </row>
    <row r="1517" spans="1:6" x14ac:dyDescent="0.35">
      <c r="A1517" s="3" t="s">
        <v>2089</v>
      </c>
      <c r="B1517" t="str">
        <f>VLOOKUP(A1517,Raw_Data!A:L,6,FALSE)</f>
        <v>Toaster</v>
      </c>
      <c r="C1517" t="str">
        <f>VLOOKUP(A1517,Raw_Data!A:L,3,FALSE)</f>
        <v>Israel</v>
      </c>
      <c r="D1517" s="3">
        <f>VLOOKUP(A1517,Raw_Data!A:L,12,FALSE)</f>
        <v>4277</v>
      </c>
      <c r="E1517" s="3">
        <f>VLOOKUP(A1517,Raw_Data!A:L,11,FALSE)</f>
        <v>91</v>
      </c>
      <c r="F1517" t="str">
        <f>TEXT(VLOOKUP(A1517,Raw_Data!A:L,5,FALSE),"mmm")</f>
        <v>Jan</v>
      </c>
    </row>
    <row r="1518" spans="1:6" x14ac:dyDescent="0.35">
      <c r="A1518" s="3" t="s">
        <v>2090</v>
      </c>
      <c r="B1518" t="str">
        <f>VLOOKUP(A1518,Raw_Data!A:L,6,FALSE)</f>
        <v>Dishwasher</v>
      </c>
      <c r="C1518" t="str">
        <f>VLOOKUP(A1518,Raw_Data!A:L,3,FALSE)</f>
        <v>South Africa</v>
      </c>
      <c r="D1518" s="3">
        <f>VLOOKUP(A1518,Raw_Data!A:L,12,FALSE)</f>
        <v>19035</v>
      </c>
      <c r="E1518" s="3">
        <f>VLOOKUP(A1518,Raw_Data!A:L,11,FALSE)</f>
        <v>47</v>
      </c>
      <c r="F1518" t="str">
        <f>TEXT(VLOOKUP(A1518,Raw_Data!A:L,5,FALSE),"mmm")</f>
        <v>Oct</v>
      </c>
    </row>
    <row r="1519" spans="1:6" x14ac:dyDescent="0.35">
      <c r="A1519" s="3" t="s">
        <v>2091</v>
      </c>
      <c r="B1519" t="str">
        <f>VLOOKUP(A1519,Raw_Data!A:L,6,FALSE)</f>
        <v>Vacuum Cleaner</v>
      </c>
      <c r="C1519" t="str">
        <f>VLOOKUP(A1519,Raw_Data!A:L,3,FALSE)</f>
        <v>Italy</v>
      </c>
      <c r="D1519" s="3">
        <f>VLOOKUP(A1519,Raw_Data!A:L,12,FALSE)</f>
        <v>3430</v>
      </c>
      <c r="E1519" s="3">
        <f>VLOOKUP(A1519,Raw_Data!A:L,11,FALSE)</f>
        <v>14</v>
      </c>
      <c r="F1519" t="str">
        <f>TEXT(VLOOKUP(A1519,Raw_Data!A:L,5,FALSE),"mmm")</f>
        <v>Dec</v>
      </c>
    </row>
    <row r="1520" spans="1:6" x14ac:dyDescent="0.35">
      <c r="A1520" s="3" t="s">
        <v>2092</v>
      </c>
      <c r="B1520" t="str">
        <f>VLOOKUP(A1520,Raw_Data!A:L,6,FALSE)</f>
        <v>Microwave</v>
      </c>
      <c r="C1520" t="str">
        <f>VLOOKUP(A1520,Raw_Data!A:L,3,FALSE)</f>
        <v>Romania</v>
      </c>
      <c r="D1520" s="3">
        <f>VLOOKUP(A1520,Raw_Data!A:L,12,FALSE)</f>
        <v>6942</v>
      </c>
      <c r="E1520" s="3">
        <f>VLOOKUP(A1520,Raw_Data!A:L,11,FALSE)</f>
        <v>89</v>
      </c>
      <c r="F1520" t="str">
        <f>TEXT(VLOOKUP(A1520,Raw_Data!A:L,5,FALSE),"mmm")</f>
        <v>Mar</v>
      </c>
    </row>
    <row r="1521" spans="1:6" x14ac:dyDescent="0.35">
      <c r="A1521" s="3" t="s">
        <v>2093</v>
      </c>
      <c r="B1521" t="str">
        <f>VLOOKUP(A1521,Raw_Data!A:L,6,FALSE)</f>
        <v>Dishwasher</v>
      </c>
      <c r="C1521" t="str">
        <f>VLOOKUP(A1521,Raw_Data!A:L,3,FALSE)</f>
        <v>Colombia</v>
      </c>
      <c r="D1521" s="3">
        <f>VLOOKUP(A1521,Raw_Data!A:L,12,FALSE)</f>
        <v>34500</v>
      </c>
      <c r="E1521" s="3">
        <f>VLOOKUP(A1521,Raw_Data!A:L,11,FALSE)</f>
        <v>100</v>
      </c>
      <c r="F1521" t="str">
        <f>TEXT(VLOOKUP(A1521,Raw_Data!A:L,5,FALSE),"mmm")</f>
        <v>Jun</v>
      </c>
    </row>
    <row r="1522" spans="1:6" x14ac:dyDescent="0.35">
      <c r="A1522" s="3" t="s">
        <v>2094</v>
      </c>
      <c r="B1522" t="str">
        <f>VLOOKUP(A1522,Raw_Data!A:L,6,FALSE)</f>
        <v>Refrigerator</v>
      </c>
      <c r="C1522" t="str">
        <f>VLOOKUP(A1522,Raw_Data!A:L,3,FALSE)</f>
        <v>Colombia</v>
      </c>
      <c r="D1522" s="3">
        <f>VLOOKUP(A1522,Raw_Data!A:L,12,FALSE)</f>
        <v>22420</v>
      </c>
      <c r="E1522" s="3">
        <f>VLOOKUP(A1522,Raw_Data!A:L,11,FALSE)</f>
        <v>38</v>
      </c>
      <c r="F1522" t="str">
        <f>TEXT(VLOOKUP(A1522,Raw_Data!A:L,5,FALSE),"mmm")</f>
        <v>Sep</v>
      </c>
    </row>
    <row r="1523" spans="1:6" x14ac:dyDescent="0.35">
      <c r="A1523" s="3" t="s">
        <v>2095</v>
      </c>
      <c r="B1523" t="str">
        <f>VLOOKUP(A1523,Raw_Data!A:L,6,FALSE)</f>
        <v>Vacuum Cleaner</v>
      </c>
      <c r="C1523" t="str">
        <f>VLOOKUP(A1523,Raw_Data!A:L,3,FALSE)</f>
        <v>France</v>
      </c>
      <c r="D1523" s="3">
        <f>VLOOKUP(A1523,Raw_Data!A:L,12,FALSE)</f>
        <v>20944</v>
      </c>
      <c r="E1523" s="3">
        <f>VLOOKUP(A1523,Raw_Data!A:L,11,FALSE)</f>
        <v>88</v>
      </c>
      <c r="F1523" t="str">
        <f>TEXT(VLOOKUP(A1523,Raw_Data!A:L,5,FALSE),"mmm")</f>
        <v>Aug</v>
      </c>
    </row>
    <row r="1524" spans="1:6" x14ac:dyDescent="0.35">
      <c r="A1524" s="3" t="s">
        <v>2096</v>
      </c>
      <c r="B1524" t="str">
        <f>VLOOKUP(A1524,Raw_Data!A:L,6,FALSE)</f>
        <v>Air conditioner</v>
      </c>
      <c r="C1524" t="str">
        <f>VLOOKUP(A1524,Raw_Data!A:L,3,FALSE)</f>
        <v>France</v>
      </c>
      <c r="D1524" s="3">
        <f>VLOOKUP(A1524,Raw_Data!A:L,12,FALSE)</f>
        <v>61152</v>
      </c>
      <c r="E1524" s="3">
        <f>VLOOKUP(A1524,Raw_Data!A:L,11,FALSE)</f>
        <v>91</v>
      </c>
      <c r="F1524" t="str">
        <f>TEXT(VLOOKUP(A1524,Raw_Data!A:L,5,FALSE),"mmm")</f>
        <v>Oct</v>
      </c>
    </row>
    <row r="1525" spans="1:6" x14ac:dyDescent="0.35">
      <c r="A1525" s="3" t="s">
        <v>2097</v>
      </c>
      <c r="B1525" t="str">
        <f>VLOOKUP(A1525,Raw_Data!A:L,6,FALSE)</f>
        <v>Oven</v>
      </c>
      <c r="C1525" t="str">
        <f>VLOOKUP(A1525,Raw_Data!A:L,3,FALSE)</f>
        <v>France</v>
      </c>
      <c r="D1525" s="3">
        <f>VLOOKUP(A1525,Raw_Data!A:L,12,FALSE)</f>
        <v>19000</v>
      </c>
      <c r="E1525" s="3">
        <f>VLOOKUP(A1525,Raw_Data!A:L,11,FALSE)</f>
        <v>38</v>
      </c>
      <c r="F1525" t="str">
        <f>TEXT(VLOOKUP(A1525,Raw_Data!A:L,5,FALSE),"mmm")</f>
        <v>Aug</v>
      </c>
    </row>
    <row r="1526" spans="1:6" x14ac:dyDescent="0.35">
      <c r="A1526" s="3" t="s">
        <v>2098</v>
      </c>
      <c r="B1526" t="str">
        <f>VLOOKUP(A1526,Raw_Data!A:L,6,FALSE)</f>
        <v>Oven</v>
      </c>
      <c r="C1526" t="str">
        <f>VLOOKUP(A1526,Raw_Data!A:L,3,FALSE)</f>
        <v>Australia</v>
      </c>
      <c r="D1526" s="3">
        <f>VLOOKUP(A1526,Raw_Data!A:L,12,FALSE)</f>
        <v>19305</v>
      </c>
      <c r="E1526" s="3">
        <f>VLOOKUP(A1526,Raw_Data!A:L,11,FALSE)</f>
        <v>39</v>
      </c>
      <c r="F1526" t="str">
        <f>TEXT(VLOOKUP(A1526,Raw_Data!A:L,5,FALSE),"mmm")</f>
        <v>Jan</v>
      </c>
    </row>
    <row r="1527" spans="1:6" x14ac:dyDescent="0.35">
      <c r="A1527" s="3" t="s">
        <v>2099</v>
      </c>
      <c r="B1527" t="str">
        <f>VLOOKUP(A1527,Raw_Data!A:L,6,FALSE)</f>
        <v>Iron</v>
      </c>
      <c r="C1527" t="str">
        <f>VLOOKUP(A1527,Raw_Data!A:L,3,FALSE)</f>
        <v>South Korea</v>
      </c>
      <c r="D1527" s="3">
        <f>VLOOKUP(A1527,Raw_Data!A:L,12,FALSE)</f>
        <v>2320</v>
      </c>
      <c r="E1527" s="3">
        <f>VLOOKUP(A1527,Raw_Data!A:L,11,FALSE)</f>
        <v>80</v>
      </c>
      <c r="F1527" t="str">
        <f>TEXT(VLOOKUP(A1527,Raw_Data!A:L,5,FALSE),"mmm")</f>
        <v>Jan</v>
      </c>
    </row>
    <row r="1528" spans="1:6" x14ac:dyDescent="0.35">
      <c r="A1528" s="3" t="s">
        <v>2100</v>
      </c>
      <c r="B1528" t="str">
        <f>VLOOKUP(A1528,Raw_Data!A:L,6,FALSE)</f>
        <v>Microwave</v>
      </c>
      <c r="C1528" t="str">
        <f>VLOOKUP(A1528,Raw_Data!A:L,3,FALSE)</f>
        <v>Australia</v>
      </c>
      <c r="D1528" s="3">
        <f>VLOOKUP(A1528,Raw_Data!A:L,12,FALSE)</f>
        <v>3245</v>
      </c>
      <c r="E1528" s="3">
        <f>VLOOKUP(A1528,Raw_Data!A:L,11,FALSE)</f>
        <v>59</v>
      </c>
      <c r="F1528" t="str">
        <f>TEXT(VLOOKUP(A1528,Raw_Data!A:L,5,FALSE),"mmm")</f>
        <v>Jun</v>
      </c>
    </row>
    <row r="1529" spans="1:6" x14ac:dyDescent="0.35">
      <c r="A1529" s="3" t="s">
        <v>2101</v>
      </c>
      <c r="B1529" t="str">
        <f>VLOOKUP(A1529,Raw_Data!A:L,6,FALSE)</f>
        <v>Washing Machine</v>
      </c>
      <c r="C1529" t="str">
        <f>VLOOKUP(A1529,Raw_Data!A:L,3,FALSE)</f>
        <v>India</v>
      </c>
      <c r="D1529" s="3">
        <f>VLOOKUP(A1529,Raw_Data!A:L,12,FALSE)</f>
        <v>17632</v>
      </c>
      <c r="E1529" s="3">
        <f>VLOOKUP(A1529,Raw_Data!A:L,11,FALSE)</f>
        <v>29</v>
      </c>
      <c r="F1529" t="str">
        <f>TEXT(VLOOKUP(A1529,Raw_Data!A:L,5,FALSE),"mmm")</f>
        <v>Feb</v>
      </c>
    </row>
    <row r="1530" spans="1:6" x14ac:dyDescent="0.35">
      <c r="A1530" s="3" t="s">
        <v>2102</v>
      </c>
      <c r="B1530" t="str">
        <f>VLOOKUP(A1530,Raw_Data!A:L,6,FALSE)</f>
        <v>Iron</v>
      </c>
      <c r="C1530" t="str">
        <f>VLOOKUP(A1530,Raw_Data!A:L,3,FALSE)</f>
        <v>USA</v>
      </c>
      <c r="D1530" s="3">
        <f>VLOOKUP(A1530,Raw_Data!A:L,12,FALSE)</f>
        <v>572</v>
      </c>
      <c r="E1530" s="3">
        <f>VLOOKUP(A1530,Raw_Data!A:L,11,FALSE)</f>
        <v>26</v>
      </c>
      <c r="F1530" t="str">
        <f>TEXT(VLOOKUP(A1530,Raw_Data!A:L,5,FALSE),"mmm")</f>
        <v>May</v>
      </c>
    </row>
    <row r="1531" spans="1:6" x14ac:dyDescent="0.35">
      <c r="A1531" s="3" t="s">
        <v>2103</v>
      </c>
      <c r="B1531" t="str">
        <f>VLOOKUP(A1531,Raw_Data!A:L,6,FALSE)</f>
        <v>Microwave</v>
      </c>
      <c r="C1531" t="str">
        <f>VLOOKUP(A1531,Raw_Data!A:L,3,FALSE)</f>
        <v>China</v>
      </c>
      <c r="D1531" s="3">
        <f>VLOOKUP(A1531,Raw_Data!A:L,12,FALSE)</f>
        <v>2139</v>
      </c>
      <c r="E1531" s="3">
        <f>VLOOKUP(A1531,Raw_Data!A:L,11,FALSE)</f>
        <v>31</v>
      </c>
      <c r="F1531" t="str">
        <f>TEXT(VLOOKUP(A1531,Raw_Data!A:L,5,FALSE),"mmm")</f>
        <v>Apr</v>
      </c>
    </row>
    <row r="1532" spans="1:6" x14ac:dyDescent="0.35">
      <c r="A1532" s="3" t="s">
        <v>2104</v>
      </c>
      <c r="B1532" t="str">
        <f>VLOOKUP(A1532,Raw_Data!A:L,6,FALSE)</f>
        <v>Air conditioner</v>
      </c>
      <c r="C1532" t="str">
        <f>VLOOKUP(A1532,Raw_Data!A:L,3,FALSE)</f>
        <v>India</v>
      </c>
      <c r="D1532" s="3">
        <f>VLOOKUP(A1532,Raw_Data!A:L,12,FALSE)</f>
        <v>53200</v>
      </c>
      <c r="E1532" s="3">
        <f>VLOOKUP(A1532,Raw_Data!A:L,11,FALSE)</f>
        <v>80</v>
      </c>
      <c r="F1532" t="str">
        <f>TEXT(VLOOKUP(A1532,Raw_Data!A:L,5,FALSE),"mmm")</f>
        <v>Jan</v>
      </c>
    </row>
    <row r="1533" spans="1:6" x14ac:dyDescent="0.35">
      <c r="A1533" s="3" t="s">
        <v>2105</v>
      </c>
      <c r="B1533" t="str">
        <f>VLOOKUP(A1533,Raw_Data!A:L,6,FALSE)</f>
        <v>Iron</v>
      </c>
      <c r="C1533" t="str">
        <f>VLOOKUP(A1533,Raw_Data!A:L,3,FALSE)</f>
        <v>Turkey</v>
      </c>
      <c r="D1533" s="3">
        <f>VLOOKUP(A1533,Raw_Data!A:L,12,FALSE)</f>
        <v>28</v>
      </c>
      <c r="E1533" s="3">
        <f>VLOOKUP(A1533,Raw_Data!A:L,11,FALSE)</f>
        <v>1</v>
      </c>
      <c r="F1533" t="str">
        <f>TEXT(VLOOKUP(A1533,Raw_Data!A:L,5,FALSE),"mmm")</f>
        <v>Mar</v>
      </c>
    </row>
    <row r="1534" spans="1:6" x14ac:dyDescent="0.35">
      <c r="A1534" s="3" t="s">
        <v>2106</v>
      </c>
      <c r="B1534" t="str">
        <f>VLOOKUP(A1534,Raw_Data!A:L,6,FALSE)</f>
        <v>Washing Machine</v>
      </c>
      <c r="C1534" t="str">
        <f>VLOOKUP(A1534,Raw_Data!A:L,3,FALSE)</f>
        <v>USA</v>
      </c>
      <c r="D1534" s="3">
        <f>VLOOKUP(A1534,Raw_Data!A:L,12,FALSE)</f>
        <v>39904</v>
      </c>
      <c r="E1534" s="3">
        <f>VLOOKUP(A1534,Raw_Data!A:L,11,FALSE)</f>
        <v>86</v>
      </c>
      <c r="F1534" t="str">
        <f>TEXT(VLOOKUP(A1534,Raw_Data!A:L,5,FALSE),"mmm")</f>
        <v>Mar</v>
      </c>
    </row>
    <row r="1535" spans="1:6" x14ac:dyDescent="0.35">
      <c r="A1535" s="3" t="s">
        <v>2107</v>
      </c>
      <c r="B1535" t="str">
        <f>VLOOKUP(A1535,Raw_Data!A:L,6,FALSE)</f>
        <v>Washing Machine</v>
      </c>
      <c r="C1535" t="str">
        <f>VLOOKUP(A1535,Raw_Data!A:L,3,FALSE)</f>
        <v>USA</v>
      </c>
      <c r="D1535" s="3">
        <f>VLOOKUP(A1535,Raw_Data!A:L,12,FALSE)</f>
        <v>52560</v>
      </c>
      <c r="E1535" s="3">
        <f>VLOOKUP(A1535,Raw_Data!A:L,11,FALSE)</f>
        <v>90</v>
      </c>
      <c r="F1535" t="str">
        <f>TEXT(VLOOKUP(A1535,Raw_Data!A:L,5,FALSE),"mmm")</f>
        <v>Sep</v>
      </c>
    </row>
    <row r="1536" spans="1:6" x14ac:dyDescent="0.35">
      <c r="A1536" s="3" t="s">
        <v>2108</v>
      </c>
      <c r="B1536" t="str">
        <f>VLOOKUP(A1536,Raw_Data!A:L,6,FALSE)</f>
        <v>Air conditioner</v>
      </c>
      <c r="C1536" t="str">
        <f>VLOOKUP(A1536,Raw_Data!A:L,3,FALSE)</f>
        <v>Italy</v>
      </c>
      <c r="D1536" s="3">
        <f>VLOOKUP(A1536,Raw_Data!A:L,12,FALSE)</f>
        <v>33614</v>
      </c>
      <c r="E1536" s="3">
        <f>VLOOKUP(A1536,Raw_Data!A:L,11,FALSE)</f>
        <v>49</v>
      </c>
      <c r="F1536" t="str">
        <f>TEXT(VLOOKUP(A1536,Raw_Data!A:L,5,FALSE),"mmm")</f>
        <v>Jun</v>
      </c>
    </row>
    <row r="1537" spans="1:6" x14ac:dyDescent="0.35">
      <c r="A1537" s="3" t="s">
        <v>2110</v>
      </c>
      <c r="B1537" t="str">
        <f>VLOOKUP(A1537,Raw_Data!A:L,6,FALSE)</f>
        <v>Vacuum Cleaner</v>
      </c>
      <c r="C1537" t="str">
        <f>VLOOKUP(A1537,Raw_Data!A:L,3,FALSE)</f>
        <v>Australia</v>
      </c>
      <c r="D1537" s="3">
        <f>VLOOKUP(A1537,Raw_Data!A:L,12,FALSE)</f>
        <v>15975</v>
      </c>
      <c r="E1537" s="3">
        <f>VLOOKUP(A1537,Raw_Data!A:L,11,FALSE)</f>
        <v>75</v>
      </c>
      <c r="F1537" t="str">
        <f>TEXT(VLOOKUP(A1537,Raw_Data!A:L,5,FALSE),"mmm")</f>
        <v>Jul</v>
      </c>
    </row>
    <row r="1538" spans="1:6" x14ac:dyDescent="0.35">
      <c r="A1538" s="3" t="s">
        <v>2111</v>
      </c>
      <c r="B1538" t="str">
        <f>VLOOKUP(A1538,Raw_Data!A:L,6,FALSE)</f>
        <v>Dishwasher</v>
      </c>
      <c r="C1538" t="str">
        <f>VLOOKUP(A1538,Raw_Data!A:L,3,FALSE)</f>
        <v>USA</v>
      </c>
      <c r="D1538" s="3">
        <f>VLOOKUP(A1538,Raw_Data!A:L,12,FALSE)</f>
        <v>14570</v>
      </c>
      <c r="E1538" s="3">
        <f>VLOOKUP(A1538,Raw_Data!A:L,11,FALSE)</f>
        <v>31</v>
      </c>
      <c r="F1538" t="str">
        <f>TEXT(VLOOKUP(A1538,Raw_Data!A:L,5,FALSE),"mmm")</f>
        <v>Dec</v>
      </c>
    </row>
    <row r="1539" spans="1:6" x14ac:dyDescent="0.35">
      <c r="A1539" s="3" t="s">
        <v>2112</v>
      </c>
      <c r="B1539" t="str">
        <f>VLOOKUP(A1539,Raw_Data!A:L,6,FALSE)</f>
        <v>Washing Machine</v>
      </c>
      <c r="C1539" t="str">
        <f>VLOOKUP(A1539,Raw_Data!A:L,3,FALSE)</f>
        <v>South Africa</v>
      </c>
      <c r="D1539" s="3">
        <f>VLOOKUP(A1539,Raw_Data!A:L,12,FALSE)</f>
        <v>20584</v>
      </c>
      <c r="E1539" s="3">
        <f>VLOOKUP(A1539,Raw_Data!A:L,11,FALSE)</f>
        <v>31</v>
      </c>
      <c r="F1539" t="str">
        <f>TEXT(VLOOKUP(A1539,Raw_Data!A:L,5,FALSE),"mmm")</f>
        <v>May</v>
      </c>
    </row>
    <row r="1540" spans="1:6" x14ac:dyDescent="0.35">
      <c r="A1540" s="3" t="s">
        <v>2113</v>
      </c>
      <c r="B1540" t="str">
        <f>VLOOKUP(A1540,Raw_Data!A:L,6,FALSE)</f>
        <v>Oven</v>
      </c>
      <c r="C1540" t="str">
        <f>VLOOKUP(A1540,Raw_Data!A:L,3,FALSE)</f>
        <v>Malaysia</v>
      </c>
      <c r="D1540" s="3">
        <f>VLOOKUP(A1540,Raw_Data!A:L,12,FALSE)</f>
        <v>42570</v>
      </c>
      <c r="E1540" s="3">
        <f>VLOOKUP(A1540,Raw_Data!A:L,11,FALSE)</f>
        <v>86</v>
      </c>
      <c r="F1540" t="str">
        <f>TEXT(VLOOKUP(A1540,Raw_Data!A:L,5,FALSE),"mmm")</f>
        <v>Feb</v>
      </c>
    </row>
    <row r="1541" spans="1:6" x14ac:dyDescent="0.35">
      <c r="A1541" s="3" t="s">
        <v>2114</v>
      </c>
      <c r="B1541" t="str">
        <f>VLOOKUP(A1541,Raw_Data!A:L,6,FALSE)</f>
        <v>Microwave</v>
      </c>
      <c r="C1541" t="str">
        <f>VLOOKUP(A1541,Raw_Data!A:L,3,FALSE)</f>
        <v>China</v>
      </c>
      <c r="D1541" s="3">
        <f>VLOOKUP(A1541,Raw_Data!A:L,12,FALSE)</f>
        <v>576</v>
      </c>
      <c r="E1541" s="3">
        <f>VLOOKUP(A1541,Raw_Data!A:L,11,FALSE)</f>
        <v>8</v>
      </c>
      <c r="F1541" t="str">
        <f>TEXT(VLOOKUP(A1541,Raw_Data!A:L,5,FALSE),"mmm")</f>
        <v>Sep</v>
      </c>
    </row>
    <row r="1542" spans="1:6" x14ac:dyDescent="0.35">
      <c r="A1542" s="3" t="s">
        <v>2115</v>
      </c>
      <c r="B1542" t="str">
        <f>VLOOKUP(A1542,Raw_Data!A:L,6,FALSE)</f>
        <v>Coffee grinder</v>
      </c>
      <c r="C1542" t="str">
        <f>VLOOKUP(A1542,Raw_Data!A:L,3,FALSE)</f>
        <v>Japan</v>
      </c>
      <c r="D1542" s="3">
        <f>VLOOKUP(A1542,Raw_Data!A:L,12,FALSE)</f>
        <v>520</v>
      </c>
      <c r="E1542" s="3">
        <f>VLOOKUP(A1542,Raw_Data!A:L,11,FALSE)</f>
        <v>8</v>
      </c>
      <c r="F1542" t="str">
        <f>TEXT(VLOOKUP(A1542,Raw_Data!A:L,5,FALSE),"mmm")</f>
        <v>Sep</v>
      </c>
    </row>
    <row r="1543" spans="1:6" x14ac:dyDescent="0.35">
      <c r="A1543" s="3" t="s">
        <v>2116</v>
      </c>
      <c r="B1543" t="str">
        <f>VLOOKUP(A1543,Raw_Data!A:L,6,FALSE)</f>
        <v>Vacuum Cleaner</v>
      </c>
      <c r="C1543" t="str">
        <f>VLOOKUP(A1543,Raw_Data!A:L,3,FALSE)</f>
        <v>Vietnam</v>
      </c>
      <c r="D1543" s="3">
        <f>VLOOKUP(A1543,Raw_Data!A:L,12,FALSE)</f>
        <v>11899</v>
      </c>
      <c r="E1543" s="3">
        <f>VLOOKUP(A1543,Raw_Data!A:L,11,FALSE)</f>
        <v>73</v>
      </c>
      <c r="F1543" t="str">
        <f>TEXT(VLOOKUP(A1543,Raw_Data!A:L,5,FALSE),"mmm")</f>
        <v>May</v>
      </c>
    </row>
    <row r="1544" spans="1:6" x14ac:dyDescent="0.35">
      <c r="A1544" s="3" t="s">
        <v>2117</v>
      </c>
      <c r="B1544" t="str">
        <f>VLOOKUP(A1544,Raw_Data!A:L,6,FALSE)</f>
        <v>Oven</v>
      </c>
      <c r="C1544" t="str">
        <f>VLOOKUP(A1544,Raw_Data!A:L,3,FALSE)</f>
        <v>South Africa</v>
      </c>
      <c r="D1544" s="3">
        <f>VLOOKUP(A1544,Raw_Data!A:L,12,FALSE)</f>
        <v>12000</v>
      </c>
      <c r="E1544" s="3">
        <f>VLOOKUP(A1544,Raw_Data!A:L,11,FALSE)</f>
        <v>24</v>
      </c>
      <c r="F1544" t="str">
        <f>TEXT(VLOOKUP(A1544,Raw_Data!A:L,5,FALSE),"mmm")</f>
        <v>Dec</v>
      </c>
    </row>
    <row r="1545" spans="1:6" x14ac:dyDescent="0.35">
      <c r="A1545" s="3" t="s">
        <v>2118</v>
      </c>
      <c r="B1545" t="str">
        <f>VLOOKUP(A1545,Raw_Data!A:L,6,FALSE)</f>
        <v>Air conditioner</v>
      </c>
      <c r="C1545" t="str">
        <f>VLOOKUP(A1545,Raw_Data!A:L,3,FALSE)</f>
        <v>China</v>
      </c>
      <c r="D1545" s="3">
        <f>VLOOKUP(A1545,Raw_Data!A:L,12,FALSE)</f>
        <v>20608</v>
      </c>
      <c r="E1545" s="3">
        <f>VLOOKUP(A1545,Raw_Data!A:L,11,FALSE)</f>
        <v>46</v>
      </c>
      <c r="F1545" t="str">
        <f>TEXT(VLOOKUP(A1545,Raw_Data!A:L,5,FALSE),"mmm")</f>
        <v>Feb</v>
      </c>
    </row>
    <row r="1546" spans="1:6" x14ac:dyDescent="0.35">
      <c r="A1546" s="3" t="s">
        <v>2119</v>
      </c>
      <c r="B1546" t="str">
        <f>VLOOKUP(A1546,Raw_Data!A:L,6,FALSE)</f>
        <v>Washing Machine</v>
      </c>
      <c r="C1546" t="str">
        <f>VLOOKUP(A1546,Raw_Data!A:L,3,FALSE)</f>
        <v>Israel</v>
      </c>
      <c r="D1546" s="3">
        <f>VLOOKUP(A1546,Raw_Data!A:L,12,FALSE)</f>
        <v>48112</v>
      </c>
      <c r="E1546" s="3">
        <f>VLOOKUP(A1546,Raw_Data!A:L,11,FALSE)</f>
        <v>97</v>
      </c>
      <c r="F1546" t="str">
        <f>TEXT(VLOOKUP(A1546,Raw_Data!A:L,5,FALSE),"mmm")</f>
        <v>Mar</v>
      </c>
    </row>
    <row r="1547" spans="1:6" x14ac:dyDescent="0.35">
      <c r="A1547" s="3" t="s">
        <v>2120</v>
      </c>
      <c r="B1547" t="str">
        <f>VLOOKUP(A1547,Raw_Data!A:L,6,FALSE)</f>
        <v>Iron</v>
      </c>
      <c r="C1547" t="str">
        <f>VLOOKUP(A1547,Raw_Data!A:L,3,FALSE)</f>
        <v>Israel</v>
      </c>
      <c r="D1547" s="3">
        <f>VLOOKUP(A1547,Raw_Data!A:L,12,FALSE)</f>
        <v>2640</v>
      </c>
      <c r="E1547" s="3">
        <f>VLOOKUP(A1547,Raw_Data!A:L,11,FALSE)</f>
        <v>88</v>
      </c>
      <c r="F1547" t="str">
        <f>TEXT(VLOOKUP(A1547,Raw_Data!A:L,5,FALSE),"mmm")</f>
        <v>Dec</v>
      </c>
    </row>
    <row r="1548" spans="1:6" x14ac:dyDescent="0.35">
      <c r="A1548" s="3" t="s">
        <v>2121</v>
      </c>
      <c r="B1548" t="str">
        <f>VLOOKUP(A1548,Raw_Data!A:L,6,FALSE)</f>
        <v>Vacuum Cleaner</v>
      </c>
      <c r="C1548" t="str">
        <f>VLOOKUP(A1548,Raw_Data!A:L,3,FALSE)</f>
        <v>USA</v>
      </c>
      <c r="D1548" s="3">
        <f>VLOOKUP(A1548,Raw_Data!A:L,12,FALSE)</f>
        <v>3430</v>
      </c>
      <c r="E1548" s="3">
        <f>VLOOKUP(A1548,Raw_Data!A:L,11,FALSE)</f>
        <v>14</v>
      </c>
      <c r="F1548" t="str">
        <f>TEXT(VLOOKUP(A1548,Raw_Data!A:L,5,FALSE),"mmm")</f>
        <v>May</v>
      </c>
    </row>
    <row r="1549" spans="1:6" x14ac:dyDescent="0.35">
      <c r="A1549" s="3" t="s">
        <v>2122</v>
      </c>
      <c r="B1549" t="str">
        <f>VLOOKUP(A1549,Raw_Data!A:L,6,FALSE)</f>
        <v>Washing Machine</v>
      </c>
      <c r="C1549" t="str">
        <f>VLOOKUP(A1549,Raw_Data!A:L,3,FALSE)</f>
        <v>Canada</v>
      </c>
      <c r="D1549" s="3">
        <f>VLOOKUP(A1549,Raw_Data!A:L,12,FALSE)</f>
        <v>36864</v>
      </c>
      <c r="E1549" s="3">
        <f>VLOOKUP(A1549,Raw_Data!A:L,11,FALSE)</f>
        <v>64</v>
      </c>
      <c r="F1549" t="str">
        <f>TEXT(VLOOKUP(A1549,Raw_Data!A:L,5,FALSE),"mmm")</f>
        <v>Jun</v>
      </c>
    </row>
    <row r="1550" spans="1:6" x14ac:dyDescent="0.35">
      <c r="A1550" s="3" t="s">
        <v>2123</v>
      </c>
      <c r="B1550" t="str">
        <f>VLOOKUP(A1550,Raw_Data!A:L,6,FALSE)</f>
        <v>Blender</v>
      </c>
      <c r="C1550" t="str">
        <f>VLOOKUP(A1550,Raw_Data!A:L,3,FALSE)</f>
        <v>Chile</v>
      </c>
      <c r="D1550" s="3">
        <f>VLOOKUP(A1550,Raw_Data!A:L,12,FALSE)</f>
        <v>611</v>
      </c>
      <c r="E1550" s="3">
        <f>VLOOKUP(A1550,Raw_Data!A:L,11,FALSE)</f>
        <v>13</v>
      </c>
      <c r="F1550" t="str">
        <f>TEXT(VLOOKUP(A1550,Raw_Data!A:L,5,FALSE),"mmm")</f>
        <v>Jun</v>
      </c>
    </row>
    <row r="1551" spans="1:6" x14ac:dyDescent="0.35">
      <c r="A1551" s="3" t="s">
        <v>2124</v>
      </c>
      <c r="B1551" t="str">
        <f>VLOOKUP(A1551,Raw_Data!A:L,6,FALSE)</f>
        <v>Coffee grinder</v>
      </c>
      <c r="C1551" t="str">
        <f>VLOOKUP(A1551,Raw_Data!A:L,3,FALSE)</f>
        <v>Chile</v>
      </c>
      <c r="D1551" s="3">
        <f>VLOOKUP(A1551,Raw_Data!A:L,12,FALSE)</f>
        <v>1320</v>
      </c>
      <c r="E1551" s="3">
        <f>VLOOKUP(A1551,Raw_Data!A:L,11,FALSE)</f>
        <v>20</v>
      </c>
      <c r="F1551" t="str">
        <f>TEXT(VLOOKUP(A1551,Raw_Data!A:L,5,FALSE),"mmm")</f>
        <v>Sep</v>
      </c>
    </row>
    <row r="1552" spans="1:6" x14ac:dyDescent="0.35">
      <c r="A1552" s="3" t="s">
        <v>2125</v>
      </c>
      <c r="B1552" t="str">
        <f>VLOOKUP(A1552,Raw_Data!A:L,6,FALSE)</f>
        <v>Dishwasher</v>
      </c>
      <c r="C1552" t="str">
        <f>VLOOKUP(A1552,Raw_Data!A:L,3,FALSE)</f>
        <v>UK</v>
      </c>
      <c r="D1552" s="3">
        <f>VLOOKUP(A1552,Raw_Data!A:L,12,FALSE)</f>
        <v>45590</v>
      </c>
      <c r="E1552" s="3">
        <f>VLOOKUP(A1552,Raw_Data!A:L,11,FALSE)</f>
        <v>94</v>
      </c>
      <c r="F1552" t="str">
        <f>TEXT(VLOOKUP(A1552,Raw_Data!A:L,5,FALSE),"mmm")</f>
        <v>Jun</v>
      </c>
    </row>
    <row r="1553" spans="1:6" x14ac:dyDescent="0.35">
      <c r="A1553" s="3" t="s">
        <v>2126</v>
      </c>
      <c r="B1553" t="str">
        <f>VLOOKUP(A1553,Raw_Data!A:L,6,FALSE)</f>
        <v>Dishwasher</v>
      </c>
      <c r="C1553" t="str">
        <f>VLOOKUP(A1553,Raw_Data!A:L,3,FALSE)</f>
        <v>South Korea</v>
      </c>
      <c r="D1553" s="3">
        <f>VLOOKUP(A1553,Raw_Data!A:L,12,FALSE)</f>
        <v>27720</v>
      </c>
      <c r="E1553" s="3">
        <f>VLOOKUP(A1553,Raw_Data!A:L,11,FALSE)</f>
        <v>56</v>
      </c>
      <c r="F1553" t="str">
        <f>TEXT(VLOOKUP(A1553,Raw_Data!A:L,5,FALSE),"mmm")</f>
        <v>Jun</v>
      </c>
    </row>
    <row r="1554" spans="1:6" x14ac:dyDescent="0.35">
      <c r="A1554" s="3" t="s">
        <v>2127</v>
      </c>
      <c r="B1554" t="str">
        <f>VLOOKUP(A1554,Raw_Data!A:L,6,FALSE)</f>
        <v>Blender</v>
      </c>
      <c r="C1554" t="str">
        <f>VLOOKUP(A1554,Raw_Data!A:L,3,FALSE)</f>
        <v>UAE</v>
      </c>
      <c r="D1554" s="3">
        <f>VLOOKUP(A1554,Raw_Data!A:L,12,FALSE)</f>
        <v>3626</v>
      </c>
      <c r="E1554" s="3">
        <f>VLOOKUP(A1554,Raw_Data!A:L,11,FALSE)</f>
        <v>74</v>
      </c>
      <c r="F1554" t="str">
        <f>TEXT(VLOOKUP(A1554,Raw_Data!A:L,5,FALSE),"mmm")</f>
        <v>Sep</v>
      </c>
    </row>
    <row r="1555" spans="1:6" x14ac:dyDescent="0.35">
      <c r="A1555" s="3" t="s">
        <v>2128</v>
      </c>
      <c r="B1555" t="str">
        <f>VLOOKUP(A1555,Raw_Data!A:L,6,FALSE)</f>
        <v>Vacuum Cleaner</v>
      </c>
      <c r="C1555" t="str">
        <f>VLOOKUP(A1555,Raw_Data!A:L,3,FALSE)</f>
        <v>Israel</v>
      </c>
      <c r="D1555" s="3">
        <f>VLOOKUP(A1555,Raw_Data!A:L,12,FALSE)</f>
        <v>22077</v>
      </c>
      <c r="E1555" s="3">
        <f>VLOOKUP(A1555,Raw_Data!A:L,11,FALSE)</f>
        <v>99</v>
      </c>
      <c r="F1555" t="str">
        <f>TEXT(VLOOKUP(A1555,Raw_Data!A:L,5,FALSE),"mmm")</f>
        <v>Apr</v>
      </c>
    </row>
    <row r="1556" spans="1:6" x14ac:dyDescent="0.35">
      <c r="A1556" s="3" t="s">
        <v>2129</v>
      </c>
      <c r="B1556" t="str">
        <f>VLOOKUP(A1556,Raw_Data!A:L,6,FALSE)</f>
        <v>Toaster</v>
      </c>
      <c r="C1556" t="str">
        <f>VLOOKUP(A1556,Raw_Data!A:L,3,FALSE)</f>
        <v>Mexico</v>
      </c>
      <c r="D1556" s="3">
        <f>VLOOKUP(A1556,Raw_Data!A:L,12,FALSE)</f>
        <v>4085</v>
      </c>
      <c r="E1556" s="3">
        <f>VLOOKUP(A1556,Raw_Data!A:L,11,FALSE)</f>
        <v>95</v>
      </c>
      <c r="F1556" t="str">
        <f>TEXT(VLOOKUP(A1556,Raw_Data!A:L,5,FALSE),"mmm")</f>
        <v>Nov</v>
      </c>
    </row>
    <row r="1557" spans="1:6" x14ac:dyDescent="0.35">
      <c r="A1557" s="3" t="s">
        <v>2130</v>
      </c>
      <c r="B1557" t="str">
        <f>VLOOKUP(A1557,Raw_Data!A:L,6,FALSE)</f>
        <v>Iron</v>
      </c>
      <c r="C1557" t="str">
        <f>VLOOKUP(A1557,Raw_Data!A:L,3,FALSE)</f>
        <v>Colombia</v>
      </c>
      <c r="D1557" s="3">
        <f>VLOOKUP(A1557,Raw_Data!A:L,12,FALSE)</f>
        <v>2040</v>
      </c>
      <c r="E1557" s="3">
        <f>VLOOKUP(A1557,Raw_Data!A:L,11,FALSE)</f>
        <v>68</v>
      </c>
      <c r="F1557" t="str">
        <f>TEXT(VLOOKUP(A1557,Raw_Data!A:L,5,FALSE),"mmm")</f>
        <v>Nov</v>
      </c>
    </row>
    <row r="1558" spans="1:6" x14ac:dyDescent="0.35">
      <c r="A1558" s="3" t="s">
        <v>2131</v>
      </c>
      <c r="B1558" t="str">
        <f>VLOOKUP(A1558,Raw_Data!A:L,6,FALSE)</f>
        <v>Air conditioner</v>
      </c>
      <c r="C1558" t="str">
        <f>VLOOKUP(A1558,Raw_Data!A:L,3,FALSE)</f>
        <v>Peru</v>
      </c>
      <c r="D1558" s="3">
        <f>VLOOKUP(A1558,Raw_Data!A:L,12,FALSE)</f>
        <v>20580</v>
      </c>
      <c r="E1558" s="3">
        <f>VLOOKUP(A1558,Raw_Data!A:L,11,FALSE)</f>
        <v>30</v>
      </c>
      <c r="F1558" t="str">
        <f>TEXT(VLOOKUP(A1558,Raw_Data!A:L,5,FALSE),"mmm")</f>
        <v>Jan</v>
      </c>
    </row>
    <row r="1559" spans="1:6" x14ac:dyDescent="0.35">
      <c r="A1559" s="3" t="s">
        <v>2132</v>
      </c>
      <c r="B1559" t="str">
        <f>VLOOKUP(A1559,Raw_Data!A:L,6,FALSE)</f>
        <v>Iron</v>
      </c>
      <c r="C1559" t="str">
        <f>VLOOKUP(A1559,Raw_Data!A:L,3,FALSE)</f>
        <v>Austria</v>
      </c>
      <c r="D1559" s="3">
        <f>VLOOKUP(A1559,Raw_Data!A:L,12,FALSE)</f>
        <v>264</v>
      </c>
      <c r="E1559" s="3">
        <f>VLOOKUP(A1559,Raw_Data!A:L,11,FALSE)</f>
        <v>11</v>
      </c>
      <c r="F1559" t="str">
        <f>TEXT(VLOOKUP(A1559,Raw_Data!A:L,5,FALSE),"mmm")</f>
        <v>Mar</v>
      </c>
    </row>
    <row r="1560" spans="1:6" x14ac:dyDescent="0.35">
      <c r="A1560" s="3" t="s">
        <v>2133</v>
      </c>
      <c r="B1560" t="str">
        <f>VLOOKUP(A1560,Raw_Data!A:L,6,FALSE)</f>
        <v>Vacuum Cleaner</v>
      </c>
      <c r="C1560" t="str">
        <f>VLOOKUP(A1560,Raw_Data!A:L,3,FALSE)</f>
        <v>Canada</v>
      </c>
      <c r="D1560" s="3">
        <f>VLOOKUP(A1560,Raw_Data!A:L,12,FALSE)</f>
        <v>24300</v>
      </c>
      <c r="E1560" s="3">
        <f>VLOOKUP(A1560,Raw_Data!A:L,11,FALSE)</f>
        <v>100</v>
      </c>
      <c r="F1560" t="str">
        <f>TEXT(VLOOKUP(A1560,Raw_Data!A:L,5,FALSE),"mmm")</f>
        <v>Jun</v>
      </c>
    </row>
    <row r="1561" spans="1:6" x14ac:dyDescent="0.35">
      <c r="A1561" s="3" t="s">
        <v>2134</v>
      </c>
      <c r="B1561" t="str">
        <f>VLOOKUP(A1561,Raw_Data!A:L,6,FALSE)</f>
        <v>Ceiling fan</v>
      </c>
      <c r="C1561" t="str">
        <f>VLOOKUP(A1561,Raw_Data!A:L,3,FALSE)</f>
        <v>Austria</v>
      </c>
      <c r="D1561" s="3">
        <f>VLOOKUP(A1561,Raw_Data!A:L,12,FALSE)</f>
        <v>3920</v>
      </c>
      <c r="E1561" s="3">
        <f>VLOOKUP(A1561,Raw_Data!A:L,11,FALSE)</f>
        <v>28</v>
      </c>
      <c r="F1561" t="str">
        <f>TEXT(VLOOKUP(A1561,Raw_Data!A:L,5,FALSE),"mmm")</f>
        <v>May</v>
      </c>
    </row>
    <row r="1562" spans="1:6" x14ac:dyDescent="0.35">
      <c r="A1562" s="3" t="s">
        <v>2135</v>
      </c>
      <c r="B1562" t="str">
        <f>VLOOKUP(A1562,Raw_Data!A:L,6,FALSE)</f>
        <v>Ceiling fan</v>
      </c>
      <c r="C1562" t="str">
        <f>VLOOKUP(A1562,Raw_Data!A:L,3,FALSE)</f>
        <v>Argentina</v>
      </c>
      <c r="D1562" s="3">
        <f>VLOOKUP(A1562,Raw_Data!A:L,12,FALSE)</f>
        <v>4125</v>
      </c>
      <c r="E1562" s="3">
        <f>VLOOKUP(A1562,Raw_Data!A:L,11,FALSE)</f>
        <v>33</v>
      </c>
      <c r="F1562" t="str">
        <f>TEXT(VLOOKUP(A1562,Raw_Data!A:L,5,FALSE),"mmm")</f>
        <v>Aug</v>
      </c>
    </row>
    <row r="1563" spans="1:6" x14ac:dyDescent="0.35">
      <c r="A1563" s="3" t="s">
        <v>2136</v>
      </c>
      <c r="B1563" t="str">
        <f>VLOOKUP(A1563,Raw_Data!A:L,6,FALSE)</f>
        <v>Refrigerator</v>
      </c>
      <c r="C1563" t="str">
        <f>VLOOKUP(A1563,Raw_Data!A:L,3,FALSE)</f>
        <v>Egypt</v>
      </c>
      <c r="D1563" s="3">
        <f>VLOOKUP(A1563,Raw_Data!A:L,12,FALSE)</f>
        <v>94050</v>
      </c>
      <c r="E1563" s="3">
        <f>VLOOKUP(A1563,Raw_Data!A:L,11,FALSE)</f>
        <v>99</v>
      </c>
      <c r="F1563" t="str">
        <f>TEXT(VLOOKUP(A1563,Raw_Data!A:L,5,FALSE),"mmm")</f>
        <v>Dec</v>
      </c>
    </row>
    <row r="1564" spans="1:6" x14ac:dyDescent="0.35">
      <c r="A1564" s="3" t="s">
        <v>2137</v>
      </c>
      <c r="B1564" t="str">
        <f>VLOOKUP(A1564,Raw_Data!A:L,6,FALSE)</f>
        <v>Ceiling fan</v>
      </c>
      <c r="C1564" t="str">
        <f>VLOOKUP(A1564,Raw_Data!A:L,3,FALSE)</f>
        <v>USA</v>
      </c>
      <c r="D1564" s="3">
        <f>VLOOKUP(A1564,Raw_Data!A:L,12,FALSE)</f>
        <v>705</v>
      </c>
      <c r="E1564" s="3">
        <f>VLOOKUP(A1564,Raw_Data!A:L,11,FALSE)</f>
        <v>5</v>
      </c>
      <c r="F1564" t="str">
        <f>TEXT(VLOOKUP(A1564,Raw_Data!A:L,5,FALSE),"mmm")</f>
        <v>Aug</v>
      </c>
    </row>
    <row r="1565" spans="1:6" x14ac:dyDescent="0.35">
      <c r="A1565" s="3" t="s">
        <v>2138</v>
      </c>
      <c r="B1565" t="str">
        <f>VLOOKUP(A1565,Raw_Data!A:L,6,FALSE)</f>
        <v>Ceiling fan</v>
      </c>
      <c r="C1565" t="str">
        <f>VLOOKUP(A1565,Raw_Data!A:L,3,FALSE)</f>
        <v>Czech Republic</v>
      </c>
      <c r="D1565" s="3">
        <f>VLOOKUP(A1565,Raw_Data!A:L,12,FALSE)</f>
        <v>6384</v>
      </c>
      <c r="E1565" s="3">
        <f>VLOOKUP(A1565,Raw_Data!A:L,11,FALSE)</f>
        <v>56</v>
      </c>
      <c r="F1565" t="str">
        <f>TEXT(VLOOKUP(A1565,Raw_Data!A:L,5,FALSE),"mmm")</f>
        <v>Jun</v>
      </c>
    </row>
    <row r="1566" spans="1:6" x14ac:dyDescent="0.35">
      <c r="A1566" s="3" t="s">
        <v>2140</v>
      </c>
      <c r="B1566" t="str">
        <f>VLOOKUP(A1566,Raw_Data!A:L,6,FALSE)</f>
        <v>Vacuum Cleaner</v>
      </c>
      <c r="C1566" t="str">
        <f>VLOOKUP(A1566,Raw_Data!A:L,3,FALSE)</f>
        <v>Japan</v>
      </c>
      <c r="D1566" s="3">
        <f>VLOOKUP(A1566,Raw_Data!A:L,12,FALSE)</f>
        <v>13340</v>
      </c>
      <c r="E1566" s="3">
        <f>VLOOKUP(A1566,Raw_Data!A:L,11,FALSE)</f>
        <v>58</v>
      </c>
      <c r="F1566" t="str">
        <f>TEXT(VLOOKUP(A1566,Raw_Data!A:L,5,FALSE),"mmm")</f>
        <v>Aug</v>
      </c>
    </row>
    <row r="1567" spans="1:6" x14ac:dyDescent="0.35">
      <c r="A1567" s="3" t="s">
        <v>2141</v>
      </c>
      <c r="B1567" t="str">
        <f>VLOOKUP(A1567,Raw_Data!A:L,6,FALSE)</f>
        <v>Blender</v>
      </c>
      <c r="C1567" t="str">
        <f>VLOOKUP(A1567,Raw_Data!A:L,3,FALSE)</f>
        <v>USA</v>
      </c>
      <c r="D1567" s="3">
        <f>VLOOKUP(A1567,Raw_Data!A:L,12,FALSE)</f>
        <v>2501</v>
      </c>
      <c r="E1567" s="3">
        <f>VLOOKUP(A1567,Raw_Data!A:L,11,FALSE)</f>
        <v>61</v>
      </c>
      <c r="F1567" t="str">
        <f>TEXT(VLOOKUP(A1567,Raw_Data!A:L,5,FALSE),"mmm")</f>
        <v>Jul</v>
      </c>
    </row>
    <row r="1568" spans="1:6" x14ac:dyDescent="0.35">
      <c r="A1568" s="3" t="s">
        <v>2142</v>
      </c>
      <c r="B1568" t="str">
        <f>VLOOKUP(A1568,Raw_Data!A:L,6,FALSE)</f>
        <v>Washing Machine</v>
      </c>
      <c r="C1568" t="str">
        <f>VLOOKUP(A1568,Raw_Data!A:L,3,FALSE)</f>
        <v>USA</v>
      </c>
      <c r="D1568" s="3">
        <f>VLOOKUP(A1568,Raw_Data!A:L,12,FALSE)</f>
        <v>2376</v>
      </c>
      <c r="E1568" s="3">
        <f>VLOOKUP(A1568,Raw_Data!A:L,11,FALSE)</f>
        <v>3</v>
      </c>
      <c r="F1568" t="str">
        <f>TEXT(VLOOKUP(A1568,Raw_Data!A:L,5,FALSE),"mmm")</f>
        <v>Mar</v>
      </c>
    </row>
    <row r="1569" spans="1:6" x14ac:dyDescent="0.35">
      <c r="A1569" s="3" t="s">
        <v>2143</v>
      </c>
      <c r="B1569" t="str">
        <f>VLOOKUP(A1569,Raw_Data!A:L,6,FALSE)</f>
        <v>Microwave</v>
      </c>
      <c r="C1569" t="str">
        <f>VLOOKUP(A1569,Raw_Data!A:L,3,FALSE)</f>
        <v>Argentina</v>
      </c>
      <c r="D1569" s="3">
        <f>VLOOKUP(A1569,Raw_Data!A:L,12,FALSE)</f>
        <v>576</v>
      </c>
      <c r="E1569" s="3">
        <f>VLOOKUP(A1569,Raw_Data!A:L,11,FALSE)</f>
        <v>9</v>
      </c>
      <c r="F1569" t="str">
        <f>TEXT(VLOOKUP(A1569,Raw_Data!A:L,5,FALSE),"mmm")</f>
        <v>Dec</v>
      </c>
    </row>
    <row r="1570" spans="1:6" x14ac:dyDescent="0.35">
      <c r="A1570" s="3" t="s">
        <v>2144</v>
      </c>
      <c r="B1570" t="str">
        <f>VLOOKUP(A1570,Raw_Data!A:L,6,FALSE)</f>
        <v>Microwave</v>
      </c>
      <c r="C1570" t="str">
        <f>VLOOKUP(A1570,Raw_Data!A:L,3,FALSE)</f>
        <v>USA</v>
      </c>
      <c r="D1570" s="3">
        <f>VLOOKUP(A1570,Raw_Data!A:L,12,FALSE)</f>
        <v>2604</v>
      </c>
      <c r="E1570" s="3">
        <f>VLOOKUP(A1570,Raw_Data!A:L,11,FALSE)</f>
        <v>42</v>
      </c>
      <c r="F1570" t="str">
        <f>TEXT(VLOOKUP(A1570,Raw_Data!A:L,5,FALSE),"mmm")</f>
        <v>Oct</v>
      </c>
    </row>
    <row r="1571" spans="1:6" x14ac:dyDescent="0.35">
      <c r="A1571" s="3" t="s">
        <v>2145</v>
      </c>
      <c r="B1571" t="str">
        <f>VLOOKUP(A1571,Raw_Data!A:L,6,FALSE)</f>
        <v>Oven</v>
      </c>
      <c r="C1571" t="str">
        <f>VLOOKUP(A1571,Raw_Data!A:L,3,FALSE)</f>
        <v>Brazil</v>
      </c>
      <c r="D1571" s="3">
        <f>VLOOKUP(A1571,Raw_Data!A:L,12,FALSE)</f>
        <v>23265</v>
      </c>
      <c r="E1571" s="3">
        <f>VLOOKUP(A1571,Raw_Data!A:L,11,FALSE)</f>
        <v>47</v>
      </c>
      <c r="F1571" t="str">
        <f>TEXT(VLOOKUP(A1571,Raw_Data!A:L,5,FALSE),"mmm")</f>
        <v>Feb</v>
      </c>
    </row>
    <row r="1572" spans="1:6" x14ac:dyDescent="0.35">
      <c r="A1572" s="3" t="s">
        <v>2146</v>
      </c>
      <c r="B1572" t="str">
        <f>VLOOKUP(A1572,Raw_Data!A:L,6,FALSE)</f>
        <v>Oven</v>
      </c>
      <c r="C1572" t="str">
        <f>VLOOKUP(A1572,Raw_Data!A:L,3,FALSE)</f>
        <v>Turkey</v>
      </c>
      <c r="D1572" s="3">
        <f>VLOOKUP(A1572,Raw_Data!A:L,12,FALSE)</f>
        <v>25000</v>
      </c>
      <c r="E1572" s="3">
        <f>VLOOKUP(A1572,Raw_Data!A:L,11,FALSE)</f>
        <v>50</v>
      </c>
      <c r="F1572" t="str">
        <f>TEXT(VLOOKUP(A1572,Raw_Data!A:L,5,FALSE),"mmm")</f>
        <v>Feb</v>
      </c>
    </row>
    <row r="1573" spans="1:6" x14ac:dyDescent="0.35">
      <c r="A1573" s="3" t="s">
        <v>2147</v>
      </c>
      <c r="B1573" t="str">
        <f>VLOOKUP(A1573,Raw_Data!A:L,6,FALSE)</f>
        <v>Dishwasher</v>
      </c>
      <c r="C1573" t="str">
        <f>VLOOKUP(A1573,Raw_Data!A:L,3,FALSE)</f>
        <v>South Korea</v>
      </c>
      <c r="D1573" s="3">
        <f>VLOOKUP(A1573,Raw_Data!A:L,12,FALSE)</f>
        <v>32175</v>
      </c>
      <c r="E1573" s="3">
        <f>VLOOKUP(A1573,Raw_Data!A:L,11,FALSE)</f>
        <v>65</v>
      </c>
      <c r="F1573" t="str">
        <f>TEXT(VLOOKUP(A1573,Raw_Data!A:L,5,FALSE),"mmm")</f>
        <v>Aug</v>
      </c>
    </row>
    <row r="1574" spans="1:6" x14ac:dyDescent="0.35">
      <c r="A1574" s="3" t="s">
        <v>2148</v>
      </c>
      <c r="B1574" t="str">
        <f>VLOOKUP(A1574,Raw_Data!A:L,6,FALSE)</f>
        <v>Vacuum Cleaner</v>
      </c>
      <c r="C1574" t="str">
        <f>VLOOKUP(A1574,Raw_Data!A:L,3,FALSE)</f>
        <v>Poland</v>
      </c>
      <c r="D1574" s="3">
        <f>VLOOKUP(A1574,Raw_Data!A:L,12,FALSE)</f>
        <v>4712</v>
      </c>
      <c r="E1574" s="3">
        <f>VLOOKUP(A1574,Raw_Data!A:L,11,FALSE)</f>
        <v>19</v>
      </c>
      <c r="F1574" t="str">
        <f>TEXT(VLOOKUP(A1574,Raw_Data!A:L,5,FALSE),"mmm")</f>
        <v>Dec</v>
      </c>
    </row>
    <row r="1575" spans="1:6" x14ac:dyDescent="0.35">
      <c r="A1575" s="3" t="s">
        <v>2149</v>
      </c>
      <c r="B1575" t="str">
        <f>VLOOKUP(A1575,Raw_Data!A:L,6,FALSE)</f>
        <v>Washing Machine</v>
      </c>
      <c r="C1575" t="str">
        <f>VLOOKUP(A1575,Raw_Data!A:L,3,FALSE)</f>
        <v>India</v>
      </c>
      <c r="D1575" s="3">
        <f>VLOOKUP(A1575,Raw_Data!A:L,12,FALSE)</f>
        <v>26344</v>
      </c>
      <c r="E1575" s="3">
        <f>VLOOKUP(A1575,Raw_Data!A:L,11,FALSE)</f>
        <v>37</v>
      </c>
      <c r="F1575" t="str">
        <f>TEXT(VLOOKUP(A1575,Raw_Data!A:L,5,FALSE),"mmm")</f>
        <v>Oct</v>
      </c>
    </row>
    <row r="1576" spans="1:6" x14ac:dyDescent="0.35">
      <c r="A1576" s="3" t="s">
        <v>2150</v>
      </c>
      <c r="B1576" t="str">
        <f>VLOOKUP(A1576,Raw_Data!A:L,6,FALSE)</f>
        <v>Toaster</v>
      </c>
      <c r="C1576" t="str">
        <f>VLOOKUP(A1576,Raw_Data!A:L,3,FALSE)</f>
        <v>Thailand</v>
      </c>
      <c r="D1576" s="3">
        <f>VLOOKUP(A1576,Raw_Data!A:L,12,FALSE)</f>
        <v>1300</v>
      </c>
      <c r="E1576" s="3">
        <f>VLOOKUP(A1576,Raw_Data!A:L,11,FALSE)</f>
        <v>26</v>
      </c>
      <c r="F1576" t="str">
        <f>TEXT(VLOOKUP(A1576,Raw_Data!A:L,5,FALSE),"mmm")</f>
        <v>Sep</v>
      </c>
    </row>
    <row r="1577" spans="1:6" x14ac:dyDescent="0.35">
      <c r="A1577" s="3" t="s">
        <v>2151</v>
      </c>
      <c r="B1577" t="str">
        <f>VLOOKUP(A1577,Raw_Data!A:L,6,FALSE)</f>
        <v>Dishwasher</v>
      </c>
      <c r="C1577" t="str">
        <f>VLOOKUP(A1577,Raw_Data!A:L,3,FALSE)</f>
        <v>Germany</v>
      </c>
      <c r="D1577" s="3">
        <f>VLOOKUP(A1577,Raw_Data!A:L,12,FALSE)</f>
        <v>11640</v>
      </c>
      <c r="E1577" s="3">
        <f>VLOOKUP(A1577,Raw_Data!A:L,11,FALSE)</f>
        <v>24</v>
      </c>
      <c r="F1577" t="str">
        <f>TEXT(VLOOKUP(A1577,Raw_Data!A:L,5,FALSE),"mmm")</f>
        <v>Feb</v>
      </c>
    </row>
    <row r="1578" spans="1:6" x14ac:dyDescent="0.35">
      <c r="A1578" s="3" t="s">
        <v>2152</v>
      </c>
      <c r="B1578" t="str">
        <f>VLOOKUP(A1578,Raw_Data!A:L,6,FALSE)</f>
        <v>Oven</v>
      </c>
      <c r="C1578" t="str">
        <f>VLOOKUP(A1578,Raw_Data!A:L,3,FALSE)</f>
        <v>Italy</v>
      </c>
      <c r="D1578" s="3">
        <f>VLOOKUP(A1578,Raw_Data!A:L,12,FALSE)</f>
        <v>2500</v>
      </c>
      <c r="E1578" s="3">
        <f>VLOOKUP(A1578,Raw_Data!A:L,11,FALSE)</f>
        <v>5</v>
      </c>
      <c r="F1578" t="str">
        <f>TEXT(VLOOKUP(A1578,Raw_Data!A:L,5,FALSE),"mmm")</f>
        <v>Oct</v>
      </c>
    </row>
    <row r="1579" spans="1:6" x14ac:dyDescent="0.35">
      <c r="A1579" s="3" t="s">
        <v>2153</v>
      </c>
      <c r="B1579" t="str">
        <f>VLOOKUP(A1579,Raw_Data!A:L,6,FALSE)</f>
        <v>Coffee grinder</v>
      </c>
      <c r="C1579" t="str">
        <f>VLOOKUP(A1579,Raw_Data!A:L,3,FALSE)</f>
        <v>Malaysia</v>
      </c>
      <c r="D1579" s="3">
        <f>VLOOKUP(A1579,Raw_Data!A:L,12,FALSE)</f>
        <v>3795</v>
      </c>
      <c r="E1579" s="3">
        <f>VLOOKUP(A1579,Raw_Data!A:L,11,FALSE)</f>
        <v>55</v>
      </c>
      <c r="F1579" t="str">
        <f>TEXT(VLOOKUP(A1579,Raw_Data!A:L,5,FALSE),"mmm")</f>
        <v>Mar</v>
      </c>
    </row>
    <row r="1580" spans="1:6" x14ac:dyDescent="0.35">
      <c r="A1580" s="3" t="s">
        <v>2154</v>
      </c>
      <c r="B1580" t="str">
        <f>VLOOKUP(A1580,Raw_Data!A:L,6,FALSE)</f>
        <v>Microwave</v>
      </c>
      <c r="C1580" t="str">
        <f>VLOOKUP(A1580,Raw_Data!A:L,3,FALSE)</f>
        <v>Russia</v>
      </c>
      <c r="D1580" s="3">
        <f>VLOOKUP(A1580,Raw_Data!A:L,12,FALSE)</f>
        <v>770</v>
      </c>
      <c r="E1580" s="3">
        <f>VLOOKUP(A1580,Raw_Data!A:L,11,FALSE)</f>
        <v>10</v>
      </c>
      <c r="F1580" t="str">
        <f>TEXT(VLOOKUP(A1580,Raw_Data!A:L,5,FALSE),"mmm")</f>
        <v>Mar</v>
      </c>
    </row>
    <row r="1581" spans="1:6" x14ac:dyDescent="0.35">
      <c r="A1581" s="3" t="s">
        <v>2155</v>
      </c>
      <c r="B1581" t="str">
        <f>VLOOKUP(A1581,Raw_Data!A:L,6,FALSE)</f>
        <v>Microwave</v>
      </c>
      <c r="C1581" t="str">
        <f>VLOOKUP(A1581,Raw_Data!A:L,3,FALSE)</f>
        <v>Chile</v>
      </c>
      <c r="D1581" s="3">
        <f>VLOOKUP(A1581,Raw_Data!A:L,12,FALSE)</f>
        <v>3192</v>
      </c>
      <c r="E1581" s="3">
        <f>VLOOKUP(A1581,Raw_Data!A:L,11,FALSE)</f>
        <v>42</v>
      </c>
      <c r="F1581" t="str">
        <f>TEXT(VLOOKUP(A1581,Raw_Data!A:L,5,FALSE),"mmm")</f>
        <v>May</v>
      </c>
    </row>
    <row r="1582" spans="1:6" x14ac:dyDescent="0.35">
      <c r="A1582" s="3" t="s">
        <v>2156</v>
      </c>
      <c r="B1582" t="str">
        <f>VLOOKUP(A1582,Raw_Data!A:L,6,FALSE)</f>
        <v>Coffee grinder</v>
      </c>
      <c r="C1582" t="str">
        <f>VLOOKUP(A1582,Raw_Data!A:L,3,FALSE)</f>
        <v>Ireland</v>
      </c>
      <c r="D1582" s="3">
        <f>VLOOKUP(A1582,Raw_Data!A:L,12,FALSE)</f>
        <v>2015</v>
      </c>
      <c r="E1582" s="3">
        <f>VLOOKUP(A1582,Raw_Data!A:L,11,FALSE)</f>
        <v>31</v>
      </c>
      <c r="F1582" t="str">
        <f>TEXT(VLOOKUP(A1582,Raw_Data!A:L,5,FALSE),"mmm")</f>
        <v>Jun</v>
      </c>
    </row>
    <row r="1583" spans="1:6" x14ac:dyDescent="0.35">
      <c r="A1583" s="3" t="s">
        <v>2157</v>
      </c>
      <c r="B1583" t="str">
        <f>VLOOKUP(A1583,Raw_Data!A:L,6,FALSE)</f>
        <v>Toaster</v>
      </c>
      <c r="C1583" t="str">
        <f>VLOOKUP(A1583,Raw_Data!A:L,3,FALSE)</f>
        <v>Peru</v>
      </c>
      <c r="D1583" s="3">
        <f>VLOOKUP(A1583,Raw_Data!A:L,12,FALSE)</f>
        <v>1924</v>
      </c>
      <c r="E1583" s="3">
        <f>VLOOKUP(A1583,Raw_Data!A:L,11,FALSE)</f>
        <v>52</v>
      </c>
      <c r="F1583" t="str">
        <f>TEXT(VLOOKUP(A1583,Raw_Data!A:L,5,FALSE),"mmm")</f>
        <v>Mar</v>
      </c>
    </row>
    <row r="1584" spans="1:6" x14ac:dyDescent="0.35">
      <c r="A1584" s="3" t="s">
        <v>2158</v>
      </c>
      <c r="B1584" t="str">
        <f>VLOOKUP(A1584,Raw_Data!A:L,6,FALSE)</f>
        <v>Oven</v>
      </c>
      <c r="C1584" t="str">
        <f>VLOOKUP(A1584,Raw_Data!A:L,3,FALSE)</f>
        <v>Mexico</v>
      </c>
      <c r="D1584" s="3">
        <f>VLOOKUP(A1584,Raw_Data!A:L,12,FALSE)</f>
        <v>17500</v>
      </c>
      <c r="E1584" s="3">
        <f>VLOOKUP(A1584,Raw_Data!A:L,11,FALSE)</f>
        <v>35</v>
      </c>
      <c r="F1584" t="str">
        <f>TEXT(VLOOKUP(A1584,Raw_Data!A:L,5,FALSE),"mmm")</f>
        <v>Jun</v>
      </c>
    </row>
    <row r="1585" spans="1:6" x14ac:dyDescent="0.35">
      <c r="A1585" s="3" t="s">
        <v>2159</v>
      </c>
      <c r="B1585" t="str">
        <f>VLOOKUP(A1585,Raw_Data!A:L,6,FALSE)</f>
        <v>Toaster</v>
      </c>
      <c r="C1585" t="str">
        <f>VLOOKUP(A1585,Raw_Data!A:L,3,FALSE)</f>
        <v>Vietnam</v>
      </c>
      <c r="D1585" s="3">
        <f>VLOOKUP(A1585,Raw_Data!A:L,12,FALSE)</f>
        <v>4700</v>
      </c>
      <c r="E1585" s="3">
        <f>VLOOKUP(A1585,Raw_Data!A:L,11,FALSE)</f>
        <v>94</v>
      </c>
      <c r="F1585" t="str">
        <f>TEXT(VLOOKUP(A1585,Raw_Data!A:L,5,FALSE),"mmm")</f>
        <v>Jan</v>
      </c>
    </row>
    <row r="1586" spans="1:6" x14ac:dyDescent="0.35">
      <c r="A1586" s="3" t="s">
        <v>2160</v>
      </c>
      <c r="B1586" t="str">
        <f>VLOOKUP(A1586,Raw_Data!A:L,6,FALSE)</f>
        <v>Microwave</v>
      </c>
      <c r="C1586" t="str">
        <f>VLOOKUP(A1586,Raw_Data!A:L,3,FALSE)</f>
        <v>USA</v>
      </c>
      <c r="D1586" s="3">
        <f>VLOOKUP(A1586,Raw_Data!A:L,12,FALSE)</f>
        <v>4964</v>
      </c>
      <c r="E1586" s="3">
        <f>VLOOKUP(A1586,Raw_Data!A:L,11,FALSE)</f>
        <v>68</v>
      </c>
      <c r="F1586" t="str">
        <f>TEXT(VLOOKUP(A1586,Raw_Data!A:L,5,FALSE),"mmm")</f>
        <v>Jun</v>
      </c>
    </row>
    <row r="1587" spans="1:6" x14ac:dyDescent="0.35">
      <c r="A1587" s="3" t="s">
        <v>2161</v>
      </c>
      <c r="B1587" t="str">
        <f>VLOOKUP(A1587,Raw_Data!A:L,6,FALSE)</f>
        <v>Air conditioner</v>
      </c>
      <c r="C1587" t="str">
        <f>VLOOKUP(A1587,Raw_Data!A:L,3,FALSE)</f>
        <v>Chile</v>
      </c>
      <c r="D1587" s="3">
        <f>VLOOKUP(A1587,Raw_Data!A:L,12,FALSE)</f>
        <v>42042</v>
      </c>
      <c r="E1587" s="3">
        <f>VLOOKUP(A1587,Raw_Data!A:L,11,FALSE)</f>
        <v>66</v>
      </c>
      <c r="F1587" t="str">
        <f>TEXT(VLOOKUP(A1587,Raw_Data!A:L,5,FALSE),"mmm")</f>
        <v>Jan</v>
      </c>
    </row>
    <row r="1588" spans="1:6" x14ac:dyDescent="0.35">
      <c r="A1588" s="3" t="s">
        <v>2162</v>
      </c>
      <c r="B1588" t="str">
        <f>VLOOKUP(A1588,Raw_Data!A:L,6,FALSE)</f>
        <v>Vacuum Cleaner</v>
      </c>
      <c r="C1588" t="str">
        <f>VLOOKUP(A1588,Raw_Data!A:L,3,FALSE)</f>
        <v>USA</v>
      </c>
      <c r="D1588" s="3">
        <f>VLOOKUP(A1588,Raw_Data!A:L,12,FALSE)</f>
        <v>12152</v>
      </c>
      <c r="E1588" s="3">
        <f>VLOOKUP(A1588,Raw_Data!A:L,11,FALSE)</f>
        <v>49</v>
      </c>
      <c r="F1588" t="str">
        <f>TEXT(VLOOKUP(A1588,Raw_Data!A:L,5,FALSE),"mmm")</f>
        <v>Sep</v>
      </c>
    </row>
    <row r="1589" spans="1:6" x14ac:dyDescent="0.35">
      <c r="A1589" s="3" t="s">
        <v>2163</v>
      </c>
      <c r="B1589" t="str">
        <f>VLOOKUP(A1589,Raw_Data!A:L,6,FALSE)</f>
        <v>Dishwasher</v>
      </c>
      <c r="C1589" t="str">
        <f>VLOOKUP(A1589,Raw_Data!A:L,3,FALSE)</f>
        <v>Mexico</v>
      </c>
      <c r="D1589" s="3">
        <f>VLOOKUP(A1589,Raw_Data!A:L,12,FALSE)</f>
        <v>7125</v>
      </c>
      <c r="E1589" s="3">
        <f>VLOOKUP(A1589,Raw_Data!A:L,11,FALSE)</f>
        <v>15</v>
      </c>
      <c r="F1589" t="str">
        <f>TEXT(VLOOKUP(A1589,Raw_Data!A:L,5,FALSE),"mmm")</f>
        <v>Dec</v>
      </c>
    </row>
    <row r="1590" spans="1:6" x14ac:dyDescent="0.35">
      <c r="A1590" s="3" t="s">
        <v>2164</v>
      </c>
      <c r="B1590" t="str">
        <f>VLOOKUP(A1590,Raw_Data!A:L,6,FALSE)</f>
        <v>Blender</v>
      </c>
      <c r="C1590" t="str">
        <f>VLOOKUP(A1590,Raw_Data!A:L,3,FALSE)</f>
        <v>Mexico</v>
      </c>
      <c r="D1590" s="3">
        <f>VLOOKUP(A1590,Raw_Data!A:L,12,FALSE)</f>
        <v>1720</v>
      </c>
      <c r="E1590" s="3">
        <f>VLOOKUP(A1590,Raw_Data!A:L,11,FALSE)</f>
        <v>43</v>
      </c>
      <c r="F1590" t="str">
        <f>TEXT(VLOOKUP(A1590,Raw_Data!A:L,5,FALSE),"mmm")</f>
        <v>Nov</v>
      </c>
    </row>
    <row r="1591" spans="1:6" x14ac:dyDescent="0.35">
      <c r="A1591" s="3" t="s">
        <v>2165</v>
      </c>
      <c r="B1591" t="str">
        <f>VLOOKUP(A1591,Raw_Data!A:L,6,FALSE)</f>
        <v>Washing Machine</v>
      </c>
      <c r="C1591" t="str">
        <f>VLOOKUP(A1591,Raw_Data!A:L,3,FALSE)</f>
        <v>China</v>
      </c>
      <c r="D1591" s="3">
        <f>VLOOKUP(A1591,Raw_Data!A:L,12,FALSE)</f>
        <v>43344</v>
      </c>
      <c r="E1591" s="3">
        <f>VLOOKUP(A1591,Raw_Data!A:L,11,FALSE)</f>
        <v>86</v>
      </c>
      <c r="F1591" t="str">
        <f>TEXT(VLOOKUP(A1591,Raw_Data!A:L,5,FALSE),"mmm")</f>
        <v>Nov</v>
      </c>
    </row>
    <row r="1592" spans="1:6" x14ac:dyDescent="0.35">
      <c r="A1592" s="3" t="s">
        <v>2166</v>
      </c>
      <c r="B1592" t="str">
        <f>VLOOKUP(A1592,Raw_Data!A:L,6,FALSE)</f>
        <v>Washing Machine</v>
      </c>
      <c r="C1592" t="str">
        <f>VLOOKUP(A1592,Raw_Data!A:L,3,FALSE)</f>
        <v>Poland</v>
      </c>
      <c r="D1592" s="3">
        <f>VLOOKUP(A1592,Raw_Data!A:L,12,FALSE)</f>
        <v>37184</v>
      </c>
      <c r="E1592" s="3">
        <f>VLOOKUP(A1592,Raw_Data!A:L,11,FALSE)</f>
        <v>56</v>
      </c>
      <c r="F1592" t="str">
        <f>TEXT(VLOOKUP(A1592,Raw_Data!A:L,5,FALSE),"mmm")</f>
        <v>Feb</v>
      </c>
    </row>
    <row r="1593" spans="1:6" x14ac:dyDescent="0.35">
      <c r="A1593" s="3" t="s">
        <v>2167</v>
      </c>
      <c r="B1593" t="str">
        <f>VLOOKUP(A1593,Raw_Data!A:L,6,FALSE)</f>
        <v>Dishwasher</v>
      </c>
      <c r="C1593" t="str">
        <f>VLOOKUP(A1593,Raw_Data!A:L,3,FALSE)</f>
        <v>Romania</v>
      </c>
      <c r="D1593" s="3">
        <f>VLOOKUP(A1593,Raw_Data!A:L,12,FALSE)</f>
        <v>25000</v>
      </c>
      <c r="E1593" s="3">
        <f>VLOOKUP(A1593,Raw_Data!A:L,11,FALSE)</f>
        <v>50</v>
      </c>
      <c r="F1593" t="str">
        <f>TEXT(VLOOKUP(A1593,Raw_Data!A:L,5,FALSE),"mmm")</f>
        <v>Apr</v>
      </c>
    </row>
    <row r="1594" spans="1:6" x14ac:dyDescent="0.35">
      <c r="A1594" s="3" t="s">
        <v>2168</v>
      </c>
      <c r="B1594" t="str">
        <f>VLOOKUP(A1594,Raw_Data!A:L,6,FALSE)</f>
        <v>Vacuum Cleaner</v>
      </c>
      <c r="C1594" t="str">
        <f>VLOOKUP(A1594,Raw_Data!A:L,3,FALSE)</f>
        <v>Japan</v>
      </c>
      <c r="D1594" s="3">
        <f>VLOOKUP(A1594,Raw_Data!A:L,12,FALSE)</f>
        <v>4500</v>
      </c>
      <c r="E1594" s="3">
        <f>VLOOKUP(A1594,Raw_Data!A:L,11,FALSE)</f>
        <v>18</v>
      </c>
      <c r="F1594" t="str">
        <f>TEXT(VLOOKUP(A1594,Raw_Data!A:L,5,FALSE),"mmm")</f>
        <v>Feb</v>
      </c>
    </row>
    <row r="1595" spans="1:6" x14ac:dyDescent="0.35">
      <c r="A1595" s="3" t="s">
        <v>2169</v>
      </c>
      <c r="B1595" t="str">
        <f>VLOOKUP(A1595,Raw_Data!A:L,6,FALSE)</f>
        <v>Iron</v>
      </c>
      <c r="C1595" t="str">
        <f>VLOOKUP(A1595,Raw_Data!A:L,3,FALSE)</f>
        <v>South Korea</v>
      </c>
      <c r="D1595" s="3">
        <f>VLOOKUP(A1595,Raw_Data!A:L,12,FALSE)</f>
        <v>2970</v>
      </c>
      <c r="E1595" s="3">
        <f>VLOOKUP(A1595,Raw_Data!A:L,11,FALSE)</f>
        <v>99</v>
      </c>
      <c r="F1595" t="str">
        <f>TEXT(VLOOKUP(A1595,Raw_Data!A:L,5,FALSE),"mmm")</f>
        <v>Aug</v>
      </c>
    </row>
    <row r="1596" spans="1:6" x14ac:dyDescent="0.35">
      <c r="A1596" s="3" t="s">
        <v>2170</v>
      </c>
      <c r="B1596" t="str">
        <f>VLOOKUP(A1596,Raw_Data!A:L,6,FALSE)</f>
        <v>Washing Machine</v>
      </c>
      <c r="C1596" t="str">
        <f>VLOOKUP(A1596,Raw_Data!A:L,3,FALSE)</f>
        <v>Canada</v>
      </c>
      <c r="D1596" s="3">
        <f>VLOOKUP(A1596,Raw_Data!A:L,12,FALSE)</f>
        <v>53720</v>
      </c>
      <c r="E1596" s="3">
        <f>VLOOKUP(A1596,Raw_Data!A:L,11,FALSE)</f>
        <v>85</v>
      </c>
      <c r="F1596" t="str">
        <f>TEXT(VLOOKUP(A1596,Raw_Data!A:L,5,FALSE),"mmm")</f>
        <v>Oct</v>
      </c>
    </row>
    <row r="1597" spans="1:6" x14ac:dyDescent="0.35">
      <c r="A1597" s="3" t="s">
        <v>2173</v>
      </c>
      <c r="B1597" t="str">
        <f>VLOOKUP(A1597,Raw_Data!A:L,6,FALSE)</f>
        <v>Blender</v>
      </c>
      <c r="C1597" t="str">
        <f>VLOOKUP(A1597,Raw_Data!A:L,3,FALSE)</f>
        <v>China</v>
      </c>
      <c r="D1597" s="3">
        <f>VLOOKUP(A1597,Raw_Data!A:L,12,FALSE)</f>
        <v>1400</v>
      </c>
      <c r="E1597" s="3">
        <f>VLOOKUP(A1597,Raw_Data!A:L,11,FALSE)</f>
        <v>28</v>
      </c>
      <c r="F1597" t="str">
        <f>TEXT(VLOOKUP(A1597,Raw_Data!A:L,5,FALSE),"mmm")</f>
        <v>Jun</v>
      </c>
    </row>
    <row r="1598" spans="1:6" x14ac:dyDescent="0.35">
      <c r="A1598" s="3" t="s">
        <v>2174</v>
      </c>
      <c r="B1598" t="str">
        <f>VLOOKUP(A1598,Raw_Data!A:L,6,FALSE)</f>
        <v>Oven</v>
      </c>
      <c r="C1598" t="str">
        <f>VLOOKUP(A1598,Raw_Data!A:L,3,FALSE)</f>
        <v>USA</v>
      </c>
      <c r="D1598" s="3">
        <f>VLOOKUP(A1598,Raw_Data!A:L,12,FALSE)</f>
        <v>48000</v>
      </c>
      <c r="E1598" s="3">
        <f>VLOOKUP(A1598,Raw_Data!A:L,11,FALSE)</f>
        <v>96</v>
      </c>
      <c r="F1598" t="str">
        <f>TEXT(VLOOKUP(A1598,Raw_Data!A:L,5,FALSE),"mmm")</f>
        <v>Jan</v>
      </c>
    </row>
    <row r="1599" spans="1:6" x14ac:dyDescent="0.35">
      <c r="A1599" s="3" t="s">
        <v>2175</v>
      </c>
      <c r="B1599" t="str">
        <f>VLOOKUP(A1599,Raw_Data!A:L,6,FALSE)</f>
        <v>Oven</v>
      </c>
      <c r="C1599" t="str">
        <f>VLOOKUP(A1599,Raw_Data!A:L,3,FALSE)</f>
        <v>USA</v>
      </c>
      <c r="D1599" s="3">
        <f>VLOOKUP(A1599,Raw_Data!A:L,12,FALSE)</f>
        <v>7920</v>
      </c>
      <c r="E1599" s="3">
        <f>VLOOKUP(A1599,Raw_Data!A:L,11,FALSE)</f>
        <v>16</v>
      </c>
      <c r="F1599" t="str">
        <f>TEXT(VLOOKUP(A1599,Raw_Data!A:L,5,FALSE),"mmm")</f>
        <v>Feb</v>
      </c>
    </row>
    <row r="1600" spans="1:6" x14ac:dyDescent="0.35">
      <c r="A1600" s="3" t="s">
        <v>2176</v>
      </c>
      <c r="B1600" t="str">
        <f>VLOOKUP(A1600,Raw_Data!A:L,6,FALSE)</f>
        <v>Dishwasher</v>
      </c>
      <c r="C1600" t="str">
        <f>VLOOKUP(A1600,Raw_Data!A:L,3,FALSE)</f>
        <v>Brazil</v>
      </c>
      <c r="D1600" s="3">
        <f>VLOOKUP(A1600,Raw_Data!A:L,12,FALSE)</f>
        <v>32495</v>
      </c>
      <c r="E1600" s="3">
        <f>VLOOKUP(A1600,Raw_Data!A:L,11,FALSE)</f>
        <v>67</v>
      </c>
      <c r="F1600" t="str">
        <f>TEXT(VLOOKUP(A1600,Raw_Data!A:L,5,FALSE),"mmm")</f>
        <v>Apr</v>
      </c>
    </row>
    <row r="1601" spans="1:6" x14ac:dyDescent="0.35">
      <c r="A1601" s="3" t="s">
        <v>2177</v>
      </c>
      <c r="B1601" t="str">
        <f>VLOOKUP(A1601,Raw_Data!A:L,6,FALSE)</f>
        <v>Iron</v>
      </c>
      <c r="C1601" t="str">
        <f>VLOOKUP(A1601,Raw_Data!A:L,3,FALSE)</f>
        <v>Austria</v>
      </c>
      <c r="D1601" s="3">
        <f>VLOOKUP(A1601,Raw_Data!A:L,12,FALSE)</f>
        <v>736</v>
      </c>
      <c r="E1601" s="3">
        <f>VLOOKUP(A1601,Raw_Data!A:L,11,FALSE)</f>
        <v>32</v>
      </c>
      <c r="F1601" t="str">
        <f>TEXT(VLOOKUP(A1601,Raw_Data!A:L,5,FALSE),"mmm")</f>
        <v>Dec</v>
      </c>
    </row>
    <row r="1602" spans="1:6" x14ac:dyDescent="0.35">
      <c r="A1602" s="3" t="s">
        <v>2178</v>
      </c>
      <c r="B1602" t="str">
        <f>VLOOKUP(A1602,Raw_Data!A:L,6,FALSE)</f>
        <v>Blender</v>
      </c>
      <c r="C1602" t="str">
        <f>VLOOKUP(A1602,Raw_Data!A:L,3,FALSE)</f>
        <v>Chile</v>
      </c>
      <c r="D1602" s="3">
        <f>VLOOKUP(A1602,Raw_Data!A:L,12,FALSE)</f>
        <v>2550</v>
      </c>
      <c r="E1602" s="3">
        <f>VLOOKUP(A1602,Raw_Data!A:L,11,FALSE)</f>
        <v>51</v>
      </c>
      <c r="F1602" t="str">
        <f>TEXT(VLOOKUP(A1602,Raw_Data!A:L,5,FALSE),"mmm")</f>
        <v>Mar</v>
      </c>
    </row>
    <row r="1603" spans="1:6" x14ac:dyDescent="0.35">
      <c r="A1603" s="3" t="s">
        <v>2179</v>
      </c>
      <c r="B1603" t="str">
        <f>VLOOKUP(A1603,Raw_Data!A:L,6,FALSE)</f>
        <v>Blender</v>
      </c>
      <c r="C1603" t="str">
        <f>VLOOKUP(A1603,Raw_Data!A:L,3,FALSE)</f>
        <v>UK</v>
      </c>
      <c r="D1603" s="3">
        <f>VLOOKUP(A1603,Raw_Data!A:L,12,FALSE)</f>
        <v>2688</v>
      </c>
      <c r="E1603" s="3">
        <f>VLOOKUP(A1603,Raw_Data!A:L,11,FALSE)</f>
        <v>56</v>
      </c>
      <c r="F1603" t="str">
        <f>TEXT(VLOOKUP(A1603,Raw_Data!A:L,5,FALSE),"mmm")</f>
        <v>Jun</v>
      </c>
    </row>
    <row r="1604" spans="1:6" x14ac:dyDescent="0.35">
      <c r="A1604" s="3" t="s">
        <v>2180</v>
      </c>
      <c r="B1604" t="str">
        <f>VLOOKUP(A1604,Raw_Data!A:L,6,FALSE)</f>
        <v>Vacuum Cleaner</v>
      </c>
      <c r="C1604" t="str">
        <f>VLOOKUP(A1604,Raw_Data!A:L,3,FALSE)</f>
        <v>Poland</v>
      </c>
      <c r="D1604" s="3">
        <f>VLOOKUP(A1604,Raw_Data!A:L,12,FALSE)</f>
        <v>8160</v>
      </c>
      <c r="E1604" s="3">
        <f>VLOOKUP(A1604,Raw_Data!A:L,11,FALSE)</f>
        <v>51</v>
      </c>
      <c r="F1604" t="str">
        <f>TEXT(VLOOKUP(A1604,Raw_Data!A:L,5,FALSE),"mmm")</f>
        <v>Aug</v>
      </c>
    </row>
    <row r="1605" spans="1:6" x14ac:dyDescent="0.35">
      <c r="A1605" s="3" t="s">
        <v>2181</v>
      </c>
      <c r="B1605" t="str">
        <f>VLOOKUP(A1605,Raw_Data!A:L,6,FALSE)</f>
        <v>Ceiling fan</v>
      </c>
      <c r="C1605" t="str">
        <f>VLOOKUP(A1605,Raw_Data!A:L,3,FALSE)</f>
        <v>Italy</v>
      </c>
      <c r="D1605" s="3">
        <f>VLOOKUP(A1605,Raw_Data!A:L,12,FALSE)</f>
        <v>13300</v>
      </c>
      <c r="E1605" s="3">
        <f>VLOOKUP(A1605,Raw_Data!A:L,11,FALSE)</f>
        <v>95</v>
      </c>
      <c r="F1605" t="str">
        <f>TEXT(VLOOKUP(A1605,Raw_Data!A:L,5,FALSE),"mmm")</f>
        <v>Mar</v>
      </c>
    </row>
    <row r="1606" spans="1:6" x14ac:dyDescent="0.35">
      <c r="A1606" s="3" t="s">
        <v>2182</v>
      </c>
      <c r="B1606" t="str">
        <f>VLOOKUP(A1606,Raw_Data!A:L,6,FALSE)</f>
        <v>Blender</v>
      </c>
      <c r="C1606" t="str">
        <f>VLOOKUP(A1606,Raw_Data!A:L,3,FALSE)</f>
        <v>Israel</v>
      </c>
      <c r="D1606" s="3">
        <f>VLOOKUP(A1606,Raw_Data!A:L,12,FALSE)</f>
        <v>84</v>
      </c>
      <c r="E1606" s="3">
        <f>VLOOKUP(A1606,Raw_Data!A:L,11,FALSE)</f>
        <v>2</v>
      </c>
      <c r="F1606" t="str">
        <f>TEXT(VLOOKUP(A1606,Raw_Data!A:L,5,FALSE),"mmm")</f>
        <v>Oct</v>
      </c>
    </row>
    <row r="1607" spans="1:6" x14ac:dyDescent="0.35">
      <c r="A1607" s="3" t="s">
        <v>2183</v>
      </c>
      <c r="B1607" t="str">
        <f>VLOOKUP(A1607,Raw_Data!A:L,6,FALSE)</f>
        <v>Iron</v>
      </c>
      <c r="C1607" t="str">
        <f>VLOOKUP(A1607,Raw_Data!A:L,3,FALSE)</f>
        <v>Canada</v>
      </c>
      <c r="D1607" s="3">
        <f>VLOOKUP(A1607,Raw_Data!A:L,12,FALSE)</f>
        <v>1131</v>
      </c>
      <c r="E1607" s="3">
        <f>VLOOKUP(A1607,Raw_Data!A:L,11,FALSE)</f>
        <v>39</v>
      </c>
      <c r="F1607" t="str">
        <f>TEXT(VLOOKUP(A1607,Raw_Data!A:L,5,FALSE),"mmm")</f>
        <v>Apr</v>
      </c>
    </row>
    <row r="1608" spans="1:6" x14ac:dyDescent="0.35">
      <c r="A1608" s="3" t="s">
        <v>2185</v>
      </c>
      <c r="B1608" t="str">
        <f>VLOOKUP(A1608,Raw_Data!A:L,6,FALSE)</f>
        <v>Refrigerator</v>
      </c>
      <c r="C1608" t="str">
        <f>VLOOKUP(A1608,Raw_Data!A:L,3,FALSE)</f>
        <v>South Korea</v>
      </c>
      <c r="D1608" s="3">
        <f>VLOOKUP(A1608,Raw_Data!A:L,12,FALSE)</f>
        <v>4060</v>
      </c>
      <c r="E1608" s="3">
        <f>VLOOKUP(A1608,Raw_Data!A:L,11,FALSE)</f>
        <v>7</v>
      </c>
      <c r="F1608" t="str">
        <f>TEXT(VLOOKUP(A1608,Raw_Data!A:L,5,FALSE),"mmm")</f>
        <v>Jun</v>
      </c>
    </row>
    <row r="1609" spans="1:6" x14ac:dyDescent="0.35">
      <c r="A1609" s="3" t="s">
        <v>2186</v>
      </c>
      <c r="B1609" t="str">
        <f>VLOOKUP(A1609,Raw_Data!A:L,6,FALSE)</f>
        <v>Refrigerator</v>
      </c>
      <c r="C1609" t="str">
        <f>VLOOKUP(A1609,Raw_Data!A:L,3,FALSE)</f>
        <v>Japan</v>
      </c>
      <c r="D1609" s="3">
        <f>VLOOKUP(A1609,Raw_Data!A:L,12,FALSE)</f>
        <v>49280</v>
      </c>
      <c r="E1609" s="3">
        <f>VLOOKUP(A1609,Raw_Data!A:L,11,FALSE)</f>
        <v>56</v>
      </c>
      <c r="F1609" t="str">
        <f>TEXT(VLOOKUP(A1609,Raw_Data!A:L,5,FALSE),"mmm")</f>
        <v>Nov</v>
      </c>
    </row>
    <row r="1610" spans="1:6" x14ac:dyDescent="0.35">
      <c r="A1610" s="3" t="s">
        <v>2187</v>
      </c>
      <c r="B1610" t="str">
        <f>VLOOKUP(A1610,Raw_Data!A:L,6,FALSE)</f>
        <v>Coffee grinder</v>
      </c>
      <c r="C1610" t="str">
        <f>VLOOKUP(A1610,Raw_Data!A:L,3,FALSE)</f>
        <v>Ireland</v>
      </c>
      <c r="D1610" s="3">
        <f>VLOOKUP(A1610,Raw_Data!A:L,12,FALSE)</f>
        <v>104</v>
      </c>
      <c r="E1610" s="3">
        <f>VLOOKUP(A1610,Raw_Data!A:L,11,FALSE)</f>
        <v>2</v>
      </c>
      <c r="F1610" t="str">
        <f>TEXT(VLOOKUP(A1610,Raw_Data!A:L,5,FALSE),"mmm")</f>
        <v>Aug</v>
      </c>
    </row>
    <row r="1611" spans="1:6" x14ac:dyDescent="0.35">
      <c r="A1611" s="3" t="s">
        <v>2188</v>
      </c>
      <c r="B1611" t="str">
        <f>VLOOKUP(A1611,Raw_Data!A:L,6,FALSE)</f>
        <v>Blender</v>
      </c>
      <c r="C1611" t="str">
        <f>VLOOKUP(A1611,Raw_Data!A:L,3,FALSE)</f>
        <v>UAE</v>
      </c>
      <c r="D1611" s="3">
        <f>VLOOKUP(A1611,Raw_Data!A:L,12,FALSE)</f>
        <v>1369</v>
      </c>
      <c r="E1611" s="3">
        <f>VLOOKUP(A1611,Raw_Data!A:L,11,FALSE)</f>
        <v>37</v>
      </c>
      <c r="F1611" t="str">
        <f>TEXT(VLOOKUP(A1611,Raw_Data!A:L,5,FALSE),"mmm")</f>
        <v>Jan</v>
      </c>
    </row>
    <row r="1612" spans="1:6" x14ac:dyDescent="0.35">
      <c r="A1612" s="3" t="s">
        <v>2190</v>
      </c>
      <c r="B1612" t="str">
        <f>VLOOKUP(A1612,Raw_Data!A:L,6,FALSE)</f>
        <v>Toaster</v>
      </c>
      <c r="C1612" t="str">
        <f>VLOOKUP(A1612,Raw_Data!A:L,3,FALSE)</f>
        <v>Mexico</v>
      </c>
      <c r="D1612" s="3">
        <f>VLOOKUP(A1612,Raw_Data!A:L,12,FALSE)</f>
        <v>800</v>
      </c>
      <c r="E1612" s="3">
        <f>VLOOKUP(A1612,Raw_Data!A:L,11,FALSE)</f>
        <v>16</v>
      </c>
      <c r="F1612" t="str">
        <f>TEXT(VLOOKUP(A1612,Raw_Data!A:L,5,FALSE),"mmm")</f>
        <v>Aug</v>
      </c>
    </row>
    <row r="1613" spans="1:6" x14ac:dyDescent="0.35">
      <c r="A1613" s="3" t="s">
        <v>2191</v>
      </c>
      <c r="B1613" t="str">
        <f>VLOOKUP(A1613,Raw_Data!A:L,6,FALSE)</f>
        <v>Coffee grinder</v>
      </c>
      <c r="C1613" t="str">
        <f>VLOOKUP(A1613,Raw_Data!A:L,3,FALSE)</f>
        <v>USA</v>
      </c>
      <c r="D1613" s="3">
        <f>VLOOKUP(A1613,Raw_Data!A:L,12,FALSE)</f>
        <v>804</v>
      </c>
      <c r="E1613" s="3">
        <f>VLOOKUP(A1613,Raw_Data!A:L,11,FALSE)</f>
        <v>12</v>
      </c>
      <c r="F1613" t="str">
        <f>TEXT(VLOOKUP(A1613,Raw_Data!A:L,5,FALSE),"mmm")</f>
        <v>Nov</v>
      </c>
    </row>
    <row r="1614" spans="1:6" x14ac:dyDescent="0.35">
      <c r="A1614" s="3" t="s">
        <v>2194</v>
      </c>
      <c r="B1614" t="str">
        <f>VLOOKUP(A1614,Raw_Data!A:L,6,FALSE)</f>
        <v>Toaster</v>
      </c>
      <c r="C1614" t="str">
        <f>VLOOKUP(A1614,Raw_Data!A:L,3,FALSE)</f>
        <v>USA</v>
      </c>
      <c r="D1614" s="3">
        <f>VLOOKUP(A1614,Raw_Data!A:L,12,FALSE)</f>
        <v>2550</v>
      </c>
      <c r="E1614" s="3">
        <f>VLOOKUP(A1614,Raw_Data!A:L,11,FALSE)</f>
        <v>51</v>
      </c>
      <c r="F1614" t="str">
        <f>TEXT(VLOOKUP(A1614,Raw_Data!A:L,5,FALSE),"mmm")</f>
        <v>Sep</v>
      </c>
    </row>
    <row r="1615" spans="1:6" x14ac:dyDescent="0.35">
      <c r="A1615" s="3" t="s">
        <v>2195</v>
      </c>
      <c r="B1615" t="str">
        <f>VLOOKUP(A1615,Raw_Data!A:L,6,FALSE)</f>
        <v>Coffee grinder</v>
      </c>
      <c r="C1615" t="str">
        <f>VLOOKUP(A1615,Raw_Data!A:L,3,FALSE)</f>
        <v>Japan</v>
      </c>
      <c r="D1615" s="3">
        <f>VLOOKUP(A1615,Raw_Data!A:L,12,FALSE)</f>
        <v>6006</v>
      </c>
      <c r="E1615" s="3">
        <f>VLOOKUP(A1615,Raw_Data!A:L,11,FALSE)</f>
        <v>91</v>
      </c>
      <c r="F1615" t="str">
        <f>TEXT(VLOOKUP(A1615,Raw_Data!A:L,5,FALSE),"mmm")</f>
        <v>Nov</v>
      </c>
    </row>
    <row r="1616" spans="1:6" x14ac:dyDescent="0.35">
      <c r="A1616" s="3" t="s">
        <v>2196</v>
      </c>
      <c r="B1616" t="str">
        <f>VLOOKUP(A1616,Raw_Data!A:L,6,FALSE)</f>
        <v>Blender</v>
      </c>
      <c r="C1616" t="str">
        <f>VLOOKUP(A1616,Raw_Data!A:L,3,FALSE)</f>
        <v>UAE</v>
      </c>
      <c r="D1616" s="3">
        <f>VLOOKUP(A1616,Raw_Data!A:L,12,FALSE)</f>
        <v>294</v>
      </c>
      <c r="E1616" s="3">
        <f>VLOOKUP(A1616,Raw_Data!A:L,11,FALSE)</f>
        <v>7</v>
      </c>
      <c r="F1616" t="str">
        <f>TEXT(VLOOKUP(A1616,Raw_Data!A:L,5,FALSE),"mmm")</f>
        <v>Dec</v>
      </c>
    </row>
    <row r="1617" spans="1:6" x14ac:dyDescent="0.35">
      <c r="A1617" s="3" t="s">
        <v>2197</v>
      </c>
      <c r="B1617" t="str">
        <f>VLOOKUP(A1617,Raw_Data!A:L,6,FALSE)</f>
        <v>Microwave</v>
      </c>
      <c r="C1617" t="str">
        <f>VLOOKUP(A1617,Raw_Data!A:L,3,FALSE)</f>
        <v>Chile</v>
      </c>
      <c r="D1617" s="3">
        <f>VLOOKUP(A1617,Raw_Data!A:L,12,FALSE)</f>
        <v>6864</v>
      </c>
      <c r="E1617" s="3">
        <f>VLOOKUP(A1617,Raw_Data!A:L,11,FALSE)</f>
        <v>88</v>
      </c>
      <c r="F1617" t="str">
        <f>TEXT(VLOOKUP(A1617,Raw_Data!A:L,5,FALSE),"mmm")</f>
        <v>Jul</v>
      </c>
    </row>
    <row r="1618" spans="1:6" x14ac:dyDescent="0.35">
      <c r="A1618" s="3" t="s">
        <v>2198</v>
      </c>
      <c r="B1618" t="str">
        <f>VLOOKUP(A1618,Raw_Data!A:L,6,FALSE)</f>
        <v>Refrigerator</v>
      </c>
      <c r="C1618" t="str">
        <f>VLOOKUP(A1618,Raw_Data!A:L,3,FALSE)</f>
        <v>Romania</v>
      </c>
      <c r="D1618" s="3">
        <f>VLOOKUP(A1618,Raw_Data!A:L,12,FALSE)</f>
        <v>68310</v>
      </c>
      <c r="E1618" s="3">
        <f>VLOOKUP(A1618,Raw_Data!A:L,11,FALSE)</f>
        <v>99</v>
      </c>
      <c r="F1618" t="str">
        <f>TEXT(VLOOKUP(A1618,Raw_Data!A:L,5,FALSE),"mmm")</f>
        <v>Jan</v>
      </c>
    </row>
    <row r="1619" spans="1:6" x14ac:dyDescent="0.35">
      <c r="A1619" s="3" t="s">
        <v>2199</v>
      </c>
      <c r="B1619" t="str">
        <f>VLOOKUP(A1619,Raw_Data!A:L,6,FALSE)</f>
        <v>Ceiling fan</v>
      </c>
      <c r="C1619" t="str">
        <f>VLOOKUP(A1619,Raw_Data!A:L,3,FALSE)</f>
        <v>Japan</v>
      </c>
      <c r="D1619" s="3">
        <f>VLOOKUP(A1619,Raw_Data!A:L,12,FALSE)</f>
        <v>13110</v>
      </c>
      <c r="E1619" s="3">
        <f>VLOOKUP(A1619,Raw_Data!A:L,11,FALSE)</f>
        <v>95</v>
      </c>
      <c r="F1619" t="str">
        <f>TEXT(VLOOKUP(A1619,Raw_Data!A:L,5,FALSE),"mmm")</f>
        <v>Sep</v>
      </c>
    </row>
    <row r="1620" spans="1:6" x14ac:dyDescent="0.35">
      <c r="A1620" s="3" t="s">
        <v>2200</v>
      </c>
      <c r="B1620" t="str">
        <f>VLOOKUP(A1620,Raw_Data!A:L,6,FALSE)</f>
        <v>Coffee grinder</v>
      </c>
      <c r="C1620" t="str">
        <f>VLOOKUP(A1620,Raw_Data!A:L,3,FALSE)</f>
        <v>USA</v>
      </c>
      <c r="D1620" s="3">
        <f>VLOOKUP(A1620,Raw_Data!A:L,12,FALSE)</f>
        <v>1904</v>
      </c>
      <c r="E1620" s="3">
        <f>VLOOKUP(A1620,Raw_Data!A:L,11,FALSE)</f>
        <v>28</v>
      </c>
      <c r="F1620" t="str">
        <f>TEXT(VLOOKUP(A1620,Raw_Data!A:L,5,FALSE),"mmm")</f>
        <v>Apr</v>
      </c>
    </row>
    <row r="1621" spans="1:6" x14ac:dyDescent="0.35">
      <c r="A1621" s="3" t="s">
        <v>2201</v>
      </c>
      <c r="B1621" t="str">
        <f>VLOOKUP(A1621,Raw_Data!A:L,6,FALSE)</f>
        <v>Oven</v>
      </c>
      <c r="C1621" t="str">
        <f>VLOOKUP(A1621,Raw_Data!A:L,3,FALSE)</f>
        <v>USA</v>
      </c>
      <c r="D1621" s="3">
        <f>VLOOKUP(A1621,Raw_Data!A:L,12,FALSE)</f>
        <v>20580</v>
      </c>
      <c r="E1621" s="3">
        <f>VLOOKUP(A1621,Raw_Data!A:L,11,FALSE)</f>
        <v>42</v>
      </c>
      <c r="F1621" t="str">
        <f>TEXT(VLOOKUP(A1621,Raw_Data!A:L,5,FALSE),"mmm")</f>
        <v>Jun</v>
      </c>
    </row>
    <row r="1622" spans="1:6" x14ac:dyDescent="0.35">
      <c r="A1622" s="3" t="s">
        <v>2203</v>
      </c>
      <c r="B1622" t="str">
        <f>VLOOKUP(A1622,Raw_Data!A:L,6,FALSE)</f>
        <v>Iron</v>
      </c>
      <c r="C1622" t="str">
        <f>VLOOKUP(A1622,Raw_Data!A:L,3,FALSE)</f>
        <v>Poland</v>
      </c>
      <c r="D1622" s="3">
        <f>VLOOKUP(A1622,Raw_Data!A:L,12,FALSE)</f>
        <v>100</v>
      </c>
      <c r="E1622" s="3">
        <f>VLOOKUP(A1622,Raw_Data!A:L,11,FALSE)</f>
        <v>4</v>
      </c>
      <c r="F1622" t="str">
        <f>TEXT(VLOOKUP(A1622,Raw_Data!A:L,5,FALSE),"mmm")</f>
        <v>Feb</v>
      </c>
    </row>
    <row r="1623" spans="1:6" x14ac:dyDescent="0.35">
      <c r="A1623" s="3" t="s">
        <v>2204</v>
      </c>
      <c r="B1623" t="str">
        <f>VLOOKUP(A1623,Raw_Data!A:L,6,FALSE)</f>
        <v>Washing Machine</v>
      </c>
      <c r="C1623" t="str">
        <f>VLOOKUP(A1623,Raw_Data!A:L,3,FALSE)</f>
        <v>Poland</v>
      </c>
      <c r="D1623" s="3">
        <f>VLOOKUP(A1623,Raw_Data!A:L,12,FALSE)</f>
        <v>24192</v>
      </c>
      <c r="E1623" s="3">
        <f>VLOOKUP(A1623,Raw_Data!A:L,11,FALSE)</f>
        <v>42</v>
      </c>
      <c r="F1623" t="str">
        <f>TEXT(VLOOKUP(A1623,Raw_Data!A:L,5,FALSE),"mmm")</f>
        <v>Jun</v>
      </c>
    </row>
    <row r="1624" spans="1:6" x14ac:dyDescent="0.35">
      <c r="A1624" s="3" t="s">
        <v>2205</v>
      </c>
      <c r="B1624" t="str">
        <f>VLOOKUP(A1624,Raw_Data!A:L,6,FALSE)</f>
        <v>Toaster</v>
      </c>
      <c r="C1624" t="str">
        <f>VLOOKUP(A1624,Raw_Data!A:L,3,FALSE)</f>
        <v>Malaysia</v>
      </c>
      <c r="D1624" s="3">
        <f>VLOOKUP(A1624,Raw_Data!A:L,12,FALSE)</f>
        <v>2688</v>
      </c>
      <c r="E1624" s="3">
        <f>VLOOKUP(A1624,Raw_Data!A:L,11,FALSE)</f>
        <v>56</v>
      </c>
      <c r="F1624" t="str">
        <f>TEXT(VLOOKUP(A1624,Raw_Data!A:L,5,FALSE),"mmm")</f>
        <v>May</v>
      </c>
    </row>
    <row r="1625" spans="1:6" x14ac:dyDescent="0.35">
      <c r="A1625" s="3" t="s">
        <v>2206</v>
      </c>
      <c r="B1625" t="str">
        <f>VLOOKUP(A1625,Raw_Data!A:L,6,FALSE)</f>
        <v>Vacuum Cleaner</v>
      </c>
      <c r="C1625" t="str">
        <f>VLOOKUP(A1625,Raw_Data!A:L,3,FALSE)</f>
        <v>Austria</v>
      </c>
      <c r="D1625" s="3">
        <f>VLOOKUP(A1625,Raw_Data!A:L,12,FALSE)</f>
        <v>8388</v>
      </c>
      <c r="E1625" s="3">
        <f>VLOOKUP(A1625,Raw_Data!A:L,11,FALSE)</f>
        <v>36</v>
      </c>
      <c r="F1625" t="str">
        <f>TEXT(VLOOKUP(A1625,Raw_Data!A:L,5,FALSE),"mmm")</f>
        <v>May</v>
      </c>
    </row>
    <row r="1626" spans="1:6" x14ac:dyDescent="0.35">
      <c r="A1626" s="3" t="s">
        <v>2207</v>
      </c>
      <c r="B1626" t="str">
        <f>VLOOKUP(A1626,Raw_Data!A:L,6,FALSE)</f>
        <v>Vacuum Cleaner</v>
      </c>
      <c r="C1626" t="str">
        <f>VLOOKUP(A1626,Raw_Data!A:L,3,FALSE)</f>
        <v>India</v>
      </c>
      <c r="D1626" s="3">
        <f>VLOOKUP(A1626,Raw_Data!A:L,12,FALSE)</f>
        <v>15640</v>
      </c>
      <c r="E1626" s="3">
        <f>VLOOKUP(A1626,Raw_Data!A:L,11,FALSE)</f>
        <v>68</v>
      </c>
      <c r="F1626" t="str">
        <f>TEXT(VLOOKUP(A1626,Raw_Data!A:L,5,FALSE),"mmm")</f>
        <v>Sep</v>
      </c>
    </row>
    <row r="1627" spans="1:6" x14ac:dyDescent="0.35">
      <c r="A1627" s="3" t="s">
        <v>2208</v>
      </c>
      <c r="B1627" t="str">
        <f>VLOOKUP(A1627,Raw_Data!A:L,6,FALSE)</f>
        <v>Air conditioner</v>
      </c>
      <c r="C1627" t="str">
        <f>VLOOKUP(A1627,Raw_Data!A:L,3,FALSE)</f>
        <v>Russia</v>
      </c>
      <c r="D1627" s="3">
        <f>VLOOKUP(A1627,Raw_Data!A:L,12,FALSE)</f>
        <v>1358</v>
      </c>
      <c r="E1627" s="3">
        <f>VLOOKUP(A1627,Raw_Data!A:L,11,FALSE)</f>
        <v>2</v>
      </c>
      <c r="F1627" t="str">
        <f>TEXT(VLOOKUP(A1627,Raw_Data!A:L,5,FALSE),"mmm")</f>
        <v>May</v>
      </c>
    </row>
    <row r="1628" spans="1:6" x14ac:dyDescent="0.35">
      <c r="A1628" s="3" t="s">
        <v>2209</v>
      </c>
      <c r="B1628" t="str">
        <f>VLOOKUP(A1628,Raw_Data!A:L,6,FALSE)</f>
        <v>Toaster</v>
      </c>
      <c r="C1628" t="str">
        <f>VLOOKUP(A1628,Raw_Data!A:L,3,FALSE)</f>
        <v>Netherlands</v>
      </c>
      <c r="D1628" s="3">
        <f>VLOOKUP(A1628,Raw_Data!A:L,12,FALSE)</f>
        <v>1408</v>
      </c>
      <c r="E1628" s="3">
        <f>VLOOKUP(A1628,Raw_Data!A:L,11,FALSE)</f>
        <v>32</v>
      </c>
      <c r="F1628" t="str">
        <f>TEXT(VLOOKUP(A1628,Raw_Data!A:L,5,FALSE),"mmm")</f>
        <v>Nov</v>
      </c>
    </row>
    <row r="1629" spans="1:6" x14ac:dyDescent="0.35">
      <c r="A1629" s="3" t="s">
        <v>2210</v>
      </c>
      <c r="B1629" t="str">
        <f>VLOOKUP(A1629,Raw_Data!A:L,6,FALSE)</f>
        <v>Iron</v>
      </c>
      <c r="C1629" t="str">
        <f>VLOOKUP(A1629,Raw_Data!A:L,3,FALSE)</f>
        <v>Israel</v>
      </c>
      <c r="D1629" s="3">
        <f>VLOOKUP(A1629,Raw_Data!A:L,12,FALSE)</f>
        <v>1682</v>
      </c>
      <c r="E1629" s="3">
        <f>VLOOKUP(A1629,Raw_Data!A:L,11,FALSE)</f>
        <v>58</v>
      </c>
      <c r="F1629" t="str">
        <f>TEXT(VLOOKUP(A1629,Raw_Data!A:L,5,FALSE),"mmm")</f>
        <v>Feb</v>
      </c>
    </row>
    <row r="1630" spans="1:6" x14ac:dyDescent="0.35">
      <c r="A1630" s="3" t="s">
        <v>2211</v>
      </c>
      <c r="B1630" t="str">
        <f>VLOOKUP(A1630,Raw_Data!A:L,6,FALSE)</f>
        <v>Air conditioner</v>
      </c>
      <c r="C1630" t="str">
        <f>VLOOKUP(A1630,Raw_Data!A:L,3,FALSE)</f>
        <v>Israel</v>
      </c>
      <c r="D1630" s="3">
        <f>VLOOKUP(A1630,Raw_Data!A:L,12,FALSE)</f>
        <v>13860</v>
      </c>
      <c r="E1630" s="3">
        <f>VLOOKUP(A1630,Raw_Data!A:L,11,FALSE)</f>
        <v>30</v>
      </c>
      <c r="F1630" t="str">
        <f>TEXT(VLOOKUP(A1630,Raw_Data!A:L,5,FALSE),"mmm")</f>
        <v>Mar</v>
      </c>
    </row>
    <row r="1631" spans="1:6" x14ac:dyDescent="0.35">
      <c r="A1631" s="3" t="s">
        <v>2212</v>
      </c>
      <c r="B1631" t="str">
        <f>VLOOKUP(A1631,Raw_Data!A:L,6,FALSE)</f>
        <v>Refrigerator</v>
      </c>
      <c r="C1631" t="str">
        <f>VLOOKUP(A1631,Raw_Data!A:L,3,FALSE)</f>
        <v>India</v>
      </c>
      <c r="D1631" s="3">
        <f>VLOOKUP(A1631,Raw_Data!A:L,12,FALSE)</f>
        <v>45580</v>
      </c>
      <c r="E1631" s="3">
        <f>VLOOKUP(A1631,Raw_Data!A:L,11,FALSE)</f>
        <v>53</v>
      </c>
      <c r="F1631" t="str">
        <f>TEXT(VLOOKUP(A1631,Raw_Data!A:L,5,FALSE),"mmm")</f>
        <v>Apr</v>
      </c>
    </row>
    <row r="1632" spans="1:6" x14ac:dyDescent="0.35">
      <c r="A1632" s="3" t="s">
        <v>2213</v>
      </c>
      <c r="B1632" t="str">
        <f>VLOOKUP(A1632,Raw_Data!A:L,6,FALSE)</f>
        <v>Blender</v>
      </c>
      <c r="C1632" t="str">
        <f>VLOOKUP(A1632,Raw_Data!A:L,3,FALSE)</f>
        <v>Brazil</v>
      </c>
      <c r="D1632" s="3">
        <f>VLOOKUP(A1632,Raw_Data!A:L,12,FALSE)</f>
        <v>999</v>
      </c>
      <c r="E1632" s="3">
        <f>VLOOKUP(A1632,Raw_Data!A:L,11,FALSE)</f>
        <v>27</v>
      </c>
      <c r="F1632" t="str">
        <f>TEXT(VLOOKUP(A1632,Raw_Data!A:L,5,FALSE),"mmm")</f>
        <v>Jul</v>
      </c>
    </row>
    <row r="1633" spans="1:6" x14ac:dyDescent="0.35">
      <c r="A1633" s="3" t="s">
        <v>2214</v>
      </c>
      <c r="B1633" t="str">
        <f>VLOOKUP(A1633,Raw_Data!A:L,6,FALSE)</f>
        <v>Vacuum Cleaner</v>
      </c>
      <c r="C1633" t="str">
        <f>VLOOKUP(A1633,Raw_Data!A:L,3,FALSE)</f>
        <v>Poland</v>
      </c>
      <c r="D1633" s="3">
        <f>VLOOKUP(A1633,Raw_Data!A:L,12,FALSE)</f>
        <v>15051</v>
      </c>
      <c r="E1633" s="3">
        <f>VLOOKUP(A1633,Raw_Data!A:L,11,FALSE)</f>
        <v>87</v>
      </c>
      <c r="F1633" t="str">
        <f>TEXT(VLOOKUP(A1633,Raw_Data!A:L,5,FALSE),"mmm")</f>
        <v>Nov</v>
      </c>
    </row>
    <row r="1634" spans="1:6" x14ac:dyDescent="0.35">
      <c r="A1634" s="3" t="s">
        <v>2215</v>
      </c>
      <c r="B1634" t="str">
        <f>VLOOKUP(A1634,Raw_Data!A:L,6,FALSE)</f>
        <v>Air conditioner</v>
      </c>
      <c r="C1634" t="str">
        <f>VLOOKUP(A1634,Raw_Data!A:L,3,FALSE)</f>
        <v>UAE</v>
      </c>
      <c r="D1634" s="3">
        <f>VLOOKUP(A1634,Raw_Data!A:L,12,FALSE)</f>
        <v>26754</v>
      </c>
      <c r="E1634" s="3">
        <f>VLOOKUP(A1634,Raw_Data!A:L,11,FALSE)</f>
        <v>42</v>
      </c>
      <c r="F1634" t="str">
        <f>TEXT(VLOOKUP(A1634,Raw_Data!A:L,5,FALSE),"mmm")</f>
        <v>Aug</v>
      </c>
    </row>
    <row r="1635" spans="1:6" x14ac:dyDescent="0.35">
      <c r="A1635" s="3" t="s">
        <v>2216</v>
      </c>
      <c r="B1635" t="str">
        <f>VLOOKUP(A1635,Raw_Data!A:L,6,FALSE)</f>
        <v>Coffee grinder</v>
      </c>
      <c r="C1635" t="str">
        <f>VLOOKUP(A1635,Raw_Data!A:L,3,FALSE)</f>
        <v>USA</v>
      </c>
      <c r="D1635" s="3">
        <f>VLOOKUP(A1635,Raw_Data!A:L,12,FALSE)</f>
        <v>1104</v>
      </c>
      <c r="E1635" s="3">
        <f>VLOOKUP(A1635,Raw_Data!A:L,11,FALSE)</f>
        <v>23</v>
      </c>
      <c r="F1635" t="str">
        <f>TEXT(VLOOKUP(A1635,Raw_Data!A:L,5,FALSE),"mmm")</f>
        <v>Mar</v>
      </c>
    </row>
    <row r="1636" spans="1:6" x14ac:dyDescent="0.35">
      <c r="A1636" s="3" t="s">
        <v>2217</v>
      </c>
      <c r="B1636" t="str">
        <f>VLOOKUP(A1636,Raw_Data!A:L,6,FALSE)</f>
        <v>Coffee grinder</v>
      </c>
      <c r="C1636" t="str">
        <f>VLOOKUP(A1636,Raw_Data!A:L,3,FALSE)</f>
        <v>Canada</v>
      </c>
      <c r="D1636" s="3">
        <f>VLOOKUP(A1636,Raw_Data!A:L,12,FALSE)</f>
        <v>1849</v>
      </c>
      <c r="E1636" s="3">
        <f>VLOOKUP(A1636,Raw_Data!A:L,11,FALSE)</f>
        <v>43</v>
      </c>
      <c r="F1636" t="str">
        <f>TEXT(VLOOKUP(A1636,Raw_Data!A:L,5,FALSE),"mmm")</f>
        <v>Apr</v>
      </c>
    </row>
    <row r="1637" spans="1:6" x14ac:dyDescent="0.35">
      <c r="A1637" s="3" t="s">
        <v>2218</v>
      </c>
      <c r="B1637" t="str">
        <f>VLOOKUP(A1637,Raw_Data!A:L,6,FALSE)</f>
        <v>Iron</v>
      </c>
      <c r="C1637" t="str">
        <f>VLOOKUP(A1637,Raw_Data!A:L,3,FALSE)</f>
        <v>China</v>
      </c>
      <c r="D1637" s="3">
        <f>VLOOKUP(A1637,Raw_Data!A:L,12,FALSE)</f>
        <v>1386</v>
      </c>
      <c r="E1637" s="3">
        <f>VLOOKUP(A1637,Raw_Data!A:L,11,FALSE)</f>
        <v>66</v>
      </c>
      <c r="F1637" t="str">
        <f>TEXT(VLOOKUP(A1637,Raw_Data!A:L,5,FALSE),"mmm")</f>
        <v>Oct</v>
      </c>
    </row>
    <row r="1638" spans="1:6" x14ac:dyDescent="0.35">
      <c r="A1638" s="3" t="s">
        <v>2219</v>
      </c>
      <c r="B1638" t="str">
        <f>VLOOKUP(A1638,Raw_Data!A:L,6,FALSE)</f>
        <v>Ceiling fan</v>
      </c>
      <c r="C1638" t="str">
        <f>VLOOKUP(A1638,Raw_Data!A:L,3,FALSE)</f>
        <v>Netherlands</v>
      </c>
      <c r="D1638" s="3">
        <f>VLOOKUP(A1638,Raw_Data!A:L,12,FALSE)</f>
        <v>6420</v>
      </c>
      <c r="E1638" s="3">
        <f>VLOOKUP(A1638,Raw_Data!A:L,11,FALSE)</f>
        <v>60</v>
      </c>
      <c r="F1638" t="str">
        <f>TEXT(VLOOKUP(A1638,Raw_Data!A:L,5,FALSE),"mmm")</f>
        <v>Aug</v>
      </c>
    </row>
    <row r="1639" spans="1:6" x14ac:dyDescent="0.35">
      <c r="A1639" s="3" t="s">
        <v>2220</v>
      </c>
      <c r="B1639" t="str">
        <f>VLOOKUP(A1639,Raw_Data!A:L,6,FALSE)</f>
        <v>Toaster</v>
      </c>
      <c r="C1639" t="str">
        <f>VLOOKUP(A1639,Raw_Data!A:L,3,FALSE)</f>
        <v>Colombia</v>
      </c>
      <c r="D1639" s="3">
        <f>VLOOKUP(A1639,Raw_Data!A:L,12,FALSE)</f>
        <v>528</v>
      </c>
      <c r="E1639" s="3">
        <f>VLOOKUP(A1639,Raw_Data!A:L,11,FALSE)</f>
        <v>11</v>
      </c>
      <c r="F1639" t="str">
        <f>TEXT(VLOOKUP(A1639,Raw_Data!A:L,5,FALSE),"mmm")</f>
        <v>Nov</v>
      </c>
    </row>
    <row r="1640" spans="1:6" x14ac:dyDescent="0.35">
      <c r="A1640" s="3" t="s">
        <v>2221</v>
      </c>
      <c r="B1640" t="str">
        <f>VLOOKUP(A1640,Raw_Data!A:L,6,FALSE)</f>
        <v>Blender</v>
      </c>
      <c r="C1640" t="str">
        <f>VLOOKUP(A1640,Raw_Data!A:L,3,FALSE)</f>
        <v>Canada</v>
      </c>
      <c r="D1640" s="3">
        <f>VLOOKUP(A1640,Raw_Data!A:L,12,FALSE)</f>
        <v>2205</v>
      </c>
      <c r="E1640" s="3">
        <f>VLOOKUP(A1640,Raw_Data!A:L,11,FALSE)</f>
        <v>49</v>
      </c>
      <c r="F1640" t="str">
        <f>TEXT(VLOOKUP(A1640,Raw_Data!A:L,5,FALSE),"mmm")</f>
        <v>Dec</v>
      </c>
    </row>
    <row r="1641" spans="1:6" x14ac:dyDescent="0.35">
      <c r="A1641" s="3" t="s">
        <v>2223</v>
      </c>
      <c r="B1641" t="str">
        <f>VLOOKUP(A1641,Raw_Data!A:L,6,FALSE)</f>
        <v>Coffee grinder</v>
      </c>
      <c r="C1641" t="str">
        <f>VLOOKUP(A1641,Raw_Data!A:L,3,FALSE)</f>
        <v>Australia</v>
      </c>
      <c r="D1641" s="3">
        <f>VLOOKUP(A1641,Raw_Data!A:L,12,FALSE)</f>
        <v>4624</v>
      </c>
      <c r="E1641" s="3">
        <f>VLOOKUP(A1641,Raw_Data!A:L,11,FALSE)</f>
        <v>68</v>
      </c>
      <c r="F1641" t="str">
        <f>TEXT(VLOOKUP(A1641,Raw_Data!A:L,5,FALSE),"mmm")</f>
        <v>May</v>
      </c>
    </row>
    <row r="1642" spans="1:6" x14ac:dyDescent="0.35">
      <c r="A1642" s="3" t="s">
        <v>2224</v>
      </c>
      <c r="B1642" t="str">
        <f>VLOOKUP(A1642,Raw_Data!A:L,6,FALSE)</f>
        <v>Toaster</v>
      </c>
      <c r="C1642" t="str">
        <f>VLOOKUP(A1642,Raw_Data!A:L,3,FALSE)</f>
        <v>USA</v>
      </c>
      <c r="D1642" s="3">
        <f>VLOOKUP(A1642,Raw_Data!A:L,12,FALSE)</f>
        <v>945</v>
      </c>
      <c r="E1642" s="3">
        <f>VLOOKUP(A1642,Raw_Data!A:L,11,FALSE)</f>
        <v>21</v>
      </c>
      <c r="F1642" t="str">
        <f>TEXT(VLOOKUP(A1642,Raw_Data!A:L,5,FALSE),"mmm")</f>
        <v>Oct</v>
      </c>
    </row>
    <row r="1643" spans="1:6" x14ac:dyDescent="0.35">
      <c r="A1643" s="3" t="s">
        <v>2225</v>
      </c>
      <c r="B1643" t="str">
        <f>VLOOKUP(A1643,Raw_Data!A:L,6,FALSE)</f>
        <v>Toaster</v>
      </c>
      <c r="C1643" t="str">
        <f>VLOOKUP(A1643,Raw_Data!A:L,3,FALSE)</f>
        <v>USA</v>
      </c>
      <c r="D1643" s="3">
        <f>VLOOKUP(A1643,Raw_Data!A:L,12,FALSE)</f>
        <v>3312</v>
      </c>
      <c r="E1643" s="3">
        <f>VLOOKUP(A1643,Raw_Data!A:L,11,FALSE)</f>
        <v>69</v>
      </c>
      <c r="F1643" t="str">
        <f>TEXT(VLOOKUP(A1643,Raw_Data!A:L,5,FALSE),"mmm")</f>
        <v>Jul</v>
      </c>
    </row>
    <row r="1644" spans="1:6" x14ac:dyDescent="0.35">
      <c r="A1644" s="3" t="s">
        <v>2226</v>
      </c>
      <c r="B1644" t="str">
        <f>VLOOKUP(A1644,Raw_Data!A:L,6,FALSE)</f>
        <v>Washing Machine</v>
      </c>
      <c r="C1644" t="str">
        <f>VLOOKUP(A1644,Raw_Data!A:L,3,FALSE)</f>
        <v>Romania</v>
      </c>
      <c r="D1644" s="3">
        <f>VLOOKUP(A1644,Raw_Data!A:L,12,FALSE)</f>
        <v>66176</v>
      </c>
      <c r="E1644" s="3">
        <f>VLOOKUP(A1644,Raw_Data!A:L,11,FALSE)</f>
        <v>94</v>
      </c>
      <c r="F1644" t="str">
        <f>TEXT(VLOOKUP(A1644,Raw_Data!A:L,5,FALSE),"mmm")</f>
        <v>Aug</v>
      </c>
    </row>
    <row r="1645" spans="1:6" x14ac:dyDescent="0.35">
      <c r="A1645" s="3" t="s">
        <v>2227</v>
      </c>
      <c r="B1645" t="str">
        <f>VLOOKUP(A1645,Raw_Data!A:L,6,FALSE)</f>
        <v>Microwave</v>
      </c>
      <c r="C1645" t="str">
        <f>VLOOKUP(A1645,Raw_Data!A:L,3,FALSE)</f>
        <v>Colombia</v>
      </c>
      <c r="D1645" s="3">
        <f>VLOOKUP(A1645,Raw_Data!A:L,12,FALSE)</f>
        <v>2080</v>
      </c>
      <c r="E1645" s="3">
        <f>VLOOKUP(A1645,Raw_Data!A:L,11,FALSE)</f>
        <v>26</v>
      </c>
      <c r="F1645" t="str">
        <f>TEXT(VLOOKUP(A1645,Raw_Data!A:L,5,FALSE),"mmm")</f>
        <v>Aug</v>
      </c>
    </row>
    <row r="1646" spans="1:6" x14ac:dyDescent="0.35">
      <c r="A1646" s="3" t="s">
        <v>2228</v>
      </c>
      <c r="B1646" t="str">
        <f>VLOOKUP(A1646,Raw_Data!A:L,6,FALSE)</f>
        <v>Iron</v>
      </c>
      <c r="C1646" t="str">
        <f>VLOOKUP(A1646,Raw_Data!A:L,3,FALSE)</f>
        <v>Ireland</v>
      </c>
      <c r="D1646" s="3">
        <f>VLOOKUP(A1646,Raw_Data!A:L,12,FALSE)</f>
        <v>570</v>
      </c>
      <c r="E1646" s="3">
        <f>VLOOKUP(A1646,Raw_Data!A:L,11,FALSE)</f>
        <v>19</v>
      </c>
      <c r="F1646" t="str">
        <f>TEXT(VLOOKUP(A1646,Raw_Data!A:L,5,FALSE),"mmm")</f>
        <v>Aug</v>
      </c>
    </row>
    <row r="1647" spans="1:6" x14ac:dyDescent="0.35">
      <c r="A1647" s="3" t="s">
        <v>2229</v>
      </c>
      <c r="B1647" t="str">
        <f>VLOOKUP(A1647,Raw_Data!A:L,6,FALSE)</f>
        <v>Vacuum Cleaner</v>
      </c>
      <c r="C1647" t="str">
        <f>VLOOKUP(A1647,Raw_Data!A:L,3,FALSE)</f>
        <v>Italy</v>
      </c>
      <c r="D1647" s="3">
        <f>VLOOKUP(A1647,Raw_Data!A:L,12,FALSE)</f>
        <v>2720</v>
      </c>
      <c r="E1647" s="3">
        <f>VLOOKUP(A1647,Raw_Data!A:L,11,FALSE)</f>
        <v>17</v>
      </c>
      <c r="F1647" t="str">
        <f>TEXT(VLOOKUP(A1647,Raw_Data!A:L,5,FALSE),"mmm")</f>
        <v>Jan</v>
      </c>
    </row>
    <row r="1648" spans="1:6" x14ac:dyDescent="0.35">
      <c r="A1648" s="3" t="s">
        <v>2230</v>
      </c>
      <c r="B1648" t="str">
        <f>VLOOKUP(A1648,Raw_Data!A:L,6,FALSE)</f>
        <v>Blender</v>
      </c>
      <c r="C1648" t="str">
        <f>VLOOKUP(A1648,Raw_Data!A:L,3,FALSE)</f>
        <v>Ireland</v>
      </c>
      <c r="D1648" s="3">
        <f>VLOOKUP(A1648,Raw_Data!A:L,12,FALSE)</f>
        <v>1806</v>
      </c>
      <c r="E1648" s="3">
        <f>VLOOKUP(A1648,Raw_Data!A:L,11,FALSE)</f>
        <v>42</v>
      </c>
      <c r="F1648" t="str">
        <f>TEXT(VLOOKUP(A1648,Raw_Data!A:L,5,FALSE),"mmm")</f>
        <v>Nov</v>
      </c>
    </row>
    <row r="1649" spans="1:6" x14ac:dyDescent="0.35">
      <c r="A1649" s="3" t="s">
        <v>2231</v>
      </c>
      <c r="B1649" t="str">
        <f>VLOOKUP(A1649,Raw_Data!A:L,6,FALSE)</f>
        <v>Oven</v>
      </c>
      <c r="C1649" t="str">
        <f>VLOOKUP(A1649,Raw_Data!A:L,3,FALSE)</f>
        <v>Ireland</v>
      </c>
      <c r="D1649" s="3">
        <f>VLOOKUP(A1649,Raw_Data!A:L,12,FALSE)</f>
        <v>16830</v>
      </c>
      <c r="E1649" s="3">
        <f>VLOOKUP(A1649,Raw_Data!A:L,11,FALSE)</f>
        <v>34</v>
      </c>
      <c r="F1649" t="str">
        <f>TEXT(VLOOKUP(A1649,Raw_Data!A:L,5,FALSE),"mmm")</f>
        <v>Mar</v>
      </c>
    </row>
    <row r="1650" spans="1:6" x14ac:dyDescent="0.35">
      <c r="A1650" s="3" t="s">
        <v>2232</v>
      </c>
      <c r="B1650" t="str">
        <f>VLOOKUP(A1650,Raw_Data!A:L,6,FALSE)</f>
        <v>Iron</v>
      </c>
      <c r="C1650" t="str">
        <f>VLOOKUP(A1650,Raw_Data!A:L,3,FALSE)</f>
        <v>Spain</v>
      </c>
      <c r="D1650" s="3">
        <f>VLOOKUP(A1650,Raw_Data!A:L,12,FALSE)</f>
        <v>432</v>
      </c>
      <c r="E1650" s="3">
        <f>VLOOKUP(A1650,Raw_Data!A:L,11,FALSE)</f>
        <v>16</v>
      </c>
      <c r="F1650" t="str">
        <f>TEXT(VLOOKUP(A1650,Raw_Data!A:L,5,FALSE),"mmm")</f>
        <v>Jul</v>
      </c>
    </row>
    <row r="1651" spans="1:6" x14ac:dyDescent="0.35">
      <c r="A1651" s="3" t="s">
        <v>2234</v>
      </c>
      <c r="B1651" t="str">
        <f>VLOOKUP(A1651,Raw_Data!A:L,6,FALSE)</f>
        <v>Microwave</v>
      </c>
      <c r="C1651" t="str">
        <f>VLOOKUP(A1651,Raw_Data!A:L,3,FALSE)</f>
        <v>UAE</v>
      </c>
      <c r="D1651" s="3">
        <f>VLOOKUP(A1651,Raw_Data!A:L,12,FALSE)</f>
        <v>5673</v>
      </c>
      <c r="E1651" s="3">
        <f>VLOOKUP(A1651,Raw_Data!A:L,11,FALSE)</f>
        <v>93</v>
      </c>
      <c r="F1651" t="str">
        <f>TEXT(VLOOKUP(A1651,Raw_Data!A:L,5,FALSE),"mmm")</f>
        <v>Oct</v>
      </c>
    </row>
    <row r="1652" spans="1:6" x14ac:dyDescent="0.35">
      <c r="A1652" s="3" t="s">
        <v>2235</v>
      </c>
      <c r="B1652" t="str">
        <f>VLOOKUP(A1652,Raw_Data!A:L,6,FALSE)</f>
        <v>Refrigerator</v>
      </c>
      <c r="C1652" t="str">
        <f>VLOOKUP(A1652,Raw_Data!A:L,3,FALSE)</f>
        <v>USA</v>
      </c>
      <c r="D1652" s="3">
        <f>VLOOKUP(A1652,Raw_Data!A:L,12,FALSE)</f>
        <v>6930</v>
      </c>
      <c r="E1652" s="3">
        <f>VLOOKUP(A1652,Raw_Data!A:L,11,FALSE)</f>
        <v>7</v>
      </c>
      <c r="F1652" t="str">
        <f>TEXT(VLOOKUP(A1652,Raw_Data!A:L,5,FALSE),"mmm")</f>
        <v>Apr</v>
      </c>
    </row>
    <row r="1653" spans="1:6" x14ac:dyDescent="0.35">
      <c r="A1653" s="3" t="s">
        <v>2237</v>
      </c>
      <c r="B1653" t="str">
        <f>VLOOKUP(A1653,Raw_Data!A:L,6,FALSE)</f>
        <v>Toaster</v>
      </c>
      <c r="C1653" t="str">
        <f>VLOOKUP(A1653,Raw_Data!A:L,3,FALSE)</f>
        <v>USA</v>
      </c>
      <c r="D1653" s="3">
        <f>VLOOKUP(A1653,Raw_Data!A:L,12,FALSE)</f>
        <v>1170</v>
      </c>
      <c r="E1653" s="3">
        <f>VLOOKUP(A1653,Raw_Data!A:L,11,FALSE)</f>
        <v>26</v>
      </c>
      <c r="F1653" t="str">
        <f>TEXT(VLOOKUP(A1653,Raw_Data!A:L,5,FALSE),"mmm")</f>
        <v>Sep</v>
      </c>
    </row>
    <row r="1654" spans="1:6" x14ac:dyDescent="0.35">
      <c r="A1654" s="3" t="s">
        <v>2238</v>
      </c>
      <c r="B1654" t="str">
        <f>VLOOKUP(A1654,Raw_Data!A:L,6,FALSE)</f>
        <v>Vacuum Cleaner</v>
      </c>
      <c r="C1654" t="str">
        <f>VLOOKUP(A1654,Raw_Data!A:L,3,FALSE)</f>
        <v>Canada</v>
      </c>
      <c r="D1654" s="3">
        <f>VLOOKUP(A1654,Raw_Data!A:L,12,FALSE)</f>
        <v>15552</v>
      </c>
      <c r="E1654" s="3">
        <f>VLOOKUP(A1654,Raw_Data!A:L,11,FALSE)</f>
        <v>64</v>
      </c>
      <c r="F1654" t="str">
        <f>TEXT(VLOOKUP(A1654,Raw_Data!A:L,5,FALSE),"mmm")</f>
        <v>Nov</v>
      </c>
    </row>
    <row r="1655" spans="1:6" x14ac:dyDescent="0.35">
      <c r="A1655" s="3" t="s">
        <v>2240</v>
      </c>
      <c r="B1655" t="str">
        <f>VLOOKUP(A1655,Raw_Data!A:L,6,FALSE)</f>
        <v>Microwave</v>
      </c>
      <c r="C1655" t="str">
        <f>VLOOKUP(A1655,Raw_Data!A:L,3,FALSE)</f>
        <v>France</v>
      </c>
      <c r="D1655" s="3">
        <f>VLOOKUP(A1655,Raw_Data!A:L,12,FALSE)</f>
        <v>318</v>
      </c>
      <c r="E1655" s="3">
        <f>VLOOKUP(A1655,Raw_Data!A:L,11,FALSE)</f>
        <v>6</v>
      </c>
      <c r="F1655" t="str">
        <f>TEXT(VLOOKUP(A1655,Raw_Data!A:L,5,FALSE),"mmm")</f>
        <v>Sep</v>
      </c>
    </row>
    <row r="1656" spans="1:6" x14ac:dyDescent="0.35">
      <c r="A1656" s="3" t="s">
        <v>2241</v>
      </c>
      <c r="B1656" t="str">
        <f>VLOOKUP(A1656,Raw_Data!A:L,6,FALSE)</f>
        <v>Refrigerator</v>
      </c>
      <c r="C1656" t="str">
        <f>VLOOKUP(A1656,Raw_Data!A:L,3,FALSE)</f>
        <v>Brazil</v>
      </c>
      <c r="D1656" s="3">
        <f>VLOOKUP(A1656,Raw_Data!A:L,12,FALSE)</f>
        <v>31270</v>
      </c>
      <c r="E1656" s="3">
        <f>VLOOKUP(A1656,Raw_Data!A:L,11,FALSE)</f>
        <v>53</v>
      </c>
      <c r="F1656" t="str">
        <f>TEXT(VLOOKUP(A1656,Raw_Data!A:L,5,FALSE),"mmm")</f>
        <v>Jan</v>
      </c>
    </row>
    <row r="1657" spans="1:6" x14ac:dyDescent="0.35">
      <c r="A1657" s="3" t="s">
        <v>2242</v>
      </c>
      <c r="B1657" t="str">
        <f>VLOOKUP(A1657,Raw_Data!A:L,6,FALSE)</f>
        <v>Ceiling fan</v>
      </c>
      <c r="C1657" t="str">
        <f>VLOOKUP(A1657,Raw_Data!A:L,3,FALSE)</f>
        <v>India</v>
      </c>
      <c r="D1657" s="3">
        <f>VLOOKUP(A1657,Raw_Data!A:L,12,FALSE)</f>
        <v>6486</v>
      </c>
      <c r="E1657" s="3">
        <f>VLOOKUP(A1657,Raw_Data!A:L,11,FALSE)</f>
        <v>47</v>
      </c>
      <c r="F1657" t="str">
        <f>TEXT(VLOOKUP(A1657,Raw_Data!A:L,5,FALSE),"mmm")</f>
        <v>May</v>
      </c>
    </row>
    <row r="1658" spans="1:6" x14ac:dyDescent="0.35">
      <c r="A1658" s="3" t="s">
        <v>2243</v>
      </c>
      <c r="B1658" t="str">
        <f>VLOOKUP(A1658,Raw_Data!A:L,6,FALSE)</f>
        <v>Air conditioner</v>
      </c>
      <c r="C1658" t="str">
        <f>VLOOKUP(A1658,Raw_Data!A:L,3,FALSE)</f>
        <v>USA</v>
      </c>
      <c r="D1658" s="3">
        <f>VLOOKUP(A1658,Raw_Data!A:L,12,FALSE)</f>
        <v>10640</v>
      </c>
      <c r="E1658" s="3">
        <f>VLOOKUP(A1658,Raw_Data!A:L,11,FALSE)</f>
        <v>19</v>
      </c>
      <c r="F1658" t="str">
        <f>TEXT(VLOOKUP(A1658,Raw_Data!A:L,5,FALSE),"mmm")</f>
        <v>Mar</v>
      </c>
    </row>
    <row r="1659" spans="1:6" x14ac:dyDescent="0.35">
      <c r="A1659" s="3" t="s">
        <v>2246</v>
      </c>
      <c r="B1659" t="str">
        <f>VLOOKUP(A1659,Raw_Data!A:L,6,FALSE)</f>
        <v>Washing Machine</v>
      </c>
      <c r="C1659" t="str">
        <f>VLOOKUP(A1659,Raw_Data!A:L,3,FALSE)</f>
        <v>USA</v>
      </c>
      <c r="D1659" s="3">
        <f>VLOOKUP(A1659,Raw_Data!A:L,12,FALSE)</f>
        <v>18432</v>
      </c>
      <c r="E1659" s="3">
        <f>VLOOKUP(A1659,Raw_Data!A:L,11,FALSE)</f>
        <v>36</v>
      </c>
      <c r="F1659" t="str">
        <f>TEXT(VLOOKUP(A1659,Raw_Data!A:L,5,FALSE),"mmm")</f>
        <v>Aug</v>
      </c>
    </row>
    <row r="1660" spans="1:6" x14ac:dyDescent="0.35">
      <c r="A1660" s="3" t="s">
        <v>2247</v>
      </c>
      <c r="B1660" t="str">
        <f>VLOOKUP(A1660,Raw_Data!A:L,6,FALSE)</f>
        <v>Iron</v>
      </c>
      <c r="C1660" t="str">
        <f>VLOOKUP(A1660,Raw_Data!A:L,3,FALSE)</f>
        <v>Romania</v>
      </c>
      <c r="D1660" s="3">
        <f>VLOOKUP(A1660,Raw_Data!A:L,12,FALSE)</f>
        <v>203</v>
      </c>
      <c r="E1660" s="3">
        <f>VLOOKUP(A1660,Raw_Data!A:L,11,FALSE)</f>
        <v>7</v>
      </c>
      <c r="F1660" t="str">
        <f>TEXT(VLOOKUP(A1660,Raw_Data!A:L,5,FALSE),"mmm")</f>
        <v>May</v>
      </c>
    </row>
    <row r="1661" spans="1:6" x14ac:dyDescent="0.35">
      <c r="A1661" s="3" t="s">
        <v>2248</v>
      </c>
      <c r="B1661" t="str">
        <f>VLOOKUP(A1661,Raw_Data!A:L,6,FALSE)</f>
        <v>Ceiling fan</v>
      </c>
      <c r="C1661" t="str">
        <f>VLOOKUP(A1661,Raw_Data!A:L,3,FALSE)</f>
        <v>Thailand</v>
      </c>
      <c r="D1661" s="3">
        <f>VLOOKUP(A1661,Raw_Data!A:L,12,FALSE)</f>
        <v>4032</v>
      </c>
      <c r="E1661" s="3">
        <f>VLOOKUP(A1661,Raw_Data!A:L,11,FALSE)</f>
        <v>28</v>
      </c>
      <c r="F1661" t="str">
        <f>TEXT(VLOOKUP(A1661,Raw_Data!A:L,5,FALSE),"mmm")</f>
        <v>Feb</v>
      </c>
    </row>
    <row r="1662" spans="1:6" x14ac:dyDescent="0.35">
      <c r="A1662" s="3" t="s">
        <v>2249</v>
      </c>
      <c r="B1662" t="str">
        <f>VLOOKUP(A1662,Raw_Data!A:L,6,FALSE)</f>
        <v>Coffee grinder</v>
      </c>
      <c r="C1662" t="str">
        <f>VLOOKUP(A1662,Raw_Data!A:L,3,FALSE)</f>
        <v>Mexico</v>
      </c>
      <c r="D1662" s="3">
        <f>VLOOKUP(A1662,Raw_Data!A:L,12,FALSE)</f>
        <v>140</v>
      </c>
      <c r="E1662" s="3">
        <f>VLOOKUP(A1662,Raw_Data!A:L,11,FALSE)</f>
        <v>2</v>
      </c>
      <c r="F1662" t="str">
        <f>TEXT(VLOOKUP(A1662,Raw_Data!A:L,5,FALSE),"mmm")</f>
        <v>Aug</v>
      </c>
    </row>
    <row r="1663" spans="1:6" x14ac:dyDescent="0.35">
      <c r="A1663" s="3" t="s">
        <v>2250</v>
      </c>
      <c r="B1663" t="str">
        <f>VLOOKUP(A1663,Raw_Data!A:L,6,FALSE)</f>
        <v>Dishwasher</v>
      </c>
      <c r="C1663" t="str">
        <f>VLOOKUP(A1663,Raw_Data!A:L,3,FALSE)</f>
        <v>Austria</v>
      </c>
      <c r="D1663" s="3">
        <f>VLOOKUP(A1663,Raw_Data!A:L,12,FALSE)</f>
        <v>3760</v>
      </c>
      <c r="E1663" s="3">
        <f>VLOOKUP(A1663,Raw_Data!A:L,11,FALSE)</f>
        <v>8</v>
      </c>
      <c r="F1663" t="str">
        <f>TEXT(VLOOKUP(A1663,Raw_Data!A:L,5,FALSE),"mmm")</f>
        <v>Dec</v>
      </c>
    </row>
    <row r="1664" spans="1:6" x14ac:dyDescent="0.35">
      <c r="A1664" s="3" t="s">
        <v>2251</v>
      </c>
      <c r="B1664" t="str">
        <f>VLOOKUP(A1664,Raw_Data!A:L,6,FALSE)</f>
        <v>Dishwasher</v>
      </c>
      <c r="C1664" t="str">
        <f>VLOOKUP(A1664,Raw_Data!A:L,3,FALSE)</f>
        <v>Japan</v>
      </c>
      <c r="D1664" s="3">
        <f>VLOOKUP(A1664,Raw_Data!A:L,12,FALSE)</f>
        <v>4320</v>
      </c>
      <c r="E1664" s="3">
        <f>VLOOKUP(A1664,Raw_Data!A:L,11,FALSE)</f>
        <v>9</v>
      </c>
      <c r="F1664" t="str">
        <f>TEXT(VLOOKUP(A1664,Raw_Data!A:L,5,FALSE),"mmm")</f>
        <v>Jul</v>
      </c>
    </row>
    <row r="1665" spans="1:6" x14ac:dyDescent="0.35">
      <c r="A1665" s="3" t="s">
        <v>2252</v>
      </c>
      <c r="B1665" t="str">
        <f>VLOOKUP(A1665,Raw_Data!A:L,6,FALSE)</f>
        <v>Dishwasher</v>
      </c>
      <c r="C1665" t="str">
        <f>VLOOKUP(A1665,Raw_Data!A:L,3,FALSE)</f>
        <v>China</v>
      </c>
      <c r="D1665" s="3">
        <f>VLOOKUP(A1665,Raw_Data!A:L,12,FALSE)</f>
        <v>43065</v>
      </c>
      <c r="E1665" s="3">
        <f>VLOOKUP(A1665,Raw_Data!A:L,11,FALSE)</f>
        <v>99</v>
      </c>
      <c r="F1665" t="str">
        <f>TEXT(VLOOKUP(A1665,Raw_Data!A:L,5,FALSE),"mmm")</f>
        <v>Dec</v>
      </c>
    </row>
    <row r="1666" spans="1:6" x14ac:dyDescent="0.35">
      <c r="A1666" s="3" t="s">
        <v>2253</v>
      </c>
      <c r="B1666" t="str">
        <f>VLOOKUP(A1666,Raw_Data!A:L,6,FALSE)</f>
        <v>Iron</v>
      </c>
      <c r="C1666" t="str">
        <f>VLOOKUP(A1666,Raw_Data!A:L,3,FALSE)</f>
        <v>Greece</v>
      </c>
      <c r="D1666" s="3">
        <f>VLOOKUP(A1666,Raw_Data!A:L,12,FALSE)</f>
        <v>675</v>
      </c>
      <c r="E1666" s="3">
        <f>VLOOKUP(A1666,Raw_Data!A:L,11,FALSE)</f>
        <v>25</v>
      </c>
      <c r="F1666" t="str">
        <f>TEXT(VLOOKUP(A1666,Raw_Data!A:L,5,FALSE),"mmm")</f>
        <v>Oct</v>
      </c>
    </row>
    <row r="1667" spans="1:6" x14ac:dyDescent="0.35">
      <c r="A1667" s="3" t="s">
        <v>2254</v>
      </c>
      <c r="B1667" t="str">
        <f>VLOOKUP(A1667,Raw_Data!A:L,6,FALSE)</f>
        <v>Refrigerator</v>
      </c>
      <c r="C1667" t="str">
        <f>VLOOKUP(A1667,Raw_Data!A:L,3,FALSE)</f>
        <v>Malaysia</v>
      </c>
      <c r="D1667" s="3">
        <f>VLOOKUP(A1667,Raw_Data!A:L,12,FALSE)</f>
        <v>21390</v>
      </c>
      <c r="E1667" s="3">
        <f>VLOOKUP(A1667,Raw_Data!A:L,11,FALSE)</f>
        <v>23</v>
      </c>
      <c r="F1667" t="str">
        <f>TEXT(VLOOKUP(A1667,Raw_Data!A:L,5,FALSE),"mmm")</f>
        <v>Aug</v>
      </c>
    </row>
    <row r="1668" spans="1:6" x14ac:dyDescent="0.35">
      <c r="A1668" s="3" t="s">
        <v>2255</v>
      </c>
      <c r="B1668" t="str">
        <f>VLOOKUP(A1668,Raw_Data!A:L,6,FALSE)</f>
        <v>Coffee grinder</v>
      </c>
      <c r="C1668" t="str">
        <f>VLOOKUP(A1668,Raw_Data!A:L,3,FALSE)</f>
        <v>Romania</v>
      </c>
      <c r="D1668" s="3">
        <f>VLOOKUP(A1668,Raw_Data!A:L,12,FALSE)</f>
        <v>1564</v>
      </c>
      <c r="E1668" s="3">
        <f>VLOOKUP(A1668,Raw_Data!A:L,11,FALSE)</f>
        <v>23</v>
      </c>
      <c r="F1668" t="str">
        <f>TEXT(VLOOKUP(A1668,Raw_Data!A:L,5,FALSE),"mmm")</f>
        <v>Feb</v>
      </c>
    </row>
    <row r="1669" spans="1:6" x14ac:dyDescent="0.35">
      <c r="A1669" s="3" t="s">
        <v>2256</v>
      </c>
      <c r="B1669" t="str">
        <f>VLOOKUP(A1669,Raw_Data!A:L,6,FALSE)</f>
        <v>Dishwasher</v>
      </c>
      <c r="C1669" t="str">
        <f>VLOOKUP(A1669,Raw_Data!A:L,3,FALSE)</f>
        <v>Egypt</v>
      </c>
      <c r="D1669" s="3">
        <f>VLOOKUP(A1669,Raw_Data!A:L,12,FALSE)</f>
        <v>9660</v>
      </c>
      <c r="E1669" s="3">
        <f>VLOOKUP(A1669,Raw_Data!A:L,11,FALSE)</f>
        <v>21</v>
      </c>
      <c r="F1669" t="str">
        <f>TEXT(VLOOKUP(A1669,Raw_Data!A:L,5,FALSE),"mmm")</f>
        <v>Mar</v>
      </c>
    </row>
    <row r="1670" spans="1:6" x14ac:dyDescent="0.35">
      <c r="A1670" s="3" t="s">
        <v>2257</v>
      </c>
      <c r="B1670" t="str">
        <f>VLOOKUP(A1670,Raw_Data!A:L,6,FALSE)</f>
        <v>Vacuum Cleaner</v>
      </c>
      <c r="C1670" t="str">
        <f>VLOOKUP(A1670,Raw_Data!A:L,3,FALSE)</f>
        <v>Czech Republic</v>
      </c>
      <c r="D1670" s="3">
        <f>VLOOKUP(A1670,Raw_Data!A:L,12,FALSE)</f>
        <v>8848</v>
      </c>
      <c r="E1670" s="3">
        <f>VLOOKUP(A1670,Raw_Data!A:L,11,FALSE)</f>
        <v>56</v>
      </c>
      <c r="F1670" t="str">
        <f>TEXT(VLOOKUP(A1670,Raw_Data!A:L,5,FALSE),"mmm")</f>
        <v>Sep</v>
      </c>
    </row>
    <row r="1671" spans="1:6" x14ac:dyDescent="0.35">
      <c r="A1671" s="3" t="s">
        <v>2258</v>
      </c>
      <c r="B1671" t="str">
        <f>VLOOKUP(A1671,Raw_Data!A:L,6,FALSE)</f>
        <v>Air conditioner</v>
      </c>
      <c r="C1671" t="str">
        <f>VLOOKUP(A1671,Raw_Data!A:L,3,FALSE)</f>
        <v>USA</v>
      </c>
      <c r="D1671" s="3">
        <f>VLOOKUP(A1671,Raw_Data!A:L,12,FALSE)</f>
        <v>59220</v>
      </c>
      <c r="E1671" s="3">
        <f>VLOOKUP(A1671,Raw_Data!A:L,11,FALSE)</f>
        <v>90</v>
      </c>
      <c r="F1671" t="str">
        <f>TEXT(VLOOKUP(A1671,Raw_Data!A:L,5,FALSE),"mmm")</f>
        <v>Aug</v>
      </c>
    </row>
    <row r="1672" spans="1:6" x14ac:dyDescent="0.35">
      <c r="A1672" s="3" t="s">
        <v>2259</v>
      </c>
      <c r="B1672" t="str">
        <f>VLOOKUP(A1672,Raw_Data!A:L,6,FALSE)</f>
        <v>Vacuum Cleaner</v>
      </c>
      <c r="C1672" t="str">
        <f>VLOOKUP(A1672,Raw_Data!A:L,3,FALSE)</f>
        <v>Austria</v>
      </c>
      <c r="D1672" s="3">
        <f>VLOOKUP(A1672,Raw_Data!A:L,12,FALSE)</f>
        <v>2314</v>
      </c>
      <c r="E1672" s="3">
        <f>VLOOKUP(A1672,Raw_Data!A:L,11,FALSE)</f>
        <v>13</v>
      </c>
      <c r="F1672" t="str">
        <f>TEXT(VLOOKUP(A1672,Raw_Data!A:L,5,FALSE),"mmm")</f>
        <v>Apr</v>
      </c>
    </row>
    <row r="1673" spans="1:6" x14ac:dyDescent="0.35">
      <c r="A1673" s="3" t="s">
        <v>2260</v>
      </c>
      <c r="B1673" t="str">
        <f>VLOOKUP(A1673,Raw_Data!A:L,6,FALSE)</f>
        <v>Vacuum Cleaner</v>
      </c>
      <c r="C1673" t="str">
        <f>VLOOKUP(A1673,Raw_Data!A:L,3,FALSE)</f>
        <v>South Korea</v>
      </c>
      <c r="D1673" s="3">
        <f>VLOOKUP(A1673,Raw_Data!A:L,12,FALSE)</f>
        <v>9360</v>
      </c>
      <c r="E1673" s="3">
        <f>VLOOKUP(A1673,Raw_Data!A:L,11,FALSE)</f>
        <v>39</v>
      </c>
      <c r="F1673" t="str">
        <f>TEXT(VLOOKUP(A1673,Raw_Data!A:L,5,FALSE),"mmm")</f>
        <v>May</v>
      </c>
    </row>
    <row r="1674" spans="1:6" x14ac:dyDescent="0.35">
      <c r="A1674" s="3" t="s">
        <v>2261</v>
      </c>
      <c r="B1674" t="str">
        <f>VLOOKUP(A1674,Raw_Data!A:L,6,FALSE)</f>
        <v>Vacuum Cleaner</v>
      </c>
      <c r="C1674" t="str">
        <f>VLOOKUP(A1674,Raw_Data!A:L,3,FALSE)</f>
        <v>Argentina</v>
      </c>
      <c r="D1674" s="3">
        <f>VLOOKUP(A1674,Raw_Data!A:L,12,FALSE)</f>
        <v>21870</v>
      </c>
      <c r="E1674" s="3">
        <f>VLOOKUP(A1674,Raw_Data!A:L,11,FALSE)</f>
        <v>90</v>
      </c>
      <c r="F1674" t="str">
        <f>TEXT(VLOOKUP(A1674,Raw_Data!A:L,5,FALSE),"mmm")</f>
        <v>Jan</v>
      </c>
    </row>
    <row r="1675" spans="1:6" x14ac:dyDescent="0.35">
      <c r="A1675" s="3" t="s">
        <v>2262</v>
      </c>
      <c r="B1675" t="str">
        <f>VLOOKUP(A1675,Raw_Data!A:L,6,FALSE)</f>
        <v>Refrigerator</v>
      </c>
      <c r="C1675" t="str">
        <f>VLOOKUP(A1675,Raw_Data!A:L,3,FALSE)</f>
        <v>India</v>
      </c>
      <c r="D1675" s="3">
        <f>VLOOKUP(A1675,Raw_Data!A:L,12,FALSE)</f>
        <v>10530</v>
      </c>
      <c r="E1675" s="3">
        <f>VLOOKUP(A1675,Raw_Data!A:L,11,FALSE)</f>
        <v>13</v>
      </c>
      <c r="F1675" t="str">
        <f>TEXT(VLOOKUP(A1675,Raw_Data!A:L,5,FALSE),"mmm")</f>
        <v>Mar</v>
      </c>
    </row>
    <row r="1676" spans="1:6" x14ac:dyDescent="0.35">
      <c r="A1676" s="3" t="s">
        <v>2263</v>
      </c>
      <c r="B1676" t="str">
        <f>VLOOKUP(A1676,Raw_Data!A:L,6,FALSE)</f>
        <v>Refrigerator</v>
      </c>
      <c r="C1676" t="str">
        <f>VLOOKUP(A1676,Raw_Data!A:L,3,FALSE)</f>
        <v>India</v>
      </c>
      <c r="D1676" s="3">
        <f>VLOOKUP(A1676,Raw_Data!A:L,12,FALSE)</f>
        <v>9800</v>
      </c>
      <c r="E1676" s="3">
        <f>VLOOKUP(A1676,Raw_Data!A:L,11,FALSE)</f>
        <v>14</v>
      </c>
      <c r="F1676" t="str">
        <f>TEXT(VLOOKUP(A1676,Raw_Data!A:L,5,FALSE),"mmm")</f>
        <v>Apr</v>
      </c>
    </row>
    <row r="1677" spans="1:6" x14ac:dyDescent="0.35">
      <c r="A1677" s="3" t="s">
        <v>2264</v>
      </c>
      <c r="B1677" t="str">
        <f>VLOOKUP(A1677,Raw_Data!A:L,6,FALSE)</f>
        <v>Iron</v>
      </c>
      <c r="C1677" t="str">
        <f>VLOOKUP(A1677,Raw_Data!A:L,3,FALSE)</f>
        <v>Netherlands</v>
      </c>
      <c r="D1677" s="3">
        <f>VLOOKUP(A1677,Raw_Data!A:L,12,FALSE)</f>
        <v>667</v>
      </c>
      <c r="E1677" s="3">
        <f>VLOOKUP(A1677,Raw_Data!A:L,11,FALSE)</f>
        <v>23</v>
      </c>
      <c r="F1677" t="str">
        <f>TEXT(VLOOKUP(A1677,Raw_Data!A:L,5,FALSE),"mmm")</f>
        <v>Mar</v>
      </c>
    </row>
    <row r="1678" spans="1:6" x14ac:dyDescent="0.35">
      <c r="A1678" s="3" t="s">
        <v>2265</v>
      </c>
      <c r="B1678" t="str">
        <f>VLOOKUP(A1678,Raw_Data!A:L,6,FALSE)</f>
        <v>Refrigerator</v>
      </c>
      <c r="C1678" t="str">
        <f>VLOOKUP(A1678,Raw_Data!A:L,3,FALSE)</f>
        <v>Czech Republic</v>
      </c>
      <c r="D1678" s="3">
        <f>VLOOKUP(A1678,Raw_Data!A:L,12,FALSE)</f>
        <v>90090</v>
      </c>
      <c r="E1678" s="3">
        <f>VLOOKUP(A1678,Raw_Data!A:L,11,FALSE)</f>
        <v>99</v>
      </c>
      <c r="F1678" t="str">
        <f>TEXT(VLOOKUP(A1678,Raw_Data!A:L,5,FALSE),"mmm")</f>
        <v>Feb</v>
      </c>
    </row>
    <row r="1679" spans="1:6" x14ac:dyDescent="0.35">
      <c r="A1679" s="3" t="s">
        <v>2266</v>
      </c>
      <c r="B1679" t="str">
        <f>VLOOKUP(A1679,Raw_Data!A:L,6,FALSE)</f>
        <v>Washing Machine</v>
      </c>
      <c r="C1679" t="str">
        <f>VLOOKUP(A1679,Raw_Data!A:L,3,FALSE)</f>
        <v>Mexico</v>
      </c>
      <c r="D1679" s="3">
        <f>VLOOKUP(A1679,Raw_Data!A:L,12,FALSE)</f>
        <v>10304</v>
      </c>
      <c r="E1679" s="3">
        <f>VLOOKUP(A1679,Raw_Data!A:L,11,FALSE)</f>
        <v>23</v>
      </c>
      <c r="F1679" t="str">
        <f>TEXT(VLOOKUP(A1679,Raw_Data!A:L,5,FALSE),"mmm")</f>
        <v>Sep</v>
      </c>
    </row>
    <row r="1680" spans="1:6" x14ac:dyDescent="0.35">
      <c r="A1680" s="3" t="s">
        <v>2267</v>
      </c>
      <c r="B1680" t="str">
        <f>VLOOKUP(A1680,Raw_Data!A:L,6,FALSE)</f>
        <v>Microwave</v>
      </c>
      <c r="C1680" t="str">
        <f>VLOOKUP(A1680,Raw_Data!A:L,3,FALSE)</f>
        <v>Italy</v>
      </c>
      <c r="D1680" s="3">
        <f>VLOOKUP(A1680,Raw_Data!A:L,12,FALSE)</f>
        <v>7128</v>
      </c>
      <c r="E1680" s="3">
        <f>VLOOKUP(A1680,Raw_Data!A:L,11,FALSE)</f>
        <v>99</v>
      </c>
      <c r="F1680" t="str">
        <f>TEXT(VLOOKUP(A1680,Raw_Data!A:L,5,FALSE),"mmm")</f>
        <v>Jun</v>
      </c>
    </row>
    <row r="1681" spans="1:6" x14ac:dyDescent="0.35">
      <c r="A1681" s="3" t="s">
        <v>2268</v>
      </c>
      <c r="B1681" t="str">
        <f>VLOOKUP(A1681,Raw_Data!A:L,6,FALSE)</f>
        <v>Iron</v>
      </c>
      <c r="C1681" t="str">
        <f>VLOOKUP(A1681,Raw_Data!A:L,3,FALSE)</f>
        <v>China</v>
      </c>
      <c r="D1681" s="3">
        <f>VLOOKUP(A1681,Raw_Data!A:L,12,FALSE)</f>
        <v>598</v>
      </c>
      <c r="E1681" s="3">
        <f>VLOOKUP(A1681,Raw_Data!A:L,11,FALSE)</f>
        <v>26</v>
      </c>
      <c r="F1681" t="str">
        <f>TEXT(VLOOKUP(A1681,Raw_Data!A:L,5,FALSE),"mmm")</f>
        <v>Nov</v>
      </c>
    </row>
    <row r="1682" spans="1:6" x14ac:dyDescent="0.35">
      <c r="A1682" s="3" t="s">
        <v>2269</v>
      </c>
      <c r="B1682" t="str">
        <f>VLOOKUP(A1682,Raw_Data!A:L,6,FALSE)</f>
        <v>Iron</v>
      </c>
      <c r="C1682" t="str">
        <f>VLOOKUP(A1682,Raw_Data!A:L,3,FALSE)</f>
        <v>Mexico</v>
      </c>
      <c r="D1682" s="3">
        <f>VLOOKUP(A1682,Raw_Data!A:L,12,FALSE)</f>
        <v>2490</v>
      </c>
      <c r="E1682" s="3">
        <f>VLOOKUP(A1682,Raw_Data!A:L,11,FALSE)</f>
        <v>83</v>
      </c>
      <c r="F1682" t="str">
        <f>TEXT(VLOOKUP(A1682,Raw_Data!A:L,5,FALSE),"mmm")</f>
        <v>Jan</v>
      </c>
    </row>
    <row r="1683" spans="1:6" x14ac:dyDescent="0.35">
      <c r="A1683" s="3" t="s">
        <v>2270</v>
      </c>
      <c r="B1683" t="str">
        <f>VLOOKUP(A1683,Raw_Data!A:L,6,FALSE)</f>
        <v>Iron</v>
      </c>
      <c r="C1683" t="str">
        <f>VLOOKUP(A1683,Raw_Data!A:L,3,FALSE)</f>
        <v>France</v>
      </c>
      <c r="D1683" s="3">
        <f>VLOOKUP(A1683,Raw_Data!A:L,12,FALSE)</f>
        <v>2576</v>
      </c>
      <c r="E1683" s="3">
        <f>VLOOKUP(A1683,Raw_Data!A:L,11,FALSE)</f>
        <v>92</v>
      </c>
      <c r="F1683" t="str">
        <f>TEXT(VLOOKUP(A1683,Raw_Data!A:L,5,FALSE),"mmm")</f>
        <v>Apr</v>
      </c>
    </row>
    <row r="1684" spans="1:6" x14ac:dyDescent="0.35">
      <c r="A1684" s="3" t="s">
        <v>2271</v>
      </c>
      <c r="B1684" t="str">
        <f>VLOOKUP(A1684,Raw_Data!A:L,6,FALSE)</f>
        <v>Vacuum Cleaner</v>
      </c>
      <c r="C1684" t="str">
        <f>VLOOKUP(A1684,Raw_Data!A:L,3,FALSE)</f>
        <v>India</v>
      </c>
      <c r="D1684" s="3">
        <f>VLOOKUP(A1684,Raw_Data!A:L,12,FALSE)</f>
        <v>1760</v>
      </c>
      <c r="E1684" s="3">
        <f>VLOOKUP(A1684,Raw_Data!A:L,11,FALSE)</f>
        <v>8</v>
      </c>
      <c r="F1684" t="str">
        <f>TEXT(VLOOKUP(A1684,Raw_Data!A:L,5,FALSE),"mmm")</f>
        <v>Aug</v>
      </c>
    </row>
    <row r="1685" spans="1:6" x14ac:dyDescent="0.35">
      <c r="A1685" s="3" t="s">
        <v>2272</v>
      </c>
      <c r="B1685" t="str">
        <f>VLOOKUP(A1685,Raw_Data!A:L,6,FALSE)</f>
        <v>Vacuum Cleaner</v>
      </c>
      <c r="C1685" t="str">
        <f>VLOOKUP(A1685,Raw_Data!A:L,3,FALSE)</f>
        <v>China</v>
      </c>
      <c r="D1685" s="3">
        <f>VLOOKUP(A1685,Raw_Data!A:L,12,FALSE)</f>
        <v>12750</v>
      </c>
      <c r="E1685" s="3">
        <f>VLOOKUP(A1685,Raw_Data!A:L,11,FALSE)</f>
        <v>51</v>
      </c>
      <c r="F1685" t="str">
        <f>TEXT(VLOOKUP(A1685,Raw_Data!A:L,5,FALSE),"mmm")</f>
        <v>May</v>
      </c>
    </row>
    <row r="1686" spans="1:6" x14ac:dyDescent="0.35">
      <c r="A1686" s="3" t="s">
        <v>2273</v>
      </c>
      <c r="B1686" t="str">
        <f>VLOOKUP(A1686,Raw_Data!A:L,6,FALSE)</f>
        <v>Oven</v>
      </c>
      <c r="C1686" t="str">
        <f>VLOOKUP(A1686,Raw_Data!A:L,3,FALSE)</f>
        <v>Mexico</v>
      </c>
      <c r="D1686" s="3">
        <f>VLOOKUP(A1686,Raw_Data!A:L,12,FALSE)</f>
        <v>18130</v>
      </c>
      <c r="E1686" s="3">
        <f>VLOOKUP(A1686,Raw_Data!A:L,11,FALSE)</f>
        <v>37</v>
      </c>
      <c r="F1686" t="str">
        <f>TEXT(VLOOKUP(A1686,Raw_Data!A:L,5,FALSE),"mmm")</f>
        <v>Sep</v>
      </c>
    </row>
    <row r="1687" spans="1:6" x14ac:dyDescent="0.35">
      <c r="A1687" s="3" t="s">
        <v>2274</v>
      </c>
      <c r="B1687" t="str">
        <f>VLOOKUP(A1687,Raw_Data!A:L,6,FALSE)</f>
        <v>Air conditioner</v>
      </c>
      <c r="C1687" t="str">
        <f>VLOOKUP(A1687,Raw_Data!A:L,3,FALSE)</f>
        <v>USA</v>
      </c>
      <c r="D1687" s="3">
        <f>VLOOKUP(A1687,Raw_Data!A:L,12,FALSE)</f>
        <v>44590</v>
      </c>
      <c r="E1687" s="3">
        <f>VLOOKUP(A1687,Raw_Data!A:L,11,FALSE)</f>
        <v>70</v>
      </c>
      <c r="F1687" t="str">
        <f>TEXT(VLOOKUP(A1687,Raw_Data!A:L,5,FALSE),"mmm")</f>
        <v>Jun</v>
      </c>
    </row>
    <row r="1688" spans="1:6" x14ac:dyDescent="0.35">
      <c r="A1688" s="3" t="s">
        <v>2275</v>
      </c>
      <c r="B1688" t="str">
        <f>VLOOKUP(A1688,Raw_Data!A:L,6,FALSE)</f>
        <v>Air conditioner</v>
      </c>
      <c r="C1688" t="str">
        <f>VLOOKUP(A1688,Raw_Data!A:L,3,FALSE)</f>
        <v>China</v>
      </c>
      <c r="D1688" s="3">
        <f>VLOOKUP(A1688,Raw_Data!A:L,12,FALSE)</f>
        <v>40061</v>
      </c>
      <c r="E1688" s="3">
        <f>VLOOKUP(A1688,Raw_Data!A:L,11,FALSE)</f>
        <v>59</v>
      </c>
      <c r="F1688" t="str">
        <f>TEXT(VLOOKUP(A1688,Raw_Data!A:L,5,FALSE),"mmm")</f>
        <v>Jul</v>
      </c>
    </row>
    <row r="1689" spans="1:6" x14ac:dyDescent="0.35">
      <c r="A1689" s="3" t="s">
        <v>2276</v>
      </c>
      <c r="B1689" t="str">
        <f>VLOOKUP(A1689,Raw_Data!A:L,6,FALSE)</f>
        <v>Iron</v>
      </c>
      <c r="C1689" t="str">
        <f>VLOOKUP(A1689,Raw_Data!A:L,3,FALSE)</f>
        <v>USA</v>
      </c>
      <c r="D1689" s="3">
        <f>VLOOKUP(A1689,Raw_Data!A:L,12,FALSE)</f>
        <v>2268</v>
      </c>
      <c r="E1689" s="3">
        <f>VLOOKUP(A1689,Raw_Data!A:L,11,FALSE)</f>
        <v>81</v>
      </c>
      <c r="F1689" t="str">
        <f>TEXT(VLOOKUP(A1689,Raw_Data!A:L,5,FALSE),"mmm")</f>
        <v>Nov</v>
      </c>
    </row>
    <row r="1690" spans="1:6" x14ac:dyDescent="0.35">
      <c r="A1690" s="3" t="s">
        <v>2277</v>
      </c>
      <c r="B1690" t="str">
        <f>VLOOKUP(A1690,Raw_Data!A:L,6,FALSE)</f>
        <v>Microwave</v>
      </c>
      <c r="C1690" t="str">
        <f>VLOOKUP(A1690,Raw_Data!A:L,3,FALSE)</f>
        <v>Israel</v>
      </c>
      <c r="D1690" s="3">
        <f>VLOOKUP(A1690,Raw_Data!A:L,12,FALSE)</f>
        <v>3990</v>
      </c>
      <c r="E1690" s="3">
        <f>VLOOKUP(A1690,Raw_Data!A:L,11,FALSE)</f>
        <v>57</v>
      </c>
      <c r="F1690" t="str">
        <f>TEXT(VLOOKUP(A1690,Raw_Data!A:L,5,FALSE),"mmm")</f>
        <v>Nov</v>
      </c>
    </row>
    <row r="1691" spans="1:6" x14ac:dyDescent="0.35">
      <c r="A1691" s="3" t="s">
        <v>2278</v>
      </c>
      <c r="B1691" t="str">
        <f>VLOOKUP(A1691,Raw_Data!A:L,6,FALSE)</f>
        <v>Iron</v>
      </c>
      <c r="C1691" t="str">
        <f>VLOOKUP(A1691,Raw_Data!A:L,3,FALSE)</f>
        <v>USA</v>
      </c>
      <c r="D1691" s="3">
        <f>VLOOKUP(A1691,Raw_Data!A:L,12,FALSE)</f>
        <v>312</v>
      </c>
      <c r="E1691" s="3">
        <f>VLOOKUP(A1691,Raw_Data!A:L,11,FALSE)</f>
        <v>12</v>
      </c>
      <c r="F1691" t="str">
        <f>TEXT(VLOOKUP(A1691,Raw_Data!A:L,5,FALSE),"mmm")</f>
        <v>Feb</v>
      </c>
    </row>
    <row r="1692" spans="1:6" x14ac:dyDescent="0.35">
      <c r="A1692" s="3" t="s">
        <v>2279</v>
      </c>
      <c r="B1692" t="str">
        <f>VLOOKUP(A1692,Raw_Data!A:L,6,FALSE)</f>
        <v>Blender</v>
      </c>
      <c r="C1692" t="str">
        <f>VLOOKUP(A1692,Raw_Data!A:L,3,FALSE)</f>
        <v>China</v>
      </c>
      <c r="D1692" s="3">
        <f>VLOOKUP(A1692,Raw_Data!A:L,12,FALSE)</f>
        <v>3619</v>
      </c>
      <c r="E1692" s="3">
        <f>VLOOKUP(A1692,Raw_Data!A:L,11,FALSE)</f>
        <v>77</v>
      </c>
      <c r="F1692" t="str">
        <f>TEXT(VLOOKUP(A1692,Raw_Data!A:L,5,FALSE),"mmm")</f>
        <v>May</v>
      </c>
    </row>
    <row r="1693" spans="1:6" x14ac:dyDescent="0.35">
      <c r="A1693" s="3" t="s">
        <v>2280</v>
      </c>
      <c r="B1693" t="str">
        <f>VLOOKUP(A1693,Raw_Data!A:L,6,FALSE)</f>
        <v>Blender</v>
      </c>
      <c r="C1693" t="str">
        <f>VLOOKUP(A1693,Raw_Data!A:L,3,FALSE)</f>
        <v>Vietnam</v>
      </c>
      <c r="D1693" s="3">
        <f>VLOOKUP(A1693,Raw_Data!A:L,12,FALSE)</f>
        <v>45</v>
      </c>
      <c r="E1693" s="3">
        <f>VLOOKUP(A1693,Raw_Data!A:L,11,FALSE)</f>
        <v>1</v>
      </c>
      <c r="F1693" t="str">
        <f>TEXT(VLOOKUP(A1693,Raw_Data!A:L,5,FALSE),"mmm")</f>
        <v>Mar</v>
      </c>
    </row>
    <row r="1694" spans="1:6" x14ac:dyDescent="0.35">
      <c r="A1694" s="3" t="s">
        <v>2281</v>
      </c>
      <c r="B1694" t="str">
        <f>VLOOKUP(A1694,Raw_Data!A:L,6,FALSE)</f>
        <v>Coffee grinder</v>
      </c>
      <c r="C1694" t="str">
        <f>VLOOKUP(A1694,Raw_Data!A:L,3,FALSE)</f>
        <v>USA</v>
      </c>
      <c r="D1694" s="3">
        <f>VLOOKUP(A1694,Raw_Data!A:L,12,FALSE)</f>
        <v>6003</v>
      </c>
      <c r="E1694" s="3">
        <f>VLOOKUP(A1694,Raw_Data!A:L,11,FALSE)</f>
        <v>87</v>
      </c>
      <c r="F1694" t="str">
        <f>TEXT(VLOOKUP(A1694,Raw_Data!A:L,5,FALSE),"mmm")</f>
        <v>Jul</v>
      </c>
    </row>
    <row r="1695" spans="1:6" x14ac:dyDescent="0.35">
      <c r="A1695" s="3" t="s">
        <v>2283</v>
      </c>
      <c r="B1695" t="str">
        <f>VLOOKUP(A1695,Raw_Data!A:L,6,FALSE)</f>
        <v>Washing Machine</v>
      </c>
      <c r="C1695" t="str">
        <f>VLOOKUP(A1695,Raw_Data!A:L,3,FALSE)</f>
        <v>Russia</v>
      </c>
      <c r="D1695" s="3">
        <f>VLOOKUP(A1695,Raw_Data!A:L,12,FALSE)</f>
        <v>35840</v>
      </c>
      <c r="E1695" s="3">
        <f>VLOOKUP(A1695,Raw_Data!A:L,11,FALSE)</f>
        <v>56</v>
      </c>
      <c r="F1695" t="str">
        <f>TEXT(VLOOKUP(A1695,Raw_Data!A:L,5,FALSE),"mmm")</f>
        <v>Sep</v>
      </c>
    </row>
    <row r="1696" spans="1:6" x14ac:dyDescent="0.35">
      <c r="A1696" s="3" t="s">
        <v>2284</v>
      </c>
      <c r="B1696" t="str">
        <f>VLOOKUP(A1696,Raw_Data!A:L,6,FALSE)</f>
        <v>Washing Machine</v>
      </c>
      <c r="C1696" t="str">
        <f>VLOOKUP(A1696,Raw_Data!A:L,3,FALSE)</f>
        <v>Israel</v>
      </c>
      <c r="D1696" s="3">
        <f>VLOOKUP(A1696,Raw_Data!A:L,12,FALSE)</f>
        <v>58032</v>
      </c>
      <c r="E1696" s="3">
        <f>VLOOKUP(A1696,Raw_Data!A:L,11,FALSE)</f>
        <v>78</v>
      </c>
      <c r="F1696" t="str">
        <f>TEXT(VLOOKUP(A1696,Raw_Data!A:L,5,FALSE),"mmm")</f>
        <v>Jun</v>
      </c>
    </row>
    <row r="1697" spans="1:6" x14ac:dyDescent="0.35">
      <c r="A1697" s="3" t="s">
        <v>2285</v>
      </c>
      <c r="B1697" t="str">
        <f>VLOOKUP(A1697,Raw_Data!A:L,6,FALSE)</f>
        <v>Microwave</v>
      </c>
      <c r="C1697" t="str">
        <f>VLOOKUP(A1697,Raw_Data!A:L,3,FALSE)</f>
        <v>Turkey</v>
      </c>
      <c r="D1697" s="3">
        <f>VLOOKUP(A1697,Raw_Data!A:L,12,FALSE)</f>
        <v>222</v>
      </c>
      <c r="E1697" s="3">
        <f>VLOOKUP(A1697,Raw_Data!A:L,11,FALSE)</f>
        <v>3</v>
      </c>
      <c r="F1697" t="str">
        <f>TEXT(VLOOKUP(A1697,Raw_Data!A:L,5,FALSE),"mmm")</f>
        <v>Oct</v>
      </c>
    </row>
    <row r="1698" spans="1:6" x14ac:dyDescent="0.35">
      <c r="A1698" s="3" t="s">
        <v>2286</v>
      </c>
      <c r="B1698" t="str">
        <f>VLOOKUP(A1698,Raw_Data!A:L,6,FALSE)</f>
        <v>Ceiling fan</v>
      </c>
      <c r="C1698" t="str">
        <f>VLOOKUP(A1698,Raw_Data!A:L,3,FALSE)</f>
        <v>Netherlands</v>
      </c>
      <c r="D1698" s="3">
        <f>VLOOKUP(A1698,Raw_Data!A:L,12,FALSE)</f>
        <v>11392</v>
      </c>
      <c r="E1698" s="3">
        <f>VLOOKUP(A1698,Raw_Data!A:L,11,FALSE)</f>
        <v>89</v>
      </c>
      <c r="F1698" t="str">
        <f>TEXT(VLOOKUP(A1698,Raw_Data!A:L,5,FALSE),"mmm")</f>
        <v>May</v>
      </c>
    </row>
    <row r="1699" spans="1:6" x14ac:dyDescent="0.35">
      <c r="A1699" s="3" t="s">
        <v>2287</v>
      </c>
      <c r="B1699" t="str">
        <f>VLOOKUP(A1699,Raw_Data!A:L,6,FALSE)</f>
        <v>Blender</v>
      </c>
      <c r="C1699" t="str">
        <f>VLOOKUP(A1699,Raw_Data!A:L,3,FALSE)</f>
        <v>Mexico</v>
      </c>
      <c r="D1699" s="3">
        <f>VLOOKUP(A1699,Raw_Data!A:L,12,FALSE)</f>
        <v>1665</v>
      </c>
      <c r="E1699" s="3">
        <f>VLOOKUP(A1699,Raw_Data!A:L,11,FALSE)</f>
        <v>37</v>
      </c>
      <c r="F1699" t="str">
        <f>TEXT(VLOOKUP(A1699,Raw_Data!A:L,5,FALSE),"mmm")</f>
        <v>Dec</v>
      </c>
    </row>
    <row r="1700" spans="1:6" x14ac:dyDescent="0.35">
      <c r="A1700" s="3" t="s">
        <v>2289</v>
      </c>
      <c r="B1700" t="str">
        <f>VLOOKUP(A1700,Raw_Data!A:L,6,FALSE)</f>
        <v>Washing Machine</v>
      </c>
      <c r="C1700" t="str">
        <f>VLOOKUP(A1700,Raw_Data!A:L,3,FALSE)</f>
        <v>UK</v>
      </c>
      <c r="D1700" s="3">
        <f>VLOOKUP(A1700,Raw_Data!A:L,12,FALSE)</f>
        <v>39176</v>
      </c>
      <c r="E1700" s="3">
        <f>VLOOKUP(A1700,Raw_Data!A:L,11,FALSE)</f>
        <v>59</v>
      </c>
      <c r="F1700" t="str">
        <f>TEXT(VLOOKUP(A1700,Raw_Data!A:L,5,FALSE),"mmm")</f>
        <v>Apr</v>
      </c>
    </row>
    <row r="1701" spans="1:6" x14ac:dyDescent="0.35">
      <c r="A1701" s="3" t="s">
        <v>2290</v>
      </c>
      <c r="B1701" t="str">
        <f>VLOOKUP(A1701,Raw_Data!A:L,6,FALSE)</f>
        <v>Vacuum Cleaner</v>
      </c>
      <c r="C1701" t="str">
        <f>VLOOKUP(A1701,Raw_Data!A:L,3,FALSE)</f>
        <v>USA</v>
      </c>
      <c r="D1701" s="3">
        <f>VLOOKUP(A1701,Raw_Data!A:L,12,FALSE)</f>
        <v>12636</v>
      </c>
      <c r="E1701" s="3">
        <f>VLOOKUP(A1701,Raw_Data!A:L,11,FALSE)</f>
        <v>52</v>
      </c>
      <c r="F1701" t="str">
        <f>TEXT(VLOOKUP(A1701,Raw_Data!A:L,5,FALSE),"mmm")</f>
        <v>Jun</v>
      </c>
    </row>
    <row r="1702" spans="1:6" x14ac:dyDescent="0.35">
      <c r="A1702" s="3" t="s">
        <v>2291</v>
      </c>
      <c r="B1702" t="str">
        <f>VLOOKUP(A1702,Raw_Data!A:L,6,FALSE)</f>
        <v>Coffee grinder</v>
      </c>
      <c r="C1702" t="str">
        <f>VLOOKUP(A1702,Raw_Data!A:L,3,FALSE)</f>
        <v>Brazil</v>
      </c>
      <c r="D1702" s="3">
        <f>VLOOKUP(A1702,Raw_Data!A:L,12,FALSE)</f>
        <v>897</v>
      </c>
      <c r="E1702" s="3">
        <f>VLOOKUP(A1702,Raw_Data!A:L,11,FALSE)</f>
        <v>13</v>
      </c>
      <c r="F1702" t="str">
        <f>TEXT(VLOOKUP(A1702,Raw_Data!A:L,5,FALSE),"mmm")</f>
        <v>Nov</v>
      </c>
    </row>
    <row r="1703" spans="1:6" x14ac:dyDescent="0.35">
      <c r="A1703" s="3" t="s">
        <v>2292</v>
      </c>
      <c r="B1703" t="str">
        <f>VLOOKUP(A1703,Raw_Data!A:L,6,FALSE)</f>
        <v>Dishwasher</v>
      </c>
      <c r="C1703" t="str">
        <f>VLOOKUP(A1703,Raw_Data!A:L,3,FALSE)</f>
        <v>South Korea</v>
      </c>
      <c r="D1703" s="3">
        <f>VLOOKUP(A1703,Raw_Data!A:L,12,FALSE)</f>
        <v>31185</v>
      </c>
      <c r="E1703" s="3">
        <f>VLOOKUP(A1703,Raw_Data!A:L,11,FALSE)</f>
        <v>63</v>
      </c>
      <c r="F1703" t="str">
        <f>TEXT(VLOOKUP(A1703,Raw_Data!A:L,5,FALSE),"mmm")</f>
        <v>Dec</v>
      </c>
    </row>
    <row r="1704" spans="1:6" x14ac:dyDescent="0.35">
      <c r="A1704" s="3" t="s">
        <v>2293</v>
      </c>
      <c r="B1704" t="str">
        <f>VLOOKUP(A1704,Raw_Data!A:L,6,FALSE)</f>
        <v>Washing Machine</v>
      </c>
      <c r="C1704" t="str">
        <f>VLOOKUP(A1704,Raw_Data!A:L,3,FALSE)</f>
        <v>Germany</v>
      </c>
      <c r="D1704" s="3">
        <f>VLOOKUP(A1704,Raw_Data!A:L,12,FALSE)</f>
        <v>25960</v>
      </c>
      <c r="E1704" s="3">
        <f>VLOOKUP(A1704,Raw_Data!A:L,11,FALSE)</f>
        <v>59</v>
      </c>
      <c r="F1704" t="str">
        <f>TEXT(VLOOKUP(A1704,Raw_Data!A:L,5,FALSE),"mmm")</f>
        <v>Feb</v>
      </c>
    </row>
    <row r="1705" spans="1:6" x14ac:dyDescent="0.35">
      <c r="A1705" s="3" t="s">
        <v>2294</v>
      </c>
      <c r="B1705" t="str">
        <f>VLOOKUP(A1705,Raw_Data!A:L,6,FALSE)</f>
        <v>Blender</v>
      </c>
      <c r="C1705" t="str">
        <f>VLOOKUP(A1705,Raw_Data!A:L,3,FALSE)</f>
        <v>UK</v>
      </c>
      <c r="D1705" s="3">
        <f>VLOOKUP(A1705,Raw_Data!A:L,12,FALSE)</f>
        <v>1584</v>
      </c>
      <c r="E1705" s="3">
        <f>VLOOKUP(A1705,Raw_Data!A:L,11,FALSE)</f>
        <v>36</v>
      </c>
      <c r="F1705" t="str">
        <f>TEXT(VLOOKUP(A1705,Raw_Data!A:L,5,FALSE),"mmm")</f>
        <v>Oct</v>
      </c>
    </row>
    <row r="1706" spans="1:6" x14ac:dyDescent="0.35">
      <c r="A1706" s="3" t="s">
        <v>2295</v>
      </c>
      <c r="B1706" t="str">
        <f>VLOOKUP(A1706,Raw_Data!A:L,6,FALSE)</f>
        <v>Refrigerator</v>
      </c>
      <c r="C1706" t="str">
        <f>VLOOKUP(A1706,Raw_Data!A:L,3,FALSE)</f>
        <v>India</v>
      </c>
      <c r="D1706" s="3">
        <f>VLOOKUP(A1706,Raw_Data!A:L,12,FALSE)</f>
        <v>48980</v>
      </c>
      <c r="E1706" s="3">
        <f>VLOOKUP(A1706,Raw_Data!A:L,11,FALSE)</f>
        <v>62</v>
      </c>
      <c r="F1706" t="str">
        <f>TEXT(VLOOKUP(A1706,Raw_Data!A:L,5,FALSE),"mmm")</f>
        <v>Jan</v>
      </c>
    </row>
    <row r="1707" spans="1:6" x14ac:dyDescent="0.35">
      <c r="A1707" s="3" t="s">
        <v>2297</v>
      </c>
      <c r="B1707" t="str">
        <f>VLOOKUP(A1707,Raw_Data!A:L,6,FALSE)</f>
        <v>Air conditioner</v>
      </c>
      <c r="C1707" t="str">
        <f>VLOOKUP(A1707,Raw_Data!A:L,3,FALSE)</f>
        <v>Brazil</v>
      </c>
      <c r="D1707" s="3">
        <f>VLOOKUP(A1707,Raw_Data!A:L,12,FALSE)</f>
        <v>8526</v>
      </c>
      <c r="E1707" s="3">
        <f>VLOOKUP(A1707,Raw_Data!A:L,11,FALSE)</f>
        <v>14</v>
      </c>
      <c r="F1707" t="str">
        <f>TEXT(VLOOKUP(A1707,Raw_Data!A:L,5,FALSE),"mmm")</f>
        <v>Sep</v>
      </c>
    </row>
    <row r="1708" spans="1:6" x14ac:dyDescent="0.35">
      <c r="A1708" s="3" t="s">
        <v>2298</v>
      </c>
      <c r="B1708" t="str">
        <f>VLOOKUP(A1708,Raw_Data!A:L,6,FALSE)</f>
        <v>Dishwasher</v>
      </c>
      <c r="C1708" t="str">
        <f>VLOOKUP(A1708,Raw_Data!A:L,3,FALSE)</f>
        <v>UK</v>
      </c>
      <c r="D1708" s="3">
        <f>VLOOKUP(A1708,Raw_Data!A:L,12,FALSE)</f>
        <v>28475</v>
      </c>
      <c r="E1708" s="3">
        <f>VLOOKUP(A1708,Raw_Data!A:L,11,FALSE)</f>
        <v>67</v>
      </c>
      <c r="F1708" t="str">
        <f>TEXT(VLOOKUP(A1708,Raw_Data!A:L,5,FALSE),"mmm")</f>
        <v>Sep</v>
      </c>
    </row>
    <row r="1709" spans="1:6" x14ac:dyDescent="0.35">
      <c r="A1709" s="3" t="s">
        <v>2299</v>
      </c>
      <c r="B1709" t="str">
        <f>VLOOKUP(A1709,Raw_Data!A:L,6,FALSE)</f>
        <v>Coffee grinder</v>
      </c>
      <c r="C1709" t="str">
        <f>VLOOKUP(A1709,Raw_Data!A:L,3,FALSE)</f>
        <v>Germany</v>
      </c>
      <c r="D1709" s="3">
        <f>VLOOKUP(A1709,Raw_Data!A:L,12,FALSE)</f>
        <v>3780</v>
      </c>
      <c r="E1709" s="3">
        <f>VLOOKUP(A1709,Raw_Data!A:L,11,FALSE)</f>
        <v>84</v>
      </c>
      <c r="F1709" t="str">
        <f>TEXT(VLOOKUP(A1709,Raw_Data!A:L,5,FALSE),"mmm")</f>
        <v>Jun</v>
      </c>
    </row>
    <row r="1710" spans="1:6" x14ac:dyDescent="0.35">
      <c r="A1710" s="3" t="s">
        <v>2300</v>
      </c>
      <c r="B1710" t="str">
        <f>VLOOKUP(A1710,Raw_Data!A:L,6,FALSE)</f>
        <v>Iron</v>
      </c>
      <c r="C1710" t="str">
        <f>VLOOKUP(A1710,Raw_Data!A:L,3,FALSE)</f>
        <v>Poland</v>
      </c>
      <c r="D1710" s="3">
        <f>VLOOKUP(A1710,Raw_Data!A:L,12,FALSE)</f>
        <v>1025</v>
      </c>
      <c r="E1710" s="3">
        <f>VLOOKUP(A1710,Raw_Data!A:L,11,FALSE)</f>
        <v>41</v>
      </c>
      <c r="F1710" t="str">
        <f>TEXT(VLOOKUP(A1710,Raw_Data!A:L,5,FALSE),"mmm")</f>
        <v>Jul</v>
      </c>
    </row>
    <row r="1711" spans="1:6" x14ac:dyDescent="0.35">
      <c r="A1711" s="3" t="s">
        <v>2301</v>
      </c>
      <c r="B1711" t="str">
        <f>VLOOKUP(A1711,Raw_Data!A:L,6,FALSE)</f>
        <v>Air conditioner</v>
      </c>
      <c r="C1711" t="str">
        <f>VLOOKUP(A1711,Raw_Data!A:L,3,FALSE)</f>
        <v>Poland</v>
      </c>
      <c r="D1711" s="3">
        <f>VLOOKUP(A1711,Raw_Data!A:L,12,FALSE)</f>
        <v>19040</v>
      </c>
      <c r="E1711" s="3">
        <f>VLOOKUP(A1711,Raw_Data!A:L,11,FALSE)</f>
        <v>40</v>
      </c>
      <c r="F1711" t="str">
        <f>TEXT(VLOOKUP(A1711,Raw_Data!A:L,5,FALSE),"mmm")</f>
        <v>Feb</v>
      </c>
    </row>
    <row r="1712" spans="1:6" x14ac:dyDescent="0.35">
      <c r="A1712" s="3" t="s">
        <v>2302</v>
      </c>
      <c r="B1712" t="str">
        <f>VLOOKUP(A1712,Raw_Data!A:L,6,FALSE)</f>
        <v>Blender</v>
      </c>
      <c r="C1712" t="str">
        <f>VLOOKUP(A1712,Raw_Data!A:L,3,FALSE)</f>
        <v>Mexico</v>
      </c>
      <c r="D1712" s="3">
        <f>VLOOKUP(A1712,Raw_Data!A:L,12,FALSE)</f>
        <v>2537</v>
      </c>
      <c r="E1712" s="3">
        <f>VLOOKUP(A1712,Raw_Data!A:L,11,FALSE)</f>
        <v>59</v>
      </c>
      <c r="F1712" t="str">
        <f>TEXT(VLOOKUP(A1712,Raw_Data!A:L,5,FALSE),"mmm")</f>
        <v>Aug</v>
      </c>
    </row>
    <row r="1713" spans="1:6" x14ac:dyDescent="0.35">
      <c r="A1713" s="3" t="s">
        <v>2303</v>
      </c>
      <c r="B1713" t="str">
        <f>VLOOKUP(A1713,Raw_Data!A:L,6,FALSE)</f>
        <v>Refrigerator</v>
      </c>
      <c r="C1713" t="str">
        <f>VLOOKUP(A1713,Raw_Data!A:L,3,FALSE)</f>
        <v>UK</v>
      </c>
      <c r="D1713" s="3">
        <f>VLOOKUP(A1713,Raw_Data!A:L,12,FALSE)</f>
        <v>9300</v>
      </c>
      <c r="E1713" s="3">
        <f>VLOOKUP(A1713,Raw_Data!A:L,11,FALSE)</f>
        <v>10</v>
      </c>
      <c r="F1713" t="str">
        <f>TEXT(VLOOKUP(A1713,Raw_Data!A:L,5,FALSE),"mmm")</f>
        <v>Sep</v>
      </c>
    </row>
    <row r="1714" spans="1:6" x14ac:dyDescent="0.35">
      <c r="A1714" s="3" t="s">
        <v>2304</v>
      </c>
      <c r="B1714" t="str">
        <f>VLOOKUP(A1714,Raw_Data!A:L,6,FALSE)</f>
        <v>Toaster</v>
      </c>
      <c r="C1714" t="str">
        <f>VLOOKUP(A1714,Raw_Data!A:L,3,FALSE)</f>
        <v>Mexico</v>
      </c>
      <c r="D1714" s="3">
        <f>VLOOKUP(A1714,Raw_Data!A:L,12,FALSE)</f>
        <v>2795</v>
      </c>
      <c r="E1714" s="3">
        <f>VLOOKUP(A1714,Raw_Data!A:L,11,FALSE)</f>
        <v>65</v>
      </c>
      <c r="F1714" t="str">
        <f>TEXT(VLOOKUP(A1714,Raw_Data!A:L,5,FALSE),"mmm")</f>
        <v>Oct</v>
      </c>
    </row>
    <row r="1715" spans="1:6" x14ac:dyDescent="0.35">
      <c r="A1715" s="3" t="s">
        <v>2305</v>
      </c>
      <c r="B1715" t="str">
        <f>VLOOKUP(A1715,Raw_Data!A:L,6,FALSE)</f>
        <v>Toaster</v>
      </c>
      <c r="C1715" t="str">
        <f>VLOOKUP(A1715,Raw_Data!A:L,3,FALSE)</f>
        <v>Ireland</v>
      </c>
      <c r="D1715" s="3">
        <f>VLOOKUP(A1715,Raw_Data!A:L,12,FALSE)</f>
        <v>510</v>
      </c>
      <c r="E1715" s="3">
        <f>VLOOKUP(A1715,Raw_Data!A:L,11,FALSE)</f>
        <v>15</v>
      </c>
      <c r="F1715" t="str">
        <f>TEXT(VLOOKUP(A1715,Raw_Data!A:L,5,FALSE),"mmm")</f>
        <v>Jul</v>
      </c>
    </row>
    <row r="1716" spans="1:6" x14ac:dyDescent="0.35">
      <c r="A1716" s="3" t="s">
        <v>2306</v>
      </c>
      <c r="B1716" t="str">
        <f>VLOOKUP(A1716,Raw_Data!A:L,6,FALSE)</f>
        <v>Toaster</v>
      </c>
      <c r="C1716" t="str">
        <f>VLOOKUP(A1716,Raw_Data!A:L,3,FALSE)</f>
        <v>USA</v>
      </c>
      <c r="D1716" s="3">
        <f>VLOOKUP(A1716,Raw_Data!A:L,12,FALSE)</f>
        <v>2622</v>
      </c>
      <c r="E1716" s="3">
        <f>VLOOKUP(A1716,Raw_Data!A:L,11,FALSE)</f>
        <v>57</v>
      </c>
      <c r="F1716" t="str">
        <f>TEXT(VLOOKUP(A1716,Raw_Data!A:L,5,FALSE),"mmm")</f>
        <v>Jun</v>
      </c>
    </row>
    <row r="1717" spans="1:6" x14ac:dyDescent="0.35">
      <c r="A1717" s="3" t="s">
        <v>2307</v>
      </c>
      <c r="B1717" t="str">
        <f>VLOOKUP(A1717,Raw_Data!A:L,6,FALSE)</f>
        <v>Dishwasher</v>
      </c>
      <c r="C1717" t="str">
        <f>VLOOKUP(A1717,Raw_Data!A:L,3,FALSE)</f>
        <v>Brazil</v>
      </c>
      <c r="D1717" s="3">
        <f>VLOOKUP(A1717,Raw_Data!A:L,12,FALSE)</f>
        <v>34790</v>
      </c>
      <c r="E1717" s="3">
        <f>VLOOKUP(A1717,Raw_Data!A:L,11,FALSE)</f>
        <v>98</v>
      </c>
      <c r="F1717" t="str">
        <f>TEXT(VLOOKUP(A1717,Raw_Data!A:L,5,FALSE),"mmm")</f>
        <v>May</v>
      </c>
    </row>
    <row r="1718" spans="1:6" x14ac:dyDescent="0.35">
      <c r="A1718" s="3" t="s">
        <v>2308</v>
      </c>
      <c r="B1718" t="str">
        <f>VLOOKUP(A1718,Raw_Data!A:L,6,FALSE)</f>
        <v>Toaster</v>
      </c>
      <c r="C1718" t="str">
        <f>VLOOKUP(A1718,Raw_Data!A:L,3,FALSE)</f>
        <v>Turkey</v>
      </c>
      <c r="D1718" s="3">
        <f>VLOOKUP(A1718,Raw_Data!A:L,12,FALSE)</f>
        <v>120</v>
      </c>
      <c r="E1718" s="3">
        <f>VLOOKUP(A1718,Raw_Data!A:L,11,FALSE)</f>
        <v>3</v>
      </c>
      <c r="F1718" t="str">
        <f>TEXT(VLOOKUP(A1718,Raw_Data!A:L,5,FALSE),"mmm")</f>
        <v>Nov</v>
      </c>
    </row>
    <row r="1719" spans="1:6" x14ac:dyDescent="0.35">
      <c r="A1719" s="3" t="s">
        <v>2309</v>
      </c>
      <c r="B1719" t="str">
        <f>VLOOKUP(A1719,Raw_Data!A:L,6,FALSE)</f>
        <v>Dishwasher</v>
      </c>
      <c r="C1719" t="str">
        <f>VLOOKUP(A1719,Raw_Data!A:L,3,FALSE)</f>
        <v>Saudi Arabia</v>
      </c>
      <c r="D1719" s="3">
        <f>VLOOKUP(A1719,Raw_Data!A:L,12,FALSE)</f>
        <v>900</v>
      </c>
      <c r="E1719" s="3">
        <f>VLOOKUP(A1719,Raw_Data!A:L,11,FALSE)</f>
        <v>2</v>
      </c>
      <c r="F1719" t="str">
        <f>TEXT(VLOOKUP(A1719,Raw_Data!A:L,5,FALSE),"mmm")</f>
        <v>Apr</v>
      </c>
    </row>
    <row r="1720" spans="1:6" x14ac:dyDescent="0.35">
      <c r="A1720" s="3" t="s">
        <v>2310</v>
      </c>
      <c r="B1720" t="str">
        <f>VLOOKUP(A1720,Raw_Data!A:L,6,FALSE)</f>
        <v>Blender</v>
      </c>
      <c r="C1720" t="str">
        <f>VLOOKUP(A1720,Raw_Data!A:L,3,FALSE)</f>
        <v>USA</v>
      </c>
      <c r="D1720" s="3">
        <f>VLOOKUP(A1720,Raw_Data!A:L,12,FALSE)</f>
        <v>1739</v>
      </c>
      <c r="E1720" s="3">
        <f>VLOOKUP(A1720,Raw_Data!A:L,11,FALSE)</f>
        <v>37</v>
      </c>
      <c r="F1720" t="str">
        <f>TEXT(VLOOKUP(A1720,Raw_Data!A:L,5,FALSE),"mmm")</f>
        <v>May</v>
      </c>
    </row>
    <row r="1721" spans="1:6" x14ac:dyDescent="0.35">
      <c r="A1721" s="3" t="s">
        <v>2312</v>
      </c>
      <c r="B1721" t="str">
        <f>VLOOKUP(A1721,Raw_Data!A:L,6,FALSE)</f>
        <v>Washing Machine</v>
      </c>
      <c r="C1721" t="str">
        <f>VLOOKUP(A1721,Raw_Data!A:L,3,FALSE)</f>
        <v>Greece</v>
      </c>
      <c r="D1721" s="3">
        <f>VLOOKUP(A1721,Raw_Data!A:L,12,FALSE)</f>
        <v>12768</v>
      </c>
      <c r="E1721" s="3">
        <f>VLOOKUP(A1721,Raw_Data!A:L,11,FALSE)</f>
        <v>28</v>
      </c>
      <c r="F1721" t="str">
        <f>TEXT(VLOOKUP(A1721,Raw_Data!A:L,5,FALSE),"mmm")</f>
        <v>Jun</v>
      </c>
    </row>
    <row r="1722" spans="1:6" x14ac:dyDescent="0.35">
      <c r="A1722" s="3" t="s">
        <v>2313</v>
      </c>
      <c r="B1722" t="str">
        <f>VLOOKUP(A1722,Raw_Data!A:L,6,FALSE)</f>
        <v>Iron</v>
      </c>
      <c r="C1722" t="str">
        <f>VLOOKUP(A1722,Raw_Data!A:L,3,FALSE)</f>
        <v>South Africa</v>
      </c>
      <c r="D1722" s="3">
        <f>VLOOKUP(A1722,Raw_Data!A:L,12,FALSE)</f>
        <v>392</v>
      </c>
      <c r="E1722" s="3">
        <f>VLOOKUP(A1722,Raw_Data!A:L,11,FALSE)</f>
        <v>14</v>
      </c>
      <c r="F1722" t="str">
        <f>TEXT(VLOOKUP(A1722,Raw_Data!A:L,5,FALSE),"mmm")</f>
        <v>May</v>
      </c>
    </row>
    <row r="1723" spans="1:6" x14ac:dyDescent="0.35">
      <c r="A1723" s="3" t="s">
        <v>2314</v>
      </c>
      <c r="B1723" t="str">
        <f>VLOOKUP(A1723,Raw_Data!A:L,6,FALSE)</f>
        <v>Iron</v>
      </c>
      <c r="C1723" t="str">
        <f>VLOOKUP(A1723,Raw_Data!A:L,3,FALSE)</f>
        <v>USA</v>
      </c>
      <c r="D1723" s="3">
        <f>VLOOKUP(A1723,Raw_Data!A:L,12,FALSE)</f>
        <v>130</v>
      </c>
      <c r="E1723" s="3">
        <f>VLOOKUP(A1723,Raw_Data!A:L,11,FALSE)</f>
        <v>5</v>
      </c>
      <c r="F1723" t="str">
        <f>TEXT(VLOOKUP(A1723,Raw_Data!A:L,5,FALSE),"mmm")</f>
        <v>Mar</v>
      </c>
    </row>
    <row r="1724" spans="1:6" x14ac:dyDescent="0.35">
      <c r="A1724" s="3" t="s">
        <v>2315</v>
      </c>
      <c r="B1724" t="str">
        <f>VLOOKUP(A1724,Raw_Data!A:L,6,FALSE)</f>
        <v>Microwave</v>
      </c>
      <c r="C1724" t="str">
        <f>VLOOKUP(A1724,Raw_Data!A:L,3,FALSE)</f>
        <v>Spain</v>
      </c>
      <c r="D1724" s="3">
        <f>VLOOKUP(A1724,Raw_Data!A:L,12,FALSE)</f>
        <v>616</v>
      </c>
      <c r="E1724" s="3">
        <f>VLOOKUP(A1724,Raw_Data!A:L,11,FALSE)</f>
        <v>11</v>
      </c>
      <c r="F1724" t="str">
        <f>TEXT(VLOOKUP(A1724,Raw_Data!A:L,5,FALSE),"mmm")</f>
        <v>May</v>
      </c>
    </row>
    <row r="1725" spans="1:6" x14ac:dyDescent="0.35">
      <c r="A1725" s="3" t="s">
        <v>2316</v>
      </c>
      <c r="B1725" t="str">
        <f>VLOOKUP(A1725,Raw_Data!A:L,6,FALSE)</f>
        <v>Oven</v>
      </c>
      <c r="C1725" t="str">
        <f>VLOOKUP(A1725,Raw_Data!A:L,3,FALSE)</f>
        <v>UK</v>
      </c>
      <c r="D1725" s="3">
        <f>VLOOKUP(A1725,Raw_Data!A:L,12,FALSE)</f>
        <v>22050</v>
      </c>
      <c r="E1725" s="3">
        <f>VLOOKUP(A1725,Raw_Data!A:L,11,FALSE)</f>
        <v>45</v>
      </c>
      <c r="F1725" t="str">
        <f>TEXT(VLOOKUP(A1725,Raw_Data!A:L,5,FALSE),"mmm")</f>
        <v>Oct</v>
      </c>
    </row>
    <row r="1726" spans="1:6" x14ac:dyDescent="0.35">
      <c r="A1726" s="3" t="s">
        <v>2317</v>
      </c>
      <c r="B1726" t="str">
        <f>VLOOKUP(A1726,Raw_Data!A:L,6,FALSE)</f>
        <v>Oven</v>
      </c>
      <c r="C1726" t="str">
        <f>VLOOKUP(A1726,Raw_Data!A:L,3,FALSE)</f>
        <v>USA</v>
      </c>
      <c r="D1726" s="3">
        <f>VLOOKUP(A1726,Raw_Data!A:L,12,FALSE)</f>
        <v>46550</v>
      </c>
      <c r="E1726" s="3">
        <f>VLOOKUP(A1726,Raw_Data!A:L,11,FALSE)</f>
        <v>95</v>
      </c>
      <c r="F1726" t="str">
        <f>TEXT(VLOOKUP(A1726,Raw_Data!A:L,5,FALSE),"mmm")</f>
        <v>Sep</v>
      </c>
    </row>
    <row r="1727" spans="1:6" x14ac:dyDescent="0.35">
      <c r="A1727" s="3" t="s">
        <v>2318</v>
      </c>
      <c r="B1727" t="str">
        <f>VLOOKUP(A1727,Raw_Data!A:L,6,FALSE)</f>
        <v>Coffee grinder</v>
      </c>
      <c r="C1727" t="str">
        <f>VLOOKUP(A1727,Raw_Data!A:L,3,FALSE)</f>
        <v>Japan</v>
      </c>
      <c r="D1727" s="3">
        <f>VLOOKUP(A1727,Raw_Data!A:L,12,FALSE)</f>
        <v>427</v>
      </c>
      <c r="E1727" s="3">
        <f>VLOOKUP(A1727,Raw_Data!A:L,11,FALSE)</f>
        <v>7</v>
      </c>
      <c r="F1727" t="str">
        <f>TEXT(VLOOKUP(A1727,Raw_Data!A:L,5,FALSE),"mmm")</f>
        <v>Jan</v>
      </c>
    </row>
    <row r="1728" spans="1:6" x14ac:dyDescent="0.35">
      <c r="A1728" s="3" t="s">
        <v>2319</v>
      </c>
      <c r="B1728" t="str">
        <f>VLOOKUP(A1728,Raw_Data!A:L,6,FALSE)</f>
        <v>Vacuum Cleaner</v>
      </c>
      <c r="C1728" t="str">
        <f>VLOOKUP(A1728,Raw_Data!A:L,3,FALSE)</f>
        <v>Canada</v>
      </c>
      <c r="D1728" s="3">
        <f>VLOOKUP(A1728,Raw_Data!A:L,12,FALSE)</f>
        <v>1760</v>
      </c>
      <c r="E1728" s="3">
        <f>VLOOKUP(A1728,Raw_Data!A:L,11,FALSE)</f>
        <v>8</v>
      </c>
      <c r="F1728" t="str">
        <f>TEXT(VLOOKUP(A1728,Raw_Data!A:L,5,FALSE),"mmm")</f>
        <v>Sep</v>
      </c>
    </row>
    <row r="1729" spans="1:6" x14ac:dyDescent="0.35">
      <c r="A1729" s="3" t="s">
        <v>2320</v>
      </c>
      <c r="B1729" t="str">
        <f>VLOOKUP(A1729,Raw_Data!A:L,6,FALSE)</f>
        <v>Coffee grinder</v>
      </c>
      <c r="C1729" t="str">
        <f>VLOOKUP(A1729,Raw_Data!A:L,3,FALSE)</f>
        <v>Chile</v>
      </c>
      <c r="D1729" s="3">
        <f>VLOOKUP(A1729,Raw_Data!A:L,12,FALSE)</f>
        <v>2747</v>
      </c>
      <c r="E1729" s="3">
        <f>VLOOKUP(A1729,Raw_Data!A:L,11,FALSE)</f>
        <v>41</v>
      </c>
      <c r="F1729" t="str">
        <f>TEXT(VLOOKUP(A1729,Raw_Data!A:L,5,FALSE),"mmm")</f>
        <v>Feb</v>
      </c>
    </row>
    <row r="1730" spans="1:6" x14ac:dyDescent="0.35">
      <c r="A1730" s="3" t="s">
        <v>2321</v>
      </c>
      <c r="B1730" t="str">
        <f>VLOOKUP(A1730,Raw_Data!A:L,6,FALSE)</f>
        <v>Oven</v>
      </c>
      <c r="C1730" t="str">
        <f>VLOOKUP(A1730,Raw_Data!A:L,3,FALSE)</f>
        <v>USA</v>
      </c>
      <c r="D1730" s="3">
        <f>VLOOKUP(A1730,Raw_Data!A:L,12,FALSE)</f>
        <v>42570</v>
      </c>
      <c r="E1730" s="3">
        <f>VLOOKUP(A1730,Raw_Data!A:L,11,FALSE)</f>
        <v>86</v>
      </c>
      <c r="F1730" t="str">
        <f>TEXT(VLOOKUP(A1730,Raw_Data!A:L,5,FALSE),"mmm")</f>
        <v>Jun</v>
      </c>
    </row>
    <row r="1731" spans="1:6" x14ac:dyDescent="0.35">
      <c r="A1731" s="3" t="s">
        <v>2322</v>
      </c>
      <c r="B1731" t="str">
        <f>VLOOKUP(A1731,Raw_Data!A:L,6,FALSE)</f>
        <v>Dishwasher</v>
      </c>
      <c r="C1731" t="str">
        <f>VLOOKUP(A1731,Raw_Data!A:L,3,FALSE)</f>
        <v>China</v>
      </c>
      <c r="D1731" s="3">
        <f>VLOOKUP(A1731,Raw_Data!A:L,12,FALSE)</f>
        <v>14250</v>
      </c>
      <c r="E1731" s="3">
        <f>VLOOKUP(A1731,Raw_Data!A:L,11,FALSE)</f>
        <v>75</v>
      </c>
      <c r="F1731" t="str">
        <f>TEXT(VLOOKUP(A1731,Raw_Data!A:L,5,FALSE),"mmm")</f>
        <v>Apr</v>
      </c>
    </row>
    <row r="1732" spans="1:6" x14ac:dyDescent="0.35">
      <c r="A1732" s="3" t="s">
        <v>2323</v>
      </c>
      <c r="B1732" t="str">
        <f>VLOOKUP(A1732,Raw_Data!A:L,6,FALSE)</f>
        <v>Air conditioner</v>
      </c>
      <c r="C1732" t="str">
        <f>VLOOKUP(A1732,Raw_Data!A:L,3,FALSE)</f>
        <v>India</v>
      </c>
      <c r="D1732" s="3">
        <f>VLOOKUP(A1732,Raw_Data!A:L,12,FALSE)</f>
        <v>45962</v>
      </c>
      <c r="E1732" s="3">
        <f>VLOOKUP(A1732,Raw_Data!A:L,11,FALSE)</f>
        <v>67</v>
      </c>
      <c r="F1732" t="str">
        <f>TEXT(VLOOKUP(A1732,Raw_Data!A:L,5,FALSE),"mmm")</f>
        <v>May</v>
      </c>
    </row>
    <row r="1733" spans="1:6" x14ac:dyDescent="0.35">
      <c r="A1733" s="3" t="s">
        <v>2324</v>
      </c>
      <c r="B1733" t="str">
        <f>VLOOKUP(A1733,Raw_Data!A:L,6,FALSE)</f>
        <v>Vacuum Cleaner</v>
      </c>
      <c r="C1733" t="str">
        <f>VLOOKUP(A1733,Raw_Data!A:L,3,FALSE)</f>
        <v>UK</v>
      </c>
      <c r="D1733" s="3">
        <f>VLOOKUP(A1733,Raw_Data!A:L,12,FALSE)</f>
        <v>16800</v>
      </c>
      <c r="E1733" s="3">
        <f>VLOOKUP(A1733,Raw_Data!A:L,11,FALSE)</f>
        <v>70</v>
      </c>
      <c r="F1733" t="str">
        <f>TEXT(VLOOKUP(A1733,Raw_Data!A:L,5,FALSE),"mmm")</f>
        <v>Mar</v>
      </c>
    </row>
    <row r="1734" spans="1:6" x14ac:dyDescent="0.35">
      <c r="A1734" s="3" t="s">
        <v>2325</v>
      </c>
      <c r="B1734" t="str">
        <f>VLOOKUP(A1734,Raw_Data!A:L,6,FALSE)</f>
        <v>Refrigerator</v>
      </c>
      <c r="C1734" t="str">
        <f>VLOOKUP(A1734,Raw_Data!A:L,3,FALSE)</f>
        <v>Mexico</v>
      </c>
      <c r="D1734" s="3">
        <f>VLOOKUP(A1734,Raw_Data!A:L,12,FALSE)</f>
        <v>27600</v>
      </c>
      <c r="E1734" s="3">
        <f>VLOOKUP(A1734,Raw_Data!A:L,11,FALSE)</f>
        <v>46</v>
      </c>
      <c r="F1734" t="str">
        <f>TEXT(VLOOKUP(A1734,Raw_Data!A:L,5,FALSE),"mmm")</f>
        <v>Nov</v>
      </c>
    </row>
    <row r="1735" spans="1:6" x14ac:dyDescent="0.35">
      <c r="A1735" s="3" t="s">
        <v>2326</v>
      </c>
      <c r="B1735" t="str">
        <f>VLOOKUP(A1735,Raw_Data!A:L,6,FALSE)</f>
        <v>Toaster</v>
      </c>
      <c r="C1735" t="str">
        <f>VLOOKUP(A1735,Raw_Data!A:L,3,FALSE)</f>
        <v>Brazil</v>
      </c>
      <c r="D1735" s="3">
        <f>VLOOKUP(A1735,Raw_Data!A:L,12,FALSE)</f>
        <v>2214</v>
      </c>
      <c r="E1735" s="3">
        <f>VLOOKUP(A1735,Raw_Data!A:L,11,FALSE)</f>
        <v>54</v>
      </c>
      <c r="F1735" t="str">
        <f>TEXT(VLOOKUP(A1735,Raw_Data!A:L,5,FALSE),"mmm")</f>
        <v>Apr</v>
      </c>
    </row>
    <row r="1736" spans="1:6" x14ac:dyDescent="0.35">
      <c r="A1736" s="3" t="s">
        <v>2327</v>
      </c>
      <c r="B1736" t="str">
        <f>VLOOKUP(A1736,Raw_Data!A:L,6,FALSE)</f>
        <v>Vacuum Cleaner</v>
      </c>
      <c r="C1736" t="str">
        <f>VLOOKUP(A1736,Raw_Data!A:L,3,FALSE)</f>
        <v>Argentina</v>
      </c>
      <c r="D1736" s="3">
        <f>VLOOKUP(A1736,Raw_Data!A:L,12,FALSE)</f>
        <v>16560</v>
      </c>
      <c r="E1736" s="3">
        <f>VLOOKUP(A1736,Raw_Data!A:L,11,FALSE)</f>
        <v>72</v>
      </c>
      <c r="F1736" t="str">
        <f>TEXT(VLOOKUP(A1736,Raw_Data!A:L,5,FALSE),"mmm")</f>
        <v>Apr</v>
      </c>
    </row>
    <row r="1737" spans="1:6" x14ac:dyDescent="0.35">
      <c r="A1737" s="3" t="s">
        <v>2328</v>
      </c>
      <c r="B1737" t="str">
        <f>VLOOKUP(A1737,Raw_Data!A:L,6,FALSE)</f>
        <v>Dishwasher</v>
      </c>
      <c r="C1737" t="str">
        <f>VLOOKUP(A1737,Raw_Data!A:L,3,FALSE)</f>
        <v>Israel</v>
      </c>
      <c r="D1737" s="3">
        <f>VLOOKUP(A1737,Raw_Data!A:L,12,FALSE)</f>
        <v>10260</v>
      </c>
      <c r="E1737" s="3">
        <f>VLOOKUP(A1737,Raw_Data!A:L,11,FALSE)</f>
        <v>27</v>
      </c>
      <c r="F1737" t="str">
        <f>TEXT(VLOOKUP(A1737,Raw_Data!A:L,5,FALSE),"mmm")</f>
        <v>Feb</v>
      </c>
    </row>
    <row r="1738" spans="1:6" x14ac:dyDescent="0.35">
      <c r="A1738" s="3" t="s">
        <v>2329</v>
      </c>
      <c r="B1738" t="str">
        <f>VLOOKUP(A1738,Raw_Data!A:L,6,FALSE)</f>
        <v>Blender</v>
      </c>
      <c r="C1738" t="str">
        <f>VLOOKUP(A1738,Raw_Data!A:L,3,FALSE)</f>
        <v>USA</v>
      </c>
      <c r="D1738" s="3">
        <f>VLOOKUP(A1738,Raw_Data!A:L,12,FALSE)</f>
        <v>4459</v>
      </c>
      <c r="E1738" s="3">
        <f>VLOOKUP(A1738,Raw_Data!A:L,11,FALSE)</f>
        <v>91</v>
      </c>
      <c r="F1738" t="str">
        <f>TEXT(VLOOKUP(A1738,Raw_Data!A:L,5,FALSE),"mmm")</f>
        <v>Oct</v>
      </c>
    </row>
    <row r="1739" spans="1:6" x14ac:dyDescent="0.35">
      <c r="A1739" s="3" t="s">
        <v>2331</v>
      </c>
      <c r="B1739" t="str">
        <f>VLOOKUP(A1739,Raw_Data!A:L,6,FALSE)</f>
        <v>Iron</v>
      </c>
      <c r="C1739" t="str">
        <f>VLOOKUP(A1739,Raw_Data!A:L,3,FALSE)</f>
        <v>India</v>
      </c>
      <c r="D1739" s="3">
        <f>VLOOKUP(A1739,Raw_Data!A:L,12,FALSE)</f>
        <v>104</v>
      </c>
      <c r="E1739" s="3">
        <f>VLOOKUP(A1739,Raw_Data!A:L,11,FALSE)</f>
        <v>4</v>
      </c>
      <c r="F1739" t="str">
        <f>TEXT(VLOOKUP(A1739,Raw_Data!A:L,5,FALSE),"mmm")</f>
        <v>Sep</v>
      </c>
    </row>
    <row r="1740" spans="1:6" x14ac:dyDescent="0.35">
      <c r="A1740" s="3" t="s">
        <v>2332</v>
      </c>
      <c r="B1740" t="str">
        <f>VLOOKUP(A1740,Raw_Data!A:L,6,FALSE)</f>
        <v>Ceiling fan</v>
      </c>
      <c r="C1740" t="str">
        <f>VLOOKUP(A1740,Raw_Data!A:L,3,FALSE)</f>
        <v>USA</v>
      </c>
      <c r="D1740" s="3">
        <f>VLOOKUP(A1740,Raw_Data!A:L,12,FALSE)</f>
        <v>3525</v>
      </c>
      <c r="E1740" s="3">
        <f>VLOOKUP(A1740,Raw_Data!A:L,11,FALSE)</f>
        <v>25</v>
      </c>
      <c r="F1740" t="str">
        <f>TEXT(VLOOKUP(A1740,Raw_Data!A:L,5,FALSE),"mmm")</f>
        <v>Oct</v>
      </c>
    </row>
    <row r="1741" spans="1:6" x14ac:dyDescent="0.35">
      <c r="A1741" s="3" t="s">
        <v>2333</v>
      </c>
      <c r="B1741" t="str">
        <f>VLOOKUP(A1741,Raw_Data!A:L,6,FALSE)</f>
        <v>Refrigerator</v>
      </c>
      <c r="C1741" t="str">
        <f>VLOOKUP(A1741,Raw_Data!A:L,3,FALSE)</f>
        <v>Austria</v>
      </c>
      <c r="D1741" s="3">
        <f>VLOOKUP(A1741,Raw_Data!A:L,12,FALSE)</f>
        <v>32640</v>
      </c>
      <c r="E1741" s="3">
        <f>VLOOKUP(A1741,Raw_Data!A:L,11,FALSE)</f>
        <v>34</v>
      </c>
      <c r="F1741" t="str">
        <f>TEXT(VLOOKUP(A1741,Raw_Data!A:L,5,FALSE),"mmm")</f>
        <v>Nov</v>
      </c>
    </row>
    <row r="1742" spans="1:6" x14ac:dyDescent="0.35">
      <c r="A1742" s="3" t="s">
        <v>2334</v>
      </c>
      <c r="B1742" t="str">
        <f>VLOOKUP(A1742,Raw_Data!A:L,6,FALSE)</f>
        <v>Blender</v>
      </c>
      <c r="C1742" t="str">
        <f>VLOOKUP(A1742,Raw_Data!A:L,3,FALSE)</f>
        <v>Vietnam</v>
      </c>
      <c r="D1742" s="3">
        <f>VLOOKUP(A1742,Raw_Data!A:L,12,FALSE)</f>
        <v>1776</v>
      </c>
      <c r="E1742" s="3">
        <f>VLOOKUP(A1742,Raw_Data!A:L,11,FALSE)</f>
        <v>37</v>
      </c>
      <c r="F1742" t="str">
        <f>TEXT(VLOOKUP(A1742,Raw_Data!A:L,5,FALSE),"mmm")</f>
        <v>Mar</v>
      </c>
    </row>
    <row r="1743" spans="1:6" x14ac:dyDescent="0.35">
      <c r="A1743" s="3" t="s">
        <v>2336</v>
      </c>
      <c r="B1743" t="str">
        <f>VLOOKUP(A1743,Raw_Data!A:L,6,FALSE)</f>
        <v>Iron</v>
      </c>
      <c r="C1743" t="str">
        <f>VLOOKUP(A1743,Raw_Data!A:L,3,FALSE)</f>
        <v>China</v>
      </c>
      <c r="D1743" s="3">
        <f>VLOOKUP(A1743,Raw_Data!A:L,12,FALSE)</f>
        <v>1066</v>
      </c>
      <c r="E1743" s="3">
        <f>VLOOKUP(A1743,Raw_Data!A:L,11,FALSE)</f>
        <v>41</v>
      </c>
      <c r="F1743" t="str">
        <f>TEXT(VLOOKUP(A1743,Raw_Data!A:L,5,FALSE),"mmm")</f>
        <v>Feb</v>
      </c>
    </row>
    <row r="1744" spans="1:6" x14ac:dyDescent="0.35">
      <c r="A1744" s="3" t="s">
        <v>2338</v>
      </c>
      <c r="B1744" t="str">
        <f>VLOOKUP(A1744,Raw_Data!A:L,6,FALSE)</f>
        <v>Ceiling fan</v>
      </c>
      <c r="C1744" t="str">
        <f>VLOOKUP(A1744,Raw_Data!A:L,3,FALSE)</f>
        <v>USA</v>
      </c>
      <c r="D1744" s="3">
        <f>VLOOKUP(A1744,Raw_Data!A:L,12,FALSE)</f>
        <v>1280</v>
      </c>
      <c r="E1744" s="3">
        <f>VLOOKUP(A1744,Raw_Data!A:L,11,FALSE)</f>
        <v>10</v>
      </c>
      <c r="F1744" t="str">
        <f>TEXT(VLOOKUP(A1744,Raw_Data!A:L,5,FALSE),"mmm")</f>
        <v>Mar</v>
      </c>
    </row>
    <row r="1745" spans="1:6" x14ac:dyDescent="0.35">
      <c r="A1745" s="3" t="s">
        <v>2339</v>
      </c>
      <c r="B1745" t="str">
        <f>VLOOKUP(A1745,Raw_Data!A:L,6,FALSE)</f>
        <v>Iron</v>
      </c>
      <c r="C1745" t="str">
        <f>VLOOKUP(A1745,Raw_Data!A:L,3,FALSE)</f>
        <v>USA</v>
      </c>
      <c r="D1745" s="3">
        <f>VLOOKUP(A1745,Raw_Data!A:L,12,FALSE)</f>
        <v>60</v>
      </c>
      <c r="E1745" s="3">
        <f>VLOOKUP(A1745,Raw_Data!A:L,11,FALSE)</f>
        <v>2</v>
      </c>
      <c r="F1745" t="str">
        <f>TEXT(VLOOKUP(A1745,Raw_Data!A:L,5,FALSE),"mmm")</f>
        <v>Aug</v>
      </c>
    </row>
    <row r="1746" spans="1:6" x14ac:dyDescent="0.35">
      <c r="A1746" s="3" t="s">
        <v>2340</v>
      </c>
      <c r="B1746" t="str">
        <f>VLOOKUP(A1746,Raw_Data!A:L,6,FALSE)</f>
        <v>Blender</v>
      </c>
      <c r="C1746" t="str">
        <f>VLOOKUP(A1746,Raw_Data!A:L,3,FALSE)</f>
        <v>Turkey</v>
      </c>
      <c r="D1746" s="3">
        <f>VLOOKUP(A1746,Raw_Data!A:L,12,FALSE)</f>
        <v>1260</v>
      </c>
      <c r="E1746" s="3">
        <f>VLOOKUP(A1746,Raw_Data!A:L,11,FALSE)</f>
        <v>28</v>
      </c>
      <c r="F1746" t="str">
        <f>TEXT(VLOOKUP(A1746,Raw_Data!A:L,5,FALSE),"mmm")</f>
        <v>Jan</v>
      </c>
    </row>
    <row r="1747" spans="1:6" x14ac:dyDescent="0.35">
      <c r="A1747" s="3" t="s">
        <v>2341</v>
      </c>
      <c r="B1747" t="str">
        <f>VLOOKUP(A1747,Raw_Data!A:L,6,FALSE)</f>
        <v>Dishwasher</v>
      </c>
      <c r="C1747" t="str">
        <f>VLOOKUP(A1747,Raw_Data!A:L,3,FALSE)</f>
        <v>India</v>
      </c>
      <c r="D1747" s="3">
        <f>VLOOKUP(A1747,Raw_Data!A:L,12,FALSE)</f>
        <v>32040</v>
      </c>
      <c r="E1747" s="3">
        <f>VLOOKUP(A1747,Raw_Data!A:L,11,FALSE)</f>
        <v>72</v>
      </c>
      <c r="F1747" t="str">
        <f>TEXT(VLOOKUP(A1747,Raw_Data!A:L,5,FALSE),"mmm")</f>
        <v>May</v>
      </c>
    </row>
    <row r="1748" spans="1:6" x14ac:dyDescent="0.35">
      <c r="A1748" s="3" t="s">
        <v>2342</v>
      </c>
      <c r="B1748" t="str">
        <f>VLOOKUP(A1748,Raw_Data!A:L,6,FALSE)</f>
        <v>Vacuum Cleaner</v>
      </c>
      <c r="C1748" t="str">
        <f>VLOOKUP(A1748,Raw_Data!A:L,3,FALSE)</f>
        <v>South Africa</v>
      </c>
      <c r="D1748" s="3">
        <f>VLOOKUP(A1748,Raw_Data!A:L,12,FALSE)</f>
        <v>684</v>
      </c>
      <c r="E1748" s="3">
        <f>VLOOKUP(A1748,Raw_Data!A:L,11,FALSE)</f>
        <v>3</v>
      </c>
      <c r="F1748" t="str">
        <f>TEXT(VLOOKUP(A1748,Raw_Data!A:L,5,FALSE),"mmm")</f>
        <v>Jan</v>
      </c>
    </row>
    <row r="1749" spans="1:6" x14ac:dyDescent="0.35">
      <c r="A1749" s="3" t="s">
        <v>2343</v>
      </c>
      <c r="B1749" t="str">
        <f>VLOOKUP(A1749,Raw_Data!A:L,6,FALSE)</f>
        <v>Coffee grinder</v>
      </c>
      <c r="C1749" t="str">
        <f>VLOOKUP(A1749,Raw_Data!A:L,3,FALSE)</f>
        <v>Malaysia</v>
      </c>
      <c r="D1749" s="3">
        <f>VLOOKUP(A1749,Raw_Data!A:L,12,FALSE)</f>
        <v>3901</v>
      </c>
      <c r="E1749" s="3">
        <f>VLOOKUP(A1749,Raw_Data!A:L,11,FALSE)</f>
        <v>83</v>
      </c>
      <c r="F1749" t="str">
        <f>TEXT(VLOOKUP(A1749,Raw_Data!A:L,5,FALSE),"mmm")</f>
        <v>Sep</v>
      </c>
    </row>
    <row r="1750" spans="1:6" x14ac:dyDescent="0.35">
      <c r="A1750" s="3" t="s">
        <v>2344</v>
      </c>
      <c r="B1750" t="str">
        <f>VLOOKUP(A1750,Raw_Data!A:L,6,FALSE)</f>
        <v>Blender</v>
      </c>
      <c r="C1750" t="str">
        <f>VLOOKUP(A1750,Raw_Data!A:L,3,FALSE)</f>
        <v>Malaysia</v>
      </c>
      <c r="D1750" s="3">
        <f>VLOOKUP(A1750,Raw_Data!A:L,12,FALSE)</f>
        <v>1368</v>
      </c>
      <c r="E1750" s="3">
        <f>VLOOKUP(A1750,Raw_Data!A:L,11,FALSE)</f>
        <v>38</v>
      </c>
      <c r="F1750" t="str">
        <f>TEXT(VLOOKUP(A1750,Raw_Data!A:L,5,FALSE),"mmm")</f>
        <v>Jan</v>
      </c>
    </row>
    <row r="1751" spans="1:6" x14ac:dyDescent="0.35">
      <c r="A1751" s="3" t="s">
        <v>2345</v>
      </c>
      <c r="B1751" t="str">
        <f>VLOOKUP(A1751,Raw_Data!A:L,6,FALSE)</f>
        <v>Oven</v>
      </c>
      <c r="C1751" t="str">
        <f>VLOOKUP(A1751,Raw_Data!A:L,3,FALSE)</f>
        <v>Spain</v>
      </c>
      <c r="D1751" s="3">
        <f>VLOOKUP(A1751,Raw_Data!A:L,12,FALSE)</f>
        <v>17500</v>
      </c>
      <c r="E1751" s="3">
        <f>VLOOKUP(A1751,Raw_Data!A:L,11,FALSE)</f>
        <v>35</v>
      </c>
      <c r="F1751" t="str">
        <f>TEXT(VLOOKUP(A1751,Raw_Data!A:L,5,FALSE),"mmm")</f>
        <v>Jul</v>
      </c>
    </row>
    <row r="1752" spans="1:6" x14ac:dyDescent="0.35">
      <c r="A1752" s="3" t="s">
        <v>2346</v>
      </c>
      <c r="B1752" t="str">
        <f>VLOOKUP(A1752,Raw_Data!A:L,6,FALSE)</f>
        <v>Coffee grinder</v>
      </c>
      <c r="C1752" t="str">
        <f>VLOOKUP(A1752,Raw_Data!A:L,3,FALSE)</f>
        <v>India</v>
      </c>
      <c r="D1752" s="3">
        <f>VLOOKUP(A1752,Raw_Data!A:L,12,FALSE)</f>
        <v>1632</v>
      </c>
      <c r="E1752" s="3">
        <f>VLOOKUP(A1752,Raw_Data!A:L,11,FALSE)</f>
        <v>24</v>
      </c>
      <c r="F1752" t="str">
        <f>TEXT(VLOOKUP(A1752,Raw_Data!A:L,5,FALSE),"mmm")</f>
        <v>May</v>
      </c>
    </row>
    <row r="1753" spans="1:6" x14ac:dyDescent="0.35">
      <c r="A1753" s="3" t="s">
        <v>2347</v>
      </c>
      <c r="B1753" t="str">
        <f>VLOOKUP(A1753,Raw_Data!A:L,6,FALSE)</f>
        <v>Air conditioner</v>
      </c>
      <c r="C1753" t="str">
        <f>VLOOKUP(A1753,Raw_Data!A:L,3,FALSE)</f>
        <v>Egypt</v>
      </c>
      <c r="D1753" s="3">
        <f>VLOOKUP(A1753,Raw_Data!A:L,12,FALSE)</f>
        <v>16443</v>
      </c>
      <c r="E1753" s="3">
        <f>VLOOKUP(A1753,Raw_Data!A:L,11,FALSE)</f>
        <v>29</v>
      </c>
      <c r="F1753" t="str">
        <f>TEXT(VLOOKUP(A1753,Raw_Data!A:L,5,FALSE),"mmm")</f>
        <v>Feb</v>
      </c>
    </row>
    <row r="1754" spans="1:6" x14ac:dyDescent="0.35">
      <c r="A1754" s="3" t="s">
        <v>2348</v>
      </c>
      <c r="B1754" t="str">
        <f>VLOOKUP(A1754,Raw_Data!A:L,6,FALSE)</f>
        <v>Iron</v>
      </c>
      <c r="C1754" t="str">
        <f>VLOOKUP(A1754,Raw_Data!A:L,3,FALSE)</f>
        <v>USA</v>
      </c>
      <c r="D1754" s="3">
        <f>VLOOKUP(A1754,Raw_Data!A:L,12,FALSE)</f>
        <v>754</v>
      </c>
      <c r="E1754" s="3">
        <f>VLOOKUP(A1754,Raw_Data!A:L,11,FALSE)</f>
        <v>26</v>
      </c>
      <c r="F1754" t="str">
        <f>TEXT(VLOOKUP(A1754,Raw_Data!A:L,5,FALSE),"mmm")</f>
        <v>Jan</v>
      </c>
    </row>
    <row r="1755" spans="1:6" x14ac:dyDescent="0.35">
      <c r="A1755" s="3" t="s">
        <v>2349</v>
      </c>
      <c r="B1755" t="str">
        <f>VLOOKUP(A1755,Raw_Data!A:L,6,FALSE)</f>
        <v>Microwave</v>
      </c>
      <c r="C1755" t="str">
        <f>VLOOKUP(A1755,Raw_Data!A:L,3,FALSE)</f>
        <v>Brazil</v>
      </c>
      <c r="D1755" s="3">
        <f>VLOOKUP(A1755,Raw_Data!A:L,12,FALSE)</f>
        <v>2132</v>
      </c>
      <c r="E1755" s="3">
        <f>VLOOKUP(A1755,Raw_Data!A:L,11,FALSE)</f>
        <v>41</v>
      </c>
      <c r="F1755" t="str">
        <f>TEXT(VLOOKUP(A1755,Raw_Data!A:L,5,FALSE),"mmm")</f>
        <v>Nov</v>
      </c>
    </row>
    <row r="1756" spans="1:6" x14ac:dyDescent="0.35">
      <c r="A1756" s="3" t="s">
        <v>2350</v>
      </c>
      <c r="B1756" t="str">
        <f>VLOOKUP(A1756,Raw_Data!A:L,6,FALSE)</f>
        <v>Dishwasher</v>
      </c>
      <c r="C1756" t="str">
        <f>VLOOKUP(A1756,Raw_Data!A:L,3,FALSE)</f>
        <v>Chile</v>
      </c>
      <c r="D1756" s="3">
        <f>VLOOKUP(A1756,Raw_Data!A:L,12,FALSE)</f>
        <v>6600</v>
      </c>
      <c r="E1756" s="3">
        <f>VLOOKUP(A1756,Raw_Data!A:L,11,FALSE)</f>
        <v>15</v>
      </c>
      <c r="F1756" t="str">
        <f>TEXT(VLOOKUP(A1756,Raw_Data!A:L,5,FALSE),"mmm")</f>
        <v>May</v>
      </c>
    </row>
    <row r="1757" spans="1:6" x14ac:dyDescent="0.35">
      <c r="A1757" s="3" t="s">
        <v>2351</v>
      </c>
      <c r="B1757" t="str">
        <f>VLOOKUP(A1757,Raw_Data!A:L,6,FALSE)</f>
        <v>Air conditioner</v>
      </c>
      <c r="C1757" t="str">
        <f>VLOOKUP(A1757,Raw_Data!A:L,3,FALSE)</f>
        <v>Japan</v>
      </c>
      <c r="D1757" s="3">
        <f>VLOOKUP(A1757,Raw_Data!A:L,12,FALSE)</f>
        <v>1470</v>
      </c>
      <c r="E1757" s="3">
        <f>VLOOKUP(A1757,Raw_Data!A:L,11,FALSE)</f>
        <v>10</v>
      </c>
      <c r="F1757" t="str">
        <f>TEXT(VLOOKUP(A1757,Raw_Data!A:L,5,FALSE),"mmm")</f>
        <v>Jul</v>
      </c>
    </row>
    <row r="1758" spans="1:6" x14ac:dyDescent="0.35">
      <c r="A1758" s="3" t="s">
        <v>2353</v>
      </c>
      <c r="B1758" t="str">
        <f>VLOOKUP(A1758,Raw_Data!A:L,6,FALSE)</f>
        <v>Dishwasher</v>
      </c>
      <c r="C1758" t="str">
        <f>VLOOKUP(A1758,Raw_Data!A:L,3,FALSE)</f>
        <v>Canada</v>
      </c>
      <c r="D1758" s="3">
        <f>VLOOKUP(A1758,Raw_Data!A:L,12,FALSE)</f>
        <v>31200</v>
      </c>
      <c r="E1758" s="3">
        <f>VLOOKUP(A1758,Raw_Data!A:L,11,FALSE)</f>
        <v>78</v>
      </c>
      <c r="F1758" t="str">
        <f>TEXT(VLOOKUP(A1758,Raw_Data!A:L,5,FALSE),"mmm")</f>
        <v>Mar</v>
      </c>
    </row>
    <row r="1759" spans="1:6" x14ac:dyDescent="0.35">
      <c r="A1759" s="3" t="s">
        <v>2354</v>
      </c>
      <c r="B1759" t="str">
        <f>VLOOKUP(A1759,Raw_Data!A:L,6,FALSE)</f>
        <v>Ceiling fan</v>
      </c>
      <c r="C1759" t="str">
        <f>VLOOKUP(A1759,Raw_Data!A:L,3,FALSE)</f>
        <v>Chile</v>
      </c>
      <c r="D1759" s="3">
        <f>VLOOKUP(A1759,Raw_Data!A:L,12,FALSE)</f>
        <v>4760</v>
      </c>
      <c r="E1759" s="3">
        <f>VLOOKUP(A1759,Raw_Data!A:L,11,FALSE)</f>
        <v>34</v>
      </c>
      <c r="F1759" t="str">
        <f>TEXT(VLOOKUP(A1759,Raw_Data!A:L,5,FALSE),"mmm")</f>
        <v>Feb</v>
      </c>
    </row>
    <row r="1760" spans="1:6" x14ac:dyDescent="0.35">
      <c r="A1760" s="3" t="s">
        <v>2355</v>
      </c>
      <c r="B1760" t="str">
        <f>VLOOKUP(A1760,Raw_Data!A:L,6,FALSE)</f>
        <v>Dishwasher</v>
      </c>
      <c r="C1760" t="str">
        <f>VLOOKUP(A1760,Raw_Data!A:L,3,FALSE)</f>
        <v>Chile</v>
      </c>
      <c r="D1760" s="3">
        <f>VLOOKUP(A1760,Raw_Data!A:L,12,FALSE)</f>
        <v>13950</v>
      </c>
      <c r="E1760" s="3">
        <f>VLOOKUP(A1760,Raw_Data!A:L,11,FALSE)</f>
        <v>31</v>
      </c>
      <c r="F1760" t="str">
        <f>TEXT(VLOOKUP(A1760,Raw_Data!A:L,5,FALSE),"mmm")</f>
        <v>Nov</v>
      </c>
    </row>
    <row r="1761" spans="1:6" x14ac:dyDescent="0.35">
      <c r="A1761" s="3" t="s">
        <v>2356</v>
      </c>
      <c r="B1761" t="str">
        <f>VLOOKUP(A1761,Raw_Data!A:L,6,FALSE)</f>
        <v>Air conditioner</v>
      </c>
      <c r="C1761" t="str">
        <f>VLOOKUP(A1761,Raw_Data!A:L,3,FALSE)</f>
        <v>Mexico</v>
      </c>
      <c r="D1761" s="3">
        <f>VLOOKUP(A1761,Raw_Data!A:L,12,FALSE)</f>
        <v>679</v>
      </c>
      <c r="E1761" s="3">
        <f>VLOOKUP(A1761,Raw_Data!A:L,11,FALSE)</f>
        <v>1</v>
      </c>
      <c r="F1761" t="str">
        <f>TEXT(VLOOKUP(A1761,Raw_Data!A:L,5,FALSE),"mmm")</f>
        <v>Mar</v>
      </c>
    </row>
    <row r="1762" spans="1:6" x14ac:dyDescent="0.35">
      <c r="A1762" s="3" t="s">
        <v>2357</v>
      </c>
      <c r="B1762" t="str">
        <f>VLOOKUP(A1762,Raw_Data!A:L,6,FALSE)</f>
        <v>Coffee grinder</v>
      </c>
      <c r="C1762" t="str">
        <f>VLOOKUP(A1762,Raw_Data!A:L,3,FALSE)</f>
        <v>USA</v>
      </c>
      <c r="D1762" s="3">
        <f>VLOOKUP(A1762,Raw_Data!A:L,12,FALSE)</f>
        <v>5313</v>
      </c>
      <c r="E1762" s="3">
        <f>VLOOKUP(A1762,Raw_Data!A:L,11,FALSE)</f>
        <v>77</v>
      </c>
      <c r="F1762" t="str">
        <f>TEXT(VLOOKUP(A1762,Raw_Data!A:L,5,FALSE),"mmm")</f>
        <v>Oct</v>
      </c>
    </row>
    <row r="1763" spans="1:6" x14ac:dyDescent="0.35">
      <c r="A1763" s="3" t="s">
        <v>2358</v>
      </c>
      <c r="B1763" t="str">
        <f>VLOOKUP(A1763,Raw_Data!A:L,6,FALSE)</f>
        <v>Oven</v>
      </c>
      <c r="C1763" t="str">
        <f>VLOOKUP(A1763,Raw_Data!A:L,3,FALSE)</f>
        <v>Australia</v>
      </c>
      <c r="D1763" s="3">
        <f>VLOOKUP(A1763,Raw_Data!A:L,12,FALSE)</f>
        <v>30195</v>
      </c>
      <c r="E1763" s="3">
        <f>VLOOKUP(A1763,Raw_Data!A:L,11,FALSE)</f>
        <v>61</v>
      </c>
      <c r="F1763" t="str">
        <f>TEXT(VLOOKUP(A1763,Raw_Data!A:L,5,FALSE),"mmm")</f>
        <v>Jan</v>
      </c>
    </row>
    <row r="1764" spans="1:6" x14ac:dyDescent="0.35">
      <c r="A1764" s="3" t="s">
        <v>2359</v>
      </c>
      <c r="B1764" t="str">
        <f>VLOOKUP(A1764,Raw_Data!A:L,6,FALSE)</f>
        <v>Dishwasher</v>
      </c>
      <c r="C1764" t="str">
        <f>VLOOKUP(A1764,Raw_Data!A:L,3,FALSE)</f>
        <v>South Africa</v>
      </c>
      <c r="D1764" s="3">
        <f>VLOOKUP(A1764,Raw_Data!A:L,12,FALSE)</f>
        <v>11375</v>
      </c>
      <c r="E1764" s="3">
        <f>VLOOKUP(A1764,Raw_Data!A:L,11,FALSE)</f>
        <v>25</v>
      </c>
      <c r="F1764" t="str">
        <f>TEXT(VLOOKUP(A1764,Raw_Data!A:L,5,FALSE),"mmm")</f>
        <v>Feb</v>
      </c>
    </row>
    <row r="1765" spans="1:6" x14ac:dyDescent="0.35">
      <c r="A1765" s="3" t="s">
        <v>2360</v>
      </c>
      <c r="B1765" t="str">
        <f>VLOOKUP(A1765,Raw_Data!A:L,6,FALSE)</f>
        <v>Coffee grinder</v>
      </c>
      <c r="C1765" t="str">
        <f>VLOOKUP(A1765,Raw_Data!A:L,3,FALSE)</f>
        <v>Canada</v>
      </c>
      <c r="D1765" s="3">
        <f>VLOOKUP(A1765,Raw_Data!A:L,12,FALSE)</f>
        <v>1344</v>
      </c>
      <c r="E1765" s="3">
        <f>VLOOKUP(A1765,Raw_Data!A:L,11,FALSE)</f>
        <v>24</v>
      </c>
      <c r="F1765" t="str">
        <f>TEXT(VLOOKUP(A1765,Raw_Data!A:L,5,FALSE),"mmm")</f>
        <v>Dec</v>
      </c>
    </row>
    <row r="1766" spans="1:6" x14ac:dyDescent="0.35">
      <c r="A1766" s="3" t="s">
        <v>2361</v>
      </c>
      <c r="B1766" t="str">
        <f>VLOOKUP(A1766,Raw_Data!A:L,6,FALSE)</f>
        <v>Coffee grinder</v>
      </c>
      <c r="C1766" t="str">
        <f>VLOOKUP(A1766,Raw_Data!A:L,3,FALSE)</f>
        <v>Saudi Arabia</v>
      </c>
      <c r="D1766" s="3">
        <f>VLOOKUP(A1766,Raw_Data!A:L,12,FALSE)</f>
        <v>620</v>
      </c>
      <c r="E1766" s="3">
        <f>VLOOKUP(A1766,Raw_Data!A:L,11,FALSE)</f>
        <v>10</v>
      </c>
      <c r="F1766" t="str">
        <f>TEXT(VLOOKUP(A1766,Raw_Data!A:L,5,FALSE),"mmm")</f>
        <v>Oct</v>
      </c>
    </row>
    <row r="1767" spans="1:6" x14ac:dyDescent="0.35">
      <c r="A1767" s="3" t="s">
        <v>2362</v>
      </c>
      <c r="B1767" t="str">
        <f>VLOOKUP(A1767,Raw_Data!A:L,6,FALSE)</f>
        <v>Ceiling fan</v>
      </c>
      <c r="C1767" t="str">
        <f>VLOOKUP(A1767,Raw_Data!A:L,3,FALSE)</f>
        <v>USA</v>
      </c>
      <c r="D1767" s="3">
        <f>VLOOKUP(A1767,Raw_Data!A:L,12,FALSE)</f>
        <v>10112</v>
      </c>
      <c r="E1767" s="3">
        <f>VLOOKUP(A1767,Raw_Data!A:L,11,FALSE)</f>
        <v>79</v>
      </c>
      <c r="F1767" t="str">
        <f>TEXT(VLOOKUP(A1767,Raw_Data!A:L,5,FALSE),"mmm")</f>
        <v>Jan</v>
      </c>
    </row>
    <row r="1768" spans="1:6" x14ac:dyDescent="0.35">
      <c r="A1768" s="3" t="s">
        <v>2363</v>
      </c>
      <c r="B1768" t="str">
        <f>VLOOKUP(A1768,Raw_Data!A:L,6,FALSE)</f>
        <v>Ceiling fan</v>
      </c>
      <c r="C1768" t="str">
        <f>VLOOKUP(A1768,Raw_Data!A:L,3,FALSE)</f>
        <v>Canada</v>
      </c>
      <c r="D1768" s="3">
        <f>VLOOKUP(A1768,Raw_Data!A:L,12,FALSE)</f>
        <v>10873</v>
      </c>
      <c r="E1768" s="3">
        <f>VLOOKUP(A1768,Raw_Data!A:L,11,FALSE)</f>
        <v>83</v>
      </c>
      <c r="F1768" t="str">
        <f>TEXT(VLOOKUP(A1768,Raw_Data!A:L,5,FALSE),"mmm")</f>
        <v>Jan</v>
      </c>
    </row>
    <row r="1769" spans="1:6" x14ac:dyDescent="0.35">
      <c r="A1769" s="3" t="s">
        <v>2365</v>
      </c>
      <c r="B1769" t="str">
        <f>VLOOKUP(A1769,Raw_Data!A:L,6,FALSE)</f>
        <v>Iron</v>
      </c>
      <c r="C1769" t="str">
        <f>VLOOKUP(A1769,Raw_Data!A:L,3,FALSE)</f>
        <v>USA</v>
      </c>
      <c r="D1769" s="3">
        <f>VLOOKUP(A1769,Raw_Data!A:L,12,FALSE)</f>
        <v>1470</v>
      </c>
      <c r="E1769" s="3">
        <f>VLOOKUP(A1769,Raw_Data!A:L,11,FALSE)</f>
        <v>49</v>
      </c>
      <c r="F1769" t="str">
        <f>TEXT(VLOOKUP(A1769,Raw_Data!A:L,5,FALSE),"mmm")</f>
        <v>Feb</v>
      </c>
    </row>
    <row r="1770" spans="1:6" x14ac:dyDescent="0.35">
      <c r="A1770" s="3" t="s">
        <v>2366</v>
      </c>
      <c r="B1770" t="str">
        <f>VLOOKUP(A1770,Raw_Data!A:L,6,FALSE)</f>
        <v>Dishwasher</v>
      </c>
      <c r="C1770" t="str">
        <f>VLOOKUP(A1770,Raw_Data!A:L,3,FALSE)</f>
        <v>Brazil</v>
      </c>
      <c r="D1770" s="3">
        <f>VLOOKUP(A1770,Raw_Data!A:L,12,FALSE)</f>
        <v>11500</v>
      </c>
      <c r="E1770" s="3">
        <f>VLOOKUP(A1770,Raw_Data!A:L,11,FALSE)</f>
        <v>25</v>
      </c>
      <c r="F1770" t="str">
        <f>TEXT(VLOOKUP(A1770,Raw_Data!A:L,5,FALSE),"mmm")</f>
        <v>Jul</v>
      </c>
    </row>
    <row r="1771" spans="1:6" x14ac:dyDescent="0.35">
      <c r="A1771" s="3" t="s">
        <v>2367</v>
      </c>
      <c r="B1771" t="str">
        <f>VLOOKUP(A1771,Raw_Data!A:L,6,FALSE)</f>
        <v>Ceiling fan</v>
      </c>
      <c r="C1771" t="str">
        <f>VLOOKUP(A1771,Raw_Data!A:L,3,FALSE)</f>
        <v>Malaysia</v>
      </c>
      <c r="D1771" s="3">
        <f>VLOOKUP(A1771,Raw_Data!A:L,12,FALSE)</f>
        <v>2520</v>
      </c>
      <c r="E1771" s="3">
        <f>VLOOKUP(A1771,Raw_Data!A:L,11,FALSE)</f>
        <v>21</v>
      </c>
      <c r="F1771" t="str">
        <f>TEXT(VLOOKUP(A1771,Raw_Data!A:L,5,FALSE),"mmm")</f>
        <v>Apr</v>
      </c>
    </row>
    <row r="1772" spans="1:6" x14ac:dyDescent="0.35">
      <c r="A1772" s="3" t="s">
        <v>2368</v>
      </c>
      <c r="B1772" t="str">
        <f>VLOOKUP(A1772,Raw_Data!A:L,6,FALSE)</f>
        <v>Washing Machine</v>
      </c>
      <c r="C1772" t="str">
        <f>VLOOKUP(A1772,Raw_Data!A:L,3,FALSE)</f>
        <v>USA</v>
      </c>
      <c r="D1772" s="3">
        <f>VLOOKUP(A1772,Raw_Data!A:L,12,FALSE)</f>
        <v>8160</v>
      </c>
      <c r="E1772" s="3">
        <f>VLOOKUP(A1772,Raw_Data!A:L,11,FALSE)</f>
        <v>15</v>
      </c>
      <c r="F1772" t="str">
        <f>TEXT(VLOOKUP(A1772,Raw_Data!A:L,5,FALSE),"mmm")</f>
        <v>Sep</v>
      </c>
    </row>
    <row r="1773" spans="1:6" x14ac:dyDescent="0.35">
      <c r="A1773" s="3" t="s">
        <v>2369</v>
      </c>
      <c r="B1773" t="str">
        <f>VLOOKUP(A1773,Raw_Data!A:L,6,FALSE)</f>
        <v>Ceiling fan</v>
      </c>
      <c r="C1773" t="str">
        <f>VLOOKUP(A1773,Raw_Data!A:L,3,FALSE)</f>
        <v>Spain</v>
      </c>
      <c r="D1773" s="3">
        <f>VLOOKUP(A1773,Raw_Data!A:L,12,FALSE)</f>
        <v>3828</v>
      </c>
      <c r="E1773" s="3">
        <f>VLOOKUP(A1773,Raw_Data!A:L,11,FALSE)</f>
        <v>29</v>
      </c>
      <c r="F1773" t="str">
        <f>TEXT(VLOOKUP(A1773,Raw_Data!A:L,5,FALSE),"mmm")</f>
        <v>Aug</v>
      </c>
    </row>
    <row r="1774" spans="1:6" x14ac:dyDescent="0.35">
      <c r="A1774" s="3" t="s">
        <v>2370</v>
      </c>
      <c r="B1774" t="str">
        <f>VLOOKUP(A1774,Raw_Data!A:L,6,FALSE)</f>
        <v>Dishwasher</v>
      </c>
      <c r="C1774" t="str">
        <f>VLOOKUP(A1774,Raw_Data!A:L,3,FALSE)</f>
        <v>Israel</v>
      </c>
      <c r="D1774" s="3">
        <f>VLOOKUP(A1774,Raw_Data!A:L,12,FALSE)</f>
        <v>10875</v>
      </c>
      <c r="E1774" s="3">
        <f>VLOOKUP(A1774,Raw_Data!A:L,11,FALSE)</f>
        <v>25</v>
      </c>
      <c r="F1774" t="str">
        <f>TEXT(VLOOKUP(A1774,Raw_Data!A:L,5,FALSE),"mmm")</f>
        <v>Dec</v>
      </c>
    </row>
    <row r="1775" spans="1:6" x14ac:dyDescent="0.35">
      <c r="A1775" s="3" t="s">
        <v>2371</v>
      </c>
      <c r="B1775" t="str">
        <f>VLOOKUP(A1775,Raw_Data!A:L,6,FALSE)</f>
        <v>Washing Machine</v>
      </c>
      <c r="C1775" t="str">
        <f>VLOOKUP(A1775,Raw_Data!A:L,3,FALSE)</f>
        <v>Canada</v>
      </c>
      <c r="D1775" s="3">
        <f>VLOOKUP(A1775,Raw_Data!A:L,12,FALSE)</f>
        <v>16576</v>
      </c>
      <c r="E1775" s="3">
        <f>VLOOKUP(A1775,Raw_Data!A:L,11,FALSE)</f>
        <v>37</v>
      </c>
      <c r="F1775" t="str">
        <f>TEXT(VLOOKUP(A1775,Raw_Data!A:L,5,FALSE),"mmm")</f>
        <v>Dec</v>
      </c>
    </row>
    <row r="1776" spans="1:6" x14ac:dyDescent="0.35">
      <c r="A1776" s="3" t="s">
        <v>2373</v>
      </c>
      <c r="B1776" t="str">
        <f>VLOOKUP(A1776,Raw_Data!A:L,6,FALSE)</f>
        <v>Oven</v>
      </c>
      <c r="C1776" t="str">
        <f>VLOOKUP(A1776,Raw_Data!A:L,3,FALSE)</f>
        <v>USA</v>
      </c>
      <c r="D1776" s="3">
        <f>VLOOKUP(A1776,Raw_Data!A:L,12,FALSE)</f>
        <v>26500</v>
      </c>
      <c r="E1776" s="3">
        <f>VLOOKUP(A1776,Raw_Data!A:L,11,FALSE)</f>
        <v>53</v>
      </c>
      <c r="F1776" t="str">
        <f>TEXT(VLOOKUP(A1776,Raw_Data!A:L,5,FALSE),"mmm")</f>
        <v>Jul</v>
      </c>
    </row>
    <row r="1777" spans="1:6" x14ac:dyDescent="0.35">
      <c r="A1777" s="3" t="s">
        <v>2374</v>
      </c>
      <c r="B1777" t="str">
        <f>VLOOKUP(A1777,Raw_Data!A:L,6,FALSE)</f>
        <v>Blender</v>
      </c>
      <c r="C1777" t="str">
        <f>VLOOKUP(A1777,Raw_Data!A:L,3,FALSE)</f>
        <v>Mexico</v>
      </c>
      <c r="D1777" s="3">
        <f>VLOOKUP(A1777,Raw_Data!A:L,12,FALSE)</f>
        <v>752</v>
      </c>
      <c r="E1777" s="3">
        <f>VLOOKUP(A1777,Raw_Data!A:L,11,FALSE)</f>
        <v>16</v>
      </c>
      <c r="F1777" t="str">
        <f>TEXT(VLOOKUP(A1777,Raw_Data!A:L,5,FALSE),"mmm")</f>
        <v>May</v>
      </c>
    </row>
    <row r="1778" spans="1:6" x14ac:dyDescent="0.35">
      <c r="A1778" s="3" t="s">
        <v>2375</v>
      </c>
      <c r="B1778" t="str">
        <f>VLOOKUP(A1778,Raw_Data!A:L,6,FALSE)</f>
        <v>Toaster</v>
      </c>
      <c r="C1778" t="str">
        <f>VLOOKUP(A1778,Raw_Data!A:L,3,FALSE)</f>
        <v>USA</v>
      </c>
      <c r="D1778" s="3">
        <f>VLOOKUP(A1778,Raw_Data!A:L,12,FALSE)</f>
        <v>966</v>
      </c>
      <c r="E1778" s="3">
        <f>VLOOKUP(A1778,Raw_Data!A:L,11,FALSE)</f>
        <v>21</v>
      </c>
      <c r="F1778" t="str">
        <f>TEXT(VLOOKUP(A1778,Raw_Data!A:L,5,FALSE),"mmm")</f>
        <v>Apr</v>
      </c>
    </row>
    <row r="1779" spans="1:6" x14ac:dyDescent="0.35">
      <c r="A1779" s="3" t="s">
        <v>2376</v>
      </c>
      <c r="B1779" t="str">
        <f>VLOOKUP(A1779,Raw_Data!A:L,6,FALSE)</f>
        <v>Ceiling fan</v>
      </c>
      <c r="C1779" t="str">
        <f>VLOOKUP(A1779,Raw_Data!A:L,3,FALSE)</f>
        <v>Mexico</v>
      </c>
      <c r="D1779" s="3">
        <f>VLOOKUP(A1779,Raw_Data!A:L,12,FALSE)</f>
        <v>7308</v>
      </c>
      <c r="E1779" s="3">
        <f>VLOOKUP(A1779,Raw_Data!A:L,11,FALSE)</f>
        <v>58</v>
      </c>
      <c r="F1779" t="str">
        <f>TEXT(VLOOKUP(A1779,Raw_Data!A:L,5,FALSE),"mmm")</f>
        <v>Aug</v>
      </c>
    </row>
    <row r="1780" spans="1:6" x14ac:dyDescent="0.35">
      <c r="A1780" s="3" t="s">
        <v>2377</v>
      </c>
      <c r="B1780" t="str">
        <f>VLOOKUP(A1780,Raw_Data!A:L,6,FALSE)</f>
        <v>Iron</v>
      </c>
      <c r="C1780" t="str">
        <f>VLOOKUP(A1780,Raw_Data!A:L,3,FALSE)</f>
        <v>Netherlands</v>
      </c>
      <c r="D1780" s="3">
        <f>VLOOKUP(A1780,Raw_Data!A:L,12,FALSE)</f>
        <v>1058</v>
      </c>
      <c r="E1780" s="3">
        <f>VLOOKUP(A1780,Raw_Data!A:L,11,FALSE)</f>
        <v>46</v>
      </c>
      <c r="F1780" t="str">
        <f>TEXT(VLOOKUP(A1780,Raw_Data!A:L,5,FALSE),"mmm")</f>
        <v>May</v>
      </c>
    </row>
    <row r="1781" spans="1:6" x14ac:dyDescent="0.35">
      <c r="A1781" s="3" t="s">
        <v>2378</v>
      </c>
      <c r="B1781" t="str">
        <f>VLOOKUP(A1781,Raw_Data!A:L,6,FALSE)</f>
        <v>Vacuum Cleaner</v>
      </c>
      <c r="C1781" t="str">
        <f>VLOOKUP(A1781,Raw_Data!A:L,3,FALSE)</f>
        <v>Argentina</v>
      </c>
      <c r="D1781" s="3">
        <f>VLOOKUP(A1781,Raw_Data!A:L,12,FALSE)</f>
        <v>3680</v>
      </c>
      <c r="E1781" s="3">
        <f>VLOOKUP(A1781,Raw_Data!A:L,11,FALSE)</f>
        <v>16</v>
      </c>
      <c r="F1781" t="str">
        <f>TEXT(VLOOKUP(A1781,Raw_Data!A:L,5,FALSE),"mmm")</f>
        <v>Jul</v>
      </c>
    </row>
    <row r="1782" spans="1:6" x14ac:dyDescent="0.35">
      <c r="A1782" s="3" t="s">
        <v>2380</v>
      </c>
      <c r="B1782" t="str">
        <f>VLOOKUP(A1782,Raw_Data!A:L,6,FALSE)</f>
        <v>Iron</v>
      </c>
      <c r="C1782" t="str">
        <f>VLOOKUP(A1782,Raw_Data!A:L,3,FALSE)</f>
        <v>Spain</v>
      </c>
      <c r="D1782" s="3">
        <f>VLOOKUP(A1782,Raw_Data!A:L,12,FALSE)</f>
        <v>1073</v>
      </c>
      <c r="E1782" s="3">
        <f>VLOOKUP(A1782,Raw_Data!A:L,11,FALSE)</f>
        <v>37</v>
      </c>
      <c r="F1782" t="str">
        <f>TEXT(VLOOKUP(A1782,Raw_Data!A:L,5,FALSE),"mmm")</f>
        <v>Apr</v>
      </c>
    </row>
    <row r="1783" spans="1:6" x14ac:dyDescent="0.35">
      <c r="A1783" s="3" t="s">
        <v>2381</v>
      </c>
      <c r="B1783" t="str">
        <f>VLOOKUP(A1783,Raw_Data!A:L,6,FALSE)</f>
        <v>Iron</v>
      </c>
      <c r="C1783" t="str">
        <f>VLOOKUP(A1783,Raw_Data!A:L,3,FALSE)</f>
        <v>UK</v>
      </c>
      <c r="D1783" s="3">
        <f>VLOOKUP(A1783,Raw_Data!A:L,12,FALSE)</f>
        <v>384</v>
      </c>
      <c r="E1783" s="3">
        <f>VLOOKUP(A1783,Raw_Data!A:L,11,FALSE)</f>
        <v>16</v>
      </c>
      <c r="F1783" t="str">
        <f>TEXT(VLOOKUP(A1783,Raw_Data!A:L,5,FALSE),"mmm")</f>
        <v>Dec</v>
      </c>
    </row>
    <row r="1784" spans="1:6" x14ac:dyDescent="0.35">
      <c r="A1784" s="3" t="s">
        <v>2382</v>
      </c>
      <c r="B1784" t="str">
        <f>VLOOKUP(A1784,Raw_Data!A:L,6,FALSE)</f>
        <v>Dishwasher</v>
      </c>
      <c r="C1784" t="str">
        <f>VLOOKUP(A1784,Raw_Data!A:L,3,FALSE)</f>
        <v>Japan</v>
      </c>
      <c r="D1784" s="3">
        <f>VLOOKUP(A1784,Raw_Data!A:L,12,FALSE)</f>
        <v>24010</v>
      </c>
      <c r="E1784" s="3">
        <f>VLOOKUP(A1784,Raw_Data!A:L,11,FALSE)</f>
        <v>49</v>
      </c>
      <c r="F1784" t="str">
        <f>TEXT(VLOOKUP(A1784,Raw_Data!A:L,5,FALSE),"mmm")</f>
        <v>Dec</v>
      </c>
    </row>
    <row r="1785" spans="1:6" x14ac:dyDescent="0.35">
      <c r="A1785" s="3" t="s">
        <v>2383</v>
      </c>
      <c r="B1785" t="str">
        <f>VLOOKUP(A1785,Raw_Data!A:L,6,FALSE)</f>
        <v>Toaster</v>
      </c>
      <c r="C1785" t="str">
        <f>VLOOKUP(A1785,Raw_Data!A:L,3,FALSE)</f>
        <v>UAE</v>
      </c>
      <c r="D1785" s="3">
        <f>VLOOKUP(A1785,Raw_Data!A:L,12,FALSE)</f>
        <v>2679</v>
      </c>
      <c r="E1785" s="3">
        <f>VLOOKUP(A1785,Raw_Data!A:L,11,FALSE)</f>
        <v>57</v>
      </c>
      <c r="F1785" t="str">
        <f>TEXT(VLOOKUP(A1785,Raw_Data!A:L,5,FALSE),"mmm")</f>
        <v>Dec</v>
      </c>
    </row>
    <row r="1786" spans="1:6" x14ac:dyDescent="0.35">
      <c r="A1786" s="3" t="s">
        <v>2384</v>
      </c>
      <c r="B1786" t="str">
        <f>VLOOKUP(A1786,Raw_Data!A:L,6,FALSE)</f>
        <v>Refrigerator</v>
      </c>
      <c r="C1786" t="str">
        <f>VLOOKUP(A1786,Raw_Data!A:L,3,FALSE)</f>
        <v>India</v>
      </c>
      <c r="D1786" s="3">
        <f>VLOOKUP(A1786,Raw_Data!A:L,12,FALSE)</f>
        <v>14800</v>
      </c>
      <c r="E1786" s="3">
        <f>VLOOKUP(A1786,Raw_Data!A:L,11,FALSE)</f>
        <v>20</v>
      </c>
      <c r="F1786" t="str">
        <f>TEXT(VLOOKUP(A1786,Raw_Data!A:L,5,FALSE),"mmm")</f>
        <v>Jun</v>
      </c>
    </row>
    <row r="1787" spans="1:6" x14ac:dyDescent="0.35">
      <c r="A1787" s="3" t="s">
        <v>2385</v>
      </c>
      <c r="B1787" t="str">
        <f>VLOOKUP(A1787,Raw_Data!A:L,6,FALSE)</f>
        <v>Blender</v>
      </c>
      <c r="C1787" t="str">
        <f>VLOOKUP(A1787,Raw_Data!A:L,3,FALSE)</f>
        <v>USA</v>
      </c>
      <c r="D1787" s="3">
        <f>VLOOKUP(A1787,Raw_Data!A:L,12,FALSE)</f>
        <v>3195</v>
      </c>
      <c r="E1787" s="3">
        <f>VLOOKUP(A1787,Raw_Data!A:L,11,FALSE)</f>
        <v>71</v>
      </c>
      <c r="F1787" t="str">
        <f>TEXT(VLOOKUP(A1787,Raw_Data!A:L,5,FALSE),"mmm")</f>
        <v>Oct</v>
      </c>
    </row>
    <row r="1788" spans="1:6" x14ac:dyDescent="0.35">
      <c r="A1788" s="3" t="s">
        <v>2386</v>
      </c>
      <c r="B1788" t="str">
        <f>VLOOKUP(A1788,Raw_Data!A:L,6,FALSE)</f>
        <v>Air conditioner</v>
      </c>
      <c r="C1788" t="str">
        <f>VLOOKUP(A1788,Raw_Data!A:L,3,FALSE)</f>
        <v>USA</v>
      </c>
      <c r="D1788" s="3">
        <f>VLOOKUP(A1788,Raw_Data!A:L,12,FALSE)</f>
        <v>5264</v>
      </c>
      <c r="E1788" s="3">
        <f>VLOOKUP(A1788,Raw_Data!A:L,11,FALSE)</f>
        <v>8</v>
      </c>
      <c r="F1788" t="str">
        <f>TEXT(VLOOKUP(A1788,Raw_Data!A:L,5,FALSE),"mmm")</f>
        <v>May</v>
      </c>
    </row>
    <row r="1789" spans="1:6" x14ac:dyDescent="0.35">
      <c r="A1789" s="3" t="s">
        <v>2388</v>
      </c>
      <c r="B1789" t="str">
        <f>VLOOKUP(A1789,Raw_Data!A:L,6,FALSE)</f>
        <v>Iron</v>
      </c>
      <c r="C1789" t="str">
        <f>VLOOKUP(A1789,Raw_Data!A:L,3,FALSE)</f>
        <v>USA</v>
      </c>
      <c r="D1789" s="3">
        <f>VLOOKUP(A1789,Raw_Data!A:L,12,FALSE)</f>
        <v>26</v>
      </c>
      <c r="E1789" s="3">
        <f>VLOOKUP(A1789,Raw_Data!A:L,11,FALSE)</f>
        <v>1</v>
      </c>
      <c r="F1789" t="str">
        <f>TEXT(VLOOKUP(A1789,Raw_Data!A:L,5,FALSE),"mmm")</f>
        <v>Feb</v>
      </c>
    </row>
    <row r="1790" spans="1:6" x14ac:dyDescent="0.35">
      <c r="A1790" s="3" t="s">
        <v>2389</v>
      </c>
      <c r="B1790" t="str">
        <f>VLOOKUP(A1790,Raw_Data!A:L,6,FALSE)</f>
        <v>Oven</v>
      </c>
      <c r="C1790" t="str">
        <f>VLOOKUP(A1790,Raw_Data!A:L,3,FALSE)</f>
        <v>Australia</v>
      </c>
      <c r="D1790" s="3">
        <f>VLOOKUP(A1790,Raw_Data!A:L,12,FALSE)</f>
        <v>30000</v>
      </c>
      <c r="E1790" s="3">
        <f>VLOOKUP(A1790,Raw_Data!A:L,11,FALSE)</f>
        <v>60</v>
      </c>
      <c r="F1790" t="str">
        <f>TEXT(VLOOKUP(A1790,Raw_Data!A:L,5,FALSE),"mmm")</f>
        <v>May</v>
      </c>
    </row>
    <row r="1791" spans="1:6" x14ac:dyDescent="0.35">
      <c r="A1791" s="3" t="s">
        <v>2390</v>
      </c>
      <c r="B1791" t="str">
        <f>VLOOKUP(A1791,Raw_Data!A:L,6,FALSE)</f>
        <v>Washing Machine</v>
      </c>
      <c r="C1791" t="str">
        <f>VLOOKUP(A1791,Raw_Data!A:L,3,FALSE)</f>
        <v>Russia</v>
      </c>
      <c r="D1791" s="3">
        <f>VLOOKUP(A1791,Raw_Data!A:L,12,FALSE)</f>
        <v>41760</v>
      </c>
      <c r="E1791" s="3">
        <f>VLOOKUP(A1791,Raw_Data!A:L,11,FALSE)</f>
        <v>87</v>
      </c>
      <c r="F1791" t="str">
        <f>TEXT(VLOOKUP(A1791,Raw_Data!A:L,5,FALSE),"mmm")</f>
        <v>Nov</v>
      </c>
    </row>
    <row r="1792" spans="1:6" x14ac:dyDescent="0.35">
      <c r="A1792" s="3" t="s">
        <v>2391</v>
      </c>
      <c r="B1792" t="str">
        <f>VLOOKUP(A1792,Raw_Data!A:L,6,FALSE)</f>
        <v>Iron</v>
      </c>
      <c r="C1792" t="str">
        <f>VLOOKUP(A1792,Raw_Data!A:L,3,FALSE)</f>
        <v>Colombia</v>
      </c>
      <c r="D1792" s="3">
        <f>VLOOKUP(A1792,Raw_Data!A:L,12,FALSE)</f>
        <v>546</v>
      </c>
      <c r="E1792" s="3">
        <f>VLOOKUP(A1792,Raw_Data!A:L,11,FALSE)</f>
        <v>26</v>
      </c>
      <c r="F1792" t="str">
        <f>TEXT(VLOOKUP(A1792,Raw_Data!A:L,5,FALSE),"mmm")</f>
        <v>Jul</v>
      </c>
    </row>
    <row r="1793" spans="1:6" x14ac:dyDescent="0.35">
      <c r="A1793" s="3" t="s">
        <v>2392</v>
      </c>
      <c r="B1793" t="str">
        <f>VLOOKUP(A1793,Raw_Data!A:L,6,FALSE)</f>
        <v>Microwave</v>
      </c>
      <c r="C1793" t="str">
        <f>VLOOKUP(A1793,Raw_Data!A:L,3,FALSE)</f>
        <v>India</v>
      </c>
      <c r="D1793" s="3">
        <f>VLOOKUP(A1793,Raw_Data!A:L,12,FALSE)</f>
        <v>5925</v>
      </c>
      <c r="E1793" s="3">
        <f>VLOOKUP(A1793,Raw_Data!A:L,11,FALSE)</f>
        <v>75</v>
      </c>
      <c r="F1793" t="str">
        <f>TEXT(VLOOKUP(A1793,Raw_Data!A:L,5,FALSE),"mmm")</f>
        <v>Jul</v>
      </c>
    </row>
    <row r="1794" spans="1:6" x14ac:dyDescent="0.35">
      <c r="A1794" s="3" t="s">
        <v>2393</v>
      </c>
      <c r="B1794" t="str">
        <f>VLOOKUP(A1794,Raw_Data!A:L,6,FALSE)</f>
        <v>Ceiling fan</v>
      </c>
      <c r="C1794" t="str">
        <f>VLOOKUP(A1794,Raw_Data!A:L,3,FALSE)</f>
        <v>South Africa</v>
      </c>
      <c r="D1794" s="3">
        <f>VLOOKUP(A1794,Raw_Data!A:L,12,FALSE)</f>
        <v>5513</v>
      </c>
      <c r="E1794" s="3">
        <f>VLOOKUP(A1794,Raw_Data!A:L,11,FALSE)</f>
        <v>37</v>
      </c>
      <c r="F1794" t="str">
        <f>TEXT(VLOOKUP(A1794,Raw_Data!A:L,5,FALSE),"mmm")</f>
        <v>Apr</v>
      </c>
    </row>
    <row r="1795" spans="1:6" x14ac:dyDescent="0.35">
      <c r="A1795" s="3" t="s">
        <v>2394</v>
      </c>
      <c r="B1795" t="str">
        <f>VLOOKUP(A1795,Raw_Data!A:L,6,FALSE)</f>
        <v>Air conditioner</v>
      </c>
      <c r="C1795" t="str">
        <f>VLOOKUP(A1795,Raw_Data!A:L,3,FALSE)</f>
        <v>Russia</v>
      </c>
      <c r="D1795" s="3">
        <f>VLOOKUP(A1795,Raw_Data!A:L,12,FALSE)</f>
        <v>2800</v>
      </c>
      <c r="E1795" s="3">
        <f>VLOOKUP(A1795,Raw_Data!A:L,11,FALSE)</f>
        <v>4</v>
      </c>
      <c r="F1795" t="str">
        <f>TEXT(VLOOKUP(A1795,Raw_Data!A:L,5,FALSE),"mmm")</f>
        <v>Sep</v>
      </c>
    </row>
    <row r="1796" spans="1:6" x14ac:dyDescent="0.35">
      <c r="A1796" s="3" t="s">
        <v>2395</v>
      </c>
      <c r="B1796" t="str">
        <f>VLOOKUP(A1796,Raw_Data!A:L,6,FALSE)</f>
        <v>Refrigerator</v>
      </c>
      <c r="C1796" t="str">
        <f>VLOOKUP(A1796,Raw_Data!A:L,3,FALSE)</f>
        <v>Mexico</v>
      </c>
      <c r="D1796" s="3">
        <f>VLOOKUP(A1796,Raw_Data!A:L,12,FALSE)</f>
        <v>63480</v>
      </c>
      <c r="E1796" s="3">
        <f>VLOOKUP(A1796,Raw_Data!A:L,11,FALSE)</f>
        <v>69</v>
      </c>
      <c r="F1796" t="str">
        <f>TEXT(VLOOKUP(A1796,Raw_Data!A:L,5,FALSE),"mmm")</f>
        <v>May</v>
      </c>
    </row>
    <row r="1797" spans="1:6" x14ac:dyDescent="0.35">
      <c r="A1797" s="3" t="s">
        <v>2396</v>
      </c>
      <c r="B1797" t="str">
        <f>VLOOKUP(A1797,Raw_Data!A:L,6,FALSE)</f>
        <v>Blender</v>
      </c>
      <c r="C1797" t="str">
        <f>VLOOKUP(A1797,Raw_Data!A:L,3,FALSE)</f>
        <v>Malaysia</v>
      </c>
      <c r="D1797" s="3">
        <f>VLOOKUP(A1797,Raw_Data!A:L,12,FALSE)</f>
        <v>2280</v>
      </c>
      <c r="E1797" s="3">
        <f>VLOOKUP(A1797,Raw_Data!A:L,11,FALSE)</f>
        <v>57</v>
      </c>
      <c r="F1797" t="str">
        <f>TEXT(VLOOKUP(A1797,Raw_Data!A:L,5,FALSE),"mmm")</f>
        <v>Oct</v>
      </c>
    </row>
    <row r="1798" spans="1:6" x14ac:dyDescent="0.35">
      <c r="A1798" s="3" t="s">
        <v>2397</v>
      </c>
      <c r="B1798" t="str">
        <f>VLOOKUP(A1798,Raw_Data!A:L,6,FALSE)</f>
        <v>Washing Machine</v>
      </c>
      <c r="C1798" t="str">
        <f>VLOOKUP(A1798,Raw_Data!A:L,3,FALSE)</f>
        <v>Spain</v>
      </c>
      <c r="D1798" s="3">
        <f>VLOOKUP(A1798,Raw_Data!A:L,12,FALSE)</f>
        <v>13328</v>
      </c>
      <c r="E1798" s="3">
        <f>VLOOKUP(A1798,Raw_Data!A:L,11,FALSE)</f>
        <v>17</v>
      </c>
      <c r="F1798" t="str">
        <f>TEXT(VLOOKUP(A1798,Raw_Data!A:L,5,FALSE),"mmm")</f>
        <v>Mar</v>
      </c>
    </row>
    <row r="1799" spans="1:6" x14ac:dyDescent="0.35">
      <c r="A1799" s="3" t="s">
        <v>2398</v>
      </c>
      <c r="B1799" t="str">
        <f>VLOOKUP(A1799,Raw_Data!A:L,6,FALSE)</f>
        <v>Washing Machine</v>
      </c>
      <c r="C1799" t="str">
        <f>VLOOKUP(A1799,Raw_Data!A:L,3,FALSE)</f>
        <v>India</v>
      </c>
      <c r="D1799" s="3">
        <f>VLOOKUP(A1799,Raw_Data!A:L,12,FALSE)</f>
        <v>14640</v>
      </c>
      <c r="E1799" s="3">
        <f>VLOOKUP(A1799,Raw_Data!A:L,11,FALSE)</f>
        <v>30</v>
      </c>
      <c r="F1799" t="str">
        <f>TEXT(VLOOKUP(A1799,Raw_Data!A:L,5,FALSE),"mmm")</f>
        <v>Oct</v>
      </c>
    </row>
    <row r="1800" spans="1:6" x14ac:dyDescent="0.35">
      <c r="A1800" s="3" t="s">
        <v>2399</v>
      </c>
      <c r="B1800" t="str">
        <f>VLOOKUP(A1800,Raw_Data!A:L,6,FALSE)</f>
        <v>Dishwasher</v>
      </c>
      <c r="C1800" t="str">
        <f>VLOOKUP(A1800,Raw_Data!A:L,3,FALSE)</f>
        <v>USA</v>
      </c>
      <c r="D1800" s="3">
        <f>VLOOKUP(A1800,Raw_Data!A:L,12,FALSE)</f>
        <v>450</v>
      </c>
      <c r="E1800" s="3">
        <f>VLOOKUP(A1800,Raw_Data!A:L,11,FALSE)</f>
        <v>1</v>
      </c>
      <c r="F1800" t="str">
        <f>TEXT(VLOOKUP(A1800,Raw_Data!A:L,5,FALSE),"mmm")</f>
        <v>May</v>
      </c>
    </row>
    <row r="1801" spans="1:6" x14ac:dyDescent="0.35">
      <c r="A1801" s="3" t="s">
        <v>2400</v>
      </c>
      <c r="B1801" t="str">
        <f>VLOOKUP(A1801,Raw_Data!A:L,6,FALSE)</f>
        <v>Iron</v>
      </c>
      <c r="C1801" t="str">
        <f>VLOOKUP(A1801,Raw_Data!A:L,3,FALSE)</f>
        <v>Egypt</v>
      </c>
      <c r="D1801" s="3">
        <f>VLOOKUP(A1801,Raw_Data!A:L,12,FALSE)</f>
        <v>1885</v>
      </c>
      <c r="E1801" s="3">
        <f>VLOOKUP(A1801,Raw_Data!A:L,11,FALSE)</f>
        <v>65</v>
      </c>
      <c r="F1801" t="str">
        <f>TEXT(VLOOKUP(A1801,Raw_Data!A:L,5,FALSE),"mmm")</f>
        <v>Feb</v>
      </c>
    </row>
    <row r="1802" spans="1:6" x14ac:dyDescent="0.35">
      <c r="A1802" s="3" t="s">
        <v>2401</v>
      </c>
      <c r="B1802" t="str">
        <f>VLOOKUP(A1802,Raw_Data!A:L,6,FALSE)</f>
        <v>Oven</v>
      </c>
      <c r="C1802" t="str">
        <f>VLOOKUP(A1802,Raw_Data!A:L,3,FALSE)</f>
        <v>Australia</v>
      </c>
      <c r="D1802" s="3">
        <f>VLOOKUP(A1802,Raw_Data!A:L,12,FALSE)</f>
        <v>45570</v>
      </c>
      <c r="E1802" s="3">
        <f>VLOOKUP(A1802,Raw_Data!A:L,11,FALSE)</f>
        <v>93</v>
      </c>
      <c r="F1802" t="str">
        <f>TEXT(VLOOKUP(A1802,Raw_Data!A:L,5,FALSE),"mmm")</f>
        <v>Nov</v>
      </c>
    </row>
    <row r="1803" spans="1:6" x14ac:dyDescent="0.35">
      <c r="A1803" s="3" t="s">
        <v>2402</v>
      </c>
      <c r="B1803" t="str">
        <f>VLOOKUP(A1803,Raw_Data!A:L,6,FALSE)</f>
        <v>Vacuum Cleaner</v>
      </c>
      <c r="C1803" t="str">
        <f>VLOOKUP(A1803,Raw_Data!A:L,3,FALSE)</f>
        <v>India</v>
      </c>
      <c r="D1803" s="3">
        <f>VLOOKUP(A1803,Raw_Data!A:L,12,FALSE)</f>
        <v>2880</v>
      </c>
      <c r="E1803" s="3">
        <f>VLOOKUP(A1803,Raw_Data!A:L,11,FALSE)</f>
        <v>12</v>
      </c>
      <c r="F1803" t="str">
        <f>TEXT(VLOOKUP(A1803,Raw_Data!A:L,5,FALSE),"mmm")</f>
        <v>Jul</v>
      </c>
    </row>
    <row r="1804" spans="1:6" x14ac:dyDescent="0.35">
      <c r="A1804" s="3" t="s">
        <v>2403</v>
      </c>
      <c r="B1804" t="str">
        <f>VLOOKUP(A1804,Raw_Data!A:L,6,FALSE)</f>
        <v>Iron</v>
      </c>
      <c r="C1804" t="str">
        <f>VLOOKUP(A1804,Raw_Data!A:L,3,FALSE)</f>
        <v>Chile</v>
      </c>
      <c r="D1804" s="3">
        <f>VLOOKUP(A1804,Raw_Data!A:L,12,FALSE)</f>
        <v>1566</v>
      </c>
      <c r="E1804" s="3">
        <f>VLOOKUP(A1804,Raw_Data!A:L,11,FALSE)</f>
        <v>54</v>
      </c>
      <c r="F1804" t="str">
        <f>TEXT(VLOOKUP(A1804,Raw_Data!A:L,5,FALSE),"mmm")</f>
        <v>Dec</v>
      </c>
    </row>
    <row r="1805" spans="1:6" x14ac:dyDescent="0.35">
      <c r="A1805" s="3" t="s">
        <v>2404</v>
      </c>
      <c r="B1805" t="str">
        <f>VLOOKUP(A1805,Raw_Data!A:L,6,FALSE)</f>
        <v>Vacuum Cleaner</v>
      </c>
      <c r="C1805" t="str">
        <f>VLOOKUP(A1805,Raw_Data!A:L,3,FALSE)</f>
        <v>Israel</v>
      </c>
      <c r="D1805" s="3">
        <f>VLOOKUP(A1805,Raw_Data!A:L,12,FALSE)</f>
        <v>19200</v>
      </c>
      <c r="E1805" s="3">
        <f>VLOOKUP(A1805,Raw_Data!A:L,11,FALSE)</f>
        <v>80</v>
      </c>
      <c r="F1805" t="str">
        <f>TEXT(VLOOKUP(A1805,Raw_Data!A:L,5,FALSE),"mmm")</f>
        <v>May</v>
      </c>
    </row>
    <row r="1806" spans="1:6" x14ac:dyDescent="0.35">
      <c r="A1806" s="3" t="s">
        <v>2405</v>
      </c>
      <c r="B1806" t="str">
        <f>VLOOKUP(A1806,Raw_Data!A:L,6,FALSE)</f>
        <v>Refrigerator</v>
      </c>
      <c r="C1806" t="str">
        <f>VLOOKUP(A1806,Raw_Data!A:L,3,FALSE)</f>
        <v>Romania</v>
      </c>
      <c r="D1806" s="3">
        <f>VLOOKUP(A1806,Raw_Data!A:L,12,FALSE)</f>
        <v>12730</v>
      </c>
      <c r="E1806" s="3">
        <f>VLOOKUP(A1806,Raw_Data!A:L,11,FALSE)</f>
        <v>19</v>
      </c>
      <c r="F1806" t="str">
        <f>TEXT(VLOOKUP(A1806,Raw_Data!A:L,5,FALSE),"mmm")</f>
        <v>Mar</v>
      </c>
    </row>
    <row r="1807" spans="1:6" x14ac:dyDescent="0.35">
      <c r="A1807" s="3" t="s">
        <v>2406</v>
      </c>
      <c r="B1807" t="str">
        <f>VLOOKUP(A1807,Raw_Data!A:L,6,FALSE)</f>
        <v>Washing Machine</v>
      </c>
      <c r="C1807" t="str">
        <f>VLOOKUP(A1807,Raw_Data!A:L,3,FALSE)</f>
        <v>India</v>
      </c>
      <c r="D1807" s="3">
        <f>VLOOKUP(A1807,Raw_Data!A:L,12,FALSE)</f>
        <v>25088</v>
      </c>
      <c r="E1807" s="3">
        <f>VLOOKUP(A1807,Raw_Data!A:L,11,FALSE)</f>
        <v>56</v>
      </c>
      <c r="F1807" t="str">
        <f>TEXT(VLOOKUP(A1807,Raw_Data!A:L,5,FALSE),"mmm")</f>
        <v>Jul</v>
      </c>
    </row>
    <row r="1808" spans="1:6" x14ac:dyDescent="0.35">
      <c r="A1808" s="3" t="s">
        <v>2407</v>
      </c>
      <c r="B1808" t="str">
        <f>VLOOKUP(A1808,Raw_Data!A:L,6,FALSE)</f>
        <v>Toaster</v>
      </c>
      <c r="C1808" t="str">
        <f>VLOOKUP(A1808,Raw_Data!A:L,3,FALSE)</f>
        <v>Turkey</v>
      </c>
      <c r="D1808" s="3">
        <f>VLOOKUP(A1808,Raw_Data!A:L,12,FALSE)</f>
        <v>155</v>
      </c>
      <c r="E1808" s="3">
        <f>VLOOKUP(A1808,Raw_Data!A:L,11,FALSE)</f>
        <v>5</v>
      </c>
      <c r="F1808" t="str">
        <f>TEXT(VLOOKUP(A1808,Raw_Data!A:L,5,FALSE),"mmm")</f>
        <v>Sep</v>
      </c>
    </row>
    <row r="1809" spans="1:6" x14ac:dyDescent="0.35">
      <c r="A1809" s="3" t="s">
        <v>2408</v>
      </c>
      <c r="B1809" t="str">
        <f>VLOOKUP(A1809,Raw_Data!A:L,6,FALSE)</f>
        <v>Toaster</v>
      </c>
      <c r="C1809" t="str">
        <f>VLOOKUP(A1809,Raw_Data!A:L,3,FALSE)</f>
        <v>Malaysia</v>
      </c>
      <c r="D1809" s="3">
        <f>VLOOKUP(A1809,Raw_Data!A:L,12,FALSE)</f>
        <v>2714</v>
      </c>
      <c r="E1809" s="3">
        <f>VLOOKUP(A1809,Raw_Data!A:L,11,FALSE)</f>
        <v>59</v>
      </c>
      <c r="F1809" t="str">
        <f>TEXT(VLOOKUP(A1809,Raw_Data!A:L,5,FALSE),"mmm")</f>
        <v>Jun</v>
      </c>
    </row>
    <row r="1810" spans="1:6" x14ac:dyDescent="0.35">
      <c r="A1810" s="3" t="s">
        <v>2409</v>
      </c>
      <c r="B1810" t="str">
        <f>VLOOKUP(A1810,Raw_Data!A:L,6,FALSE)</f>
        <v>Blender</v>
      </c>
      <c r="C1810" t="str">
        <f>VLOOKUP(A1810,Raw_Data!A:L,3,FALSE)</f>
        <v>South Korea</v>
      </c>
      <c r="D1810" s="3">
        <f>VLOOKUP(A1810,Raw_Data!A:L,12,FALSE)</f>
        <v>343</v>
      </c>
      <c r="E1810" s="3">
        <f>VLOOKUP(A1810,Raw_Data!A:L,11,FALSE)</f>
        <v>7</v>
      </c>
      <c r="F1810" t="str">
        <f>TEXT(VLOOKUP(A1810,Raw_Data!A:L,5,FALSE),"mmm")</f>
        <v>Aug</v>
      </c>
    </row>
    <row r="1811" spans="1:6" x14ac:dyDescent="0.35">
      <c r="A1811" s="3" t="s">
        <v>2410</v>
      </c>
      <c r="B1811" t="str">
        <f>VLOOKUP(A1811,Raw_Data!A:L,6,FALSE)</f>
        <v>Coffee grinder</v>
      </c>
      <c r="C1811" t="str">
        <f>VLOOKUP(A1811,Raw_Data!A:L,3,FALSE)</f>
        <v>Saudi Arabia</v>
      </c>
      <c r="D1811" s="3">
        <f>VLOOKUP(A1811,Raw_Data!A:L,12,FALSE)</f>
        <v>1197</v>
      </c>
      <c r="E1811" s="3">
        <f>VLOOKUP(A1811,Raw_Data!A:L,11,FALSE)</f>
        <v>19</v>
      </c>
      <c r="F1811" t="str">
        <f>TEXT(VLOOKUP(A1811,Raw_Data!A:L,5,FALSE),"mmm")</f>
        <v>Aug</v>
      </c>
    </row>
    <row r="1812" spans="1:6" x14ac:dyDescent="0.35">
      <c r="A1812" s="3" t="s">
        <v>2411</v>
      </c>
      <c r="B1812" t="str">
        <f>VLOOKUP(A1812,Raw_Data!A:L,6,FALSE)</f>
        <v>Air conditioner</v>
      </c>
      <c r="C1812" t="str">
        <f>VLOOKUP(A1812,Raw_Data!A:L,3,FALSE)</f>
        <v>South Africa</v>
      </c>
      <c r="D1812" s="3">
        <f>VLOOKUP(A1812,Raw_Data!A:L,12,FALSE)</f>
        <v>66542</v>
      </c>
      <c r="E1812" s="3">
        <f>VLOOKUP(A1812,Raw_Data!A:L,11,FALSE)</f>
        <v>97</v>
      </c>
      <c r="F1812" t="str">
        <f>TEXT(VLOOKUP(A1812,Raw_Data!A:L,5,FALSE),"mmm")</f>
        <v>Apr</v>
      </c>
    </row>
    <row r="1813" spans="1:6" x14ac:dyDescent="0.35">
      <c r="A1813" s="3" t="s">
        <v>2412</v>
      </c>
      <c r="B1813" t="str">
        <f>VLOOKUP(A1813,Raw_Data!A:L,6,FALSE)</f>
        <v>Dishwasher</v>
      </c>
      <c r="C1813" t="str">
        <f>VLOOKUP(A1813,Raw_Data!A:L,3,FALSE)</f>
        <v>Canada</v>
      </c>
      <c r="D1813" s="3">
        <f>VLOOKUP(A1813,Raw_Data!A:L,12,FALSE)</f>
        <v>17000</v>
      </c>
      <c r="E1813" s="3">
        <f>VLOOKUP(A1813,Raw_Data!A:L,11,FALSE)</f>
        <v>40</v>
      </c>
      <c r="F1813" t="str">
        <f>TEXT(VLOOKUP(A1813,Raw_Data!A:L,5,FALSE),"mmm")</f>
        <v>May</v>
      </c>
    </row>
    <row r="1814" spans="1:6" x14ac:dyDescent="0.35">
      <c r="A1814" s="3" t="s">
        <v>2413</v>
      </c>
      <c r="B1814" t="str">
        <f>VLOOKUP(A1814,Raw_Data!A:L,6,FALSE)</f>
        <v>Washing Machine</v>
      </c>
      <c r="C1814" t="str">
        <f>VLOOKUP(A1814,Raw_Data!A:L,3,FALSE)</f>
        <v>Australia</v>
      </c>
      <c r="D1814" s="3">
        <f>VLOOKUP(A1814,Raw_Data!A:L,12,FALSE)</f>
        <v>75264</v>
      </c>
      <c r="E1814" s="3">
        <f>VLOOKUP(A1814,Raw_Data!A:L,11,FALSE)</f>
        <v>96</v>
      </c>
      <c r="F1814" t="str">
        <f>TEXT(VLOOKUP(A1814,Raw_Data!A:L,5,FALSE),"mmm")</f>
        <v>Jun</v>
      </c>
    </row>
    <row r="1815" spans="1:6" x14ac:dyDescent="0.35">
      <c r="A1815" s="3" t="s">
        <v>2414</v>
      </c>
      <c r="B1815" t="str">
        <f>VLOOKUP(A1815,Raw_Data!A:L,6,FALSE)</f>
        <v>Blender</v>
      </c>
      <c r="C1815" t="str">
        <f>VLOOKUP(A1815,Raw_Data!A:L,3,FALSE)</f>
        <v>Colombia</v>
      </c>
      <c r="D1815" s="3">
        <f>VLOOKUP(A1815,Raw_Data!A:L,12,FALSE)</f>
        <v>1591</v>
      </c>
      <c r="E1815" s="3">
        <f>VLOOKUP(A1815,Raw_Data!A:L,11,FALSE)</f>
        <v>37</v>
      </c>
      <c r="F1815" t="str">
        <f>TEXT(VLOOKUP(A1815,Raw_Data!A:L,5,FALSE),"mmm")</f>
        <v>Mar</v>
      </c>
    </row>
    <row r="1816" spans="1:6" x14ac:dyDescent="0.35">
      <c r="A1816" s="3" t="s">
        <v>2415</v>
      </c>
      <c r="B1816" t="str">
        <f>VLOOKUP(A1816,Raw_Data!A:L,6,FALSE)</f>
        <v>Microwave</v>
      </c>
      <c r="C1816" t="str">
        <f>VLOOKUP(A1816,Raw_Data!A:L,3,FALSE)</f>
        <v>Colombia</v>
      </c>
      <c r="D1816" s="3">
        <f>VLOOKUP(A1816,Raw_Data!A:L,12,FALSE)</f>
        <v>6364</v>
      </c>
      <c r="E1816" s="3">
        <f>VLOOKUP(A1816,Raw_Data!A:L,11,FALSE)</f>
        <v>86</v>
      </c>
      <c r="F1816" t="str">
        <f>TEXT(VLOOKUP(A1816,Raw_Data!A:L,5,FALSE),"mmm")</f>
        <v>Nov</v>
      </c>
    </row>
    <row r="1817" spans="1:6" x14ac:dyDescent="0.35">
      <c r="A1817" s="3" t="s">
        <v>2416</v>
      </c>
      <c r="B1817" t="str">
        <f>VLOOKUP(A1817,Raw_Data!A:L,6,FALSE)</f>
        <v>Toaster</v>
      </c>
      <c r="C1817" t="str">
        <f>VLOOKUP(A1817,Raw_Data!A:L,3,FALSE)</f>
        <v>Saudi Arabia</v>
      </c>
      <c r="D1817" s="3">
        <f>VLOOKUP(A1817,Raw_Data!A:L,12,FALSE)</f>
        <v>4600</v>
      </c>
      <c r="E1817" s="3">
        <f>VLOOKUP(A1817,Raw_Data!A:L,11,FALSE)</f>
        <v>100</v>
      </c>
      <c r="F1817" t="str">
        <f>TEXT(VLOOKUP(A1817,Raw_Data!A:L,5,FALSE),"mmm")</f>
        <v>Jul</v>
      </c>
    </row>
    <row r="1818" spans="1:6" x14ac:dyDescent="0.35">
      <c r="A1818" s="3" t="s">
        <v>2417</v>
      </c>
      <c r="B1818" t="str">
        <f>VLOOKUP(A1818,Raw_Data!A:L,6,FALSE)</f>
        <v>Vacuum Cleaner</v>
      </c>
      <c r="C1818" t="str">
        <f>VLOOKUP(A1818,Raw_Data!A:L,3,FALSE)</f>
        <v>UK</v>
      </c>
      <c r="D1818" s="3">
        <f>VLOOKUP(A1818,Raw_Data!A:L,12,FALSE)</f>
        <v>13603</v>
      </c>
      <c r="E1818" s="3">
        <f>VLOOKUP(A1818,Raw_Data!A:L,11,FALSE)</f>
        <v>61</v>
      </c>
      <c r="F1818" t="str">
        <f>TEXT(VLOOKUP(A1818,Raw_Data!A:L,5,FALSE),"mmm")</f>
        <v>Feb</v>
      </c>
    </row>
    <row r="1819" spans="1:6" x14ac:dyDescent="0.35">
      <c r="A1819" s="3" t="s">
        <v>2418</v>
      </c>
      <c r="B1819" t="str">
        <f>VLOOKUP(A1819,Raw_Data!A:L,6,FALSE)</f>
        <v>Vacuum Cleaner</v>
      </c>
      <c r="C1819" t="str">
        <f>VLOOKUP(A1819,Raw_Data!A:L,3,FALSE)</f>
        <v>Ireland</v>
      </c>
      <c r="D1819" s="3">
        <f>VLOOKUP(A1819,Raw_Data!A:L,12,FALSE)</f>
        <v>3375</v>
      </c>
      <c r="E1819" s="3">
        <f>VLOOKUP(A1819,Raw_Data!A:L,11,FALSE)</f>
        <v>15</v>
      </c>
      <c r="F1819" t="str">
        <f>TEXT(VLOOKUP(A1819,Raw_Data!A:L,5,FALSE),"mmm")</f>
        <v>Dec</v>
      </c>
    </row>
    <row r="1820" spans="1:6" x14ac:dyDescent="0.35">
      <c r="A1820" s="3" t="s">
        <v>2419</v>
      </c>
      <c r="B1820" t="str">
        <f>VLOOKUP(A1820,Raw_Data!A:L,6,FALSE)</f>
        <v>Coffee grinder</v>
      </c>
      <c r="C1820" t="str">
        <f>VLOOKUP(A1820,Raw_Data!A:L,3,FALSE)</f>
        <v>France</v>
      </c>
      <c r="D1820" s="3">
        <f>VLOOKUP(A1820,Raw_Data!A:L,12,FALSE)</f>
        <v>552</v>
      </c>
      <c r="E1820" s="3">
        <f>VLOOKUP(A1820,Raw_Data!A:L,11,FALSE)</f>
        <v>8</v>
      </c>
      <c r="F1820" t="str">
        <f>TEXT(VLOOKUP(A1820,Raw_Data!A:L,5,FALSE),"mmm")</f>
        <v>Jun</v>
      </c>
    </row>
    <row r="1821" spans="1:6" x14ac:dyDescent="0.35">
      <c r="A1821" s="3" t="s">
        <v>2420</v>
      </c>
      <c r="B1821" t="str">
        <f>VLOOKUP(A1821,Raw_Data!A:L,6,FALSE)</f>
        <v>Oven</v>
      </c>
      <c r="C1821" t="str">
        <f>VLOOKUP(A1821,Raw_Data!A:L,3,FALSE)</f>
        <v>Brazil</v>
      </c>
      <c r="D1821" s="3">
        <f>VLOOKUP(A1821,Raw_Data!A:L,12,FALSE)</f>
        <v>11760</v>
      </c>
      <c r="E1821" s="3">
        <f>VLOOKUP(A1821,Raw_Data!A:L,11,FALSE)</f>
        <v>24</v>
      </c>
      <c r="F1821" t="str">
        <f>TEXT(VLOOKUP(A1821,Raw_Data!A:L,5,FALSE),"mmm")</f>
        <v>May</v>
      </c>
    </row>
    <row r="1822" spans="1:6" x14ac:dyDescent="0.35">
      <c r="A1822" s="3" t="s">
        <v>2421</v>
      </c>
      <c r="B1822" t="str">
        <f>VLOOKUP(A1822,Raw_Data!A:L,6,FALSE)</f>
        <v>Vacuum Cleaner</v>
      </c>
      <c r="C1822" t="str">
        <f>VLOOKUP(A1822,Raw_Data!A:L,3,FALSE)</f>
        <v>Malaysia</v>
      </c>
      <c r="D1822" s="3">
        <f>VLOOKUP(A1822,Raw_Data!A:L,12,FALSE)</f>
        <v>11880</v>
      </c>
      <c r="E1822" s="3">
        <f>VLOOKUP(A1822,Raw_Data!A:L,11,FALSE)</f>
        <v>54</v>
      </c>
      <c r="F1822" t="str">
        <f>TEXT(VLOOKUP(A1822,Raw_Data!A:L,5,FALSE),"mmm")</f>
        <v>Apr</v>
      </c>
    </row>
    <row r="1823" spans="1:6" x14ac:dyDescent="0.35">
      <c r="A1823" s="3" t="s">
        <v>2422</v>
      </c>
      <c r="B1823" t="str">
        <f>VLOOKUP(A1823,Raw_Data!A:L,6,FALSE)</f>
        <v>Blender</v>
      </c>
      <c r="C1823" t="str">
        <f>VLOOKUP(A1823,Raw_Data!A:L,3,FALSE)</f>
        <v>Australia</v>
      </c>
      <c r="D1823" s="3">
        <f>VLOOKUP(A1823,Raw_Data!A:L,12,FALSE)</f>
        <v>1452</v>
      </c>
      <c r="E1823" s="3">
        <f>VLOOKUP(A1823,Raw_Data!A:L,11,FALSE)</f>
        <v>44</v>
      </c>
      <c r="F1823" t="str">
        <f>TEXT(VLOOKUP(A1823,Raw_Data!A:L,5,FALSE),"mmm")</f>
        <v>Feb</v>
      </c>
    </row>
    <row r="1824" spans="1:6" x14ac:dyDescent="0.35">
      <c r="A1824" s="3" t="s">
        <v>2424</v>
      </c>
      <c r="B1824" t="str">
        <f>VLOOKUP(A1824,Raw_Data!A:L,6,FALSE)</f>
        <v>Coffee grinder</v>
      </c>
      <c r="C1824" t="str">
        <f>VLOOKUP(A1824,Raw_Data!A:L,3,FALSE)</f>
        <v>Malaysia</v>
      </c>
      <c r="D1824" s="3">
        <f>VLOOKUP(A1824,Raw_Data!A:L,12,FALSE)</f>
        <v>2116</v>
      </c>
      <c r="E1824" s="3">
        <f>VLOOKUP(A1824,Raw_Data!A:L,11,FALSE)</f>
        <v>46</v>
      </c>
      <c r="F1824" t="str">
        <f>TEXT(VLOOKUP(A1824,Raw_Data!A:L,5,FALSE),"mmm")</f>
        <v>May</v>
      </c>
    </row>
    <row r="1825" spans="1:6" x14ac:dyDescent="0.35">
      <c r="A1825" s="3" t="s">
        <v>2425</v>
      </c>
      <c r="B1825" t="str">
        <f>VLOOKUP(A1825,Raw_Data!A:L,6,FALSE)</f>
        <v>Iron</v>
      </c>
      <c r="C1825" t="str">
        <f>VLOOKUP(A1825,Raw_Data!A:L,3,FALSE)</f>
        <v>China</v>
      </c>
      <c r="D1825" s="3">
        <f>VLOOKUP(A1825,Raw_Data!A:L,12,FALSE)</f>
        <v>980</v>
      </c>
      <c r="E1825" s="3">
        <f>VLOOKUP(A1825,Raw_Data!A:L,11,FALSE)</f>
        <v>49</v>
      </c>
      <c r="F1825" t="str">
        <f>TEXT(VLOOKUP(A1825,Raw_Data!A:L,5,FALSE),"mmm")</f>
        <v>Jan</v>
      </c>
    </row>
    <row r="1826" spans="1:6" x14ac:dyDescent="0.35">
      <c r="A1826" s="3" t="s">
        <v>2427</v>
      </c>
      <c r="B1826" t="str">
        <f>VLOOKUP(A1826,Raw_Data!A:L,6,FALSE)</f>
        <v>Oven</v>
      </c>
      <c r="C1826" t="str">
        <f>VLOOKUP(A1826,Raw_Data!A:L,3,FALSE)</f>
        <v>USA</v>
      </c>
      <c r="D1826" s="3">
        <f>VLOOKUP(A1826,Raw_Data!A:L,12,FALSE)</f>
        <v>5000</v>
      </c>
      <c r="E1826" s="3">
        <f>VLOOKUP(A1826,Raw_Data!A:L,11,FALSE)</f>
        <v>10</v>
      </c>
      <c r="F1826" t="str">
        <f>TEXT(VLOOKUP(A1826,Raw_Data!A:L,5,FALSE),"mmm")</f>
        <v>May</v>
      </c>
    </row>
    <row r="1827" spans="1:6" x14ac:dyDescent="0.35">
      <c r="A1827" s="3" t="s">
        <v>2428</v>
      </c>
      <c r="B1827" t="str">
        <f>VLOOKUP(A1827,Raw_Data!A:L,6,FALSE)</f>
        <v>Oven</v>
      </c>
      <c r="C1827" t="str">
        <f>VLOOKUP(A1827,Raw_Data!A:L,3,FALSE)</f>
        <v>USA</v>
      </c>
      <c r="D1827" s="3">
        <f>VLOOKUP(A1827,Raw_Data!A:L,12,FALSE)</f>
        <v>41000</v>
      </c>
      <c r="E1827" s="3">
        <f>VLOOKUP(A1827,Raw_Data!A:L,11,FALSE)</f>
        <v>82</v>
      </c>
      <c r="F1827" t="str">
        <f>TEXT(VLOOKUP(A1827,Raw_Data!A:L,5,FALSE),"mmm")</f>
        <v>Sep</v>
      </c>
    </row>
    <row r="1828" spans="1:6" x14ac:dyDescent="0.35">
      <c r="A1828" s="3" t="s">
        <v>2429</v>
      </c>
      <c r="B1828" t="str">
        <f>VLOOKUP(A1828,Raw_Data!A:L,6,FALSE)</f>
        <v>Dishwasher</v>
      </c>
      <c r="C1828" t="str">
        <f>VLOOKUP(A1828,Raw_Data!A:L,3,FALSE)</f>
        <v>USA</v>
      </c>
      <c r="D1828" s="3">
        <f>VLOOKUP(A1828,Raw_Data!A:L,12,FALSE)</f>
        <v>24150</v>
      </c>
      <c r="E1828" s="3">
        <f>VLOOKUP(A1828,Raw_Data!A:L,11,FALSE)</f>
        <v>69</v>
      </c>
      <c r="F1828" t="str">
        <f>TEXT(VLOOKUP(A1828,Raw_Data!A:L,5,FALSE),"mmm")</f>
        <v>Feb</v>
      </c>
    </row>
    <row r="1829" spans="1:6" x14ac:dyDescent="0.35">
      <c r="A1829" s="3" t="s">
        <v>2430</v>
      </c>
      <c r="B1829" t="str">
        <f>VLOOKUP(A1829,Raw_Data!A:L,6,FALSE)</f>
        <v>Oven</v>
      </c>
      <c r="C1829" t="str">
        <f>VLOOKUP(A1829,Raw_Data!A:L,3,FALSE)</f>
        <v>Canada</v>
      </c>
      <c r="D1829" s="3">
        <f>VLOOKUP(A1829,Raw_Data!A:L,12,FALSE)</f>
        <v>15000</v>
      </c>
      <c r="E1829" s="3">
        <f>VLOOKUP(A1829,Raw_Data!A:L,11,FALSE)</f>
        <v>30</v>
      </c>
      <c r="F1829" t="str">
        <f>TEXT(VLOOKUP(A1829,Raw_Data!A:L,5,FALSE),"mmm")</f>
        <v>Apr</v>
      </c>
    </row>
    <row r="1830" spans="1:6" x14ac:dyDescent="0.35">
      <c r="A1830" s="3" t="s">
        <v>2431</v>
      </c>
      <c r="B1830" t="str">
        <f>VLOOKUP(A1830,Raw_Data!A:L,6,FALSE)</f>
        <v>Iron</v>
      </c>
      <c r="C1830" t="str">
        <f>VLOOKUP(A1830,Raw_Data!A:L,3,FALSE)</f>
        <v>Israel</v>
      </c>
      <c r="D1830" s="3">
        <f>VLOOKUP(A1830,Raw_Data!A:L,12,FALSE)</f>
        <v>377</v>
      </c>
      <c r="E1830" s="3">
        <f>VLOOKUP(A1830,Raw_Data!A:L,11,FALSE)</f>
        <v>13</v>
      </c>
      <c r="F1830" t="str">
        <f>TEXT(VLOOKUP(A1830,Raw_Data!A:L,5,FALSE),"mmm")</f>
        <v>Aug</v>
      </c>
    </row>
    <row r="1831" spans="1:6" x14ac:dyDescent="0.35">
      <c r="A1831" s="3" t="s">
        <v>2432</v>
      </c>
      <c r="B1831" t="str">
        <f>VLOOKUP(A1831,Raw_Data!A:L,6,FALSE)</f>
        <v>Dishwasher</v>
      </c>
      <c r="C1831" t="str">
        <f>VLOOKUP(A1831,Raw_Data!A:L,3,FALSE)</f>
        <v>UAE</v>
      </c>
      <c r="D1831" s="3">
        <f>VLOOKUP(A1831,Raw_Data!A:L,12,FALSE)</f>
        <v>27300</v>
      </c>
      <c r="E1831" s="3">
        <f>VLOOKUP(A1831,Raw_Data!A:L,11,FALSE)</f>
        <v>91</v>
      </c>
      <c r="F1831" t="str">
        <f>TEXT(VLOOKUP(A1831,Raw_Data!A:L,5,FALSE),"mmm")</f>
        <v>Mar</v>
      </c>
    </row>
    <row r="1832" spans="1:6" x14ac:dyDescent="0.35">
      <c r="A1832" s="3" t="s">
        <v>2433</v>
      </c>
      <c r="B1832" t="str">
        <f>VLOOKUP(A1832,Raw_Data!A:L,6,FALSE)</f>
        <v>Coffee grinder</v>
      </c>
      <c r="C1832" t="str">
        <f>VLOOKUP(A1832,Raw_Data!A:L,3,FALSE)</f>
        <v>China</v>
      </c>
      <c r="D1832" s="3">
        <f>VLOOKUP(A1832,Raw_Data!A:L,12,FALSE)</f>
        <v>4489</v>
      </c>
      <c r="E1832" s="3">
        <f>VLOOKUP(A1832,Raw_Data!A:L,11,FALSE)</f>
        <v>67</v>
      </c>
      <c r="F1832" t="str">
        <f>TEXT(VLOOKUP(A1832,Raw_Data!A:L,5,FALSE),"mmm")</f>
        <v>Jul</v>
      </c>
    </row>
    <row r="1833" spans="1:6" x14ac:dyDescent="0.35">
      <c r="A1833" s="3" t="s">
        <v>2434</v>
      </c>
      <c r="B1833" t="str">
        <f>VLOOKUP(A1833,Raw_Data!A:L,6,FALSE)</f>
        <v>Coffee grinder</v>
      </c>
      <c r="C1833" t="str">
        <f>VLOOKUP(A1833,Raw_Data!A:L,3,FALSE)</f>
        <v>Japan</v>
      </c>
      <c r="D1833" s="3">
        <f>VLOOKUP(A1833,Raw_Data!A:L,12,FALSE)</f>
        <v>1769</v>
      </c>
      <c r="E1833" s="3">
        <f>VLOOKUP(A1833,Raw_Data!A:L,11,FALSE)</f>
        <v>29</v>
      </c>
      <c r="F1833" t="str">
        <f>TEXT(VLOOKUP(A1833,Raw_Data!A:L,5,FALSE),"mmm")</f>
        <v>Apr</v>
      </c>
    </row>
    <row r="1834" spans="1:6" x14ac:dyDescent="0.35">
      <c r="A1834" s="3" t="s">
        <v>2435</v>
      </c>
      <c r="B1834" t="str">
        <f>VLOOKUP(A1834,Raw_Data!A:L,6,FALSE)</f>
        <v>Ceiling fan</v>
      </c>
      <c r="C1834" t="str">
        <f>VLOOKUP(A1834,Raw_Data!A:L,3,FALSE)</f>
        <v>UK</v>
      </c>
      <c r="D1834" s="3">
        <f>VLOOKUP(A1834,Raw_Data!A:L,12,FALSE)</f>
        <v>140</v>
      </c>
      <c r="E1834" s="3">
        <f>VLOOKUP(A1834,Raw_Data!A:L,11,FALSE)</f>
        <v>1</v>
      </c>
      <c r="F1834" t="str">
        <f>TEXT(VLOOKUP(A1834,Raw_Data!A:L,5,FALSE),"mmm")</f>
        <v>Dec</v>
      </c>
    </row>
    <row r="1835" spans="1:6" x14ac:dyDescent="0.35">
      <c r="A1835" s="3" t="s">
        <v>2436</v>
      </c>
      <c r="B1835" t="str">
        <f>VLOOKUP(A1835,Raw_Data!A:L,6,FALSE)</f>
        <v>Air conditioner</v>
      </c>
      <c r="C1835" t="str">
        <f>VLOOKUP(A1835,Raw_Data!A:L,3,FALSE)</f>
        <v>India</v>
      </c>
      <c r="D1835" s="3">
        <f>VLOOKUP(A1835,Raw_Data!A:L,12,FALSE)</f>
        <v>4816</v>
      </c>
      <c r="E1835" s="3">
        <f>VLOOKUP(A1835,Raw_Data!A:L,11,FALSE)</f>
        <v>8</v>
      </c>
      <c r="F1835" t="str">
        <f>TEXT(VLOOKUP(A1835,Raw_Data!A:L,5,FALSE),"mmm")</f>
        <v>May</v>
      </c>
    </row>
    <row r="1836" spans="1:6" x14ac:dyDescent="0.35">
      <c r="A1836" s="3" t="s">
        <v>2437</v>
      </c>
      <c r="B1836" t="str">
        <f>VLOOKUP(A1836,Raw_Data!A:L,6,FALSE)</f>
        <v>Microwave</v>
      </c>
      <c r="C1836" t="str">
        <f>VLOOKUP(A1836,Raw_Data!A:L,3,FALSE)</f>
        <v>Canada</v>
      </c>
      <c r="D1836" s="3">
        <f>VLOOKUP(A1836,Raw_Data!A:L,12,FALSE)</f>
        <v>6882</v>
      </c>
      <c r="E1836" s="3">
        <f>VLOOKUP(A1836,Raw_Data!A:L,11,FALSE)</f>
        <v>93</v>
      </c>
      <c r="F1836" t="str">
        <f>TEXT(VLOOKUP(A1836,Raw_Data!A:L,5,FALSE),"mmm")</f>
        <v>Aug</v>
      </c>
    </row>
    <row r="1837" spans="1:6" x14ac:dyDescent="0.35">
      <c r="A1837" s="3" t="s">
        <v>2438</v>
      </c>
      <c r="B1837" t="str">
        <f>VLOOKUP(A1837,Raw_Data!A:L,6,FALSE)</f>
        <v>Air conditioner</v>
      </c>
      <c r="C1837" t="str">
        <f>VLOOKUP(A1837,Raw_Data!A:L,3,FALSE)</f>
        <v>Mexico</v>
      </c>
      <c r="D1837" s="3">
        <f>VLOOKUP(A1837,Raw_Data!A:L,12,FALSE)</f>
        <v>16198</v>
      </c>
      <c r="E1837" s="3">
        <f>VLOOKUP(A1837,Raw_Data!A:L,11,FALSE)</f>
        <v>26</v>
      </c>
      <c r="F1837" t="str">
        <f>TEXT(VLOOKUP(A1837,Raw_Data!A:L,5,FALSE),"mmm")</f>
        <v>Oct</v>
      </c>
    </row>
    <row r="1838" spans="1:6" x14ac:dyDescent="0.35">
      <c r="A1838" s="3" t="s">
        <v>2439</v>
      </c>
      <c r="B1838" t="str">
        <f>VLOOKUP(A1838,Raw_Data!A:L,6,FALSE)</f>
        <v>Dishwasher</v>
      </c>
      <c r="C1838" t="str">
        <f>VLOOKUP(A1838,Raw_Data!A:L,3,FALSE)</f>
        <v>Vietnam</v>
      </c>
      <c r="D1838" s="3">
        <f>VLOOKUP(A1838,Raw_Data!A:L,12,FALSE)</f>
        <v>28105</v>
      </c>
      <c r="E1838" s="3">
        <f>VLOOKUP(A1838,Raw_Data!A:L,11,FALSE)</f>
        <v>77</v>
      </c>
      <c r="F1838" t="str">
        <f>TEXT(VLOOKUP(A1838,Raw_Data!A:L,5,FALSE),"mmm")</f>
        <v>Dec</v>
      </c>
    </row>
    <row r="1839" spans="1:6" x14ac:dyDescent="0.35">
      <c r="A1839" s="3" t="s">
        <v>2441</v>
      </c>
      <c r="B1839" t="str">
        <f>VLOOKUP(A1839,Raw_Data!A:L,6,FALSE)</f>
        <v>Vacuum Cleaner</v>
      </c>
      <c r="C1839" t="str">
        <f>VLOOKUP(A1839,Raw_Data!A:L,3,FALSE)</f>
        <v>China</v>
      </c>
      <c r="D1839" s="3">
        <f>VLOOKUP(A1839,Raw_Data!A:L,12,FALSE)</f>
        <v>3088</v>
      </c>
      <c r="E1839" s="3">
        <f>VLOOKUP(A1839,Raw_Data!A:L,11,FALSE)</f>
        <v>16</v>
      </c>
      <c r="F1839" t="str">
        <f>TEXT(VLOOKUP(A1839,Raw_Data!A:L,5,FALSE),"mmm")</f>
        <v>Aug</v>
      </c>
    </row>
    <row r="1840" spans="1:6" x14ac:dyDescent="0.35">
      <c r="A1840" s="3" t="s">
        <v>2442</v>
      </c>
      <c r="B1840" t="str">
        <f>VLOOKUP(A1840,Raw_Data!A:L,6,FALSE)</f>
        <v>Toaster</v>
      </c>
      <c r="C1840" t="str">
        <f>VLOOKUP(A1840,Raw_Data!A:L,3,FALSE)</f>
        <v>USA</v>
      </c>
      <c r="D1840" s="3">
        <f>VLOOKUP(A1840,Raw_Data!A:L,12,FALSE)</f>
        <v>300</v>
      </c>
      <c r="E1840" s="3">
        <f>VLOOKUP(A1840,Raw_Data!A:L,11,FALSE)</f>
        <v>6</v>
      </c>
      <c r="F1840" t="str">
        <f>TEXT(VLOOKUP(A1840,Raw_Data!A:L,5,FALSE),"mmm")</f>
        <v>Jun</v>
      </c>
    </row>
    <row r="1841" spans="1:6" x14ac:dyDescent="0.35">
      <c r="A1841" s="3" t="s">
        <v>2444</v>
      </c>
      <c r="B1841" t="str">
        <f>VLOOKUP(A1841,Raw_Data!A:L,6,FALSE)</f>
        <v>Air conditioner</v>
      </c>
      <c r="C1841" t="str">
        <f>VLOOKUP(A1841,Raw_Data!A:L,3,FALSE)</f>
        <v>USA</v>
      </c>
      <c r="D1841" s="3">
        <f>VLOOKUP(A1841,Raw_Data!A:L,12,FALSE)</f>
        <v>36064</v>
      </c>
      <c r="E1841" s="3">
        <f>VLOOKUP(A1841,Raw_Data!A:L,11,FALSE)</f>
        <v>56</v>
      </c>
      <c r="F1841" t="str">
        <f>TEXT(VLOOKUP(A1841,Raw_Data!A:L,5,FALSE),"mmm")</f>
        <v>Feb</v>
      </c>
    </row>
    <row r="1842" spans="1:6" x14ac:dyDescent="0.35">
      <c r="A1842" s="3" t="s">
        <v>2445</v>
      </c>
      <c r="B1842" t="str">
        <f>VLOOKUP(A1842,Raw_Data!A:L,6,FALSE)</f>
        <v>Air conditioner</v>
      </c>
      <c r="C1842" t="str">
        <f>VLOOKUP(A1842,Raw_Data!A:L,3,FALSE)</f>
        <v>Germany</v>
      </c>
      <c r="D1842" s="3">
        <f>VLOOKUP(A1842,Raw_Data!A:L,12,FALSE)</f>
        <v>43218</v>
      </c>
      <c r="E1842" s="3">
        <f>VLOOKUP(A1842,Raw_Data!A:L,11,FALSE)</f>
        <v>63</v>
      </c>
      <c r="F1842" t="str">
        <f>TEXT(VLOOKUP(A1842,Raw_Data!A:L,5,FALSE),"mmm")</f>
        <v>Dec</v>
      </c>
    </row>
    <row r="1843" spans="1:6" x14ac:dyDescent="0.35">
      <c r="A1843" s="3" t="s">
        <v>2446</v>
      </c>
      <c r="B1843" t="str">
        <f>VLOOKUP(A1843,Raw_Data!A:L,6,FALSE)</f>
        <v>Vacuum Cleaner</v>
      </c>
      <c r="C1843" t="str">
        <f>VLOOKUP(A1843,Raw_Data!A:L,3,FALSE)</f>
        <v>Mexico</v>
      </c>
      <c r="D1843" s="3">
        <f>VLOOKUP(A1843,Raw_Data!A:L,12,FALSE)</f>
        <v>7260</v>
      </c>
      <c r="E1843" s="3">
        <f>VLOOKUP(A1843,Raw_Data!A:L,11,FALSE)</f>
        <v>33</v>
      </c>
      <c r="F1843" t="str">
        <f>TEXT(VLOOKUP(A1843,Raw_Data!A:L,5,FALSE),"mmm")</f>
        <v>Sep</v>
      </c>
    </row>
    <row r="1844" spans="1:6" x14ac:dyDescent="0.35">
      <c r="A1844" s="3" t="s">
        <v>2447</v>
      </c>
      <c r="B1844" t="str">
        <f>VLOOKUP(A1844,Raw_Data!A:L,6,FALSE)</f>
        <v>Washing Machine</v>
      </c>
      <c r="C1844" t="str">
        <f>VLOOKUP(A1844,Raw_Data!A:L,3,FALSE)</f>
        <v>Thailand</v>
      </c>
      <c r="D1844" s="3">
        <f>VLOOKUP(A1844,Raw_Data!A:L,12,FALSE)</f>
        <v>19264</v>
      </c>
      <c r="E1844" s="3">
        <f>VLOOKUP(A1844,Raw_Data!A:L,11,FALSE)</f>
        <v>28</v>
      </c>
      <c r="F1844" t="str">
        <f>TEXT(VLOOKUP(A1844,Raw_Data!A:L,5,FALSE),"mmm")</f>
        <v>Mar</v>
      </c>
    </row>
    <row r="1845" spans="1:6" x14ac:dyDescent="0.35">
      <c r="A1845" s="3" t="s">
        <v>2448</v>
      </c>
      <c r="B1845" t="str">
        <f>VLOOKUP(A1845,Raw_Data!A:L,6,FALSE)</f>
        <v>Oven</v>
      </c>
      <c r="C1845" t="str">
        <f>VLOOKUP(A1845,Raw_Data!A:L,3,FALSE)</f>
        <v>Germany</v>
      </c>
      <c r="D1845" s="3">
        <f>VLOOKUP(A1845,Raw_Data!A:L,12,FALSE)</f>
        <v>34790</v>
      </c>
      <c r="E1845" s="3">
        <f>VLOOKUP(A1845,Raw_Data!A:L,11,FALSE)</f>
        <v>71</v>
      </c>
      <c r="F1845" t="str">
        <f>TEXT(VLOOKUP(A1845,Raw_Data!A:L,5,FALSE),"mmm")</f>
        <v>Jul</v>
      </c>
    </row>
    <row r="1846" spans="1:6" x14ac:dyDescent="0.35">
      <c r="A1846" s="3" t="s">
        <v>2449</v>
      </c>
      <c r="B1846" t="str">
        <f>VLOOKUP(A1846,Raw_Data!A:L,6,FALSE)</f>
        <v>Ceiling fan</v>
      </c>
      <c r="C1846" t="str">
        <f>VLOOKUP(A1846,Raw_Data!A:L,3,FALSE)</f>
        <v>Brazil</v>
      </c>
      <c r="D1846" s="3">
        <f>VLOOKUP(A1846,Raw_Data!A:L,12,FALSE)</f>
        <v>9072</v>
      </c>
      <c r="E1846" s="3">
        <f>VLOOKUP(A1846,Raw_Data!A:L,11,FALSE)</f>
        <v>63</v>
      </c>
      <c r="F1846" t="str">
        <f>TEXT(VLOOKUP(A1846,Raw_Data!A:L,5,FALSE),"mmm")</f>
        <v>Sep</v>
      </c>
    </row>
    <row r="1847" spans="1:6" x14ac:dyDescent="0.35">
      <c r="A1847" s="3" t="s">
        <v>2450</v>
      </c>
      <c r="B1847" t="str">
        <f>VLOOKUP(A1847,Raw_Data!A:L,6,FALSE)</f>
        <v>Air conditioner</v>
      </c>
      <c r="C1847" t="str">
        <f>VLOOKUP(A1847,Raw_Data!A:L,3,FALSE)</f>
        <v>USA</v>
      </c>
      <c r="D1847" s="3">
        <f>VLOOKUP(A1847,Raw_Data!A:L,12,FALSE)</f>
        <v>6300</v>
      </c>
      <c r="E1847" s="3">
        <f>VLOOKUP(A1847,Raw_Data!A:L,11,FALSE)</f>
        <v>12</v>
      </c>
      <c r="F1847" t="str">
        <f>TEXT(VLOOKUP(A1847,Raw_Data!A:L,5,FALSE),"mmm")</f>
        <v>Jun</v>
      </c>
    </row>
    <row r="1848" spans="1:6" x14ac:dyDescent="0.35">
      <c r="A1848" s="3" t="s">
        <v>2451</v>
      </c>
      <c r="B1848" t="str">
        <f>VLOOKUP(A1848,Raw_Data!A:L,6,FALSE)</f>
        <v>Oven</v>
      </c>
      <c r="C1848" t="str">
        <f>VLOOKUP(A1848,Raw_Data!A:L,3,FALSE)</f>
        <v>Israel</v>
      </c>
      <c r="D1848" s="3">
        <f>VLOOKUP(A1848,Raw_Data!A:L,12,FALSE)</f>
        <v>43120</v>
      </c>
      <c r="E1848" s="3">
        <f>VLOOKUP(A1848,Raw_Data!A:L,11,FALSE)</f>
        <v>88</v>
      </c>
      <c r="F1848" t="str">
        <f>TEXT(VLOOKUP(A1848,Raw_Data!A:L,5,FALSE),"mmm")</f>
        <v>Feb</v>
      </c>
    </row>
    <row r="1849" spans="1:6" x14ac:dyDescent="0.35">
      <c r="A1849" s="3" t="s">
        <v>2452</v>
      </c>
      <c r="B1849" t="str">
        <f>VLOOKUP(A1849,Raw_Data!A:L,6,FALSE)</f>
        <v>Ceiling fan</v>
      </c>
      <c r="C1849" t="str">
        <f>VLOOKUP(A1849,Raw_Data!A:L,3,FALSE)</f>
        <v>Austria</v>
      </c>
      <c r="D1849" s="3">
        <f>VLOOKUP(A1849,Raw_Data!A:L,12,FALSE)</f>
        <v>2016</v>
      </c>
      <c r="E1849" s="3">
        <f>VLOOKUP(A1849,Raw_Data!A:L,11,FALSE)</f>
        <v>14</v>
      </c>
      <c r="F1849" t="str">
        <f>TEXT(VLOOKUP(A1849,Raw_Data!A:L,5,FALSE),"mmm")</f>
        <v>Jun</v>
      </c>
    </row>
    <row r="1850" spans="1:6" x14ac:dyDescent="0.35">
      <c r="A1850" s="3" t="s">
        <v>2453</v>
      </c>
      <c r="B1850" t="str">
        <f>VLOOKUP(A1850,Raw_Data!A:L,6,FALSE)</f>
        <v>Washing Machine</v>
      </c>
      <c r="C1850" t="str">
        <f>VLOOKUP(A1850,Raw_Data!A:L,3,FALSE)</f>
        <v>Saudi Arabia</v>
      </c>
      <c r="D1850" s="3">
        <f>VLOOKUP(A1850,Raw_Data!A:L,12,FALSE)</f>
        <v>5472</v>
      </c>
      <c r="E1850" s="3">
        <f>VLOOKUP(A1850,Raw_Data!A:L,11,FALSE)</f>
        <v>12</v>
      </c>
      <c r="F1850" t="str">
        <f>TEXT(VLOOKUP(A1850,Raw_Data!A:L,5,FALSE),"mmm")</f>
        <v>Apr</v>
      </c>
    </row>
    <row r="1851" spans="1:6" x14ac:dyDescent="0.35">
      <c r="A1851" s="3" t="s">
        <v>2454</v>
      </c>
      <c r="B1851" t="str">
        <f>VLOOKUP(A1851,Raw_Data!A:L,6,FALSE)</f>
        <v>Dishwasher</v>
      </c>
      <c r="C1851" t="str">
        <f>VLOOKUP(A1851,Raw_Data!A:L,3,FALSE)</f>
        <v>Greece</v>
      </c>
      <c r="D1851" s="3">
        <f>VLOOKUP(A1851,Raw_Data!A:L,12,FALSE)</f>
        <v>44175</v>
      </c>
      <c r="E1851" s="3">
        <f>VLOOKUP(A1851,Raw_Data!A:L,11,FALSE)</f>
        <v>95</v>
      </c>
      <c r="F1851" t="str">
        <f>TEXT(VLOOKUP(A1851,Raw_Data!A:L,5,FALSE),"mmm")</f>
        <v>Jan</v>
      </c>
    </row>
    <row r="1852" spans="1:6" x14ac:dyDescent="0.35">
      <c r="A1852" s="3" t="s">
        <v>2455</v>
      </c>
      <c r="B1852" t="str">
        <f>VLOOKUP(A1852,Raw_Data!A:L,6,FALSE)</f>
        <v>Oven</v>
      </c>
      <c r="C1852" t="str">
        <f>VLOOKUP(A1852,Raw_Data!A:L,3,FALSE)</f>
        <v>Italy</v>
      </c>
      <c r="D1852" s="3">
        <f>VLOOKUP(A1852,Raw_Data!A:L,12,FALSE)</f>
        <v>36630</v>
      </c>
      <c r="E1852" s="3">
        <f>VLOOKUP(A1852,Raw_Data!A:L,11,FALSE)</f>
        <v>74</v>
      </c>
      <c r="F1852" t="str">
        <f>TEXT(VLOOKUP(A1852,Raw_Data!A:L,5,FALSE),"mmm")</f>
        <v>Mar</v>
      </c>
    </row>
    <row r="1853" spans="1:6" x14ac:dyDescent="0.35">
      <c r="A1853" s="3" t="s">
        <v>2456</v>
      </c>
      <c r="B1853" t="str">
        <f>VLOOKUP(A1853,Raw_Data!A:L,6,FALSE)</f>
        <v>Toaster</v>
      </c>
      <c r="C1853" t="str">
        <f>VLOOKUP(A1853,Raw_Data!A:L,3,FALSE)</f>
        <v>Russia</v>
      </c>
      <c r="D1853" s="3">
        <f>VLOOKUP(A1853,Raw_Data!A:L,12,FALSE)</f>
        <v>3969</v>
      </c>
      <c r="E1853" s="3">
        <f>VLOOKUP(A1853,Raw_Data!A:L,11,FALSE)</f>
        <v>81</v>
      </c>
      <c r="F1853" t="str">
        <f>TEXT(VLOOKUP(A1853,Raw_Data!A:L,5,FALSE),"mmm")</f>
        <v>Apr</v>
      </c>
    </row>
    <row r="1854" spans="1:6" x14ac:dyDescent="0.35">
      <c r="A1854" s="3" t="s">
        <v>2457</v>
      </c>
      <c r="B1854" t="str">
        <f>VLOOKUP(A1854,Raw_Data!A:L,6,FALSE)</f>
        <v>Microwave</v>
      </c>
      <c r="C1854" t="str">
        <f>VLOOKUP(A1854,Raw_Data!A:L,3,FALSE)</f>
        <v>Canada</v>
      </c>
      <c r="D1854" s="3">
        <f>VLOOKUP(A1854,Raw_Data!A:L,12,FALSE)</f>
        <v>4212</v>
      </c>
      <c r="E1854" s="3">
        <f>VLOOKUP(A1854,Raw_Data!A:L,11,FALSE)</f>
        <v>54</v>
      </c>
      <c r="F1854" t="str">
        <f>TEXT(VLOOKUP(A1854,Raw_Data!A:L,5,FALSE),"mmm")</f>
        <v>Dec</v>
      </c>
    </row>
    <row r="1855" spans="1:6" x14ac:dyDescent="0.35">
      <c r="A1855" s="3" t="s">
        <v>2459</v>
      </c>
      <c r="B1855" t="str">
        <f>VLOOKUP(A1855,Raw_Data!A:L,6,FALSE)</f>
        <v>Coffee grinder</v>
      </c>
      <c r="C1855" t="str">
        <f>VLOOKUP(A1855,Raw_Data!A:L,3,FALSE)</f>
        <v>Colombia</v>
      </c>
      <c r="D1855" s="3">
        <f>VLOOKUP(A1855,Raw_Data!A:L,12,FALSE)</f>
        <v>1508</v>
      </c>
      <c r="E1855" s="3">
        <f>VLOOKUP(A1855,Raw_Data!A:L,11,FALSE)</f>
        <v>29</v>
      </c>
      <c r="F1855" t="str">
        <f>TEXT(VLOOKUP(A1855,Raw_Data!A:L,5,FALSE),"mmm")</f>
        <v>Sep</v>
      </c>
    </row>
    <row r="1856" spans="1:6" x14ac:dyDescent="0.35">
      <c r="A1856" s="3" t="s">
        <v>2460</v>
      </c>
      <c r="B1856" t="str">
        <f>VLOOKUP(A1856,Raw_Data!A:L,6,FALSE)</f>
        <v>Ceiling fan</v>
      </c>
      <c r="C1856" t="str">
        <f>VLOOKUP(A1856,Raw_Data!A:L,3,FALSE)</f>
        <v>Malaysia</v>
      </c>
      <c r="D1856" s="3">
        <f>VLOOKUP(A1856,Raw_Data!A:L,12,FALSE)</f>
        <v>2016</v>
      </c>
      <c r="E1856" s="3">
        <f>VLOOKUP(A1856,Raw_Data!A:L,11,FALSE)</f>
        <v>14</v>
      </c>
      <c r="F1856" t="str">
        <f>TEXT(VLOOKUP(A1856,Raw_Data!A:L,5,FALSE),"mmm")</f>
        <v>Jun</v>
      </c>
    </row>
    <row r="1857" spans="1:6" x14ac:dyDescent="0.35">
      <c r="A1857" s="3" t="s">
        <v>2461</v>
      </c>
      <c r="B1857" t="str">
        <f>VLOOKUP(A1857,Raw_Data!A:L,6,FALSE)</f>
        <v>Refrigerator</v>
      </c>
      <c r="C1857" t="str">
        <f>VLOOKUP(A1857,Raw_Data!A:L,3,FALSE)</f>
        <v>Greece</v>
      </c>
      <c r="D1857" s="3">
        <f>VLOOKUP(A1857,Raw_Data!A:L,12,FALSE)</f>
        <v>21280</v>
      </c>
      <c r="E1857" s="3">
        <f>VLOOKUP(A1857,Raw_Data!A:L,11,FALSE)</f>
        <v>38</v>
      </c>
      <c r="F1857" t="str">
        <f>TEXT(VLOOKUP(A1857,Raw_Data!A:L,5,FALSE),"mmm")</f>
        <v>Nov</v>
      </c>
    </row>
    <row r="1858" spans="1:6" x14ac:dyDescent="0.35">
      <c r="A1858" s="3" t="s">
        <v>2462</v>
      </c>
      <c r="B1858" t="str">
        <f>VLOOKUP(A1858,Raw_Data!A:L,6,FALSE)</f>
        <v>Dishwasher</v>
      </c>
      <c r="C1858" t="str">
        <f>VLOOKUP(A1858,Raw_Data!A:L,3,FALSE)</f>
        <v>Romania</v>
      </c>
      <c r="D1858" s="3">
        <f>VLOOKUP(A1858,Raw_Data!A:L,12,FALSE)</f>
        <v>21070</v>
      </c>
      <c r="E1858" s="3">
        <f>VLOOKUP(A1858,Raw_Data!A:L,11,FALSE)</f>
        <v>43</v>
      </c>
      <c r="F1858" t="str">
        <f>TEXT(VLOOKUP(A1858,Raw_Data!A:L,5,FALSE),"mmm")</f>
        <v>Jan</v>
      </c>
    </row>
    <row r="1859" spans="1:6" x14ac:dyDescent="0.35">
      <c r="A1859" s="3" t="s">
        <v>2463</v>
      </c>
      <c r="B1859" t="str">
        <f>VLOOKUP(A1859,Raw_Data!A:L,6,FALSE)</f>
        <v>Microwave</v>
      </c>
      <c r="C1859" t="str">
        <f>VLOOKUP(A1859,Raw_Data!A:L,3,FALSE)</f>
        <v>India</v>
      </c>
      <c r="D1859" s="3">
        <f>VLOOKUP(A1859,Raw_Data!A:L,12,FALSE)</f>
        <v>3800</v>
      </c>
      <c r="E1859" s="3">
        <f>VLOOKUP(A1859,Raw_Data!A:L,11,FALSE)</f>
        <v>50</v>
      </c>
      <c r="F1859" t="str">
        <f>TEXT(VLOOKUP(A1859,Raw_Data!A:L,5,FALSE),"mmm")</f>
        <v>Dec</v>
      </c>
    </row>
    <row r="1860" spans="1:6" x14ac:dyDescent="0.35">
      <c r="A1860" s="3" t="s">
        <v>2464</v>
      </c>
      <c r="B1860" t="str">
        <f>VLOOKUP(A1860,Raw_Data!A:L,6,FALSE)</f>
        <v>Blender</v>
      </c>
      <c r="C1860" t="str">
        <f>VLOOKUP(A1860,Raw_Data!A:L,3,FALSE)</f>
        <v>Spain</v>
      </c>
      <c r="D1860" s="3">
        <f>VLOOKUP(A1860,Raw_Data!A:L,12,FALSE)</f>
        <v>945</v>
      </c>
      <c r="E1860" s="3">
        <f>VLOOKUP(A1860,Raw_Data!A:L,11,FALSE)</f>
        <v>21</v>
      </c>
      <c r="F1860" t="str">
        <f>TEXT(VLOOKUP(A1860,Raw_Data!A:L,5,FALSE),"mmm")</f>
        <v>Oct</v>
      </c>
    </row>
    <row r="1861" spans="1:6" x14ac:dyDescent="0.35">
      <c r="A1861" s="3" t="s">
        <v>2465</v>
      </c>
      <c r="B1861" t="str">
        <f>VLOOKUP(A1861,Raw_Data!A:L,6,FALSE)</f>
        <v>Air conditioner</v>
      </c>
      <c r="C1861" t="str">
        <f>VLOOKUP(A1861,Raw_Data!A:L,3,FALSE)</f>
        <v>South Africa</v>
      </c>
      <c r="D1861" s="3">
        <f>VLOOKUP(A1861,Raw_Data!A:L,12,FALSE)</f>
        <v>37800</v>
      </c>
      <c r="E1861" s="3">
        <f>VLOOKUP(A1861,Raw_Data!A:L,11,FALSE)</f>
        <v>60</v>
      </c>
      <c r="F1861" t="str">
        <f>TEXT(VLOOKUP(A1861,Raw_Data!A:L,5,FALSE),"mmm")</f>
        <v>May</v>
      </c>
    </row>
    <row r="1862" spans="1:6" x14ac:dyDescent="0.35">
      <c r="A1862" s="3" t="s">
        <v>2466</v>
      </c>
      <c r="B1862" t="str">
        <f>VLOOKUP(A1862,Raw_Data!A:L,6,FALSE)</f>
        <v>Toaster</v>
      </c>
      <c r="C1862" t="str">
        <f>VLOOKUP(A1862,Raw_Data!A:L,3,FALSE)</f>
        <v>USA</v>
      </c>
      <c r="D1862" s="3">
        <f>VLOOKUP(A1862,Raw_Data!A:L,12,FALSE)</f>
        <v>1755</v>
      </c>
      <c r="E1862" s="3">
        <f>VLOOKUP(A1862,Raw_Data!A:L,11,FALSE)</f>
        <v>39</v>
      </c>
      <c r="F1862" t="str">
        <f>TEXT(VLOOKUP(A1862,Raw_Data!A:L,5,FALSE),"mmm")</f>
        <v>Feb</v>
      </c>
    </row>
    <row r="1863" spans="1:6" x14ac:dyDescent="0.35">
      <c r="A1863" s="3" t="s">
        <v>2467</v>
      </c>
      <c r="B1863" t="str">
        <f>VLOOKUP(A1863,Raw_Data!A:L,6,FALSE)</f>
        <v>Oven</v>
      </c>
      <c r="C1863" t="str">
        <f>VLOOKUP(A1863,Raw_Data!A:L,3,FALSE)</f>
        <v>Poland</v>
      </c>
      <c r="D1863" s="3">
        <f>VLOOKUP(A1863,Raw_Data!A:L,12,FALSE)</f>
        <v>4500</v>
      </c>
      <c r="E1863" s="3">
        <f>VLOOKUP(A1863,Raw_Data!A:L,11,FALSE)</f>
        <v>9</v>
      </c>
      <c r="F1863" t="str">
        <f>TEXT(VLOOKUP(A1863,Raw_Data!A:L,5,FALSE),"mmm")</f>
        <v>Aug</v>
      </c>
    </row>
    <row r="1864" spans="1:6" x14ac:dyDescent="0.35">
      <c r="A1864" s="3" t="s">
        <v>2468</v>
      </c>
      <c r="B1864" t="str">
        <f>VLOOKUP(A1864,Raw_Data!A:L,6,FALSE)</f>
        <v>Toaster</v>
      </c>
      <c r="C1864" t="str">
        <f>VLOOKUP(A1864,Raw_Data!A:L,3,FALSE)</f>
        <v>USA</v>
      </c>
      <c r="D1864" s="3">
        <f>VLOOKUP(A1864,Raw_Data!A:L,12,FALSE)</f>
        <v>2162</v>
      </c>
      <c r="E1864" s="3">
        <f>VLOOKUP(A1864,Raw_Data!A:L,11,FALSE)</f>
        <v>47</v>
      </c>
      <c r="F1864" t="str">
        <f>TEXT(VLOOKUP(A1864,Raw_Data!A:L,5,FALSE),"mmm")</f>
        <v>Aug</v>
      </c>
    </row>
    <row r="1865" spans="1:6" x14ac:dyDescent="0.35">
      <c r="A1865" s="3" t="s">
        <v>2469</v>
      </c>
      <c r="B1865" t="str">
        <f>VLOOKUP(A1865,Raw_Data!A:L,6,FALSE)</f>
        <v>Oven</v>
      </c>
      <c r="C1865" t="str">
        <f>VLOOKUP(A1865,Raw_Data!A:L,3,FALSE)</f>
        <v>Thailand</v>
      </c>
      <c r="D1865" s="3">
        <f>VLOOKUP(A1865,Raw_Data!A:L,12,FALSE)</f>
        <v>5880</v>
      </c>
      <c r="E1865" s="3">
        <f>VLOOKUP(A1865,Raw_Data!A:L,11,FALSE)</f>
        <v>12</v>
      </c>
      <c r="F1865" t="str">
        <f>TEXT(VLOOKUP(A1865,Raw_Data!A:L,5,FALSE),"mmm")</f>
        <v>Aug</v>
      </c>
    </row>
    <row r="1866" spans="1:6" x14ac:dyDescent="0.35">
      <c r="A1866" s="3" t="s">
        <v>2471</v>
      </c>
      <c r="B1866" t="str">
        <f>VLOOKUP(A1866,Raw_Data!A:L,6,FALSE)</f>
        <v>Air conditioner</v>
      </c>
      <c r="C1866" t="str">
        <f>VLOOKUP(A1866,Raw_Data!A:L,3,FALSE)</f>
        <v>USA</v>
      </c>
      <c r="D1866" s="3">
        <f>VLOOKUP(A1866,Raw_Data!A:L,12,FALSE)</f>
        <v>24010</v>
      </c>
      <c r="E1866" s="3">
        <f>VLOOKUP(A1866,Raw_Data!A:L,11,FALSE)</f>
        <v>35</v>
      </c>
      <c r="F1866" t="str">
        <f>TEXT(VLOOKUP(A1866,Raw_Data!A:L,5,FALSE),"mmm")</f>
        <v>Jan</v>
      </c>
    </row>
    <row r="1867" spans="1:6" x14ac:dyDescent="0.35">
      <c r="A1867" s="3" t="s">
        <v>2472</v>
      </c>
      <c r="B1867" t="str">
        <f>VLOOKUP(A1867,Raw_Data!A:L,6,FALSE)</f>
        <v>Iron</v>
      </c>
      <c r="C1867" t="str">
        <f>VLOOKUP(A1867,Raw_Data!A:L,3,FALSE)</f>
        <v>USA</v>
      </c>
      <c r="D1867" s="3">
        <f>VLOOKUP(A1867,Raw_Data!A:L,12,FALSE)</f>
        <v>1100</v>
      </c>
      <c r="E1867" s="3">
        <f>VLOOKUP(A1867,Raw_Data!A:L,11,FALSE)</f>
        <v>44</v>
      </c>
      <c r="F1867" t="str">
        <f>TEXT(VLOOKUP(A1867,Raw_Data!A:L,5,FALSE),"mmm")</f>
        <v>Jul</v>
      </c>
    </row>
    <row r="1868" spans="1:6" x14ac:dyDescent="0.35">
      <c r="A1868" s="3" t="s">
        <v>2473</v>
      </c>
      <c r="B1868" t="str">
        <f>VLOOKUP(A1868,Raw_Data!A:L,6,FALSE)</f>
        <v>Refrigerator</v>
      </c>
      <c r="C1868" t="str">
        <f>VLOOKUP(A1868,Raw_Data!A:L,3,FALSE)</f>
        <v>USA</v>
      </c>
      <c r="D1868" s="3">
        <f>VLOOKUP(A1868,Raw_Data!A:L,12,FALSE)</f>
        <v>36000</v>
      </c>
      <c r="E1868" s="3">
        <f>VLOOKUP(A1868,Raw_Data!A:L,11,FALSE)</f>
        <v>60</v>
      </c>
      <c r="F1868" t="str">
        <f>TEXT(VLOOKUP(A1868,Raw_Data!A:L,5,FALSE),"mmm")</f>
        <v>Dec</v>
      </c>
    </row>
    <row r="1869" spans="1:6" x14ac:dyDescent="0.35">
      <c r="A1869" s="3" t="s">
        <v>2474</v>
      </c>
      <c r="B1869" t="str">
        <f>VLOOKUP(A1869,Raw_Data!A:L,6,FALSE)</f>
        <v>Coffee grinder</v>
      </c>
      <c r="C1869" t="str">
        <f>VLOOKUP(A1869,Raw_Data!A:L,3,FALSE)</f>
        <v>China</v>
      </c>
      <c r="D1869" s="3">
        <f>VLOOKUP(A1869,Raw_Data!A:L,12,FALSE)</f>
        <v>2268</v>
      </c>
      <c r="E1869" s="3">
        <f>VLOOKUP(A1869,Raw_Data!A:L,11,FALSE)</f>
        <v>36</v>
      </c>
      <c r="F1869" t="str">
        <f>TEXT(VLOOKUP(A1869,Raw_Data!A:L,5,FALSE),"mmm")</f>
        <v>Oct</v>
      </c>
    </row>
    <row r="1870" spans="1:6" x14ac:dyDescent="0.35">
      <c r="A1870" s="3" t="s">
        <v>2475</v>
      </c>
      <c r="B1870" t="str">
        <f>VLOOKUP(A1870,Raw_Data!A:L,6,FALSE)</f>
        <v>Vacuum Cleaner</v>
      </c>
      <c r="C1870" t="str">
        <f>VLOOKUP(A1870,Raw_Data!A:L,3,FALSE)</f>
        <v>Saudi Arabia</v>
      </c>
      <c r="D1870" s="3">
        <f>VLOOKUP(A1870,Raw_Data!A:L,12,FALSE)</f>
        <v>16415</v>
      </c>
      <c r="E1870" s="3">
        <f>VLOOKUP(A1870,Raw_Data!A:L,11,FALSE)</f>
        <v>67</v>
      </c>
      <c r="F1870" t="str">
        <f>TEXT(VLOOKUP(A1870,Raw_Data!A:L,5,FALSE),"mmm")</f>
        <v>Sep</v>
      </c>
    </row>
    <row r="1871" spans="1:6" x14ac:dyDescent="0.35">
      <c r="A1871" s="3" t="s">
        <v>2476</v>
      </c>
      <c r="B1871" t="str">
        <f>VLOOKUP(A1871,Raw_Data!A:L,6,FALSE)</f>
        <v>Microwave</v>
      </c>
      <c r="C1871" t="str">
        <f>VLOOKUP(A1871,Raw_Data!A:L,3,FALSE)</f>
        <v>Japan</v>
      </c>
      <c r="D1871" s="3">
        <f>VLOOKUP(A1871,Raw_Data!A:L,12,FALSE)</f>
        <v>4366</v>
      </c>
      <c r="E1871" s="3">
        <f>VLOOKUP(A1871,Raw_Data!A:L,11,FALSE)</f>
        <v>59</v>
      </c>
      <c r="F1871" t="str">
        <f>TEXT(VLOOKUP(A1871,Raw_Data!A:L,5,FALSE),"mmm")</f>
        <v>Jan</v>
      </c>
    </row>
    <row r="1872" spans="1:6" x14ac:dyDescent="0.35">
      <c r="A1872" s="3" t="s">
        <v>2477</v>
      </c>
      <c r="B1872" t="str">
        <f>VLOOKUP(A1872,Raw_Data!A:L,6,FALSE)</f>
        <v>Dishwasher</v>
      </c>
      <c r="C1872" t="str">
        <f>VLOOKUP(A1872,Raw_Data!A:L,3,FALSE)</f>
        <v>Greece</v>
      </c>
      <c r="D1872" s="3">
        <f>VLOOKUP(A1872,Raw_Data!A:L,12,FALSE)</f>
        <v>14880</v>
      </c>
      <c r="E1872" s="3">
        <f>VLOOKUP(A1872,Raw_Data!A:L,11,FALSE)</f>
        <v>32</v>
      </c>
      <c r="F1872" t="str">
        <f>TEXT(VLOOKUP(A1872,Raw_Data!A:L,5,FALSE),"mmm")</f>
        <v>Aug</v>
      </c>
    </row>
    <row r="1873" spans="1:6" x14ac:dyDescent="0.35">
      <c r="A1873" s="3" t="s">
        <v>2478</v>
      </c>
      <c r="B1873" t="str">
        <f>VLOOKUP(A1873,Raw_Data!A:L,6,FALSE)</f>
        <v>Ceiling fan</v>
      </c>
      <c r="C1873" t="str">
        <f>VLOOKUP(A1873,Raw_Data!A:L,3,FALSE)</f>
        <v>South Africa</v>
      </c>
      <c r="D1873" s="3">
        <f>VLOOKUP(A1873,Raw_Data!A:L,12,FALSE)</f>
        <v>6820</v>
      </c>
      <c r="E1873" s="3">
        <f>VLOOKUP(A1873,Raw_Data!A:L,11,FALSE)</f>
        <v>62</v>
      </c>
      <c r="F1873" t="str">
        <f>TEXT(VLOOKUP(A1873,Raw_Data!A:L,5,FALSE),"mmm")</f>
        <v>Sep</v>
      </c>
    </row>
    <row r="1874" spans="1:6" x14ac:dyDescent="0.35">
      <c r="A1874" s="3" t="s">
        <v>2479</v>
      </c>
      <c r="B1874" t="str">
        <f>VLOOKUP(A1874,Raw_Data!A:L,6,FALSE)</f>
        <v>Oven</v>
      </c>
      <c r="C1874" t="str">
        <f>VLOOKUP(A1874,Raw_Data!A:L,3,FALSE)</f>
        <v>Egypt</v>
      </c>
      <c r="D1874" s="3">
        <f>VLOOKUP(A1874,Raw_Data!A:L,12,FALSE)</f>
        <v>44000</v>
      </c>
      <c r="E1874" s="3">
        <f>VLOOKUP(A1874,Raw_Data!A:L,11,FALSE)</f>
        <v>88</v>
      </c>
      <c r="F1874" t="str">
        <f>TEXT(VLOOKUP(A1874,Raw_Data!A:L,5,FALSE),"mmm")</f>
        <v>Jun</v>
      </c>
    </row>
    <row r="1875" spans="1:6" x14ac:dyDescent="0.35">
      <c r="A1875" s="3" t="s">
        <v>2480</v>
      </c>
      <c r="B1875" t="str">
        <f>VLOOKUP(A1875,Raw_Data!A:L,6,FALSE)</f>
        <v>Air conditioner</v>
      </c>
      <c r="C1875" t="str">
        <f>VLOOKUP(A1875,Raw_Data!A:L,3,FALSE)</f>
        <v>USA</v>
      </c>
      <c r="D1875" s="3">
        <f>VLOOKUP(A1875,Raw_Data!A:L,12,FALSE)</f>
        <v>64400</v>
      </c>
      <c r="E1875" s="3">
        <f>VLOOKUP(A1875,Raw_Data!A:L,11,FALSE)</f>
        <v>92</v>
      </c>
      <c r="F1875" t="str">
        <f>TEXT(VLOOKUP(A1875,Raw_Data!A:L,5,FALSE),"mmm")</f>
        <v>Jan</v>
      </c>
    </row>
    <row r="1876" spans="1:6" x14ac:dyDescent="0.35">
      <c r="A1876" s="3" t="s">
        <v>2481</v>
      </c>
      <c r="B1876" t="str">
        <f>VLOOKUP(A1876,Raw_Data!A:L,6,FALSE)</f>
        <v>Blender</v>
      </c>
      <c r="C1876" t="str">
        <f>VLOOKUP(A1876,Raw_Data!A:L,3,FALSE)</f>
        <v>France</v>
      </c>
      <c r="D1876" s="3">
        <f>VLOOKUP(A1876,Raw_Data!A:L,12,FALSE)</f>
        <v>2350</v>
      </c>
      <c r="E1876" s="3">
        <f>VLOOKUP(A1876,Raw_Data!A:L,11,FALSE)</f>
        <v>47</v>
      </c>
      <c r="F1876" t="str">
        <f>TEXT(VLOOKUP(A1876,Raw_Data!A:L,5,FALSE),"mmm")</f>
        <v>Jun</v>
      </c>
    </row>
    <row r="1877" spans="1:6" x14ac:dyDescent="0.35">
      <c r="A1877" s="3" t="s">
        <v>2482</v>
      </c>
      <c r="B1877" t="str">
        <f>VLOOKUP(A1877,Raw_Data!A:L,6,FALSE)</f>
        <v>Oven</v>
      </c>
      <c r="C1877" t="str">
        <f>VLOOKUP(A1877,Raw_Data!A:L,3,FALSE)</f>
        <v>China</v>
      </c>
      <c r="D1877" s="3">
        <f>VLOOKUP(A1877,Raw_Data!A:L,12,FALSE)</f>
        <v>13230</v>
      </c>
      <c r="E1877" s="3">
        <f>VLOOKUP(A1877,Raw_Data!A:L,11,FALSE)</f>
        <v>27</v>
      </c>
      <c r="F1877" t="str">
        <f>TEXT(VLOOKUP(A1877,Raw_Data!A:L,5,FALSE),"mmm")</f>
        <v>Jul</v>
      </c>
    </row>
    <row r="1878" spans="1:6" x14ac:dyDescent="0.35">
      <c r="A1878" s="3" t="s">
        <v>2483</v>
      </c>
      <c r="B1878" t="str">
        <f>VLOOKUP(A1878,Raw_Data!A:L,6,FALSE)</f>
        <v>Refrigerator</v>
      </c>
      <c r="C1878" t="str">
        <f>VLOOKUP(A1878,Raw_Data!A:L,3,FALSE)</f>
        <v>Turkey</v>
      </c>
      <c r="D1878" s="3">
        <f>VLOOKUP(A1878,Raw_Data!A:L,12,FALSE)</f>
        <v>23920</v>
      </c>
      <c r="E1878" s="3">
        <f>VLOOKUP(A1878,Raw_Data!A:L,11,FALSE)</f>
        <v>26</v>
      </c>
      <c r="F1878" t="str">
        <f>TEXT(VLOOKUP(A1878,Raw_Data!A:L,5,FALSE),"mmm")</f>
        <v>Oct</v>
      </c>
    </row>
    <row r="1879" spans="1:6" x14ac:dyDescent="0.35">
      <c r="A1879" s="3" t="s">
        <v>2484</v>
      </c>
      <c r="B1879" t="str">
        <f>VLOOKUP(A1879,Raw_Data!A:L,6,FALSE)</f>
        <v>Oven</v>
      </c>
      <c r="C1879" t="str">
        <f>VLOOKUP(A1879,Raw_Data!A:L,3,FALSE)</f>
        <v>Greece</v>
      </c>
      <c r="D1879" s="3">
        <f>VLOOKUP(A1879,Raw_Data!A:L,12,FALSE)</f>
        <v>39000</v>
      </c>
      <c r="E1879" s="3">
        <f>VLOOKUP(A1879,Raw_Data!A:L,11,FALSE)</f>
        <v>78</v>
      </c>
      <c r="F1879" t="str">
        <f>TEXT(VLOOKUP(A1879,Raw_Data!A:L,5,FALSE),"mmm")</f>
        <v>Jun</v>
      </c>
    </row>
    <row r="1880" spans="1:6" x14ac:dyDescent="0.35">
      <c r="A1880" s="3" t="s">
        <v>2485</v>
      </c>
      <c r="B1880" t="str">
        <f>VLOOKUP(A1880,Raw_Data!A:L,6,FALSE)</f>
        <v>Iron</v>
      </c>
      <c r="C1880" t="str">
        <f>VLOOKUP(A1880,Raw_Data!A:L,3,FALSE)</f>
        <v>UAE</v>
      </c>
      <c r="D1880" s="3">
        <f>VLOOKUP(A1880,Raw_Data!A:L,12,FALSE)</f>
        <v>2310</v>
      </c>
      <c r="E1880" s="3">
        <f>VLOOKUP(A1880,Raw_Data!A:L,11,FALSE)</f>
        <v>77</v>
      </c>
      <c r="F1880" t="str">
        <f>TEXT(VLOOKUP(A1880,Raw_Data!A:L,5,FALSE),"mmm")</f>
        <v>Nov</v>
      </c>
    </row>
    <row r="1881" spans="1:6" x14ac:dyDescent="0.35">
      <c r="A1881" s="3" t="s">
        <v>2486</v>
      </c>
      <c r="B1881" t="str">
        <f>VLOOKUP(A1881,Raw_Data!A:L,6,FALSE)</f>
        <v>Microwave</v>
      </c>
      <c r="C1881" t="str">
        <f>VLOOKUP(A1881,Raw_Data!A:L,3,FALSE)</f>
        <v>Czech Republic</v>
      </c>
      <c r="D1881" s="3">
        <f>VLOOKUP(A1881,Raw_Data!A:L,12,FALSE)</f>
        <v>2233</v>
      </c>
      <c r="E1881" s="3">
        <f>VLOOKUP(A1881,Raw_Data!A:L,11,FALSE)</f>
        <v>29</v>
      </c>
      <c r="F1881" t="str">
        <f>TEXT(VLOOKUP(A1881,Raw_Data!A:L,5,FALSE),"mmm")</f>
        <v>Nov</v>
      </c>
    </row>
    <row r="1882" spans="1:6" x14ac:dyDescent="0.35">
      <c r="A1882" s="3" t="s">
        <v>2488</v>
      </c>
      <c r="B1882" t="str">
        <f>VLOOKUP(A1882,Raw_Data!A:L,6,FALSE)</f>
        <v>Refrigerator</v>
      </c>
      <c r="C1882" t="str">
        <f>VLOOKUP(A1882,Raw_Data!A:L,3,FALSE)</f>
        <v>UK</v>
      </c>
      <c r="D1882" s="3">
        <f>VLOOKUP(A1882,Raw_Data!A:L,12,FALSE)</f>
        <v>50600</v>
      </c>
      <c r="E1882" s="3">
        <f>VLOOKUP(A1882,Raw_Data!A:L,11,FALSE)</f>
        <v>55</v>
      </c>
      <c r="F1882" t="str">
        <f>TEXT(VLOOKUP(A1882,Raw_Data!A:L,5,FALSE),"mmm")</f>
        <v>Dec</v>
      </c>
    </row>
    <row r="1883" spans="1:6" x14ac:dyDescent="0.35">
      <c r="A1883" s="3" t="s">
        <v>2489</v>
      </c>
      <c r="B1883" t="str">
        <f>VLOOKUP(A1883,Raw_Data!A:L,6,FALSE)</f>
        <v>Microwave</v>
      </c>
      <c r="C1883" t="str">
        <f>VLOOKUP(A1883,Raw_Data!A:L,3,FALSE)</f>
        <v>Spain</v>
      </c>
      <c r="D1883" s="3">
        <f>VLOOKUP(A1883,Raw_Data!A:L,12,FALSE)</f>
        <v>1900</v>
      </c>
      <c r="E1883" s="3">
        <f>VLOOKUP(A1883,Raw_Data!A:L,11,FALSE)</f>
        <v>25</v>
      </c>
      <c r="F1883" t="str">
        <f>TEXT(VLOOKUP(A1883,Raw_Data!A:L,5,FALSE),"mmm")</f>
        <v>Jun</v>
      </c>
    </row>
    <row r="1884" spans="1:6" x14ac:dyDescent="0.35">
      <c r="A1884" s="3" t="s">
        <v>2490</v>
      </c>
      <c r="B1884" t="str">
        <f>VLOOKUP(A1884,Raw_Data!A:L,6,FALSE)</f>
        <v>Refrigerator</v>
      </c>
      <c r="C1884" t="str">
        <f>VLOOKUP(A1884,Raw_Data!A:L,3,FALSE)</f>
        <v>Japan</v>
      </c>
      <c r="D1884" s="3">
        <f>VLOOKUP(A1884,Raw_Data!A:L,12,FALSE)</f>
        <v>37740</v>
      </c>
      <c r="E1884" s="3">
        <f>VLOOKUP(A1884,Raw_Data!A:L,11,FALSE)</f>
        <v>51</v>
      </c>
      <c r="F1884" t="str">
        <f>TEXT(VLOOKUP(A1884,Raw_Data!A:L,5,FALSE),"mmm")</f>
        <v>Dec</v>
      </c>
    </row>
    <row r="1885" spans="1:6" x14ac:dyDescent="0.35">
      <c r="A1885" s="3" t="s">
        <v>2491</v>
      </c>
      <c r="B1885" t="str">
        <f>VLOOKUP(A1885,Raw_Data!A:L,6,FALSE)</f>
        <v>Microwave</v>
      </c>
      <c r="C1885" t="str">
        <f>VLOOKUP(A1885,Raw_Data!A:L,3,FALSE)</f>
        <v>Australia</v>
      </c>
      <c r="D1885" s="3">
        <f>VLOOKUP(A1885,Raw_Data!A:L,12,FALSE)</f>
        <v>2000</v>
      </c>
      <c r="E1885" s="3">
        <f>VLOOKUP(A1885,Raw_Data!A:L,11,FALSE)</f>
        <v>25</v>
      </c>
      <c r="F1885" t="str">
        <f>TEXT(VLOOKUP(A1885,Raw_Data!A:L,5,FALSE),"mmm")</f>
        <v>Apr</v>
      </c>
    </row>
    <row r="1886" spans="1:6" x14ac:dyDescent="0.35">
      <c r="A1886" s="3" t="s">
        <v>2492</v>
      </c>
      <c r="B1886" t="str">
        <f>VLOOKUP(A1886,Raw_Data!A:L,6,FALSE)</f>
        <v>Microwave</v>
      </c>
      <c r="C1886" t="str">
        <f>VLOOKUP(A1886,Raw_Data!A:L,3,FALSE)</f>
        <v>UK</v>
      </c>
      <c r="D1886" s="3">
        <f>VLOOKUP(A1886,Raw_Data!A:L,12,FALSE)</f>
        <v>3599</v>
      </c>
      <c r="E1886" s="3">
        <f>VLOOKUP(A1886,Raw_Data!A:L,11,FALSE)</f>
        <v>59</v>
      </c>
      <c r="F1886" t="str">
        <f>TEXT(VLOOKUP(A1886,Raw_Data!A:L,5,FALSE),"mmm")</f>
        <v>Jan</v>
      </c>
    </row>
    <row r="1887" spans="1:6" x14ac:dyDescent="0.35">
      <c r="A1887" s="3" t="s">
        <v>2493</v>
      </c>
      <c r="B1887" t="str">
        <f>VLOOKUP(A1887,Raw_Data!A:L,6,FALSE)</f>
        <v>Refrigerator</v>
      </c>
      <c r="C1887" t="str">
        <f>VLOOKUP(A1887,Raw_Data!A:L,3,FALSE)</f>
        <v>Israel</v>
      </c>
      <c r="D1887" s="3">
        <f>VLOOKUP(A1887,Raw_Data!A:L,12,FALSE)</f>
        <v>58560</v>
      </c>
      <c r="E1887" s="3">
        <f>VLOOKUP(A1887,Raw_Data!A:L,11,FALSE)</f>
        <v>96</v>
      </c>
      <c r="F1887" t="str">
        <f>TEXT(VLOOKUP(A1887,Raw_Data!A:L,5,FALSE),"mmm")</f>
        <v>Nov</v>
      </c>
    </row>
    <row r="1888" spans="1:6" x14ac:dyDescent="0.35">
      <c r="A1888" s="3" t="s">
        <v>2494</v>
      </c>
      <c r="B1888" t="str">
        <f>VLOOKUP(A1888,Raw_Data!A:L,6,FALSE)</f>
        <v>Iron</v>
      </c>
      <c r="C1888" t="str">
        <f>VLOOKUP(A1888,Raw_Data!A:L,3,FALSE)</f>
        <v>India</v>
      </c>
      <c r="D1888" s="3">
        <f>VLOOKUP(A1888,Raw_Data!A:L,12,FALSE)</f>
        <v>450</v>
      </c>
      <c r="E1888" s="3">
        <f>VLOOKUP(A1888,Raw_Data!A:L,11,FALSE)</f>
        <v>15</v>
      </c>
      <c r="F1888" t="str">
        <f>TEXT(VLOOKUP(A1888,Raw_Data!A:L,5,FALSE),"mmm")</f>
        <v>Mar</v>
      </c>
    </row>
    <row r="1889" spans="1:6" x14ac:dyDescent="0.35">
      <c r="A1889" s="3" t="s">
        <v>2495</v>
      </c>
      <c r="B1889" t="str">
        <f>VLOOKUP(A1889,Raw_Data!A:L,6,FALSE)</f>
        <v>Dishwasher</v>
      </c>
      <c r="C1889" t="str">
        <f>VLOOKUP(A1889,Raw_Data!A:L,3,FALSE)</f>
        <v>USA</v>
      </c>
      <c r="D1889" s="3">
        <f>VLOOKUP(A1889,Raw_Data!A:L,12,FALSE)</f>
        <v>31200</v>
      </c>
      <c r="E1889" s="3">
        <f>VLOOKUP(A1889,Raw_Data!A:L,11,FALSE)</f>
        <v>80</v>
      </c>
      <c r="F1889" t="str">
        <f>TEXT(VLOOKUP(A1889,Raw_Data!A:L,5,FALSE),"mmm")</f>
        <v>Nov</v>
      </c>
    </row>
    <row r="1890" spans="1:6" x14ac:dyDescent="0.35">
      <c r="A1890" s="3" t="s">
        <v>2496</v>
      </c>
      <c r="B1890" t="str">
        <f>VLOOKUP(A1890,Raw_Data!A:L,6,FALSE)</f>
        <v>Microwave</v>
      </c>
      <c r="C1890" t="str">
        <f>VLOOKUP(A1890,Raw_Data!A:L,3,FALSE)</f>
        <v>China</v>
      </c>
      <c r="D1890" s="3">
        <f>VLOOKUP(A1890,Raw_Data!A:L,12,FALSE)</f>
        <v>5040</v>
      </c>
      <c r="E1890" s="3">
        <f>VLOOKUP(A1890,Raw_Data!A:L,11,FALSE)</f>
        <v>72</v>
      </c>
      <c r="F1890" t="str">
        <f>TEXT(VLOOKUP(A1890,Raw_Data!A:L,5,FALSE),"mmm")</f>
        <v>Mar</v>
      </c>
    </row>
    <row r="1891" spans="1:6" x14ac:dyDescent="0.35">
      <c r="A1891" s="3" t="s">
        <v>2498</v>
      </c>
      <c r="B1891" t="str">
        <f>VLOOKUP(A1891,Raw_Data!A:L,6,FALSE)</f>
        <v>Dishwasher</v>
      </c>
      <c r="C1891" t="str">
        <f>VLOOKUP(A1891,Raw_Data!A:L,3,FALSE)</f>
        <v>Italy</v>
      </c>
      <c r="D1891" s="3">
        <f>VLOOKUP(A1891,Raw_Data!A:L,12,FALSE)</f>
        <v>20160</v>
      </c>
      <c r="E1891" s="3">
        <f>VLOOKUP(A1891,Raw_Data!A:L,11,FALSE)</f>
        <v>48</v>
      </c>
      <c r="F1891" t="str">
        <f>TEXT(VLOOKUP(A1891,Raw_Data!A:L,5,FALSE),"mmm")</f>
        <v>Jun</v>
      </c>
    </row>
    <row r="1892" spans="1:6" x14ac:dyDescent="0.35">
      <c r="A1892" s="3" t="s">
        <v>2499</v>
      </c>
      <c r="B1892" t="str">
        <f>VLOOKUP(A1892,Raw_Data!A:L,6,FALSE)</f>
        <v>Coffee grinder</v>
      </c>
      <c r="C1892" t="str">
        <f>VLOOKUP(A1892,Raw_Data!A:L,3,FALSE)</f>
        <v>Czech Republic</v>
      </c>
      <c r="D1892" s="3">
        <f>VLOOKUP(A1892,Raw_Data!A:L,12,FALSE)</f>
        <v>1827</v>
      </c>
      <c r="E1892" s="3">
        <f>VLOOKUP(A1892,Raw_Data!A:L,11,FALSE)</f>
        <v>29</v>
      </c>
      <c r="F1892" t="str">
        <f>TEXT(VLOOKUP(A1892,Raw_Data!A:L,5,FALSE),"mmm")</f>
        <v>Oct</v>
      </c>
    </row>
    <row r="1893" spans="1:6" x14ac:dyDescent="0.35">
      <c r="A1893" s="3" t="s">
        <v>2500</v>
      </c>
      <c r="B1893" t="str">
        <f>VLOOKUP(A1893,Raw_Data!A:L,6,FALSE)</f>
        <v>Microwave</v>
      </c>
      <c r="C1893" t="str">
        <f>VLOOKUP(A1893,Raw_Data!A:L,3,FALSE)</f>
        <v>China</v>
      </c>
      <c r="D1893" s="3">
        <f>VLOOKUP(A1893,Raw_Data!A:L,12,FALSE)</f>
        <v>4898</v>
      </c>
      <c r="E1893" s="3">
        <f>VLOOKUP(A1893,Raw_Data!A:L,11,FALSE)</f>
        <v>79</v>
      </c>
      <c r="F1893" t="str">
        <f>TEXT(VLOOKUP(A1893,Raw_Data!A:L,5,FALSE),"mmm")</f>
        <v>Jun</v>
      </c>
    </row>
    <row r="1894" spans="1:6" x14ac:dyDescent="0.35">
      <c r="A1894" s="3" t="s">
        <v>2501</v>
      </c>
      <c r="B1894" t="str">
        <f>VLOOKUP(A1894,Raw_Data!A:L,6,FALSE)</f>
        <v>Blender</v>
      </c>
      <c r="C1894" t="str">
        <f>VLOOKUP(A1894,Raw_Data!A:L,3,FALSE)</f>
        <v>Israel</v>
      </c>
      <c r="D1894" s="3">
        <f>VLOOKUP(A1894,Raw_Data!A:L,12,FALSE)</f>
        <v>2793</v>
      </c>
      <c r="E1894" s="3">
        <f>VLOOKUP(A1894,Raw_Data!A:L,11,FALSE)</f>
        <v>57</v>
      </c>
      <c r="F1894" t="str">
        <f>TEXT(VLOOKUP(A1894,Raw_Data!A:L,5,FALSE),"mmm")</f>
        <v>Aug</v>
      </c>
    </row>
    <row r="1895" spans="1:6" x14ac:dyDescent="0.35">
      <c r="A1895" s="3" t="s">
        <v>2502</v>
      </c>
      <c r="B1895" t="str">
        <f>VLOOKUP(A1895,Raw_Data!A:L,6,FALSE)</f>
        <v>Washing Machine</v>
      </c>
      <c r="C1895" t="str">
        <f>VLOOKUP(A1895,Raw_Data!A:L,3,FALSE)</f>
        <v>UK</v>
      </c>
      <c r="D1895" s="3">
        <f>VLOOKUP(A1895,Raw_Data!A:L,12,FALSE)</f>
        <v>50320</v>
      </c>
      <c r="E1895" s="3">
        <f>VLOOKUP(A1895,Raw_Data!A:L,11,FALSE)</f>
        <v>85</v>
      </c>
      <c r="F1895" t="str">
        <f>TEXT(VLOOKUP(A1895,Raw_Data!A:L,5,FALSE),"mmm")</f>
        <v>Aug</v>
      </c>
    </row>
    <row r="1896" spans="1:6" x14ac:dyDescent="0.35">
      <c r="A1896" s="3" t="s">
        <v>2503</v>
      </c>
      <c r="B1896" t="str">
        <f>VLOOKUP(A1896,Raw_Data!A:L,6,FALSE)</f>
        <v>Ceiling fan</v>
      </c>
      <c r="C1896" t="str">
        <f>VLOOKUP(A1896,Raw_Data!A:L,3,FALSE)</f>
        <v>China</v>
      </c>
      <c r="D1896" s="3">
        <f>VLOOKUP(A1896,Raw_Data!A:L,12,FALSE)</f>
        <v>14900</v>
      </c>
      <c r="E1896" s="3">
        <f>VLOOKUP(A1896,Raw_Data!A:L,11,FALSE)</f>
        <v>100</v>
      </c>
      <c r="F1896" t="str">
        <f>TEXT(VLOOKUP(A1896,Raw_Data!A:L,5,FALSE),"mmm")</f>
        <v>Nov</v>
      </c>
    </row>
    <row r="1897" spans="1:6" x14ac:dyDescent="0.35">
      <c r="A1897" s="3" t="s">
        <v>2504</v>
      </c>
      <c r="B1897" t="str">
        <f>VLOOKUP(A1897,Raw_Data!A:L,6,FALSE)</f>
        <v>Refrigerator</v>
      </c>
      <c r="C1897" t="str">
        <f>VLOOKUP(A1897,Raw_Data!A:L,3,FALSE)</f>
        <v>Argentina</v>
      </c>
      <c r="D1897" s="3">
        <f>VLOOKUP(A1897,Raw_Data!A:L,12,FALSE)</f>
        <v>56700</v>
      </c>
      <c r="E1897" s="3">
        <f>VLOOKUP(A1897,Raw_Data!A:L,11,FALSE)</f>
        <v>63</v>
      </c>
      <c r="F1897" t="str">
        <f>TEXT(VLOOKUP(A1897,Raw_Data!A:L,5,FALSE),"mmm")</f>
        <v>Jul</v>
      </c>
    </row>
    <row r="1898" spans="1:6" x14ac:dyDescent="0.35">
      <c r="A1898" s="3" t="s">
        <v>2505</v>
      </c>
      <c r="B1898" t="str">
        <f>VLOOKUP(A1898,Raw_Data!A:L,6,FALSE)</f>
        <v>Air conditioner</v>
      </c>
      <c r="C1898" t="str">
        <f>VLOOKUP(A1898,Raw_Data!A:L,3,FALSE)</f>
        <v>Canada</v>
      </c>
      <c r="D1898" s="3">
        <f>VLOOKUP(A1898,Raw_Data!A:L,12,FALSE)</f>
        <v>64449</v>
      </c>
      <c r="E1898" s="3">
        <f>VLOOKUP(A1898,Raw_Data!A:L,11,FALSE)</f>
        <v>99</v>
      </c>
      <c r="F1898" t="str">
        <f>TEXT(VLOOKUP(A1898,Raw_Data!A:L,5,FALSE),"mmm")</f>
        <v>May</v>
      </c>
    </row>
    <row r="1899" spans="1:6" x14ac:dyDescent="0.35">
      <c r="A1899" s="3" t="s">
        <v>2506</v>
      </c>
      <c r="B1899" t="str">
        <f>VLOOKUP(A1899,Raw_Data!A:L,6,FALSE)</f>
        <v>Toaster</v>
      </c>
      <c r="C1899" t="str">
        <f>VLOOKUP(A1899,Raw_Data!A:L,3,FALSE)</f>
        <v>USA</v>
      </c>
      <c r="D1899" s="3">
        <f>VLOOKUP(A1899,Raw_Data!A:L,12,FALSE)</f>
        <v>4320</v>
      </c>
      <c r="E1899" s="3">
        <f>VLOOKUP(A1899,Raw_Data!A:L,11,FALSE)</f>
        <v>90</v>
      </c>
      <c r="F1899" t="str">
        <f>TEXT(VLOOKUP(A1899,Raw_Data!A:L,5,FALSE),"mmm")</f>
        <v>May</v>
      </c>
    </row>
    <row r="1900" spans="1:6" x14ac:dyDescent="0.35">
      <c r="A1900" s="3" t="s">
        <v>2507</v>
      </c>
      <c r="B1900" t="str">
        <f>VLOOKUP(A1900,Raw_Data!A:L,6,FALSE)</f>
        <v>Washing Machine</v>
      </c>
      <c r="C1900" t="str">
        <f>VLOOKUP(A1900,Raw_Data!A:L,3,FALSE)</f>
        <v>India</v>
      </c>
      <c r="D1900" s="3">
        <f>VLOOKUP(A1900,Raw_Data!A:L,12,FALSE)</f>
        <v>15984</v>
      </c>
      <c r="E1900" s="3">
        <f>VLOOKUP(A1900,Raw_Data!A:L,11,FALSE)</f>
        <v>27</v>
      </c>
      <c r="F1900" t="str">
        <f>TEXT(VLOOKUP(A1900,Raw_Data!A:L,5,FALSE),"mmm")</f>
        <v>May</v>
      </c>
    </row>
    <row r="1901" spans="1:6" x14ac:dyDescent="0.35">
      <c r="A1901" s="3" t="s">
        <v>2508</v>
      </c>
      <c r="B1901" t="str">
        <f>VLOOKUP(A1901,Raw_Data!A:L,6,FALSE)</f>
        <v>Ceiling fan</v>
      </c>
      <c r="C1901" t="str">
        <f>VLOOKUP(A1901,Raw_Data!A:L,3,FALSE)</f>
        <v>USA</v>
      </c>
      <c r="D1901" s="3">
        <f>VLOOKUP(A1901,Raw_Data!A:L,12,FALSE)</f>
        <v>13563</v>
      </c>
      <c r="E1901" s="3">
        <f>VLOOKUP(A1901,Raw_Data!A:L,11,FALSE)</f>
        <v>99</v>
      </c>
      <c r="F1901" t="str">
        <f>TEXT(VLOOKUP(A1901,Raw_Data!A:L,5,FALSE),"mmm")</f>
        <v>Feb</v>
      </c>
    </row>
    <row r="1902" spans="1:6" x14ac:dyDescent="0.35">
      <c r="A1902" s="3" t="s">
        <v>2509</v>
      </c>
      <c r="B1902" t="str">
        <f>VLOOKUP(A1902,Raw_Data!A:L,6,FALSE)</f>
        <v>Dishwasher</v>
      </c>
      <c r="C1902" t="str">
        <f>VLOOKUP(A1902,Raw_Data!A:L,3,FALSE)</f>
        <v>France</v>
      </c>
      <c r="D1902" s="3">
        <f>VLOOKUP(A1902,Raw_Data!A:L,12,FALSE)</f>
        <v>30875</v>
      </c>
      <c r="E1902" s="3">
        <f>VLOOKUP(A1902,Raw_Data!A:L,11,FALSE)</f>
        <v>65</v>
      </c>
      <c r="F1902" t="str">
        <f>TEXT(VLOOKUP(A1902,Raw_Data!A:L,5,FALSE),"mmm")</f>
        <v>Jan</v>
      </c>
    </row>
    <row r="1903" spans="1:6" x14ac:dyDescent="0.35">
      <c r="A1903" s="3" t="s">
        <v>2510</v>
      </c>
      <c r="B1903" t="str">
        <f>VLOOKUP(A1903,Raw_Data!A:L,6,FALSE)</f>
        <v>Ceiling fan</v>
      </c>
      <c r="C1903" t="str">
        <f>VLOOKUP(A1903,Raw_Data!A:L,3,FALSE)</f>
        <v>Czech Republic</v>
      </c>
      <c r="D1903" s="3">
        <f>VLOOKUP(A1903,Raw_Data!A:L,12,FALSE)</f>
        <v>8085</v>
      </c>
      <c r="E1903" s="3">
        <f>VLOOKUP(A1903,Raw_Data!A:L,11,FALSE)</f>
        <v>77</v>
      </c>
      <c r="F1903" t="str">
        <f>TEXT(VLOOKUP(A1903,Raw_Data!A:L,5,FALSE),"mmm")</f>
        <v>Dec</v>
      </c>
    </row>
    <row r="1904" spans="1:6" x14ac:dyDescent="0.35">
      <c r="A1904" s="3" t="s">
        <v>2511</v>
      </c>
      <c r="B1904" t="str">
        <f>VLOOKUP(A1904,Raw_Data!A:L,6,FALSE)</f>
        <v>Air conditioner</v>
      </c>
      <c r="C1904" t="str">
        <f>VLOOKUP(A1904,Raw_Data!A:L,3,FALSE)</f>
        <v>Spain</v>
      </c>
      <c r="D1904" s="3">
        <f>VLOOKUP(A1904,Raw_Data!A:L,12,FALSE)</f>
        <v>51772</v>
      </c>
      <c r="E1904" s="3">
        <f>VLOOKUP(A1904,Raw_Data!A:L,11,FALSE)</f>
        <v>86</v>
      </c>
      <c r="F1904" t="str">
        <f>TEXT(VLOOKUP(A1904,Raw_Data!A:L,5,FALSE),"mmm")</f>
        <v>Sep</v>
      </c>
    </row>
    <row r="1905" spans="1:6" x14ac:dyDescent="0.35">
      <c r="A1905" s="3" t="s">
        <v>2512</v>
      </c>
      <c r="B1905" t="str">
        <f>VLOOKUP(A1905,Raw_Data!A:L,6,FALSE)</f>
        <v>Washing Machine</v>
      </c>
      <c r="C1905" t="str">
        <f>VLOOKUP(A1905,Raw_Data!A:L,3,FALSE)</f>
        <v>Japan</v>
      </c>
      <c r="D1905" s="3">
        <f>VLOOKUP(A1905,Raw_Data!A:L,12,FALSE)</f>
        <v>39648</v>
      </c>
      <c r="E1905" s="3">
        <f>VLOOKUP(A1905,Raw_Data!A:L,11,FALSE)</f>
        <v>59</v>
      </c>
      <c r="F1905" t="str">
        <f>TEXT(VLOOKUP(A1905,Raw_Data!A:L,5,FALSE),"mmm")</f>
        <v>Sep</v>
      </c>
    </row>
    <row r="1906" spans="1:6" x14ac:dyDescent="0.35">
      <c r="A1906" s="3" t="s">
        <v>2513</v>
      </c>
      <c r="B1906" t="str">
        <f>VLOOKUP(A1906,Raw_Data!A:L,6,FALSE)</f>
        <v>Iron</v>
      </c>
      <c r="C1906" t="str">
        <f>VLOOKUP(A1906,Raw_Data!A:L,3,FALSE)</f>
        <v>Mexico</v>
      </c>
      <c r="D1906" s="3">
        <f>VLOOKUP(A1906,Raw_Data!A:L,12,FALSE)</f>
        <v>1036</v>
      </c>
      <c r="E1906" s="3">
        <f>VLOOKUP(A1906,Raw_Data!A:L,11,FALSE)</f>
        <v>37</v>
      </c>
      <c r="F1906" t="str">
        <f>TEXT(VLOOKUP(A1906,Raw_Data!A:L,5,FALSE),"mmm")</f>
        <v>Oct</v>
      </c>
    </row>
    <row r="1907" spans="1:6" x14ac:dyDescent="0.35">
      <c r="A1907" s="3" t="s">
        <v>2514</v>
      </c>
      <c r="B1907" t="str">
        <f>VLOOKUP(A1907,Raw_Data!A:L,6,FALSE)</f>
        <v>Air conditioner</v>
      </c>
      <c r="C1907" t="str">
        <f>VLOOKUP(A1907,Raw_Data!A:L,3,FALSE)</f>
        <v>Peru</v>
      </c>
      <c r="D1907" s="3">
        <f>VLOOKUP(A1907,Raw_Data!A:L,12,FALSE)</f>
        <v>13020</v>
      </c>
      <c r="E1907" s="3">
        <f>VLOOKUP(A1907,Raw_Data!A:L,11,FALSE)</f>
        <v>31</v>
      </c>
      <c r="F1907" t="str">
        <f>TEXT(VLOOKUP(A1907,Raw_Data!A:L,5,FALSE),"mmm")</f>
        <v>Jul</v>
      </c>
    </row>
    <row r="1908" spans="1:6" x14ac:dyDescent="0.35">
      <c r="A1908" s="3" t="s">
        <v>2515</v>
      </c>
      <c r="B1908" t="str">
        <f>VLOOKUP(A1908,Raw_Data!A:L,6,FALSE)</f>
        <v>Iron</v>
      </c>
      <c r="C1908" t="str">
        <f>VLOOKUP(A1908,Raw_Data!A:L,3,FALSE)</f>
        <v>USA</v>
      </c>
      <c r="D1908" s="3">
        <f>VLOOKUP(A1908,Raw_Data!A:L,12,FALSE)</f>
        <v>1508</v>
      </c>
      <c r="E1908" s="3">
        <f>VLOOKUP(A1908,Raw_Data!A:L,11,FALSE)</f>
        <v>52</v>
      </c>
      <c r="F1908" t="str">
        <f>TEXT(VLOOKUP(A1908,Raw_Data!A:L,5,FALSE),"mmm")</f>
        <v>Jul</v>
      </c>
    </row>
    <row r="1909" spans="1:6" x14ac:dyDescent="0.35">
      <c r="A1909" s="3" t="s">
        <v>2516</v>
      </c>
      <c r="B1909" t="str">
        <f>VLOOKUP(A1909,Raw_Data!A:L,6,FALSE)</f>
        <v>Air conditioner</v>
      </c>
      <c r="C1909" t="str">
        <f>VLOOKUP(A1909,Raw_Data!A:L,3,FALSE)</f>
        <v>Austria</v>
      </c>
      <c r="D1909" s="3">
        <f>VLOOKUP(A1909,Raw_Data!A:L,12,FALSE)</f>
        <v>22176</v>
      </c>
      <c r="E1909" s="3">
        <f>VLOOKUP(A1909,Raw_Data!A:L,11,FALSE)</f>
        <v>36</v>
      </c>
      <c r="F1909" t="str">
        <f>TEXT(VLOOKUP(A1909,Raw_Data!A:L,5,FALSE),"mmm")</f>
        <v>Nov</v>
      </c>
    </row>
    <row r="1910" spans="1:6" x14ac:dyDescent="0.35">
      <c r="A1910" s="3" t="s">
        <v>2517</v>
      </c>
      <c r="B1910" t="str">
        <f>VLOOKUP(A1910,Raw_Data!A:L,6,FALSE)</f>
        <v>Air conditioner</v>
      </c>
      <c r="C1910" t="str">
        <f>VLOOKUP(A1910,Raw_Data!A:L,3,FALSE)</f>
        <v>Chile</v>
      </c>
      <c r="D1910" s="3">
        <f>VLOOKUP(A1910,Raw_Data!A:L,12,FALSE)</f>
        <v>6622</v>
      </c>
      <c r="E1910" s="3">
        <f>VLOOKUP(A1910,Raw_Data!A:L,11,FALSE)</f>
        <v>11</v>
      </c>
      <c r="F1910" t="str">
        <f>TEXT(VLOOKUP(A1910,Raw_Data!A:L,5,FALSE),"mmm")</f>
        <v>Jan</v>
      </c>
    </row>
    <row r="1911" spans="1:6" x14ac:dyDescent="0.35">
      <c r="A1911" s="3" t="s">
        <v>2518</v>
      </c>
      <c r="B1911" t="str">
        <f>VLOOKUP(A1911,Raw_Data!A:L,6,FALSE)</f>
        <v>Washing Machine</v>
      </c>
      <c r="C1911" t="str">
        <f>VLOOKUP(A1911,Raw_Data!A:L,3,FALSE)</f>
        <v>Israel</v>
      </c>
      <c r="D1911" s="3">
        <f>VLOOKUP(A1911,Raw_Data!A:L,12,FALSE)</f>
        <v>52096</v>
      </c>
      <c r="E1911" s="3">
        <f>VLOOKUP(A1911,Raw_Data!A:L,11,FALSE)</f>
        <v>74</v>
      </c>
      <c r="F1911" t="str">
        <f>TEXT(VLOOKUP(A1911,Raw_Data!A:L,5,FALSE),"mmm")</f>
        <v>May</v>
      </c>
    </row>
    <row r="1912" spans="1:6" x14ac:dyDescent="0.35">
      <c r="A1912" s="3" t="s">
        <v>2519</v>
      </c>
      <c r="B1912" t="str">
        <f>VLOOKUP(A1912,Raw_Data!A:L,6,FALSE)</f>
        <v>Oven</v>
      </c>
      <c r="C1912" t="str">
        <f>VLOOKUP(A1912,Raw_Data!A:L,3,FALSE)</f>
        <v>Argentina</v>
      </c>
      <c r="D1912" s="3">
        <f>VLOOKUP(A1912,Raw_Data!A:L,12,FALSE)</f>
        <v>48000</v>
      </c>
      <c r="E1912" s="3">
        <f>VLOOKUP(A1912,Raw_Data!A:L,11,FALSE)</f>
        <v>96</v>
      </c>
      <c r="F1912" t="str">
        <f>TEXT(VLOOKUP(A1912,Raw_Data!A:L,5,FALSE),"mmm")</f>
        <v>Jul</v>
      </c>
    </row>
    <row r="1913" spans="1:6" x14ac:dyDescent="0.35">
      <c r="A1913" s="3" t="s">
        <v>2520</v>
      </c>
      <c r="B1913" t="str">
        <f>VLOOKUP(A1913,Raw_Data!A:L,6,FALSE)</f>
        <v>Ceiling fan</v>
      </c>
      <c r="C1913" t="str">
        <f>VLOOKUP(A1913,Raw_Data!A:L,3,FALSE)</f>
        <v>Colombia</v>
      </c>
      <c r="D1913" s="3">
        <f>VLOOKUP(A1913,Raw_Data!A:L,12,FALSE)</f>
        <v>14700</v>
      </c>
      <c r="E1913" s="3">
        <f>VLOOKUP(A1913,Raw_Data!A:L,11,FALSE)</f>
        <v>100</v>
      </c>
      <c r="F1913" t="str">
        <f>TEXT(VLOOKUP(A1913,Raw_Data!A:L,5,FALSE),"mmm")</f>
        <v>Nov</v>
      </c>
    </row>
    <row r="1914" spans="1:6" x14ac:dyDescent="0.35">
      <c r="A1914" s="3" t="s">
        <v>2521</v>
      </c>
      <c r="B1914" t="str">
        <f>VLOOKUP(A1914,Raw_Data!A:L,6,FALSE)</f>
        <v>Iron</v>
      </c>
      <c r="C1914" t="str">
        <f>VLOOKUP(A1914,Raw_Data!A:L,3,FALSE)</f>
        <v>Canada</v>
      </c>
      <c r="D1914" s="3">
        <f>VLOOKUP(A1914,Raw_Data!A:L,12,FALSE)</f>
        <v>2494</v>
      </c>
      <c r="E1914" s="3">
        <f>VLOOKUP(A1914,Raw_Data!A:L,11,FALSE)</f>
        <v>86</v>
      </c>
      <c r="F1914" t="str">
        <f>TEXT(VLOOKUP(A1914,Raw_Data!A:L,5,FALSE),"mmm")</f>
        <v>May</v>
      </c>
    </row>
    <row r="1915" spans="1:6" x14ac:dyDescent="0.35">
      <c r="A1915" s="3" t="s">
        <v>2522</v>
      </c>
      <c r="B1915" t="str">
        <f>VLOOKUP(A1915,Raw_Data!A:L,6,FALSE)</f>
        <v>Dishwasher</v>
      </c>
      <c r="C1915" t="str">
        <f>VLOOKUP(A1915,Raw_Data!A:L,3,FALSE)</f>
        <v>China</v>
      </c>
      <c r="D1915" s="3">
        <f>VLOOKUP(A1915,Raw_Data!A:L,12,FALSE)</f>
        <v>34580</v>
      </c>
      <c r="E1915" s="3">
        <f>VLOOKUP(A1915,Raw_Data!A:L,11,FALSE)</f>
        <v>76</v>
      </c>
      <c r="F1915" t="str">
        <f>TEXT(VLOOKUP(A1915,Raw_Data!A:L,5,FALSE),"mmm")</f>
        <v>Jul</v>
      </c>
    </row>
    <row r="1916" spans="1:6" x14ac:dyDescent="0.35">
      <c r="A1916" s="3" t="s">
        <v>2523</v>
      </c>
      <c r="B1916" t="str">
        <f>VLOOKUP(A1916,Raw_Data!A:L,6,FALSE)</f>
        <v>Vacuum Cleaner</v>
      </c>
      <c r="C1916" t="str">
        <f>VLOOKUP(A1916,Raw_Data!A:L,3,FALSE)</f>
        <v>Malaysia</v>
      </c>
      <c r="D1916" s="3">
        <f>VLOOKUP(A1916,Raw_Data!A:L,12,FALSE)</f>
        <v>23750</v>
      </c>
      <c r="E1916" s="3">
        <f>VLOOKUP(A1916,Raw_Data!A:L,11,FALSE)</f>
        <v>95</v>
      </c>
      <c r="F1916" t="str">
        <f>TEXT(VLOOKUP(A1916,Raw_Data!A:L,5,FALSE),"mmm")</f>
        <v>Oct</v>
      </c>
    </row>
    <row r="1917" spans="1:6" x14ac:dyDescent="0.35">
      <c r="A1917" s="3" t="s">
        <v>2524</v>
      </c>
      <c r="B1917" t="str">
        <f>VLOOKUP(A1917,Raw_Data!A:L,6,FALSE)</f>
        <v>Washing Machine</v>
      </c>
      <c r="C1917" t="str">
        <f>VLOOKUP(A1917,Raw_Data!A:L,3,FALSE)</f>
        <v>Russia</v>
      </c>
      <c r="D1917" s="3">
        <f>VLOOKUP(A1917,Raw_Data!A:L,12,FALSE)</f>
        <v>55728</v>
      </c>
      <c r="E1917" s="3">
        <f>VLOOKUP(A1917,Raw_Data!A:L,11,FALSE)</f>
        <v>81</v>
      </c>
      <c r="F1917" t="str">
        <f>TEXT(VLOOKUP(A1917,Raw_Data!A:L,5,FALSE),"mmm")</f>
        <v>Feb</v>
      </c>
    </row>
    <row r="1918" spans="1:6" x14ac:dyDescent="0.35">
      <c r="A1918" s="3" t="s">
        <v>2525</v>
      </c>
      <c r="B1918" t="str">
        <f>VLOOKUP(A1918,Raw_Data!A:L,6,FALSE)</f>
        <v>Toaster</v>
      </c>
      <c r="C1918" t="str">
        <f>VLOOKUP(A1918,Raw_Data!A:L,3,FALSE)</f>
        <v>Brazil</v>
      </c>
      <c r="D1918" s="3">
        <f>VLOOKUP(A1918,Raw_Data!A:L,12,FALSE)</f>
        <v>396</v>
      </c>
      <c r="E1918" s="3">
        <f>VLOOKUP(A1918,Raw_Data!A:L,11,FALSE)</f>
        <v>9</v>
      </c>
      <c r="F1918" t="str">
        <f>TEXT(VLOOKUP(A1918,Raw_Data!A:L,5,FALSE),"mmm")</f>
        <v>Jan</v>
      </c>
    </row>
    <row r="1919" spans="1:6" x14ac:dyDescent="0.35">
      <c r="A1919" s="3" t="s">
        <v>2526</v>
      </c>
      <c r="B1919" t="str">
        <f>VLOOKUP(A1919,Raw_Data!A:L,6,FALSE)</f>
        <v>Oven</v>
      </c>
      <c r="C1919" t="str">
        <f>VLOOKUP(A1919,Raw_Data!A:L,3,FALSE)</f>
        <v>China</v>
      </c>
      <c r="D1919" s="3">
        <f>VLOOKUP(A1919,Raw_Data!A:L,12,FALSE)</f>
        <v>12870</v>
      </c>
      <c r="E1919" s="3">
        <f>VLOOKUP(A1919,Raw_Data!A:L,11,FALSE)</f>
        <v>26</v>
      </c>
      <c r="F1919" t="str">
        <f>TEXT(VLOOKUP(A1919,Raw_Data!A:L,5,FALSE),"mmm")</f>
        <v>Sep</v>
      </c>
    </row>
    <row r="1920" spans="1:6" x14ac:dyDescent="0.35">
      <c r="A1920" s="3" t="s">
        <v>2527</v>
      </c>
      <c r="B1920" t="str">
        <f>VLOOKUP(A1920,Raw_Data!A:L,6,FALSE)</f>
        <v>Iron</v>
      </c>
      <c r="C1920" t="str">
        <f>VLOOKUP(A1920,Raw_Data!A:L,3,FALSE)</f>
        <v>UK</v>
      </c>
      <c r="D1920" s="3">
        <f>VLOOKUP(A1920,Raw_Data!A:L,12,FALSE)</f>
        <v>2160</v>
      </c>
      <c r="E1920" s="3">
        <f>VLOOKUP(A1920,Raw_Data!A:L,11,FALSE)</f>
        <v>72</v>
      </c>
      <c r="F1920" t="str">
        <f>TEXT(VLOOKUP(A1920,Raw_Data!A:L,5,FALSE),"mmm")</f>
        <v>Aug</v>
      </c>
    </row>
    <row r="1921" spans="1:6" x14ac:dyDescent="0.35">
      <c r="A1921" s="3" t="s">
        <v>2528</v>
      </c>
      <c r="B1921" t="str">
        <f>VLOOKUP(A1921,Raw_Data!A:L,6,FALSE)</f>
        <v>Refrigerator</v>
      </c>
      <c r="C1921" t="str">
        <f>VLOOKUP(A1921,Raw_Data!A:L,3,FALSE)</f>
        <v>South Korea</v>
      </c>
      <c r="D1921" s="3">
        <f>VLOOKUP(A1921,Raw_Data!A:L,12,FALSE)</f>
        <v>15410</v>
      </c>
      <c r="E1921" s="3">
        <f>VLOOKUP(A1921,Raw_Data!A:L,11,FALSE)</f>
        <v>23</v>
      </c>
      <c r="F1921" t="str">
        <f>TEXT(VLOOKUP(A1921,Raw_Data!A:L,5,FALSE),"mmm")</f>
        <v>Dec</v>
      </c>
    </row>
    <row r="1922" spans="1:6" x14ac:dyDescent="0.35">
      <c r="A1922" s="3" t="s">
        <v>2529</v>
      </c>
      <c r="B1922" t="str">
        <f>VLOOKUP(A1922,Raw_Data!A:L,6,FALSE)</f>
        <v>Washing Machine</v>
      </c>
      <c r="C1922" t="str">
        <f>VLOOKUP(A1922,Raw_Data!A:L,3,FALSE)</f>
        <v>Peru</v>
      </c>
      <c r="D1922" s="3">
        <f>VLOOKUP(A1922,Raw_Data!A:L,12,FALSE)</f>
        <v>55776</v>
      </c>
      <c r="E1922" s="3">
        <f>VLOOKUP(A1922,Raw_Data!A:L,11,FALSE)</f>
        <v>84</v>
      </c>
      <c r="F1922" t="str">
        <f>TEXT(VLOOKUP(A1922,Raw_Data!A:L,5,FALSE),"mmm")</f>
        <v>Jun</v>
      </c>
    </row>
    <row r="1923" spans="1:6" x14ac:dyDescent="0.35">
      <c r="A1923" s="3" t="s">
        <v>2530</v>
      </c>
      <c r="B1923" t="str">
        <f>VLOOKUP(A1923,Raw_Data!A:L,6,FALSE)</f>
        <v>Blender</v>
      </c>
      <c r="C1923" t="str">
        <f>VLOOKUP(A1923,Raw_Data!A:L,3,FALSE)</f>
        <v>China</v>
      </c>
      <c r="D1923" s="3">
        <f>VLOOKUP(A1923,Raw_Data!A:L,12,FALSE)</f>
        <v>1480</v>
      </c>
      <c r="E1923" s="3">
        <f>VLOOKUP(A1923,Raw_Data!A:L,11,FALSE)</f>
        <v>37</v>
      </c>
      <c r="F1923" t="str">
        <f>TEXT(VLOOKUP(A1923,Raw_Data!A:L,5,FALSE),"mmm")</f>
        <v>Jul</v>
      </c>
    </row>
    <row r="1924" spans="1:6" x14ac:dyDescent="0.35">
      <c r="A1924" s="3" t="s">
        <v>2531</v>
      </c>
      <c r="B1924" t="str">
        <f>VLOOKUP(A1924,Raw_Data!A:L,6,FALSE)</f>
        <v>Refrigerator</v>
      </c>
      <c r="C1924" t="str">
        <f>VLOOKUP(A1924,Raw_Data!A:L,3,FALSE)</f>
        <v>UK</v>
      </c>
      <c r="D1924" s="3">
        <f>VLOOKUP(A1924,Raw_Data!A:L,12,FALSE)</f>
        <v>73870</v>
      </c>
      <c r="E1924" s="3">
        <f>VLOOKUP(A1924,Raw_Data!A:L,11,FALSE)</f>
        <v>83</v>
      </c>
      <c r="F1924" t="str">
        <f>TEXT(VLOOKUP(A1924,Raw_Data!A:L,5,FALSE),"mmm")</f>
        <v>Sep</v>
      </c>
    </row>
    <row r="1925" spans="1:6" x14ac:dyDescent="0.35">
      <c r="A1925" s="3" t="s">
        <v>2532</v>
      </c>
      <c r="B1925" t="str">
        <f>VLOOKUP(A1925,Raw_Data!A:L,6,FALSE)</f>
        <v>Iron</v>
      </c>
      <c r="C1925" t="str">
        <f>VLOOKUP(A1925,Raw_Data!A:L,3,FALSE)</f>
        <v>Czech Republic</v>
      </c>
      <c r="D1925" s="3">
        <f>VLOOKUP(A1925,Raw_Data!A:L,12,FALSE)</f>
        <v>260</v>
      </c>
      <c r="E1925" s="3">
        <f>VLOOKUP(A1925,Raw_Data!A:L,11,FALSE)</f>
        <v>13</v>
      </c>
      <c r="F1925" t="str">
        <f>TEXT(VLOOKUP(A1925,Raw_Data!A:L,5,FALSE),"mmm")</f>
        <v>Nov</v>
      </c>
    </row>
    <row r="1926" spans="1:6" x14ac:dyDescent="0.35">
      <c r="A1926" s="3" t="s">
        <v>2533</v>
      </c>
      <c r="B1926" t="str">
        <f>VLOOKUP(A1926,Raw_Data!A:L,6,FALSE)</f>
        <v>Vacuum Cleaner</v>
      </c>
      <c r="C1926" t="str">
        <f>VLOOKUP(A1926,Raw_Data!A:L,3,FALSE)</f>
        <v>Mexico</v>
      </c>
      <c r="D1926" s="3">
        <f>VLOOKUP(A1926,Raw_Data!A:L,12,FALSE)</f>
        <v>5390</v>
      </c>
      <c r="E1926" s="3">
        <f>VLOOKUP(A1926,Raw_Data!A:L,11,FALSE)</f>
        <v>22</v>
      </c>
      <c r="F1926" t="str">
        <f>TEXT(VLOOKUP(A1926,Raw_Data!A:L,5,FALSE),"mmm")</f>
        <v>Jan</v>
      </c>
    </row>
    <row r="1927" spans="1:6" x14ac:dyDescent="0.35">
      <c r="A1927" s="3" t="s">
        <v>2534</v>
      </c>
      <c r="B1927" t="str">
        <f>VLOOKUP(A1927,Raw_Data!A:L,6,FALSE)</f>
        <v>Toaster</v>
      </c>
      <c r="C1927" t="str">
        <f>VLOOKUP(A1927,Raw_Data!A:L,3,FALSE)</f>
        <v>Ireland</v>
      </c>
      <c r="D1927" s="3">
        <f>VLOOKUP(A1927,Raw_Data!A:L,12,FALSE)</f>
        <v>4230</v>
      </c>
      <c r="E1927" s="3">
        <f>VLOOKUP(A1927,Raw_Data!A:L,11,FALSE)</f>
        <v>90</v>
      </c>
      <c r="F1927" t="str">
        <f>TEXT(VLOOKUP(A1927,Raw_Data!A:L,5,FALSE),"mmm")</f>
        <v>Dec</v>
      </c>
    </row>
    <row r="1928" spans="1:6" x14ac:dyDescent="0.35">
      <c r="A1928" s="3" t="s">
        <v>2535</v>
      </c>
      <c r="B1928" t="str">
        <f>VLOOKUP(A1928,Raw_Data!A:L,6,FALSE)</f>
        <v>Microwave</v>
      </c>
      <c r="C1928" t="str">
        <f>VLOOKUP(A1928,Raw_Data!A:L,3,FALSE)</f>
        <v>Mexico</v>
      </c>
      <c r="D1928" s="3">
        <f>VLOOKUP(A1928,Raw_Data!A:L,12,FALSE)</f>
        <v>6570</v>
      </c>
      <c r="E1928" s="3">
        <f>VLOOKUP(A1928,Raw_Data!A:L,11,FALSE)</f>
        <v>90</v>
      </c>
      <c r="F1928" t="str">
        <f>TEXT(VLOOKUP(A1928,Raw_Data!A:L,5,FALSE),"mmm")</f>
        <v>Feb</v>
      </c>
    </row>
    <row r="1929" spans="1:6" x14ac:dyDescent="0.35">
      <c r="A1929" s="3" t="s">
        <v>2536</v>
      </c>
      <c r="B1929" t="str">
        <f>VLOOKUP(A1929,Raw_Data!A:L,6,FALSE)</f>
        <v>Oven</v>
      </c>
      <c r="C1929" t="str">
        <f>VLOOKUP(A1929,Raw_Data!A:L,3,FALSE)</f>
        <v>South Africa</v>
      </c>
      <c r="D1929" s="3">
        <f>VLOOKUP(A1929,Raw_Data!A:L,12,FALSE)</f>
        <v>33810</v>
      </c>
      <c r="E1929" s="3">
        <f>VLOOKUP(A1929,Raw_Data!A:L,11,FALSE)</f>
        <v>69</v>
      </c>
      <c r="F1929" t="str">
        <f>TEXT(VLOOKUP(A1929,Raw_Data!A:L,5,FALSE),"mmm")</f>
        <v>Aug</v>
      </c>
    </row>
    <row r="1930" spans="1:6" x14ac:dyDescent="0.35">
      <c r="A1930" s="3" t="s">
        <v>2537</v>
      </c>
      <c r="B1930" t="str">
        <f>VLOOKUP(A1930,Raw_Data!A:L,6,FALSE)</f>
        <v>Washing Machine</v>
      </c>
      <c r="C1930" t="str">
        <f>VLOOKUP(A1930,Raw_Data!A:L,3,FALSE)</f>
        <v>Ireland</v>
      </c>
      <c r="D1930" s="3">
        <f>VLOOKUP(A1930,Raw_Data!A:L,12,FALSE)</f>
        <v>1424</v>
      </c>
      <c r="E1930" s="3">
        <f>VLOOKUP(A1930,Raw_Data!A:L,11,FALSE)</f>
        <v>2</v>
      </c>
      <c r="F1930" t="str">
        <f>TEXT(VLOOKUP(A1930,Raw_Data!A:L,5,FALSE),"mmm")</f>
        <v>Jul</v>
      </c>
    </row>
    <row r="1931" spans="1:6" x14ac:dyDescent="0.35">
      <c r="A1931" s="3" t="s">
        <v>2538</v>
      </c>
      <c r="B1931" t="str">
        <f>VLOOKUP(A1931,Raw_Data!A:L,6,FALSE)</f>
        <v>Refrigerator</v>
      </c>
      <c r="C1931" t="str">
        <f>VLOOKUP(A1931,Raw_Data!A:L,3,FALSE)</f>
        <v>Mexico</v>
      </c>
      <c r="D1931" s="3">
        <f>VLOOKUP(A1931,Raw_Data!A:L,12,FALSE)</f>
        <v>6440</v>
      </c>
      <c r="E1931" s="3">
        <f>VLOOKUP(A1931,Raw_Data!A:L,11,FALSE)</f>
        <v>7</v>
      </c>
      <c r="F1931" t="str">
        <f>TEXT(VLOOKUP(A1931,Raw_Data!A:L,5,FALSE),"mmm")</f>
        <v>Sep</v>
      </c>
    </row>
    <row r="1932" spans="1:6" x14ac:dyDescent="0.35">
      <c r="A1932" s="3" t="s">
        <v>2539</v>
      </c>
      <c r="B1932" t="str">
        <f>VLOOKUP(A1932,Raw_Data!A:L,6,FALSE)</f>
        <v>Oven</v>
      </c>
      <c r="C1932" t="str">
        <f>VLOOKUP(A1932,Raw_Data!A:L,3,FALSE)</f>
        <v>Colombia</v>
      </c>
      <c r="D1932" s="3">
        <f>VLOOKUP(A1932,Raw_Data!A:L,12,FALSE)</f>
        <v>47025</v>
      </c>
      <c r="E1932" s="3">
        <f>VLOOKUP(A1932,Raw_Data!A:L,11,FALSE)</f>
        <v>95</v>
      </c>
      <c r="F1932" t="str">
        <f>TEXT(VLOOKUP(A1932,Raw_Data!A:L,5,FALSE),"mmm")</f>
        <v>Jul</v>
      </c>
    </row>
    <row r="1933" spans="1:6" x14ac:dyDescent="0.35">
      <c r="A1933" s="3" t="s">
        <v>2540</v>
      </c>
      <c r="B1933" t="str">
        <f>VLOOKUP(A1933,Raw_Data!A:L,6,FALSE)</f>
        <v>Toaster</v>
      </c>
      <c r="C1933" t="str">
        <f>VLOOKUP(A1933,Raw_Data!A:L,3,FALSE)</f>
        <v>Mexico</v>
      </c>
      <c r="D1933" s="3">
        <f>VLOOKUP(A1933,Raw_Data!A:L,12,FALSE)</f>
        <v>2790</v>
      </c>
      <c r="E1933" s="3">
        <f>VLOOKUP(A1933,Raw_Data!A:L,11,FALSE)</f>
        <v>62</v>
      </c>
      <c r="F1933" t="str">
        <f>TEXT(VLOOKUP(A1933,Raw_Data!A:L,5,FALSE),"mmm")</f>
        <v>Nov</v>
      </c>
    </row>
    <row r="1934" spans="1:6" x14ac:dyDescent="0.35">
      <c r="A1934" s="3" t="s">
        <v>2541</v>
      </c>
      <c r="B1934" t="str">
        <f>VLOOKUP(A1934,Raw_Data!A:L,6,FALSE)</f>
        <v>Oven</v>
      </c>
      <c r="C1934" t="str">
        <f>VLOOKUP(A1934,Raw_Data!A:L,3,FALSE)</f>
        <v>South Africa</v>
      </c>
      <c r="D1934" s="3">
        <f>VLOOKUP(A1934,Raw_Data!A:L,12,FALSE)</f>
        <v>39690</v>
      </c>
      <c r="E1934" s="3">
        <f>VLOOKUP(A1934,Raw_Data!A:L,11,FALSE)</f>
        <v>81</v>
      </c>
      <c r="F1934" t="str">
        <f>TEXT(VLOOKUP(A1934,Raw_Data!A:L,5,FALSE),"mmm")</f>
        <v>Nov</v>
      </c>
    </row>
    <row r="1935" spans="1:6" x14ac:dyDescent="0.35">
      <c r="A1935" s="3" t="s">
        <v>2542</v>
      </c>
      <c r="B1935" t="str">
        <f>VLOOKUP(A1935,Raw_Data!A:L,6,FALSE)</f>
        <v>Vacuum Cleaner</v>
      </c>
      <c r="C1935" t="str">
        <f>VLOOKUP(A1935,Raw_Data!A:L,3,FALSE)</f>
        <v>Romania</v>
      </c>
      <c r="D1935" s="3">
        <f>VLOOKUP(A1935,Raw_Data!A:L,12,FALSE)</f>
        <v>8330</v>
      </c>
      <c r="E1935" s="3">
        <f>VLOOKUP(A1935,Raw_Data!A:L,11,FALSE)</f>
        <v>35</v>
      </c>
      <c r="F1935" t="str">
        <f>TEXT(VLOOKUP(A1935,Raw_Data!A:L,5,FALSE),"mmm")</f>
        <v>Jun</v>
      </c>
    </row>
    <row r="1936" spans="1:6" x14ac:dyDescent="0.35">
      <c r="A1936" s="3" t="s">
        <v>2543</v>
      </c>
      <c r="B1936" t="str">
        <f>VLOOKUP(A1936,Raw_Data!A:L,6,FALSE)</f>
        <v>Refrigerator</v>
      </c>
      <c r="C1936" t="str">
        <f>VLOOKUP(A1936,Raw_Data!A:L,3,FALSE)</f>
        <v>Ireland</v>
      </c>
      <c r="D1936" s="3">
        <f>VLOOKUP(A1936,Raw_Data!A:L,12,FALSE)</f>
        <v>49580</v>
      </c>
      <c r="E1936" s="3">
        <f>VLOOKUP(A1936,Raw_Data!A:L,11,FALSE)</f>
        <v>74</v>
      </c>
      <c r="F1936" t="str">
        <f>TEXT(VLOOKUP(A1936,Raw_Data!A:L,5,FALSE),"mmm")</f>
        <v>Oct</v>
      </c>
    </row>
    <row r="1937" spans="1:6" x14ac:dyDescent="0.35">
      <c r="A1937" s="3" t="s">
        <v>2544</v>
      </c>
      <c r="B1937" t="str">
        <f>VLOOKUP(A1937,Raw_Data!A:L,6,FALSE)</f>
        <v>Microwave</v>
      </c>
      <c r="C1937" t="str">
        <f>VLOOKUP(A1937,Raw_Data!A:L,3,FALSE)</f>
        <v>India</v>
      </c>
      <c r="D1937" s="3">
        <f>VLOOKUP(A1937,Raw_Data!A:L,12,FALSE)</f>
        <v>216</v>
      </c>
      <c r="E1937" s="3">
        <f>VLOOKUP(A1937,Raw_Data!A:L,11,FALSE)</f>
        <v>3</v>
      </c>
      <c r="F1937" t="str">
        <f>TEXT(VLOOKUP(A1937,Raw_Data!A:L,5,FALSE),"mmm")</f>
        <v>Dec</v>
      </c>
    </row>
    <row r="1938" spans="1:6" x14ac:dyDescent="0.35">
      <c r="A1938" s="3" t="s">
        <v>2545</v>
      </c>
      <c r="B1938" t="str">
        <f>VLOOKUP(A1938,Raw_Data!A:L,6,FALSE)</f>
        <v>Dishwasher</v>
      </c>
      <c r="C1938" t="str">
        <f>VLOOKUP(A1938,Raw_Data!A:L,3,FALSE)</f>
        <v>Poland</v>
      </c>
      <c r="D1938" s="3">
        <f>VLOOKUP(A1938,Raw_Data!A:L,12,FALSE)</f>
        <v>5890</v>
      </c>
      <c r="E1938" s="3">
        <f>VLOOKUP(A1938,Raw_Data!A:L,11,FALSE)</f>
        <v>19</v>
      </c>
      <c r="F1938" t="str">
        <f>TEXT(VLOOKUP(A1938,Raw_Data!A:L,5,FALSE),"mmm")</f>
        <v>Oct</v>
      </c>
    </row>
    <row r="1939" spans="1:6" x14ac:dyDescent="0.35">
      <c r="A1939" s="3" t="s">
        <v>2546</v>
      </c>
      <c r="B1939" t="str">
        <f>VLOOKUP(A1939,Raw_Data!A:L,6,FALSE)</f>
        <v>Microwave</v>
      </c>
      <c r="C1939" t="str">
        <f>VLOOKUP(A1939,Raw_Data!A:L,3,FALSE)</f>
        <v>Malaysia</v>
      </c>
      <c r="D1939" s="3">
        <f>VLOOKUP(A1939,Raw_Data!A:L,12,FALSE)</f>
        <v>8000</v>
      </c>
      <c r="E1939" s="3">
        <f>VLOOKUP(A1939,Raw_Data!A:L,11,FALSE)</f>
        <v>100</v>
      </c>
      <c r="F1939" t="str">
        <f>TEXT(VLOOKUP(A1939,Raw_Data!A:L,5,FALSE),"mmm")</f>
        <v>Aug</v>
      </c>
    </row>
    <row r="1940" spans="1:6" x14ac:dyDescent="0.35">
      <c r="A1940" s="3" t="s">
        <v>2547</v>
      </c>
      <c r="B1940" t="str">
        <f>VLOOKUP(A1940,Raw_Data!A:L,6,FALSE)</f>
        <v>Coffee grinder</v>
      </c>
      <c r="C1940" t="str">
        <f>VLOOKUP(A1940,Raw_Data!A:L,3,FALSE)</f>
        <v>Chile</v>
      </c>
      <c r="D1940" s="3">
        <f>VLOOKUP(A1940,Raw_Data!A:L,12,FALSE)</f>
        <v>4731</v>
      </c>
      <c r="E1940" s="3">
        <f>VLOOKUP(A1940,Raw_Data!A:L,11,FALSE)</f>
        <v>83</v>
      </c>
      <c r="F1940" t="str">
        <f>TEXT(VLOOKUP(A1940,Raw_Data!A:L,5,FALSE),"mmm")</f>
        <v>Mar</v>
      </c>
    </row>
    <row r="1941" spans="1:6" x14ac:dyDescent="0.35">
      <c r="A1941" s="3" t="s">
        <v>2548</v>
      </c>
      <c r="B1941" t="str">
        <f>VLOOKUP(A1941,Raw_Data!A:L,6,FALSE)</f>
        <v>Toaster</v>
      </c>
      <c r="C1941" t="str">
        <f>VLOOKUP(A1941,Raw_Data!A:L,3,FALSE)</f>
        <v>USA</v>
      </c>
      <c r="D1941" s="3">
        <f>VLOOKUP(A1941,Raw_Data!A:L,12,FALSE)</f>
        <v>4656</v>
      </c>
      <c r="E1941" s="3">
        <f>VLOOKUP(A1941,Raw_Data!A:L,11,FALSE)</f>
        <v>97</v>
      </c>
      <c r="F1941" t="str">
        <f>TEXT(VLOOKUP(A1941,Raw_Data!A:L,5,FALSE),"mmm")</f>
        <v>Nov</v>
      </c>
    </row>
    <row r="1942" spans="1:6" x14ac:dyDescent="0.35">
      <c r="A1942" s="3" t="s">
        <v>2549</v>
      </c>
      <c r="B1942" t="str">
        <f>VLOOKUP(A1942,Raw_Data!A:L,6,FALSE)</f>
        <v>Ceiling fan</v>
      </c>
      <c r="C1942" t="str">
        <f>VLOOKUP(A1942,Raw_Data!A:L,3,FALSE)</f>
        <v>South Africa</v>
      </c>
      <c r="D1942" s="3">
        <f>VLOOKUP(A1942,Raw_Data!A:L,12,FALSE)</f>
        <v>4736</v>
      </c>
      <c r="E1942" s="3">
        <f>VLOOKUP(A1942,Raw_Data!A:L,11,FALSE)</f>
        <v>37</v>
      </c>
      <c r="F1942" t="str">
        <f>TEXT(VLOOKUP(A1942,Raw_Data!A:L,5,FALSE),"mmm")</f>
        <v>Sep</v>
      </c>
    </row>
    <row r="1943" spans="1:6" x14ac:dyDescent="0.35">
      <c r="A1943" s="3" t="s">
        <v>2550</v>
      </c>
      <c r="B1943" t="str">
        <f>VLOOKUP(A1943,Raw_Data!A:L,6,FALSE)</f>
        <v>Oven</v>
      </c>
      <c r="C1943" t="str">
        <f>VLOOKUP(A1943,Raw_Data!A:L,3,FALSE)</f>
        <v>Argentina</v>
      </c>
      <c r="D1943" s="3">
        <f>VLOOKUP(A1943,Raw_Data!A:L,12,FALSE)</f>
        <v>35280</v>
      </c>
      <c r="E1943" s="3">
        <f>VLOOKUP(A1943,Raw_Data!A:L,11,FALSE)</f>
        <v>72</v>
      </c>
      <c r="F1943" t="str">
        <f>TEXT(VLOOKUP(A1943,Raw_Data!A:L,5,FALSE),"mmm")</f>
        <v>Mar</v>
      </c>
    </row>
    <row r="1944" spans="1:6" x14ac:dyDescent="0.35">
      <c r="A1944" s="3" t="s">
        <v>2551</v>
      </c>
      <c r="B1944" t="str">
        <f>VLOOKUP(A1944,Raw_Data!A:L,6,FALSE)</f>
        <v>Ceiling fan</v>
      </c>
      <c r="C1944" t="str">
        <f>VLOOKUP(A1944,Raw_Data!A:L,3,FALSE)</f>
        <v>South Africa</v>
      </c>
      <c r="D1944" s="3">
        <f>VLOOKUP(A1944,Raw_Data!A:L,12,FALSE)</f>
        <v>3480</v>
      </c>
      <c r="E1944" s="3">
        <f>VLOOKUP(A1944,Raw_Data!A:L,11,FALSE)</f>
        <v>29</v>
      </c>
      <c r="F1944" t="str">
        <f>TEXT(VLOOKUP(A1944,Raw_Data!A:L,5,FALSE),"mmm")</f>
        <v>Mar</v>
      </c>
    </row>
    <row r="1945" spans="1:6" x14ac:dyDescent="0.35">
      <c r="A1945" s="3" t="s">
        <v>2552</v>
      </c>
      <c r="B1945" t="str">
        <f>VLOOKUP(A1945,Raw_Data!A:L,6,FALSE)</f>
        <v>Air conditioner</v>
      </c>
      <c r="C1945" t="str">
        <f>VLOOKUP(A1945,Raw_Data!A:L,3,FALSE)</f>
        <v>Russia</v>
      </c>
      <c r="D1945" s="3">
        <f>VLOOKUP(A1945,Raw_Data!A:L,12,FALSE)</f>
        <v>41895</v>
      </c>
      <c r="E1945" s="3">
        <f>VLOOKUP(A1945,Raw_Data!A:L,11,FALSE)</f>
        <v>63</v>
      </c>
      <c r="F1945" t="str">
        <f>TEXT(VLOOKUP(A1945,Raw_Data!A:L,5,FALSE),"mmm")</f>
        <v>Aug</v>
      </c>
    </row>
    <row r="1946" spans="1:6" x14ac:dyDescent="0.35">
      <c r="A1946" s="3" t="s">
        <v>2553</v>
      </c>
      <c r="B1946" t="str">
        <f>VLOOKUP(A1946,Raw_Data!A:L,6,FALSE)</f>
        <v>Washing Machine</v>
      </c>
      <c r="C1946" t="str">
        <f>VLOOKUP(A1946,Raw_Data!A:L,3,FALSE)</f>
        <v>Saudi Arabia</v>
      </c>
      <c r="D1946" s="3">
        <f>VLOOKUP(A1946,Raw_Data!A:L,12,FALSE)</f>
        <v>17280</v>
      </c>
      <c r="E1946" s="3">
        <f>VLOOKUP(A1946,Raw_Data!A:L,11,FALSE)</f>
        <v>36</v>
      </c>
      <c r="F1946" t="str">
        <f>TEXT(VLOOKUP(A1946,Raw_Data!A:L,5,FALSE),"mmm")</f>
        <v>Jun</v>
      </c>
    </row>
    <row r="1947" spans="1:6" x14ac:dyDescent="0.35">
      <c r="A1947" s="3" t="s">
        <v>2554</v>
      </c>
      <c r="B1947" t="str">
        <f>VLOOKUP(A1947,Raw_Data!A:L,6,FALSE)</f>
        <v>Coffee grinder</v>
      </c>
      <c r="C1947" t="str">
        <f>VLOOKUP(A1947,Raw_Data!A:L,3,FALSE)</f>
        <v>Czech Republic</v>
      </c>
      <c r="D1947" s="3">
        <f>VLOOKUP(A1947,Raw_Data!A:L,12,FALSE)</f>
        <v>6365</v>
      </c>
      <c r="E1947" s="3">
        <f>VLOOKUP(A1947,Raw_Data!A:L,11,FALSE)</f>
        <v>95</v>
      </c>
      <c r="F1947" t="str">
        <f>TEXT(VLOOKUP(A1947,Raw_Data!A:L,5,FALSE),"mmm")</f>
        <v>May</v>
      </c>
    </row>
    <row r="1948" spans="1:6" x14ac:dyDescent="0.35">
      <c r="A1948" s="3" t="s">
        <v>2555</v>
      </c>
      <c r="B1948" t="str">
        <f>VLOOKUP(A1948,Raw_Data!A:L,6,FALSE)</f>
        <v>Refrigerator</v>
      </c>
      <c r="C1948" t="str">
        <f>VLOOKUP(A1948,Raw_Data!A:L,3,FALSE)</f>
        <v>Malaysia</v>
      </c>
      <c r="D1948" s="3">
        <f>VLOOKUP(A1948,Raw_Data!A:L,12,FALSE)</f>
        <v>36040</v>
      </c>
      <c r="E1948" s="3">
        <f>VLOOKUP(A1948,Raw_Data!A:L,11,FALSE)</f>
        <v>53</v>
      </c>
      <c r="F1948" t="str">
        <f>TEXT(VLOOKUP(A1948,Raw_Data!A:L,5,FALSE),"mmm")</f>
        <v>Oct</v>
      </c>
    </row>
    <row r="1949" spans="1:6" x14ac:dyDescent="0.35">
      <c r="A1949" s="3" t="s">
        <v>2556</v>
      </c>
      <c r="B1949" t="str">
        <f>VLOOKUP(A1949,Raw_Data!A:L,6,FALSE)</f>
        <v>Microwave</v>
      </c>
      <c r="C1949" t="str">
        <f>VLOOKUP(A1949,Raw_Data!A:L,3,FALSE)</f>
        <v>Germany</v>
      </c>
      <c r="D1949" s="3">
        <f>VLOOKUP(A1949,Raw_Data!A:L,12,FALSE)</f>
        <v>5016</v>
      </c>
      <c r="E1949" s="3">
        <f>VLOOKUP(A1949,Raw_Data!A:L,11,FALSE)</f>
        <v>88</v>
      </c>
      <c r="F1949" t="str">
        <f>TEXT(VLOOKUP(A1949,Raw_Data!A:L,5,FALSE),"mmm")</f>
        <v>May</v>
      </c>
    </row>
    <row r="1950" spans="1:6" x14ac:dyDescent="0.35">
      <c r="A1950" s="3" t="s">
        <v>2557</v>
      </c>
      <c r="B1950" t="str">
        <f>VLOOKUP(A1950,Raw_Data!A:L,6,FALSE)</f>
        <v>Coffee grinder</v>
      </c>
      <c r="C1950" t="str">
        <f>VLOOKUP(A1950,Raw_Data!A:L,3,FALSE)</f>
        <v>Netherlands</v>
      </c>
      <c r="D1950" s="3">
        <f>VLOOKUP(A1950,Raw_Data!A:L,12,FALSE)</f>
        <v>3657</v>
      </c>
      <c r="E1950" s="3">
        <f>VLOOKUP(A1950,Raw_Data!A:L,11,FALSE)</f>
        <v>53</v>
      </c>
      <c r="F1950" t="str">
        <f>TEXT(VLOOKUP(A1950,Raw_Data!A:L,5,FALSE),"mmm")</f>
        <v>Feb</v>
      </c>
    </row>
    <row r="1951" spans="1:6" x14ac:dyDescent="0.35">
      <c r="A1951" s="3" t="s">
        <v>2558</v>
      </c>
      <c r="B1951" t="str">
        <f>VLOOKUP(A1951,Raw_Data!A:L,6,FALSE)</f>
        <v>Iron</v>
      </c>
      <c r="C1951" t="str">
        <f>VLOOKUP(A1951,Raw_Data!A:L,3,FALSE)</f>
        <v>Vietnam</v>
      </c>
      <c r="D1951" s="3">
        <f>VLOOKUP(A1951,Raw_Data!A:L,12,FALSE)</f>
        <v>1653</v>
      </c>
      <c r="E1951" s="3">
        <f>VLOOKUP(A1951,Raw_Data!A:L,11,FALSE)</f>
        <v>57</v>
      </c>
      <c r="F1951" t="str">
        <f>TEXT(VLOOKUP(A1951,Raw_Data!A:L,5,FALSE),"mmm")</f>
        <v>Sep</v>
      </c>
    </row>
    <row r="1952" spans="1:6" x14ac:dyDescent="0.35">
      <c r="A1952" s="3" t="s">
        <v>2559</v>
      </c>
      <c r="B1952" t="str">
        <f>VLOOKUP(A1952,Raw_Data!A:L,6,FALSE)</f>
        <v>Air conditioner</v>
      </c>
      <c r="C1952" t="str">
        <f>VLOOKUP(A1952,Raw_Data!A:L,3,FALSE)</f>
        <v>Japan</v>
      </c>
      <c r="D1952" s="3">
        <f>VLOOKUP(A1952,Raw_Data!A:L,12,FALSE)</f>
        <v>15295</v>
      </c>
      <c r="E1952" s="3">
        <f>VLOOKUP(A1952,Raw_Data!A:L,11,FALSE)</f>
        <v>23</v>
      </c>
      <c r="F1952" t="str">
        <f>TEXT(VLOOKUP(A1952,Raw_Data!A:L,5,FALSE),"mmm")</f>
        <v>Jun</v>
      </c>
    </row>
    <row r="1953" spans="1:6" x14ac:dyDescent="0.35">
      <c r="A1953" s="3" t="s">
        <v>2560</v>
      </c>
      <c r="B1953" t="str">
        <f>VLOOKUP(A1953,Raw_Data!A:L,6,FALSE)</f>
        <v>Vacuum Cleaner</v>
      </c>
      <c r="C1953" t="str">
        <f>VLOOKUP(A1953,Raw_Data!A:L,3,FALSE)</f>
        <v>Germany</v>
      </c>
      <c r="D1953" s="3">
        <f>VLOOKUP(A1953,Raw_Data!A:L,12,FALSE)</f>
        <v>8460</v>
      </c>
      <c r="E1953" s="3">
        <f>VLOOKUP(A1953,Raw_Data!A:L,11,FALSE)</f>
        <v>36</v>
      </c>
      <c r="F1953" t="str">
        <f>TEXT(VLOOKUP(A1953,Raw_Data!A:L,5,FALSE),"mmm")</f>
        <v>Dec</v>
      </c>
    </row>
    <row r="1954" spans="1:6" x14ac:dyDescent="0.35">
      <c r="A1954" s="3" t="s">
        <v>2561</v>
      </c>
      <c r="B1954" t="str">
        <f>VLOOKUP(A1954,Raw_Data!A:L,6,FALSE)</f>
        <v>Vacuum Cleaner</v>
      </c>
      <c r="C1954" t="str">
        <f>VLOOKUP(A1954,Raw_Data!A:L,3,FALSE)</f>
        <v>USA</v>
      </c>
      <c r="D1954" s="3">
        <f>VLOOKUP(A1954,Raw_Data!A:L,12,FALSE)</f>
        <v>16350</v>
      </c>
      <c r="E1954" s="3">
        <f>VLOOKUP(A1954,Raw_Data!A:L,11,FALSE)</f>
        <v>75</v>
      </c>
      <c r="F1954" t="str">
        <f>TEXT(VLOOKUP(A1954,Raw_Data!A:L,5,FALSE),"mmm")</f>
        <v>Sep</v>
      </c>
    </row>
    <row r="1955" spans="1:6" x14ac:dyDescent="0.35">
      <c r="A1955" s="3" t="s">
        <v>2562</v>
      </c>
      <c r="B1955" t="str">
        <f>VLOOKUP(A1955,Raw_Data!A:L,6,FALSE)</f>
        <v>Washing Machine</v>
      </c>
      <c r="C1955" t="str">
        <f>VLOOKUP(A1955,Raw_Data!A:L,3,FALSE)</f>
        <v>Chile</v>
      </c>
      <c r="D1955" s="3">
        <f>VLOOKUP(A1955,Raw_Data!A:L,12,FALSE)</f>
        <v>36960</v>
      </c>
      <c r="E1955" s="3">
        <f>VLOOKUP(A1955,Raw_Data!A:L,11,FALSE)</f>
        <v>60</v>
      </c>
      <c r="F1955" t="str">
        <f>TEXT(VLOOKUP(A1955,Raw_Data!A:L,5,FALSE),"mmm")</f>
        <v>Jul</v>
      </c>
    </row>
    <row r="1956" spans="1:6" x14ac:dyDescent="0.35">
      <c r="A1956" s="3" t="s">
        <v>2563</v>
      </c>
      <c r="B1956" t="str">
        <f>VLOOKUP(A1956,Raw_Data!A:L,6,FALSE)</f>
        <v>Dishwasher</v>
      </c>
      <c r="C1956" t="str">
        <f>VLOOKUP(A1956,Raw_Data!A:L,3,FALSE)</f>
        <v>China</v>
      </c>
      <c r="D1956" s="3">
        <f>VLOOKUP(A1956,Raw_Data!A:L,12,FALSE)</f>
        <v>32785</v>
      </c>
      <c r="E1956" s="3">
        <f>VLOOKUP(A1956,Raw_Data!A:L,11,FALSE)</f>
        <v>83</v>
      </c>
      <c r="F1956" t="str">
        <f>TEXT(VLOOKUP(A1956,Raw_Data!A:L,5,FALSE),"mmm")</f>
        <v>Apr</v>
      </c>
    </row>
    <row r="1957" spans="1:6" x14ac:dyDescent="0.35">
      <c r="A1957" s="3" t="s">
        <v>2564</v>
      </c>
      <c r="B1957" t="str">
        <f>VLOOKUP(A1957,Raw_Data!A:L,6,FALSE)</f>
        <v>Coffee grinder</v>
      </c>
      <c r="C1957" t="str">
        <f>VLOOKUP(A1957,Raw_Data!A:L,3,FALSE)</f>
        <v>Thailand</v>
      </c>
      <c r="D1957" s="3">
        <f>VLOOKUP(A1957,Raw_Data!A:L,12,FALSE)</f>
        <v>276</v>
      </c>
      <c r="E1957" s="3">
        <f>VLOOKUP(A1957,Raw_Data!A:L,11,FALSE)</f>
        <v>4</v>
      </c>
      <c r="F1957" t="str">
        <f>TEXT(VLOOKUP(A1957,Raw_Data!A:L,5,FALSE),"mmm")</f>
        <v>Dec</v>
      </c>
    </row>
    <row r="1958" spans="1:6" x14ac:dyDescent="0.35">
      <c r="A1958" s="3" t="s">
        <v>2565</v>
      </c>
      <c r="B1958" t="str">
        <f>VLOOKUP(A1958,Raw_Data!A:L,6,FALSE)</f>
        <v>Air conditioner</v>
      </c>
      <c r="C1958" t="str">
        <f>VLOOKUP(A1958,Raw_Data!A:L,3,FALSE)</f>
        <v>China</v>
      </c>
      <c r="D1958" s="3">
        <f>VLOOKUP(A1958,Raw_Data!A:L,12,FALSE)</f>
        <v>21924</v>
      </c>
      <c r="E1958" s="3">
        <f>VLOOKUP(A1958,Raw_Data!A:L,11,FALSE)</f>
        <v>36</v>
      </c>
      <c r="F1958" t="str">
        <f>TEXT(VLOOKUP(A1958,Raw_Data!A:L,5,FALSE),"mmm")</f>
        <v>Oct</v>
      </c>
    </row>
    <row r="1959" spans="1:6" x14ac:dyDescent="0.35">
      <c r="A1959" s="3" t="s">
        <v>2566</v>
      </c>
      <c r="B1959" t="str">
        <f>VLOOKUP(A1959,Raw_Data!A:L,6,FALSE)</f>
        <v>Dishwasher</v>
      </c>
      <c r="C1959" t="str">
        <f>VLOOKUP(A1959,Raw_Data!A:L,3,FALSE)</f>
        <v>Egypt</v>
      </c>
      <c r="D1959" s="3">
        <f>VLOOKUP(A1959,Raw_Data!A:L,12,FALSE)</f>
        <v>32760</v>
      </c>
      <c r="E1959" s="3">
        <f>VLOOKUP(A1959,Raw_Data!A:L,11,FALSE)</f>
        <v>72</v>
      </c>
      <c r="F1959" t="str">
        <f>TEXT(VLOOKUP(A1959,Raw_Data!A:L,5,FALSE),"mmm")</f>
        <v>Oct</v>
      </c>
    </row>
    <row r="1960" spans="1:6" x14ac:dyDescent="0.35">
      <c r="A1960" s="3" t="s">
        <v>2567</v>
      </c>
      <c r="B1960" t="str">
        <f>VLOOKUP(A1960,Raw_Data!A:L,6,FALSE)</f>
        <v>Microwave</v>
      </c>
      <c r="C1960" t="str">
        <f>VLOOKUP(A1960,Raw_Data!A:L,3,FALSE)</f>
        <v>China</v>
      </c>
      <c r="D1960" s="3">
        <f>VLOOKUP(A1960,Raw_Data!A:L,12,FALSE)</f>
        <v>4599</v>
      </c>
      <c r="E1960" s="3">
        <f>VLOOKUP(A1960,Raw_Data!A:L,11,FALSE)</f>
        <v>63</v>
      </c>
      <c r="F1960" t="str">
        <f>TEXT(VLOOKUP(A1960,Raw_Data!A:L,5,FALSE),"mmm")</f>
        <v>Apr</v>
      </c>
    </row>
    <row r="1961" spans="1:6" x14ac:dyDescent="0.35">
      <c r="A1961" s="3" t="s">
        <v>2569</v>
      </c>
      <c r="B1961" t="str">
        <f>VLOOKUP(A1961,Raw_Data!A:L,6,FALSE)</f>
        <v>Iron</v>
      </c>
      <c r="C1961" t="str">
        <f>VLOOKUP(A1961,Raw_Data!A:L,3,FALSE)</f>
        <v>South Korea</v>
      </c>
      <c r="D1961" s="3">
        <f>VLOOKUP(A1961,Raw_Data!A:L,12,FALSE)</f>
        <v>2755</v>
      </c>
      <c r="E1961" s="3">
        <f>VLOOKUP(A1961,Raw_Data!A:L,11,FALSE)</f>
        <v>95</v>
      </c>
      <c r="F1961" t="str">
        <f>TEXT(VLOOKUP(A1961,Raw_Data!A:L,5,FALSE),"mmm")</f>
        <v>Oct</v>
      </c>
    </row>
    <row r="1962" spans="1:6" x14ac:dyDescent="0.35">
      <c r="A1962" s="3" t="s">
        <v>2570</v>
      </c>
      <c r="B1962" t="str">
        <f>VLOOKUP(A1962,Raw_Data!A:L,6,FALSE)</f>
        <v>Dishwasher</v>
      </c>
      <c r="C1962" t="str">
        <f>VLOOKUP(A1962,Raw_Data!A:L,3,FALSE)</f>
        <v>Saudi Arabia</v>
      </c>
      <c r="D1962" s="3">
        <f>VLOOKUP(A1962,Raw_Data!A:L,12,FALSE)</f>
        <v>18480</v>
      </c>
      <c r="E1962" s="3">
        <f>VLOOKUP(A1962,Raw_Data!A:L,11,FALSE)</f>
        <v>48</v>
      </c>
      <c r="F1962" t="str">
        <f>TEXT(VLOOKUP(A1962,Raw_Data!A:L,5,FALSE),"mmm")</f>
        <v>Apr</v>
      </c>
    </row>
    <row r="1963" spans="1:6" x14ac:dyDescent="0.35">
      <c r="A1963" s="3" t="s">
        <v>2571</v>
      </c>
      <c r="B1963" t="str">
        <f>VLOOKUP(A1963,Raw_Data!A:L,6,FALSE)</f>
        <v>Washing Machine</v>
      </c>
      <c r="C1963" t="str">
        <f>VLOOKUP(A1963,Raw_Data!A:L,3,FALSE)</f>
        <v>France</v>
      </c>
      <c r="D1963" s="3">
        <f>VLOOKUP(A1963,Raw_Data!A:L,12,FALSE)</f>
        <v>39168</v>
      </c>
      <c r="E1963" s="3">
        <f>VLOOKUP(A1963,Raw_Data!A:L,11,FALSE)</f>
        <v>51</v>
      </c>
      <c r="F1963" t="str">
        <f>TEXT(VLOOKUP(A1963,Raw_Data!A:L,5,FALSE),"mmm")</f>
        <v>Feb</v>
      </c>
    </row>
    <row r="1964" spans="1:6" x14ac:dyDescent="0.35">
      <c r="A1964" s="3" t="s">
        <v>2572</v>
      </c>
      <c r="B1964" t="str">
        <f>VLOOKUP(A1964,Raw_Data!A:L,6,FALSE)</f>
        <v>Coffee grinder</v>
      </c>
      <c r="C1964" t="str">
        <f>VLOOKUP(A1964,Raw_Data!A:L,3,FALSE)</f>
        <v>USA</v>
      </c>
      <c r="D1964" s="3">
        <f>VLOOKUP(A1964,Raw_Data!A:L,12,FALSE)</f>
        <v>2756</v>
      </c>
      <c r="E1964" s="3">
        <f>VLOOKUP(A1964,Raw_Data!A:L,11,FALSE)</f>
        <v>52</v>
      </c>
      <c r="F1964" t="str">
        <f>TEXT(VLOOKUP(A1964,Raw_Data!A:L,5,FALSE),"mmm")</f>
        <v>May</v>
      </c>
    </row>
    <row r="1965" spans="1:6" x14ac:dyDescent="0.35">
      <c r="A1965" s="3" t="s">
        <v>2574</v>
      </c>
      <c r="B1965" t="str">
        <f>VLOOKUP(A1965,Raw_Data!A:L,6,FALSE)</f>
        <v>Vacuum Cleaner</v>
      </c>
      <c r="C1965" t="str">
        <f>VLOOKUP(A1965,Raw_Data!A:L,3,FALSE)</f>
        <v>Romania</v>
      </c>
      <c r="D1965" s="3">
        <f>VLOOKUP(A1965,Raw_Data!A:L,12,FALSE)</f>
        <v>16120</v>
      </c>
      <c r="E1965" s="3">
        <f>VLOOKUP(A1965,Raw_Data!A:L,11,FALSE)</f>
        <v>65</v>
      </c>
      <c r="F1965" t="str">
        <f>TEXT(VLOOKUP(A1965,Raw_Data!A:L,5,FALSE),"mmm")</f>
        <v>Oct</v>
      </c>
    </row>
    <row r="1966" spans="1:6" x14ac:dyDescent="0.35">
      <c r="A1966" s="3" t="s">
        <v>2575</v>
      </c>
      <c r="B1966" t="str">
        <f>VLOOKUP(A1966,Raw_Data!A:L,6,FALSE)</f>
        <v>Vacuum Cleaner</v>
      </c>
      <c r="C1966" t="str">
        <f>VLOOKUP(A1966,Raw_Data!A:L,3,FALSE)</f>
        <v>Germany</v>
      </c>
      <c r="D1966" s="3">
        <f>VLOOKUP(A1966,Raw_Data!A:L,12,FALSE)</f>
        <v>9585</v>
      </c>
      <c r="E1966" s="3">
        <f>VLOOKUP(A1966,Raw_Data!A:L,11,FALSE)</f>
        <v>45</v>
      </c>
      <c r="F1966" t="str">
        <f>TEXT(VLOOKUP(A1966,Raw_Data!A:L,5,FALSE),"mmm")</f>
        <v>Jan</v>
      </c>
    </row>
    <row r="1967" spans="1:6" x14ac:dyDescent="0.35">
      <c r="A1967" s="3" t="s">
        <v>2576</v>
      </c>
      <c r="B1967" t="str">
        <f>VLOOKUP(A1967,Raw_Data!A:L,6,FALSE)</f>
        <v>Blender</v>
      </c>
      <c r="C1967" t="str">
        <f>VLOOKUP(A1967,Raw_Data!A:L,3,FALSE)</f>
        <v>Argentina</v>
      </c>
      <c r="D1967" s="3">
        <f>VLOOKUP(A1967,Raw_Data!A:L,12,FALSE)</f>
        <v>3060</v>
      </c>
      <c r="E1967" s="3">
        <f>VLOOKUP(A1967,Raw_Data!A:L,11,FALSE)</f>
        <v>85</v>
      </c>
      <c r="F1967" t="str">
        <f>TEXT(VLOOKUP(A1967,Raw_Data!A:L,5,FALSE),"mmm")</f>
        <v>Mar</v>
      </c>
    </row>
    <row r="1968" spans="1:6" x14ac:dyDescent="0.35">
      <c r="A1968" s="3" t="s">
        <v>2577</v>
      </c>
      <c r="B1968" t="str">
        <f>VLOOKUP(A1968,Raw_Data!A:L,6,FALSE)</f>
        <v>Coffee grinder</v>
      </c>
      <c r="C1968" t="str">
        <f>VLOOKUP(A1968,Raw_Data!A:L,3,FALSE)</f>
        <v>USA</v>
      </c>
      <c r="D1968" s="3">
        <f>VLOOKUP(A1968,Raw_Data!A:L,12,FALSE)</f>
        <v>990</v>
      </c>
      <c r="E1968" s="3">
        <f>VLOOKUP(A1968,Raw_Data!A:L,11,FALSE)</f>
        <v>15</v>
      </c>
      <c r="F1968" t="str">
        <f>TEXT(VLOOKUP(A1968,Raw_Data!A:L,5,FALSE),"mmm")</f>
        <v>Jan</v>
      </c>
    </row>
    <row r="1969" spans="1:6" x14ac:dyDescent="0.35">
      <c r="A1969" s="3" t="s">
        <v>2578</v>
      </c>
      <c r="B1969" t="str">
        <f>VLOOKUP(A1969,Raw_Data!A:L,6,FALSE)</f>
        <v>Dishwasher</v>
      </c>
      <c r="C1969" t="str">
        <f>VLOOKUP(A1969,Raw_Data!A:L,3,FALSE)</f>
        <v>Ireland</v>
      </c>
      <c r="D1969" s="3">
        <f>VLOOKUP(A1969,Raw_Data!A:L,12,FALSE)</f>
        <v>27590</v>
      </c>
      <c r="E1969" s="3">
        <f>VLOOKUP(A1969,Raw_Data!A:L,11,FALSE)</f>
        <v>62</v>
      </c>
      <c r="F1969" t="str">
        <f>TEXT(VLOOKUP(A1969,Raw_Data!A:L,5,FALSE),"mmm")</f>
        <v>Nov</v>
      </c>
    </row>
    <row r="1970" spans="1:6" x14ac:dyDescent="0.35">
      <c r="A1970" s="3" t="s">
        <v>2579</v>
      </c>
      <c r="B1970" t="str">
        <f>VLOOKUP(A1970,Raw_Data!A:L,6,FALSE)</f>
        <v>Toaster</v>
      </c>
      <c r="C1970" t="str">
        <f>VLOOKUP(A1970,Raw_Data!A:L,3,FALSE)</f>
        <v>Greece</v>
      </c>
      <c r="D1970" s="3">
        <f>VLOOKUP(A1970,Raw_Data!A:L,12,FALSE)</f>
        <v>270</v>
      </c>
      <c r="E1970" s="3">
        <f>VLOOKUP(A1970,Raw_Data!A:L,11,FALSE)</f>
        <v>9</v>
      </c>
      <c r="F1970" t="str">
        <f>TEXT(VLOOKUP(A1970,Raw_Data!A:L,5,FALSE),"mmm")</f>
        <v>May</v>
      </c>
    </row>
    <row r="1971" spans="1:6" x14ac:dyDescent="0.35">
      <c r="A1971" s="3" t="s">
        <v>2580</v>
      </c>
      <c r="B1971" t="str">
        <f>VLOOKUP(A1971,Raw_Data!A:L,6,FALSE)</f>
        <v>Vacuum Cleaner</v>
      </c>
      <c r="C1971" t="str">
        <f>VLOOKUP(A1971,Raw_Data!A:L,3,FALSE)</f>
        <v>Chile</v>
      </c>
      <c r="D1971" s="3">
        <f>VLOOKUP(A1971,Raw_Data!A:L,12,FALSE)</f>
        <v>1458</v>
      </c>
      <c r="E1971" s="3">
        <f>VLOOKUP(A1971,Raw_Data!A:L,11,FALSE)</f>
        <v>6</v>
      </c>
      <c r="F1971" t="str">
        <f>TEXT(VLOOKUP(A1971,Raw_Data!A:L,5,FALSE),"mmm")</f>
        <v>Apr</v>
      </c>
    </row>
    <row r="1972" spans="1:6" x14ac:dyDescent="0.35">
      <c r="A1972" s="3" t="s">
        <v>2581</v>
      </c>
      <c r="B1972" t="str">
        <f>VLOOKUP(A1972,Raw_Data!A:L,6,FALSE)</f>
        <v>Toaster</v>
      </c>
      <c r="C1972" t="str">
        <f>VLOOKUP(A1972,Raw_Data!A:L,3,FALSE)</f>
        <v>China</v>
      </c>
      <c r="D1972" s="3">
        <f>VLOOKUP(A1972,Raw_Data!A:L,12,FALSE)</f>
        <v>3735</v>
      </c>
      <c r="E1972" s="3">
        <f>VLOOKUP(A1972,Raw_Data!A:L,11,FALSE)</f>
        <v>83</v>
      </c>
      <c r="F1972" t="str">
        <f>TEXT(VLOOKUP(A1972,Raw_Data!A:L,5,FALSE),"mmm")</f>
        <v>Mar</v>
      </c>
    </row>
    <row r="1973" spans="1:6" x14ac:dyDescent="0.35">
      <c r="A1973" s="3" t="s">
        <v>2582</v>
      </c>
      <c r="B1973" t="str">
        <f>VLOOKUP(A1973,Raw_Data!A:L,6,FALSE)</f>
        <v>Blender</v>
      </c>
      <c r="C1973" t="str">
        <f>VLOOKUP(A1973,Raw_Data!A:L,3,FALSE)</f>
        <v>Netherlands</v>
      </c>
      <c r="D1973" s="3">
        <f>VLOOKUP(A1973,Raw_Data!A:L,12,FALSE)</f>
        <v>4950</v>
      </c>
      <c r="E1973" s="3">
        <f>VLOOKUP(A1973,Raw_Data!A:L,11,FALSE)</f>
        <v>99</v>
      </c>
      <c r="F1973" t="str">
        <f>TEXT(VLOOKUP(A1973,Raw_Data!A:L,5,FALSE),"mmm")</f>
        <v>Dec</v>
      </c>
    </row>
    <row r="1974" spans="1:6" x14ac:dyDescent="0.35">
      <c r="A1974" s="3" t="s">
        <v>2583</v>
      </c>
      <c r="B1974" t="str">
        <f>VLOOKUP(A1974,Raw_Data!A:L,6,FALSE)</f>
        <v>Vacuum Cleaner</v>
      </c>
      <c r="C1974" t="str">
        <f>VLOOKUP(A1974,Raw_Data!A:L,3,FALSE)</f>
        <v>Spain</v>
      </c>
      <c r="D1974" s="3">
        <f>VLOOKUP(A1974,Raw_Data!A:L,12,FALSE)</f>
        <v>12760</v>
      </c>
      <c r="E1974" s="3">
        <f>VLOOKUP(A1974,Raw_Data!A:L,11,FALSE)</f>
        <v>58</v>
      </c>
      <c r="F1974" t="str">
        <f>TEXT(VLOOKUP(A1974,Raw_Data!A:L,5,FALSE),"mmm")</f>
        <v>Apr</v>
      </c>
    </row>
    <row r="1975" spans="1:6" x14ac:dyDescent="0.35">
      <c r="A1975" s="3" t="s">
        <v>2584</v>
      </c>
      <c r="B1975" t="str">
        <f>VLOOKUP(A1975,Raw_Data!A:L,6,FALSE)</f>
        <v>Dishwasher</v>
      </c>
      <c r="C1975" t="str">
        <f>VLOOKUP(A1975,Raw_Data!A:L,3,FALSE)</f>
        <v>Israel</v>
      </c>
      <c r="D1975" s="3">
        <f>VLOOKUP(A1975,Raw_Data!A:L,12,FALSE)</f>
        <v>40500</v>
      </c>
      <c r="E1975" s="3">
        <f>VLOOKUP(A1975,Raw_Data!A:L,11,FALSE)</f>
        <v>90</v>
      </c>
      <c r="F1975" t="str">
        <f>TEXT(VLOOKUP(A1975,Raw_Data!A:L,5,FALSE),"mmm")</f>
        <v>Jul</v>
      </c>
    </row>
    <row r="1976" spans="1:6" x14ac:dyDescent="0.35">
      <c r="A1976" s="3" t="s">
        <v>2585</v>
      </c>
      <c r="B1976" t="str">
        <f>VLOOKUP(A1976,Raw_Data!A:L,6,FALSE)</f>
        <v>Toaster</v>
      </c>
      <c r="C1976" t="str">
        <f>VLOOKUP(A1976,Raw_Data!A:L,3,FALSE)</f>
        <v>Thailand</v>
      </c>
      <c r="D1976" s="3">
        <f>VLOOKUP(A1976,Raw_Data!A:L,12,FALSE)</f>
        <v>2400</v>
      </c>
      <c r="E1976" s="3">
        <f>VLOOKUP(A1976,Raw_Data!A:L,11,FALSE)</f>
        <v>50</v>
      </c>
      <c r="F1976" t="str">
        <f>TEXT(VLOOKUP(A1976,Raw_Data!A:L,5,FALSE),"mmm")</f>
        <v>Apr</v>
      </c>
    </row>
    <row r="1977" spans="1:6" x14ac:dyDescent="0.35">
      <c r="A1977" s="3" t="s">
        <v>2586</v>
      </c>
      <c r="B1977" t="str">
        <f>VLOOKUP(A1977,Raw_Data!A:L,6,FALSE)</f>
        <v>Microwave</v>
      </c>
      <c r="C1977" t="str">
        <f>VLOOKUP(A1977,Raw_Data!A:L,3,FALSE)</f>
        <v>China</v>
      </c>
      <c r="D1977" s="3">
        <f>VLOOKUP(A1977,Raw_Data!A:L,12,FALSE)</f>
        <v>5460</v>
      </c>
      <c r="E1977" s="3">
        <f>VLOOKUP(A1977,Raw_Data!A:L,11,FALSE)</f>
        <v>70</v>
      </c>
      <c r="F1977" t="str">
        <f>TEXT(VLOOKUP(A1977,Raw_Data!A:L,5,FALSE),"mmm")</f>
        <v>Aug</v>
      </c>
    </row>
    <row r="1978" spans="1:6" x14ac:dyDescent="0.35">
      <c r="A1978" s="3" t="s">
        <v>2587</v>
      </c>
      <c r="B1978" t="str">
        <f>VLOOKUP(A1978,Raw_Data!A:L,6,FALSE)</f>
        <v>Ceiling fan</v>
      </c>
      <c r="C1978" t="str">
        <f>VLOOKUP(A1978,Raw_Data!A:L,3,FALSE)</f>
        <v>Russia</v>
      </c>
      <c r="D1978" s="3">
        <f>VLOOKUP(A1978,Raw_Data!A:L,12,FALSE)</f>
        <v>10877</v>
      </c>
      <c r="E1978" s="3">
        <f>VLOOKUP(A1978,Raw_Data!A:L,11,FALSE)</f>
        <v>73</v>
      </c>
      <c r="F1978" t="str">
        <f>TEXT(VLOOKUP(A1978,Raw_Data!A:L,5,FALSE),"mmm")</f>
        <v>Nov</v>
      </c>
    </row>
    <row r="1979" spans="1:6" x14ac:dyDescent="0.35">
      <c r="A1979" s="3" t="s">
        <v>2588</v>
      </c>
      <c r="B1979" t="str">
        <f>VLOOKUP(A1979,Raw_Data!A:L,6,FALSE)</f>
        <v>Washing Machine</v>
      </c>
      <c r="C1979" t="str">
        <f>VLOOKUP(A1979,Raw_Data!A:L,3,FALSE)</f>
        <v>Australia</v>
      </c>
      <c r="D1979" s="3">
        <f>VLOOKUP(A1979,Raw_Data!A:L,12,FALSE)</f>
        <v>40256</v>
      </c>
      <c r="E1979" s="3">
        <f>VLOOKUP(A1979,Raw_Data!A:L,11,FALSE)</f>
        <v>68</v>
      </c>
      <c r="F1979" t="str">
        <f>TEXT(VLOOKUP(A1979,Raw_Data!A:L,5,FALSE),"mmm")</f>
        <v>Nov</v>
      </c>
    </row>
    <row r="1980" spans="1:6" x14ac:dyDescent="0.35">
      <c r="A1980" s="3" t="s">
        <v>2589</v>
      </c>
      <c r="B1980" t="str">
        <f>VLOOKUP(A1980,Raw_Data!A:L,6,FALSE)</f>
        <v>Washing Machine</v>
      </c>
      <c r="C1980" t="str">
        <f>VLOOKUP(A1980,Raw_Data!A:L,3,FALSE)</f>
        <v>France</v>
      </c>
      <c r="D1980" s="3">
        <f>VLOOKUP(A1980,Raw_Data!A:L,12,FALSE)</f>
        <v>15200</v>
      </c>
      <c r="E1980" s="3">
        <f>VLOOKUP(A1980,Raw_Data!A:L,11,FALSE)</f>
        <v>19</v>
      </c>
      <c r="F1980" t="str">
        <f>TEXT(VLOOKUP(A1980,Raw_Data!A:L,5,FALSE),"mmm")</f>
        <v>Jan</v>
      </c>
    </row>
    <row r="1981" spans="1:6" x14ac:dyDescent="0.35">
      <c r="A1981" s="3" t="s">
        <v>2590</v>
      </c>
      <c r="B1981" t="str">
        <f>VLOOKUP(A1981,Raw_Data!A:L,6,FALSE)</f>
        <v>Coffee grinder</v>
      </c>
      <c r="C1981" t="str">
        <f>VLOOKUP(A1981,Raw_Data!A:L,3,FALSE)</f>
        <v>Argentina</v>
      </c>
      <c r="D1981" s="3">
        <f>VLOOKUP(A1981,Raw_Data!A:L,12,FALSE)</f>
        <v>5418</v>
      </c>
      <c r="E1981" s="3">
        <f>VLOOKUP(A1981,Raw_Data!A:L,11,FALSE)</f>
        <v>86</v>
      </c>
      <c r="F1981" t="str">
        <f>TEXT(VLOOKUP(A1981,Raw_Data!A:L,5,FALSE),"mmm")</f>
        <v>Jul</v>
      </c>
    </row>
    <row r="1982" spans="1:6" x14ac:dyDescent="0.35">
      <c r="A1982" s="3" t="s">
        <v>2591</v>
      </c>
      <c r="B1982" t="str">
        <f>VLOOKUP(A1982,Raw_Data!A:L,6,FALSE)</f>
        <v>Air conditioner</v>
      </c>
      <c r="C1982" t="str">
        <f>VLOOKUP(A1982,Raw_Data!A:L,3,FALSE)</f>
        <v>USA</v>
      </c>
      <c r="D1982" s="3">
        <f>VLOOKUP(A1982,Raw_Data!A:L,12,FALSE)</f>
        <v>44919</v>
      </c>
      <c r="E1982" s="3">
        <f>VLOOKUP(A1982,Raw_Data!A:L,11,FALSE)</f>
        <v>69</v>
      </c>
      <c r="F1982" t="str">
        <f>TEXT(VLOOKUP(A1982,Raw_Data!A:L,5,FALSE),"mmm")</f>
        <v>Nov</v>
      </c>
    </row>
    <row r="1983" spans="1:6" x14ac:dyDescent="0.35">
      <c r="A1983" s="3" t="s">
        <v>2592</v>
      </c>
      <c r="B1983" t="str">
        <f>VLOOKUP(A1983,Raw_Data!A:L,6,FALSE)</f>
        <v>Microwave</v>
      </c>
      <c r="C1983" t="str">
        <f>VLOOKUP(A1983,Raw_Data!A:L,3,FALSE)</f>
        <v>USA</v>
      </c>
      <c r="D1983" s="3">
        <f>VLOOKUP(A1983,Raw_Data!A:L,12,FALSE)</f>
        <v>1782</v>
      </c>
      <c r="E1983" s="3">
        <f>VLOOKUP(A1983,Raw_Data!A:L,11,FALSE)</f>
        <v>33</v>
      </c>
      <c r="F1983" t="str">
        <f>TEXT(VLOOKUP(A1983,Raw_Data!A:L,5,FALSE),"mmm")</f>
        <v>Dec</v>
      </c>
    </row>
    <row r="1984" spans="1:6" x14ac:dyDescent="0.35">
      <c r="A1984" s="3" t="s">
        <v>2593</v>
      </c>
      <c r="B1984" t="str">
        <f>VLOOKUP(A1984,Raw_Data!A:L,6,FALSE)</f>
        <v>Blender</v>
      </c>
      <c r="C1984" t="str">
        <f>VLOOKUP(A1984,Raw_Data!A:L,3,FALSE)</f>
        <v>Mexico</v>
      </c>
      <c r="D1984" s="3">
        <f>VLOOKUP(A1984,Raw_Data!A:L,12,FALSE)</f>
        <v>3300</v>
      </c>
      <c r="E1984" s="3">
        <f>VLOOKUP(A1984,Raw_Data!A:L,11,FALSE)</f>
        <v>66</v>
      </c>
      <c r="F1984" t="str">
        <f>TEXT(VLOOKUP(A1984,Raw_Data!A:L,5,FALSE),"mmm")</f>
        <v>Jan</v>
      </c>
    </row>
    <row r="1985" spans="1:6" x14ac:dyDescent="0.35">
      <c r="A1985" s="3" t="s">
        <v>2594</v>
      </c>
      <c r="B1985" t="str">
        <f>VLOOKUP(A1985,Raw_Data!A:L,6,FALSE)</f>
        <v>Dishwasher</v>
      </c>
      <c r="C1985" t="str">
        <f>VLOOKUP(A1985,Raw_Data!A:L,3,FALSE)</f>
        <v>Japan</v>
      </c>
      <c r="D1985" s="3">
        <f>VLOOKUP(A1985,Raw_Data!A:L,12,FALSE)</f>
        <v>22720</v>
      </c>
      <c r="E1985" s="3">
        <f>VLOOKUP(A1985,Raw_Data!A:L,11,FALSE)</f>
        <v>71</v>
      </c>
      <c r="F1985" t="str">
        <f>TEXT(VLOOKUP(A1985,Raw_Data!A:L,5,FALSE),"mmm")</f>
        <v>Jan</v>
      </c>
    </row>
    <row r="1986" spans="1:6" x14ac:dyDescent="0.35">
      <c r="A1986" s="3" t="s">
        <v>2595</v>
      </c>
      <c r="B1986" t="str">
        <f>VLOOKUP(A1986,Raw_Data!A:L,6,FALSE)</f>
        <v>Toaster</v>
      </c>
      <c r="C1986" t="str">
        <f>VLOOKUP(A1986,Raw_Data!A:L,3,FALSE)</f>
        <v>France</v>
      </c>
      <c r="D1986" s="3">
        <f>VLOOKUP(A1986,Raw_Data!A:L,12,FALSE)</f>
        <v>430</v>
      </c>
      <c r="E1986" s="3">
        <f>VLOOKUP(A1986,Raw_Data!A:L,11,FALSE)</f>
        <v>10</v>
      </c>
      <c r="F1986" t="str">
        <f>TEXT(VLOOKUP(A1986,Raw_Data!A:L,5,FALSE),"mmm")</f>
        <v>Feb</v>
      </c>
    </row>
    <row r="1987" spans="1:6" x14ac:dyDescent="0.35">
      <c r="A1987" s="3" t="s">
        <v>2596</v>
      </c>
      <c r="B1987" t="str">
        <f>VLOOKUP(A1987,Raw_Data!A:L,6,FALSE)</f>
        <v>Microwave</v>
      </c>
      <c r="C1987" t="str">
        <f>VLOOKUP(A1987,Raw_Data!A:L,3,FALSE)</f>
        <v>South Korea</v>
      </c>
      <c r="D1987" s="3">
        <f>VLOOKUP(A1987,Raw_Data!A:L,12,FALSE)</f>
        <v>1326</v>
      </c>
      <c r="E1987" s="3">
        <f>VLOOKUP(A1987,Raw_Data!A:L,11,FALSE)</f>
        <v>17</v>
      </c>
      <c r="F1987" t="str">
        <f>TEXT(VLOOKUP(A1987,Raw_Data!A:L,5,FALSE),"mmm")</f>
        <v>Jan</v>
      </c>
    </row>
    <row r="1988" spans="1:6" x14ac:dyDescent="0.35">
      <c r="A1988" s="3" t="s">
        <v>2597</v>
      </c>
      <c r="B1988" t="str">
        <f>VLOOKUP(A1988,Raw_Data!A:L,6,FALSE)</f>
        <v>Vacuum Cleaner</v>
      </c>
      <c r="C1988" t="str">
        <f>VLOOKUP(A1988,Raw_Data!A:L,3,FALSE)</f>
        <v>UK</v>
      </c>
      <c r="D1988" s="3">
        <f>VLOOKUP(A1988,Raw_Data!A:L,12,FALSE)</f>
        <v>1488</v>
      </c>
      <c r="E1988" s="3">
        <f>VLOOKUP(A1988,Raw_Data!A:L,11,FALSE)</f>
        <v>6</v>
      </c>
      <c r="F1988" t="str">
        <f>TEXT(VLOOKUP(A1988,Raw_Data!A:L,5,FALSE),"mmm")</f>
        <v>Jul</v>
      </c>
    </row>
    <row r="1989" spans="1:6" x14ac:dyDescent="0.35">
      <c r="A1989" s="3" t="s">
        <v>2598</v>
      </c>
      <c r="B1989" t="str">
        <f>VLOOKUP(A1989,Raw_Data!A:L,6,FALSE)</f>
        <v>Iron</v>
      </c>
      <c r="C1989" t="str">
        <f>VLOOKUP(A1989,Raw_Data!A:L,3,FALSE)</f>
        <v>Peru</v>
      </c>
      <c r="D1989" s="3">
        <f>VLOOKUP(A1989,Raw_Data!A:L,12,FALSE)</f>
        <v>1728</v>
      </c>
      <c r="E1989" s="3">
        <f>VLOOKUP(A1989,Raw_Data!A:L,11,FALSE)</f>
        <v>64</v>
      </c>
      <c r="F1989" t="str">
        <f>TEXT(VLOOKUP(A1989,Raw_Data!A:L,5,FALSE),"mmm")</f>
        <v>Jun</v>
      </c>
    </row>
    <row r="1990" spans="1:6" x14ac:dyDescent="0.35">
      <c r="A1990" s="3" t="s">
        <v>2599</v>
      </c>
      <c r="B1990" t="str">
        <f>VLOOKUP(A1990,Raw_Data!A:L,6,FALSE)</f>
        <v>Oven</v>
      </c>
      <c r="C1990" t="str">
        <f>VLOOKUP(A1990,Raw_Data!A:L,3,FALSE)</f>
        <v>Austria</v>
      </c>
      <c r="D1990" s="3">
        <f>VLOOKUP(A1990,Raw_Data!A:L,12,FALSE)</f>
        <v>21780</v>
      </c>
      <c r="E1990" s="3">
        <f>VLOOKUP(A1990,Raw_Data!A:L,11,FALSE)</f>
        <v>44</v>
      </c>
      <c r="F1990" t="str">
        <f>TEXT(VLOOKUP(A1990,Raw_Data!A:L,5,FALSE),"mmm")</f>
        <v>Mar</v>
      </c>
    </row>
    <row r="1991" spans="1:6" x14ac:dyDescent="0.35">
      <c r="A1991" s="3" t="s">
        <v>2600</v>
      </c>
      <c r="B1991" t="str">
        <f>VLOOKUP(A1991,Raw_Data!A:L,6,FALSE)</f>
        <v>Washing Machine</v>
      </c>
      <c r="C1991" t="str">
        <f>VLOOKUP(A1991,Raw_Data!A:L,3,FALSE)</f>
        <v>Japan</v>
      </c>
      <c r="D1991" s="3">
        <f>VLOOKUP(A1991,Raw_Data!A:L,12,FALSE)</f>
        <v>6720</v>
      </c>
      <c r="E1991" s="3">
        <f>VLOOKUP(A1991,Raw_Data!A:L,11,FALSE)</f>
        <v>14</v>
      </c>
      <c r="F1991" t="str">
        <f>TEXT(VLOOKUP(A1991,Raw_Data!A:L,5,FALSE),"mmm")</f>
        <v>Dec</v>
      </c>
    </row>
    <row r="1992" spans="1:6" x14ac:dyDescent="0.35">
      <c r="A1992" s="3" t="s">
        <v>2601</v>
      </c>
      <c r="B1992" t="str">
        <f>VLOOKUP(A1992,Raw_Data!A:L,6,FALSE)</f>
        <v>Vacuum Cleaner</v>
      </c>
      <c r="C1992" t="str">
        <f>VLOOKUP(A1992,Raw_Data!A:L,3,FALSE)</f>
        <v>USA</v>
      </c>
      <c r="D1992" s="3">
        <f>VLOOKUP(A1992,Raw_Data!A:L,12,FALSE)</f>
        <v>3870</v>
      </c>
      <c r="E1992" s="3">
        <f>VLOOKUP(A1992,Raw_Data!A:L,11,FALSE)</f>
        <v>18</v>
      </c>
      <c r="F1992" t="str">
        <f>TEXT(VLOOKUP(A1992,Raw_Data!A:L,5,FALSE),"mmm")</f>
        <v>Jan</v>
      </c>
    </row>
    <row r="1993" spans="1:6" x14ac:dyDescent="0.35">
      <c r="A1993" s="3" t="s">
        <v>2602</v>
      </c>
      <c r="B1993" t="str">
        <f>VLOOKUP(A1993,Raw_Data!A:L,6,FALSE)</f>
        <v>Dishwasher</v>
      </c>
      <c r="C1993" t="str">
        <f>VLOOKUP(A1993,Raw_Data!A:L,3,FALSE)</f>
        <v>South Africa</v>
      </c>
      <c r="D1993" s="3">
        <f>VLOOKUP(A1993,Raw_Data!A:L,12,FALSE)</f>
        <v>26880</v>
      </c>
      <c r="E1993" s="3">
        <f>VLOOKUP(A1993,Raw_Data!A:L,11,FALSE)</f>
        <v>64</v>
      </c>
      <c r="F1993" t="str">
        <f>TEXT(VLOOKUP(A1993,Raw_Data!A:L,5,FALSE),"mmm")</f>
        <v>Jan</v>
      </c>
    </row>
    <row r="1994" spans="1:6" x14ac:dyDescent="0.35">
      <c r="A1994" s="3" t="s">
        <v>2603</v>
      </c>
      <c r="B1994" t="str">
        <f>VLOOKUP(A1994,Raw_Data!A:L,6,FALSE)</f>
        <v>Washing Machine</v>
      </c>
      <c r="C1994" t="str">
        <f>VLOOKUP(A1994,Raw_Data!A:L,3,FALSE)</f>
        <v>Romania</v>
      </c>
      <c r="D1994" s="3">
        <f>VLOOKUP(A1994,Raw_Data!A:L,12,FALSE)</f>
        <v>29808</v>
      </c>
      <c r="E1994" s="3">
        <f>VLOOKUP(A1994,Raw_Data!A:L,11,FALSE)</f>
        <v>46</v>
      </c>
      <c r="F1994" t="str">
        <f>TEXT(VLOOKUP(A1994,Raw_Data!A:L,5,FALSE),"mmm")</f>
        <v>Feb</v>
      </c>
    </row>
    <row r="1995" spans="1:6" x14ac:dyDescent="0.35">
      <c r="A1995" s="3" t="s">
        <v>2604</v>
      </c>
      <c r="B1995" t="str">
        <f>VLOOKUP(A1995,Raw_Data!A:L,6,FALSE)</f>
        <v>Toaster</v>
      </c>
      <c r="C1995" t="str">
        <f>VLOOKUP(A1995,Raw_Data!A:L,3,FALSE)</f>
        <v>Israel</v>
      </c>
      <c r="D1995" s="3">
        <f>VLOOKUP(A1995,Raw_Data!A:L,12,FALSE)</f>
        <v>3136</v>
      </c>
      <c r="E1995" s="3">
        <f>VLOOKUP(A1995,Raw_Data!A:L,11,FALSE)</f>
        <v>64</v>
      </c>
      <c r="F1995" t="str">
        <f>TEXT(VLOOKUP(A1995,Raw_Data!A:L,5,FALSE),"mmm")</f>
        <v>Oct</v>
      </c>
    </row>
    <row r="1996" spans="1:6" x14ac:dyDescent="0.35">
      <c r="A1996" s="3" t="s">
        <v>2605</v>
      </c>
      <c r="B1996" t="str">
        <f>VLOOKUP(A1996,Raw_Data!A:L,6,FALSE)</f>
        <v>Dishwasher</v>
      </c>
      <c r="C1996" t="str">
        <f>VLOOKUP(A1996,Raw_Data!A:L,3,FALSE)</f>
        <v>Saudi Arabia</v>
      </c>
      <c r="D1996" s="3">
        <f>VLOOKUP(A1996,Raw_Data!A:L,12,FALSE)</f>
        <v>20925</v>
      </c>
      <c r="E1996" s="3">
        <f>VLOOKUP(A1996,Raw_Data!A:L,11,FALSE)</f>
        <v>45</v>
      </c>
      <c r="F1996" t="str">
        <f>TEXT(VLOOKUP(A1996,Raw_Data!A:L,5,FALSE),"mmm")</f>
        <v>Aug</v>
      </c>
    </row>
    <row r="1997" spans="1:6" x14ac:dyDescent="0.35">
      <c r="A1997" s="3" t="s">
        <v>2606</v>
      </c>
      <c r="B1997" t="str">
        <f>VLOOKUP(A1997,Raw_Data!A:L,6,FALSE)</f>
        <v>Vacuum Cleaner</v>
      </c>
      <c r="C1997" t="str">
        <f>VLOOKUP(A1997,Raw_Data!A:L,3,FALSE)</f>
        <v>Mexico</v>
      </c>
      <c r="D1997" s="3">
        <f>VLOOKUP(A1997,Raw_Data!A:L,12,FALSE)</f>
        <v>7955</v>
      </c>
      <c r="E1997" s="3">
        <f>VLOOKUP(A1997,Raw_Data!A:L,11,FALSE)</f>
        <v>37</v>
      </c>
      <c r="F1997" t="str">
        <f>TEXT(VLOOKUP(A1997,Raw_Data!A:L,5,FALSE),"mmm")</f>
        <v>Feb</v>
      </c>
    </row>
    <row r="1998" spans="1:6" x14ac:dyDescent="0.35">
      <c r="A1998" s="3" t="s">
        <v>2607</v>
      </c>
      <c r="B1998" t="str">
        <f>VLOOKUP(A1998,Raw_Data!A:L,6,FALSE)</f>
        <v>Ceiling fan</v>
      </c>
      <c r="C1998" t="str">
        <f>VLOOKUP(A1998,Raw_Data!A:L,3,FALSE)</f>
        <v>Israel</v>
      </c>
      <c r="D1998" s="3">
        <f>VLOOKUP(A1998,Raw_Data!A:L,12,FALSE)</f>
        <v>13261</v>
      </c>
      <c r="E1998" s="3">
        <f>VLOOKUP(A1998,Raw_Data!A:L,11,FALSE)</f>
        <v>89</v>
      </c>
      <c r="F1998" t="str">
        <f>TEXT(VLOOKUP(A1998,Raw_Data!A:L,5,FALSE),"mmm")</f>
        <v>Jun</v>
      </c>
    </row>
    <row r="1999" spans="1:6" x14ac:dyDescent="0.35">
      <c r="A1999" s="3" t="s">
        <v>2608</v>
      </c>
      <c r="B1999" t="str">
        <f>VLOOKUP(A1999,Raw_Data!A:L,6,FALSE)</f>
        <v>Blender</v>
      </c>
      <c r="C1999" t="str">
        <f>VLOOKUP(A1999,Raw_Data!A:L,3,FALSE)</f>
        <v>China</v>
      </c>
      <c r="D1999" s="3">
        <f>VLOOKUP(A1999,Raw_Data!A:L,12,FALSE)</f>
        <v>1976</v>
      </c>
      <c r="E1999" s="3">
        <f>VLOOKUP(A1999,Raw_Data!A:L,11,FALSE)</f>
        <v>52</v>
      </c>
      <c r="F1999" t="str">
        <f>TEXT(VLOOKUP(A1999,Raw_Data!A:L,5,FALSE),"mmm")</f>
        <v>Nov</v>
      </c>
    </row>
    <row r="2000" spans="1:6" x14ac:dyDescent="0.35">
      <c r="A2000" s="3" t="s">
        <v>2609</v>
      </c>
      <c r="B2000" t="str">
        <f>VLOOKUP(A2000,Raw_Data!A:L,6,FALSE)</f>
        <v>Refrigerator</v>
      </c>
      <c r="C2000" t="str">
        <f>VLOOKUP(A2000,Raw_Data!A:L,3,FALSE)</f>
        <v>Vietnam</v>
      </c>
      <c r="D2000" s="3">
        <f>VLOOKUP(A2000,Raw_Data!A:L,12,FALSE)</f>
        <v>64990</v>
      </c>
      <c r="E2000" s="3">
        <f>VLOOKUP(A2000,Raw_Data!A:L,11,FALSE)</f>
        <v>97</v>
      </c>
      <c r="F2000" t="str">
        <f>TEXT(VLOOKUP(A2000,Raw_Data!A:L,5,FALSE),"mmm")</f>
        <v>Sep</v>
      </c>
    </row>
    <row r="2001" spans="1:6" x14ac:dyDescent="0.35">
      <c r="A2001" s="3" t="s">
        <v>2610</v>
      </c>
      <c r="B2001" t="str">
        <f>VLOOKUP(A2001,Raw_Data!A:L,6,FALSE)</f>
        <v>Refrigerator</v>
      </c>
      <c r="C2001" t="str">
        <f>VLOOKUP(A2001,Raw_Data!A:L,3,FALSE)</f>
        <v>Vietnam</v>
      </c>
      <c r="D2001" s="3">
        <f>VLOOKUP(A2001,Raw_Data!A:L,12,FALSE)</f>
        <v>29500</v>
      </c>
      <c r="E2001" s="3">
        <f>VLOOKUP(A2001,Raw_Data!A:L,11,FALSE)</f>
        <v>50</v>
      </c>
      <c r="F2001" t="str">
        <f>TEXT(VLOOKUP(A2001,Raw_Data!A:L,5,FALSE),"mmm")</f>
        <v>Dec</v>
      </c>
    </row>
    <row r="2002" spans="1:6" x14ac:dyDescent="0.35">
      <c r="A2002" s="3" t="s">
        <v>2611</v>
      </c>
      <c r="B2002" t="str">
        <f>VLOOKUP(A2002,Raw_Data!A:L,6,FALSE)</f>
        <v>Blender</v>
      </c>
      <c r="C2002" t="str">
        <f>VLOOKUP(A2002,Raw_Data!A:L,3,FALSE)</f>
        <v>Malaysia</v>
      </c>
      <c r="D2002" s="3">
        <f>VLOOKUP(A2002,Raw_Data!A:L,12,FALSE)</f>
        <v>2352</v>
      </c>
      <c r="E2002" s="3">
        <f>VLOOKUP(A2002,Raw_Data!A:L,11,FALSE)</f>
        <v>48</v>
      </c>
      <c r="F2002" t="str">
        <f>TEXT(VLOOKUP(A2002,Raw_Data!A:L,5,FALSE),"mmm")</f>
        <v>Oct</v>
      </c>
    </row>
    <row r="2003" spans="1:6" x14ac:dyDescent="0.35">
      <c r="A2003" s="3" t="s">
        <v>2612</v>
      </c>
      <c r="B2003" t="str">
        <f>VLOOKUP(A2003,Raw_Data!A:L,6,FALSE)</f>
        <v>Iron</v>
      </c>
      <c r="C2003" t="str">
        <f>VLOOKUP(A2003,Raw_Data!A:L,3,FALSE)</f>
        <v>USA</v>
      </c>
      <c r="D2003" s="3">
        <f>VLOOKUP(A2003,Raw_Data!A:L,12,FALSE)</f>
        <v>1700</v>
      </c>
      <c r="E2003" s="3">
        <f>VLOOKUP(A2003,Raw_Data!A:L,11,FALSE)</f>
        <v>85</v>
      </c>
      <c r="F2003" t="str">
        <f>TEXT(VLOOKUP(A2003,Raw_Data!A:L,5,FALSE),"mmm")</f>
        <v>Dec</v>
      </c>
    </row>
    <row r="2004" spans="1:6" x14ac:dyDescent="0.35">
      <c r="A2004" s="3" t="s">
        <v>2613</v>
      </c>
      <c r="B2004" t="str">
        <f>VLOOKUP(A2004,Raw_Data!A:L,6,FALSE)</f>
        <v>Dishwasher</v>
      </c>
      <c r="C2004" t="str">
        <f>VLOOKUP(A2004,Raw_Data!A:L,3,FALSE)</f>
        <v>France</v>
      </c>
      <c r="D2004" s="3">
        <f>VLOOKUP(A2004,Raw_Data!A:L,12,FALSE)</f>
        <v>11700</v>
      </c>
      <c r="E2004" s="3">
        <f>VLOOKUP(A2004,Raw_Data!A:L,11,FALSE)</f>
        <v>26</v>
      </c>
      <c r="F2004" t="str">
        <f>TEXT(VLOOKUP(A2004,Raw_Data!A:L,5,FALSE),"mmm")</f>
        <v>Aug</v>
      </c>
    </row>
    <row r="2005" spans="1:6" x14ac:dyDescent="0.35">
      <c r="A2005" s="3" t="s">
        <v>2614</v>
      </c>
      <c r="B2005" t="str">
        <f>VLOOKUP(A2005,Raw_Data!A:L,6,FALSE)</f>
        <v>Oven</v>
      </c>
      <c r="C2005" t="str">
        <f>VLOOKUP(A2005,Raw_Data!A:L,3,FALSE)</f>
        <v>Egypt</v>
      </c>
      <c r="D2005" s="3">
        <f>VLOOKUP(A2005,Raw_Data!A:L,12,FALSE)</f>
        <v>17150</v>
      </c>
      <c r="E2005" s="3">
        <f>VLOOKUP(A2005,Raw_Data!A:L,11,FALSE)</f>
        <v>35</v>
      </c>
      <c r="F2005" t="str">
        <f>TEXT(VLOOKUP(A2005,Raw_Data!A:L,5,FALSE),"mmm")</f>
        <v>Dec</v>
      </c>
    </row>
    <row r="2006" spans="1:6" x14ac:dyDescent="0.35">
      <c r="A2006" s="3" t="s">
        <v>2615</v>
      </c>
      <c r="B2006" t="str">
        <f>VLOOKUP(A2006,Raw_Data!A:L,6,FALSE)</f>
        <v>Vacuum Cleaner</v>
      </c>
      <c r="C2006" t="str">
        <f>VLOOKUP(A2006,Raw_Data!A:L,3,FALSE)</f>
        <v>Poland</v>
      </c>
      <c r="D2006" s="3">
        <f>VLOOKUP(A2006,Raw_Data!A:L,12,FALSE)</f>
        <v>309</v>
      </c>
      <c r="E2006" s="3">
        <f>VLOOKUP(A2006,Raw_Data!A:L,11,FALSE)</f>
        <v>3</v>
      </c>
      <c r="F2006" t="str">
        <f>TEXT(VLOOKUP(A2006,Raw_Data!A:L,5,FALSE),"mmm")</f>
        <v>Dec</v>
      </c>
    </row>
    <row r="2007" spans="1:6" x14ac:dyDescent="0.35">
      <c r="A2007" s="3" t="s">
        <v>2616</v>
      </c>
      <c r="B2007" t="str">
        <f>VLOOKUP(A2007,Raw_Data!A:L,6,FALSE)</f>
        <v>Iron</v>
      </c>
      <c r="C2007" t="str">
        <f>VLOOKUP(A2007,Raw_Data!A:L,3,FALSE)</f>
        <v>France</v>
      </c>
      <c r="D2007" s="3">
        <f>VLOOKUP(A2007,Raw_Data!A:L,12,FALSE)</f>
        <v>832</v>
      </c>
      <c r="E2007" s="3">
        <f>VLOOKUP(A2007,Raw_Data!A:L,11,FALSE)</f>
        <v>32</v>
      </c>
      <c r="F2007" t="str">
        <f>TEXT(VLOOKUP(A2007,Raw_Data!A:L,5,FALSE),"mmm")</f>
        <v>Sep</v>
      </c>
    </row>
    <row r="2008" spans="1:6" x14ac:dyDescent="0.35">
      <c r="A2008" s="3" t="s">
        <v>2617</v>
      </c>
      <c r="B2008" t="str">
        <f>VLOOKUP(A2008,Raw_Data!A:L,6,FALSE)</f>
        <v>Refrigerator</v>
      </c>
      <c r="C2008" t="str">
        <f>VLOOKUP(A2008,Raw_Data!A:L,3,FALSE)</f>
        <v>India</v>
      </c>
      <c r="D2008" s="3">
        <f>VLOOKUP(A2008,Raw_Data!A:L,12,FALSE)</f>
        <v>54720</v>
      </c>
      <c r="E2008" s="3">
        <f>VLOOKUP(A2008,Raw_Data!A:L,11,FALSE)</f>
        <v>96</v>
      </c>
      <c r="F2008" t="str">
        <f>TEXT(VLOOKUP(A2008,Raw_Data!A:L,5,FALSE),"mmm")</f>
        <v>Sep</v>
      </c>
    </row>
    <row r="2009" spans="1:6" x14ac:dyDescent="0.35">
      <c r="A2009" s="3" t="s">
        <v>2618</v>
      </c>
      <c r="B2009" t="str">
        <f>VLOOKUP(A2009,Raw_Data!A:L,6,FALSE)</f>
        <v>Toaster</v>
      </c>
      <c r="C2009" t="str">
        <f>VLOOKUP(A2009,Raw_Data!A:L,3,FALSE)</f>
        <v>Ireland</v>
      </c>
      <c r="D2009" s="3">
        <f>VLOOKUP(A2009,Raw_Data!A:L,12,FALSE)</f>
        <v>3200</v>
      </c>
      <c r="E2009" s="3">
        <f>VLOOKUP(A2009,Raw_Data!A:L,11,FALSE)</f>
        <v>64</v>
      </c>
      <c r="F2009" t="str">
        <f>TEXT(VLOOKUP(A2009,Raw_Data!A:L,5,FALSE),"mmm")</f>
        <v>Feb</v>
      </c>
    </row>
    <row r="2010" spans="1:6" x14ac:dyDescent="0.35">
      <c r="A2010" s="3" t="s">
        <v>2619</v>
      </c>
      <c r="B2010" t="str">
        <f>VLOOKUP(A2010,Raw_Data!A:L,6,FALSE)</f>
        <v>Microwave</v>
      </c>
      <c r="C2010" t="str">
        <f>VLOOKUP(A2010,Raw_Data!A:L,3,FALSE)</f>
        <v>USA</v>
      </c>
      <c r="D2010" s="3">
        <f>VLOOKUP(A2010,Raw_Data!A:L,12,FALSE)</f>
        <v>4898</v>
      </c>
      <c r="E2010" s="3">
        <f>VLOOKUP(A2010,Raw_Data!A:L,11,FALSE)</f>
        <v>62</v>
      </c>
      <c r="F2010" t="str">
        <f>TEXT(VLOOKUP(A2010,Raw_Data!A:L,5,FALSE),"mmm")</f>
        <v>Apr</v>
      </c>
    </row>
    <row r="2011" spans="1:6" x14ac:dyDescent="0.35">
      <c r="A2011" s="3" t="s">
        <v>2620</v>
      </c>
      <c r="B2011" t="str">
        <f>VLOOKUP(A2011,Raw_Data!A:L,6,FALSE)</f>
        <v>Iron</v>
      </c>
      <c r="C2011" t="str">
        <f>VLOOKUP(A2011,Raw_Data!A:L,3,FALSE)</f>
        <v>Italy</v>
      </c>
      <c r="D2011" s="3">
        <f>VLOOKUP(A2011,Raw_Data!A:L,12,FALSE)</f>
        <v>81</v>
      </c>
      <c r="E2011" s="3">
        <f>VLOOKUP(A2011,Raw_Data!A:L,11,FALSE)</f>
        <v>3</v>
      </c>
      <c r="F2011" t="str">
        <f>TEXT(VLOOKUP(A2011,Raw_Data!A:L,5,FALSE),"mmm")</f>
        <v>Jun</v>
      </c>
    </row>
    <row r="2012" spans="1:6" x14ac:dyDescent="0.35">
      <c r="A2012" s="3" t="s">
        <v>2621</v>
      </c>
      <c r="B2012" t="str">
        <f>VLOOKUP(A2012,Raw_Data!A:L,6,FALSE)</f>
        <v>Refrigerator</v>
      </c>
      <c r="C2012" t="str">
        <f>VLOOKUP(A2012,Raw_Data!A:L,3,FALSE)</f>
        <v>Colombia</v>
      </c>
      <c r="D2012" s="3">
        <f>VLOOKUP(A2012,Raw_Data!A:L,12,FALSE)</f>
        <v>19200</v>
      </c>
      <c r="E2012" s="3">
        <f>VLOOKUP(A2012,Raw_Data!A:L,11,FALSE)</f>
        <v>24</v>
      </c>
      <c r="F2012" t="str">
        <f>TEXT(VLOOKUP(A2012,Raw_Data!A:L,5,FALSE),"mmm")</f>
        <v>Nov</v>
      </c>
    </row>
    <row r="2013" spans="1:6" x14ac:dyDescent="0.35">
      <c r="A2013" s="3" t="s">
        <v>2622</v>
      </c>
      <c r="B2013" t="str">
        <f>VLOOKUP(A2013,Raw_Data!A:L,6,FALSE)</f>
        <v>Toaster</v>
      </c>
      <c r="C2013" t="str">
        <f>VLOOKUP(A2013,Raw_Data!A:L,3,FALSE)</f>
        <v>Poland</v>
      </c>
      <c r="D2013" s="3">
        <f>VLOOKUP(A2013,Raw_Data!A:L,12,FALSE)</f>
        <v>4278</v>
      </c>
      <c r="E2013" s="3">
        <f>VLOOKUP(A2013,Raw_Data!A:L,11,FALSE)</f>
        <v>93</v>
      </c>
      <c r="F2013" t="str">
        <f>TEXT(VLOOKUP(A2013,Raw_Data!A:L,5,FALSE),"mmm")</f>
        <v>Feb</v>
      </c>
    </row>
    <row r="2014" spans="1:6" x14ac:dyDescent="0.35">
      <c r="A2014" s="3" t="s">
        <v>2623</v>
      </c>
      <c r="B2014" t="str">
        <f>VLOOKUP(A2014,Raw_Data!A:L,6,FALSE)</f>
        <v>Washing Machine</v>
      </c>
      <c r="C2014" t="str">
        <f>VLOOKUP(A2014,Raw_Data!A:L,3,FALSE)</f>
        <v>USA</v>
      </c>
      <c r="D2014" s="3">
        <f>VLOOKUP(A2014,Raw_Data!A:L,12,FALSE)</f>
        <v>14520</v>
      </c>
      <c r="E2014" s="3">
        <f>VLOOKUP(A2014,Raw_Data!A:L,11,FALSE)</f>
        <v>33</v>
      </c>
      <c r="F2014" t="str">
        <f>TEXT(VLOOKUP(A2014,Raw_Data!A:L,5,FALSE),"mmm")</f>
        <v>Mar</v>
      </c>
    </row>
    <row r="2015" spans="1:6" x14ac:dyDescent="0.35">
      <c r="A2015" s="3" t="s">
        <v>2624</v>
      </c>
      <c r="B2015" t="str">
        <f>VLOOKUP(A2015,Raw_Data!A:L,6,FALSE)</f>
        <v>Microwave</v>
      </c>
      <c r="C2015" t="str">
        <f>VLOOKUP(A2015,Raw_Data!A:L,3,FALSE)</f>
        <v>Canada</v>
      </c>
      <c r="D2015" s="3">
        <f>VLOOKUP(A2015,Raw_Data!A:L,12,FALSE)</f>
        <v>1349</v>
      </c>
      <c r="E2015" s="3">
        <f>VLOOKUP(A2015,Raw_Data!A:L,11,FALSE)</f>
        <v>19</v>
      </c>
      <c r="F2015" t="str">
        <f>TEXT(VLOOKUP(A2015,Raw_Data!A:L,5,FALSE),"mmm")</f>
        <v>Sep</v>
      </c>
    </row>
    <row r="2016" spans="1:6" x14ac:dyDescent="0.35">
      <c r="A2016" s="3" t="s">
        <v>2625</v>
      </c>
      <c r="B2016" t="str">
        <f>VLOOKUP(A2016,Raw_Data!A:L,6,FALSE)</f>
        <v>Washing Machine</v>
      </c>
      <c r="C2016" t="str">
        <f>VLOOKUP(A2016,Raw_Data!A:L,3,FALSE)</f>
        <v>USA</v>
      </c>
      <c r="D2016" s="3">
        <f>VLOOKUP(A2016,Raw_Data!A:L,12,FALSE)</f>
        <v>50176</v>
      </c>
      <c r="E2016" s="3">
        <f>VLOOKUP(A2016,Raw_Data!A:L,11,FALSE)</f>
        <v>98</v>
      </c>
      <c r="F2016" t="str">
        <f>TEXT(VLOOKUP(A2016,Raw_Data!A:L,5,FALSE),"mmm")</f>
        <v>Feb</v>
      </c>
    </row>
    <row r="2017" spans="1:6" x14ac:dyDescent="0.35">
      <c r="A2017" s="3" t="s">
        <v>2626</v>
      </c>
      <c r="B2017" t="str">
        <f>VLOOKUP(A2017,Raw_Data!A:L,6,FALSE)</f>
        <v>Microwave</v>
      </c>
      <c r="C2017" t="str">
        <f>VLOOKUP(A2017,Raw_Data!A:L,3,FALSE)</f>
        <v>Peru</v>
      </c>
      <c r="D2017" s="3">
        <f>VLOOKUP(A2017,Raw_Data!A:L,12,FALSE)</f>
        <v>3157</v>
      </c>
      <c r="E2017" s="3">
        <f>VLOOKUP(A2017,Raw_Data!A:L,11,FALSE)</f>
        <v>41</v>
      </c>
      <c r="F2017" t="str">
        <f>TEXT(VLOOKUP(A2017,Raw_Data!A:L,5,FALSE),"mmm")</f>
        <v>May</v>
      </c>
    </row>
    <row r="2018" spans="1:6" x14ac:dyDescent="0.35">
      <c r="A2018" s="3" t="s">
        <v>2627</v>
      </c>
      <c r="B2018" t="str">
        <f>VLOOKUP(A2018,Raw_Data!A:L,6,FALSE)</f>
        <v>Oven</v>
      </c>
      <c r="C2018" t="str">
        <f>VLOOKUP(A2018,Raw_Data!A:L,3,FALSE)</f>
        <v>Malaysia</v>
      </c>
      <c r="D2018" s="3">
        <f>VLOOKUP(A2018,Raw_Data!A:L,12,FALSE)</f>
        <v>19600</v>
      </c>
      <c r="E2018" s="3">
        <f>VLOOKUP(A2018,Raw_Data!A:L,11,FALSE)</f>
        <v>40</v>
      </c>
      <c r="F2018" t="str">
        <f>TEXT(VLOOKUP(A2018,Raw_Data!A:L,5,FALSE),"mmm")</f>
        <v>Aug</v>
      </c>
    </row>
    <row r="2019" spans="1:6" x14ac:dyDescent="0.35">
      <c r="A2019" s="3" t="s">
        <v>2628</v>
      </c>
      <c r="B2019" t="str">
        <f>VLOOKUP(A2019,Raw_Data!A:L,6,FALSE)</f>
        <v>Refrigerator</v>
      </c>
      <c r="C2019" t="str">
        <f>VLOOKUP(A2019,Raw_Data!A:L,3,FALSE)</f>
        <v>UK</v>
      </c>
      <c r="D2019" s="3">
        <f>VLOOKUP(A2019,Raw_Data!A:L,12,FALSE)</f>
        <v>50600</v>
      </c>
      <c r="E2019" s="3">
        <f>VLOOKUP(A2019,Raw_Data!A:L,11,FALSE)</f>
        <v>55</v>
      </c>
      <c r="F2019" t="str">
        <f>TEXT(VLOOKUP(A2019,Raw_Data!A:L,5,FALSE),"mmm")</f>
        <v>Nov</v>
      </c>
    </row>
    <row r="2020" spans="1:6" x14ac:dyDescent="0.35">
      <c r="A2020" s="3" t="s">
        <v>2629</v>
      </c>
      <c r="B2020" t="str">
        <f>VLOOKUP(A2020,Raw_Data!A:L,6,FALSE)</f>
        <v>Refrigerator</v>
      </c>
      <c r="C2020" t="str">
        <f>VLOOKUP(A2020,Raw_Data!A:L,3,FALSE)</f>
        <v>Saudi Arabia</v>
      </c>
      <c r="D2020" s="3">
        <f>VLOOKUP(A2020,Raw_Data!A:L,12,FALSE)</f>
        <v>68080</v>
      </c>
      <c r="E2020" s="3">
        <f>VLOOKUP(A2020,Raw_Data!A:L,11,FALSE)</f>
        <v>92</v>
      </c>
      <c r="F2020" t="str">
        <f>TEXT(VLOOKUP(A2020,Raw_Data!A:L,5,FALSE),"mmm")</f>
        <v>Apr</v>
      </c>
    </row>
    <row r="2021" spans="1:6" x14ac:dyDescent="0.35">
      <c r="A2021" s="3" t="s">
        <v>2630</v>
      </c>
      <c r="B2021" t="str">
        <f>VLOOKUP(A2021,Raw_Data!A:L,6,FALSE)</f>
        <v>Dishwasher</v>
      </c>
      <c r="C2021" t="str">
        <f>VLOOKUP(A2021,Raw_Data!A:L,3,FALSE)</f>
        <v>Czech Republic</v>
      </c>
      <c r="D2021" s="3">
        <f>VLOOKUP(A2021,Raw_Data!A:L,12,FALSE)</f>
        <v>25650</v>
      </c>
      <c r="E2021" s="3">
        <f>VLOOKUP(A2021,Raw_Data!A:L,11,FALSE)</f>
        <v>57</v>
      </c>
      <c r="F2021" t="str">
        <f>TEXT(VLOOKUP(A2021,Raw_Data!A:L,5,FALSE),"mmm")</f>
        <v>Jun</v>
      </c>
    </row>
    <row r="2022" spans="1:6" x14ac:dyDescent="0.35">
      <c r="A2022" s="3" t="s">
        <v>2631</v>
      </c>
      <c r="B2022" t="str">
        <f>VLOOKUP(A2022,Raw_Data!A:L,6,FALSE)</f>
        <v>Iron</v>
      </c>
      <c r="C2022" t="str">
        <f>VLOOKUP(A2022,Raw_Data!A:L,3,FALSE)</f>
        <v>China</v>
      </c>
      <c r="D2022" s="3">
        <f>VLOOKUP(A2022,Raw_Data!A:L,12,FALSE)</f>
        <v>2040</v>
      </c>
      <c r="E2022" s="3">
        <f>VLOOKUP(A2022,Raw_Data!A:L,11,FALSE)</f>
        <v>68</v>
      </c>
      <c r="F2022" t="str">
        <f>TEXT(VLOOKUP(A2022,Raw_Data!A:L,5,FALSE),"mmm")</f>
        <v>Nov</v>
      </c>
    </row>
    <row r="2023" spans="1:6" x14ac:dyDescent="0.35">
      <c r="A2023" s="3" t="s">
        <v>2632</v>
      </c>
      <c r="B2023" t="str">
        <f>VLOOKUP(A2023,Raw_Data!A:L,6,FALSE)</f>
        <v>Coffee grinder</v>
      </c>
      <c r="C2023" t="str">
        <f>VLOOKUP(A2023,Raw_Data!A:L,3,FALSE)</f>
        <v>Israel</v>
      </c>
      <c r="D2023" s="3">
        <f>VLOOKUP(A2023,Raw_Data!A:L,12,FALSE)</f>
        <v>1624</v>
      </c>
      <c r="E2023" s="3">
        <f>VLOOKUP(A2023,Raw_Data!A:L,11,FALSE)</f>
        <v>29</v>
      </c>
      <c r="F2023" t="str">
        <f>TEXT(VLOOKUP(A2023,Raw_Data!A:L,5,FALSE),"mmm")</f>
        <v>Jul</v>
      </c>
    </row>
    <row r="2024" spans="1:6" x14ac:dyDescent="0.35">
      <c r="A2024" s="3" t="s">
        <v>2633</v>
      </c>
      <c r="B2024" t="str">
        <f>VLOOKUP(A2024,Raw_Data!A:L,6,FALSE)</f>
        <v>Refrigerator</v>
      </c>
      <c r="C2024" t="str">
        <f>VLOOKUP(A2024,Raw_Data!A:L,3,FALSE)</f>
        <v>Canada</v>
      </c>
      <c r="D2024" s="3">
        <f>VLOOKUP(A2024,Raw_Data!A:L,12,FALSE)</f>
        <v>30240</v>
      </c>
      <c r="E2024" s="3">
        <f>VLOOKUP(A2024,Raw_Data!A:L,11,FALSE)</f>
        <v>54</v>
      </c>
      <c r="F2024" t="str">
        <f>TEXT(VLOOKUP(A2024,Raw_Data!A:L,5,FALSE),"mmm")</f>
        <v>Apr</v>
      </c>
    </row>
    <row r="2025" spans="1:6" x14ac:dyDescent="0.35">
      <c r="A2025" s="3" t="s">
        <v>2634</v>
      </c>
      <c r="B2025" t="str">
        <f>VLOOKUP(A2025,Raw_Data!A:L,6,FALSE)</f>
        <v>Blender</v>
      </c>
      <c r="C2025" t="str">
        <f>VLOOKUP(A2025,Raw_Data!A:L,3,FALSE)</f>
        <v>Israel</v>
      </c>
      <c r="D2025" s="3">
        <f>VLOOKUP(A2025,Raw_Data!A:L,12,FALSE)</f>
        <v>3072</v>
      </c>
      <c r="E2025" s="3">
        <f>VLOOKUP(A2025,Raw_Data!A:L,11,FALSE)</f>
        <v>64</v>
      </c>
      <c r="F2025" t="str">
        <f>TEXT(VLOOKUP(A2025,Raw_Data!A:L,5,FALSE),"mmm")</f>
        <v>Jan</v>
      </c>
    </row>
    <row r="2026" spans="1:6" x14ac:dyDescent="0.35">
      <c r="A2026" s="3" t="s">
        <v>2635</v>
      </c>
      <c r="B2026" t="str">
        <f>VLOOKUP(A2026,Raw_Data!A:L,6,FALSE)</f>
        <v>Dishwasher</v>
      </c>
      <c r="C2026" t="str">
        <f>VLOOKUP(A2026,Raw_Data!A:L,3,FALSE)</f>
        <v>Vietnam</v>
      </c>
      <c r="D2026" s="3">
        <f>VLOOKUP(A2026,Raw_Data!A:L,12,FALSE)</f>
        <v>34790</v>
      </c>
      <c r="E2026" s="3">
        <f>VLOOKUP(A2026,Raw_Data!A:L,11,FALSE)</f>
        <v>71</v>
      </c>
      <c r="F2026" t="str">
        <f>TEXT(VLOOKUP(A2026,Raw_Data!A:L,5,FALSE),"mmm")</f>
        <v>Sep</v>
      </c>
    </row>
    <row r="2027" spans="1:6" x14ac:dyDescent="0.35">
      <c r="A2027" s="3" t="s">
        <v>2636</v>
      </c>
      <c r="B2027" t="str">
        <f>VLOOKUP(A2027,Raw_Data!A:L,6,FALSE)</f>
        <v>Oven</v>
      </c>
      <c r="C2027" t="str">
        <f>VLOOKUP(A2027,Raw_Data!A:L,3,FALSE)</f>
        <v>UK</v>
      </c>
      <c r="D2027" s="3">
        <f>VLOOKUP(A2027,Raw_Data!A:L,12,FALSE)</f>
        <v>21000</v>
      </c>
      <c r="E2027" s="3">
        <f>VLOOKUP(A2027,Raw_Data!A:L,11,FALSE)</f>
        <v>42</v>
      </c>
      <c r="F2027" t="str">
        <f>TEXT(VLOOKUP(A2027,Raw_Data!A:L,5,FALSE),"mmm")</f>
        <v>Apr</v>
      </c>
    </row>
    <row r="2028" spans="1:6" x14ac:dyDescent="0.35">
      <c r="A2028" s="3" t="s">
        <v>2637</v>
      </c>
      <c r="B2028" t="str">
        <f>VLOOKUP(A2028,Raw_Data!A:L,6,FALSE)</f>
        <v>Oven</v>
      </c>
      <c r="C2028" t="str">
        <f>VLOOKUP(A2028,Raw_Data!A:L,3,FALSE)</f>
        <v>USA</v>
      </c>
      <c r="D2028" s="3">
        <f>VLOOKUP(A2028,Raw_Data!A:L,12,FALSE)</f>
        <v>48020</v>
      </c>
      <c r="E2028" s="3">
        <f>VLOOKUP(A2028,Raw_Data!A:L,11,FALSE)</f>
        <v>98</v>
      </c>
      <c r="F2028" t="str">
        <f>TEXT(VLOOKUP(A2028,Raw_Data!A:L,5,FALSE),"mmm")</f>
        <v>Mar</v>
      </c>
    </row>
    <row r="2029" spans="1:6" x14ac:dyDescent="0.35">
      <c r="A2029" s="3" t="s">
        <v>2638</v>
      </c>
      <c r="B2029" t="str">
        <f>VLOOKUP(A2029,Raw_Data!A:L,6,FALSE)</f>
        <v>Ceiling fan</v>
      </c>
      <c r="C2029" t="str">
        <f>VLOOKUP(A2029,Raw_Data!A:L,3,FALSE)</f>
        <v>USA</v>
      </c>
      <c r="D2029" s="3">
        <f>VLOOKUP(A2029,Raw_Data!A:L,12,FALSE)</f>
        <v>1616</v>
      </c>
      <c r="E2029" s="3">
        <f>VLOOKUP(A2029,Raw_Data!A:L,11,FALSE)</f>
        <v>16</v>
      </c>
      <c r="F2029" t="str">
        <f>TEXT(VLOOKUP(A2029,Raw_Data!A:L,5,FALSE),"mmm")</f>
        <v>Oct</v>
      </c>
    </row>
    <row r="2030" spans="1:6" x14ac:dyDescent="0.35">
      <c r="A2030" s="3" t="s">
        <v>2640</v>
      </c>
      <c r="B2030" t="str">
        <f>VLOOKUP(A2030,Raw_Data!A:L,6,FALSE)</f>
        <v>Coffee grinder</v>
      </c>
      <c r="C2030" t="str">
        <f>VLOOKUP(A2030,Raw_Data!A:L,3,FALSE)</f>
        <v>Mexico</v>
      </c>
      <c r="D2030" s="3">
        <f>VLOOKUP(A2030,Raw_Data!A:L,12,FALSE)</f>
        <v>1311</v>
      </c>
      <c r="E2030" s="3">
        <f>VLOOKUP(A2030,Raw_Data!A:L,11,FALSE)</f>
        <v>19</v>
      </c>
      <c r="F2030" t="str">
        <f>TEXT(VLOOKUP(A2030,Raw_Data!A:L,5,FALSE),"mmm")</f>
        <v>Dec</v>
      </c>
    </row>
    <row r="2031" spans="1:6" x14ac:dyDescent="0.35">
      <c r="A2031" s="3" t="s">
        <v>2641</v>
      </c>
      <c r="B2031" t="str">
        <f>VLOOKUP(A2031,Raw_Data!A:L,6,FALSE)</f>
        <v>Washing Machine</v>
      </c>
      <c r="C2031" t="str">
        <f>VLOOKUP(A2031,Raw_Data!A:L,3,FALSE)</f>
        <v>USA</v>
      </c>
      <c r="D2031" s="3">
        <f>VLOOKUP(A2031,Raw_Data!A:L,12,FALSE)</f>
        <v>58464</v>
      </c>
      <c r="E2031" s="3">
        <f>VLOOKUP(A2031,Raw_Data!A:L,11,FALSE)</f>
        <v>84</v>
      </c>
      <c r="F2031" t="str">
        <f>TEXT(VLOOKUP(A2031,Raw_Data!A:L,5,FALSE),"mmm")</f>
        <v>May</v>
      </c>
    </row>
    <row r="2032" spans="1:6" x14ac:dyDescent="0.35">
      <c r="A2032" s="3" t="s">
        <v>2642</v>
      </c>
      <c r="B2032" t="str">
        <f>VLOOKUP(A2032,Raw_Data!A:L,6,FALSE)</f>
        <v>Coffee grinder</v>
      </c>
      <c r="C2032" t="str">
        <f>VLOOKUP(A2032,Raw_Data!A:L,3,FALSE)</f>
        <v>Russia</v>
      </c>
      <c r="D2032" s="3">
        <f>VLOOKUP(A2032,Raw_Data!A:L,12,FALSE)</f>
        <v>2484</v>
      </c>
      <c r="E2032" s="3">
        <f>VLOOKUP(A2032,Raw_Data!A:L,11,FALSE)</f>
        <v>36</v>
      </c>
      <c r="F2032" t="str">
        <f>TEXT(VLOOKUP(A2032,Raw_Data!A:L,5,FALSE),"mmm")</f>
        <v>Apr</v>
      </c>
    </row>
    <row r="2033" spans="1:6" x14ac:dyDescent="0.35">
      <c r="A2033" s="3" t="s">
        <v>2643</v>
      </c>
      <c r="B2033" t="str">
        <f>VLOOKUP(A2033,Raw_Data!A:L,6,FALSE)</f>
        <v>Washing Machine</v>
      </c>
      <c r="C2033" t="str">
        <f>VLOOKUP(A2033,Raw_Data!A:L,3,FALSE)</f>
        <v>Australia</v>
      </c>
      <c r="D2033" s="3">
        <f>VLOOKUP(A2033,Raw_Data!A:L,12,FALSE)</f>
        <v>38480</v>
      </c>
      <c r="E2033" s="3">
        <f>VLOOKUP(A2033,Raw_Data!A:L,11,FALSE)</f>
        <v>74</v>
      </c>
      <c r="F2033" t="str">
        <f>TEXT(VLOOKUP(A2033,Raw_Data!A:L,5,FALSE),"mmm")</f>
        <v>Nov</v>
      </c>
    </row>
    <row r="2034" spans="1:6" x14ac:dyDescent="0.35">
      <c r="A2034" s="3" t="s">
        <v>2644</v>
      </c>
      <c r="B2034" t="str">
        <f>VLOOKUP(A2034,Raw_Data!A:L,6,FALSE)</f>
        <v>Blender</v>
      </c>
      <c r="C2034" t="str">
        <f>VLOOKUP(A2034,Raw_Data!A:L,3,FALSE)</f>
        <v>Israel</v>
      </c>
      <c r="D2034" s="3">
        <f>VLOOKUP(A2034,Raw_Data!A:L,12,FALSE)</f>
        <v>616</v>
      </c>
      <c r="E2034" s="3">
        <f>VLOOKUP(A2034,Raw_Data!A:L,11,FALSE)</f>
        <v>14</v>
      </c>
      <c r="F2034" t="str">
        <f>TEXT(VLOOKUP(A2034,Raw_Data!A:L,5,FALSE),"mmm")</f>
        <v>Jun</v>
      </c>
    </row>
    <row r="2035" spans="1:6" x14ac:dyDescent="0.35">
      <c r="A2035" s="3" t="s">
        <v>2645</v>
      </c>
      <c r="B2035" t="str">
        <f>VLOOKUP(A2035,Raw_Data!A:L,6,FALSE)</f>
        <v>Microwave</v>
      </c>
      <c r="C2035" t="str">
        <f>VLOOKUP(A2035,Raw_Data!A:L,3,FALSE)</f>
        <v>South Korea</v>
      </c>
      <c r="D2035" s="3">
        <f>VLOOKUP(A2035,Raw_Data!A:L,12,FALSE)</f>
        <v>6391</v>
      </c>
      <c r="E2035" s="3">
        <f>VLOOKUP(A2035,Raw_Data!A:L,11,FALSE)</f>
        <v>83</v>
      </c>
      <c r="F2035" t="str">
        <f>TEXT(VLOOKUP(A2035,Raw_Data!A:L,5,FALSE),"mmm")</f>
        <v>Mar</v>
      </c>
    </row>
    <row r="2036" spans="1:6" x14ac:dyDescent="0.35">
      <c r="A2036" s="3" t="s">
        <v>2646</v>
      </c>
      <c r="B2036" t="str">
        <f>VLOOKUP(A2036,Raw_Data!A:L,6,FALSE)</f>
        <v>Air conditioner</v>
      </c>
      <c r="C2036" t="str">
        <f>VLOOKUP(A2036,Raw_Data!A:L,3,FALSE)</f>
        <v>Japan</v>
      </c>
      <c r="D2036" s="3">
        <f>VLOOKUP(A2036,Raw_Data!A:L,12,FALSE)</f>
        <v>24570</v>
      </c>
      <c r="E2036" s="3">
        <f>VLOOKUP(A2036,Raw_Data!A:L,11,FALSE)</f>
        <v>54</v>
      </c>
      <c r="F2036" t="str">
        <f>TEXT(VLOOKUP(A2036,Raw_Data!A:L,5,FALSE),"mmm")</f>
        <v>Nov</v>
      </c>
    </row>
    <row r="2037" spans="1:6" x14ac:dyDescent="0.35">
      <c r="A2037" s="3" t="s">
        <v>2647</v>
      </c>
      <c r="B2037" t="str">
        <f>VLOOKUP(A2037,Raw_Data!A:L,6,FALSE)</f>
        <v>Dishwasher</v>
      </c>
      <c r="C2037" t="str">
        <f>VLOOKUP(A2037,Raw_Data!A:L,3,FALSE)</f>
        <v>Peru</v>
      </c>
      <c r="D2037" s="3">
        <f>VLOOKUP(A2037,Raw_Data!A:L,12,FALSE)</f>
        <v>15520</v>
      </c>
      <c r="E2037" s="3">
        <f>VLOOKUP(A2037,Raw_Data!A:L,11,FALSE)</f>
        <v>32</v>
      </c>
      <c r="F2037" t="str">
        <f>TEXT(VLOOKUP(A2037,Raw_Data!A:L,5,FALSE),"mmm")</f>
        <v>Jun</v>
      </c>
    </row>
    <row r="2038" spans="1:6" x14ac:dyDescent="0.35">
      <c r="A2038" s="3" t="s">
        <v>2648</v>
      </c>
      <c r="B2038" t="str">
        <f>VLOOKUP(A2038,Raw_Data!A:L,6,FALSE)</f>
        <v>Oven</v>
      </c>
      <c r="C2038" t="str">
        <f>VLOOKUP(A2038,Raw_Data!A:L,3,FALSE)</f>
        <v>China</v>
      </c>
      <c r="D2038" s="3">
        <f>VLOOKUP(A2038,Raw_Data!A:L,12,FALSE)</f>
        <v>10500</v>
      </c>
      <c r="E2038" s="3">
        <f>VLOOKUP(A2038,Raw_Data!A:L,11,FALSE)</f>
        <v>21</v>
      </c>
      <c r="F2038" t="str">
        <f>TEXT(VLOOKUP(A2038,Raw_Data!A:L,5,FALSE),"mmm")</f>
        <v>Jul</v>
      </c>
    </row>
    <row r="2039" spans="1:6" x14ac:dyDescent="0.35">
      <c r="A2039" s="3" t="s">
        <v>2649</v>
      </c>
      <c r="B2039" t="str">
        <f>VLOOKUP(A2039,Raw_Data!A:L,6,FALSE)</f>
        <v>Ceiling fan</v>
      </c>
      <c r="C2039" t="str">
        <f>VLOOKUP(A2039,Raw_Data!A:L,3,FALSE)</f>
        <v>USA</v>
      </c>
      <c r="D2039" s="3">
        <f>VLOOKUP(A2039,Raw_Data!A:L,12,FALSE)</f>
        <v>6545</v>
      </c>
      <c r="E2039" s="3">
        <f>VLOOKUP(A2039,Raw_Data!A:L,11,FALSE)</f>
        <v>55</v>
      </c>
      <c r="F2039" t="str">
        <f>TEXT(VLOOKUP(A2039,Raw_Data!A:L,5,FALSE),"mmm")</f>
        <v>Jul</v>
      </c>
    </row>
    <row r="2040" spans="1:6" x14ac:dyDescent="0.35">
      <c r="A2040" s="3" t="s">
        <v>2650</v>
      </c>
      <c r="B2040" t="str">
        <f>VLOOKUP(A2040,Raw_Data!A:L,6,FALSE)</f>
        <v>Coffee grinder</v>
      </c>
      <c r="C2040" t="str">
        <f>VLOOKUP(A2040,Raw_Data!A:L,3,FALSE)</f>
        <v>Peru</v>
      </c>
      <c r="D2040" s="3">
        <f>VLOOKUP(A2040,Raw_Data!A:L,12,FALSE)</f>
        <v>3060</v>
      </c>
      <c r="E2040" s="3">
        <f>VLOOKUP(A2040,Raw_Data!A:L,11,FALSE)</f>
        <v>51</v>
      </c>
      <c r="F2040" t="str">
        <f>TEXT(VLOOKUP(A2040,Raw_Data!A:L,5,FALSE),"mmm")</f>
        <v>Dec</v>
      </c>
    </row>
    <row r="2041" spans="1:6" x14ac:dyDescent="0.35">
      <c r="A2041" s="3" t="s">
        <v>2651</v>
      </c>
      <c r="B2041" t="str">
        <f>VLOOKUP(A2041,Raw_Data!A:L,6,FALSE)</f>
        <v>Blender</v>
      </c>
      <c r="C2041" t="str">
        <f>VLOOKUP(A2041,Raw_Data!A:L,3,FALSE)</f>
        <v>Australia</v>
      </c>
      <c r="D2041" s="3">
        <f>VLOOKUP(A2041,Raw_Data!A:L,12,FALSE)</f>
        <v>4140</v>
      </c>
      <c r="E2041" s="3">
        <f>VLOOKUP(A2041,Raw_Data!A:L,11,FALSE)</f>
        <v>92</v>
      </c>
      <c r="F2041" t="str">
        <f>TEXT(VLOOKUP(A2041,Raw_Data!A:L,5,FALSE),"mmm")</f>
        <v>Oct</v>
      </c>
    </row>
    <row r="2042" spans="1:6" x14ac:dyDescent="0.35">
      <c r="A2042" s="3" t="s">
        <v>2652</v>
      </c>
      <c r="B2042" t="str">
        <f>VLOOKUP(A2042,Raw_Data!A:L,6,FALSE)</f>
        <v>Washing Machine</v>
      </c>
      <c r="C2042" t="str">
        <f>VLOOKUP(A2042,Raw_Data!A:L,3,FALSE)</f>
        <v>Russia</v>
      </c>
      <c r="D2042" s="3">
        <f>VLOOKUP(A2042,Raw_Data!A:L,12,FALSE)</f>
        <v>71424</v>
      </c>
      <c r="E2042" s="3">
        <f>VLOOKUP(A2042,Raw_Data!A:L,11,FALSE)</f>
        <v>96</v>
      </c>
      <c r="F2042" t="str">
        <f>TEXT(VLOOKUP(A2042,Raw_Data!A:L,5,FALSE),"mmm")</f>
        <v>Jul</v>
      </c>
    </row>
    <row r="2043" spans="1:6" x14ac:dyDescent="0.35">
      <c r="A2043" s="3" t="s">
        <v>2653</v>
      </c>
      <c r="B2043" t="str">
        <f>VLOOKUP(A2043,Raw_Data!A:L,6,FALSE)</f>
        <v>Dishwasher</v>
      </c>
      <c r="C2043" t="str">
        <f>VLOOKUP(A2043,Raw_Data!A:L,3,FALSE)</f>
        <v>USA</v>
      </c>
      <c r="D2043" s="3">
        <f>VLOOKUP(A2043,Raw_Data!A:L,12,FALSE)</f>
        <v>35250</v>
      </c>
      <c r="E2043" s="3">
        <f>VLOOKUP(A2043,Raw_Data!A:L,11,FALSE)</f>
        <v>75</v>
      </c>
      <c r="F2043" t="str">
        <f>TEXT(VLOOKUP(A2043,Raw_Data!A:L,5,FALSE),"mmm")</f>
        <v>Jul</v>
      </c>
    </row>
    <row r="2044" spans="1:6" x14ac:dyDescent="0.35">
      <c r="A2044" s="3" t="s">
        <v>2654</v>
      </c>
      <c r="B2044" t="str">
        <f>VLOOKUP(A2044,Raw_Data!A:L,6,FALSE)</f>
        <v>Coffee grinder</v>
      </c>
      <c r="C2044" t="str">
        <f>VLOOKUP(A2044,Raw_Data!A:L,3,FALSE)</f>
        <v>Mexico</v>
      </c>
      <c r="D2044" s="3">
        <f>VLOOKUP(A2044,Raw_Data!A:L,12,FALSE)</f>
        <v>1891</v>
      </c>
      <c r="E2044" s="3">
        <f>VLOOKUP(A2044,Raw_Data!A:L,11,FALSE)</f>
        <v>31</v>
      </c>
      <c r="F2044" t="str">
        <f>TEXT(VLOOKUP(A2044,Raw_Data!A:L,5,FALSE),"mmm")</f>
        <v>Apr</v>
      </c>
    </row>
    <row r="2045" spans="1:6" x14ac:dyDescent="0.35">
      <c r="A2045" s="3" t="s">
        <v>2655</v>
      </c>
      <c r="B2045" t="str">
        <f>VLOOKUP(A2045,Raw_Data!A:L,6,FALSE)</f>
        <v>Air conditioner</v>
      </c>
      <c r="C2045" t="str">
        <f>VLOOKUP(A2045,Raw_Data!A:L,3,FALSE)</f>
        <v>Japan</v>
      </c>
      <c r="D2045" s="3">
        <f>VLOOKUP(A2045,Raw_Data!A:L,12,FALSE)</f>
        <v>44772</v>
      </c>
      <c r="E2045" s="3">
        <f>VLOOKUP(A2045,Raw_Data!A:L,11,FALSE)</f>
        <v>82</v>
      </c>
      <c r="F2045" t="str">
        <f>TEXT(VLOOKUP(A2045,Raw_Data!A:L,5,FALSE),"mmm")</f>
        <v>May</v>
      </c>
    </row>
    <row r="2046" spans="1:6" x14ac:dyDescent="0.35">
      <c r="A2046" s="3" t="s">
        <v>2656</v>
      </c>
      <c r="B2046" t="str">
        <f>VLOOKUP(A2046,Raw_Data!A:L,6,FALSE)</f>
        <v>Oven</v>
      </c>
      <c r="C2046" t="str">
        <f>VLOOKUP(A2046,Raw_Data!A:L,3,FALSE)</f>
        <v>Australia</v>
      </c>
      <c r="D2046" s="3">
        <f>VLOOKUP(A2046,Raw_Data!A:L,12,FALSE)</f>
        <v>19800</v>
      </c>
      <c r="E2046" s="3">
        <f>VLOOKUP(A2046,Raw_Data!A:L,11,FALSE)</f>
        <v>40</v>
      </c>
      <c r="F2046" t="str">
        <f>TEXT(VLOOKUP(A2046,Raw_Data!A:L,5,FALSE),"mmm")</f>
        <v>Apr</v>
      </c>
    </row>
    <row r="2047" spans="1:6" x14ac:dyDescent="0.35">
      <c r="A2047" s="3" t="s">
        <v>2657</v>
      </c>
      <c r="B2047" t="str">
        <f>VLOOKUP(A2047,Raw_Data!A:L,6,FALSE)</f>
        <v>Washing Machine</v>
      </c>
      <c r="C2047" t="str">
        <f>VLOOKUP(A2047,Raw_Data!A:L,3,FALSE)</f>
        <v>Mexico</v>
      </c>
      <c r="D2047" s="3">
        <f>VLOOKUP(A2047,Raw_Data!A:L,12,FALSE)</f>
        <v>41440</v>
      </c>
      <c r="E2047" s="3">
        <f>VLOOKUP(A2047,Raw_Data!A:L,11,FALSE)</f>
        <v>70</v>
      </c>
      <c r="F2047" t="str">
        <f>TEXT(VLOOKUP(A2047,Raw_Data!A:L,5,FALSE),"mmm")</f>
        <v>Feb</v>
      </c>
    </row>
    <row r="2048" spans="1:6" x14ac:dyDescent="0.35">
      <c r="A2048" s="3" t="s">
        <v>2658</v>
      </c>
      <c r="B2048" t="str">
        <f>VLOOKUP(A2048,Raw_Data!A:L,6,FALSE)</f>
        <v>Microwave</v>
      </c>
      <c r="C2048" t="str">
        <f>VLOOKUP(A2048,Raw_Data!A:L,3,FALSE)</f>
        <v>Ireland</v>
      </c>
      <c r="D2048" s="3">
        <f>VLOOKUP(A2048,Raw_Data!A:L,12,FALSE)</f>
        <v>640</v>
      </c>
      <c r="E2048" s="3">
        <f>VLOOKUP(A2048,Raw_Data!A:L,11,FALSE)</f>
        <v>10</v>
      </c>
      <c r="F2048" t="str">
        <f>TEXT(VLOOKUP(A2048,Raw_Data!A:L,5,FALSE),"mmm")</f>
        <v>Jun</v>
      </c>
    </row>
    <row r="2049" spans="1:6" x14ac:dyDescent="0.35">
      <c r="A2049" s="3" t="s">
        <v>2659</v>
      </c>
      <c r="B2049" t="str">
        <f>VLOOKUP(A2049,Raw_Data!A:L,6,FALSE)</f>
        <v>Air conditioner</v>
      </c>
      <c r="C2049" t="str">
        <f>VLOOKUP(A2049,Raw_Data!A:L,3,FALSE)</f>
        <v>China</v>
      </c>
      <c r="D2049" s="3">
        <f>VLOOKUP(A2049,Raw_Data!A:L,12,FALSE)</f>
        <v>42273</v>
      </c>
      <c r="E2049" s="3">
        <f>VLOOKUP(A2049,Raw_Data!A:L,11,FALSE)</f>
        <v>61</v>
      </c>
      <c r="F2049" t="str">
        <f>TEXT(VLOOKUP(A2049,Raw_Data!A:L,5,FALSE),"mmm")</f>
        <v>Nov</v>
      </c>
    </row>
    <row r="2050" spans="1:6" x14ac:dyDescent="0.35">
      <c r="A2050" s="3" t="s">
        <v>2660</v>
      </c>
      <c r="B2050" t="str">
        <f>VLOOKUP(A2050,Raw_Data!A:L,6,FALSE)</f>
        <v>Blender</v>
      </c>
      <c r="C2050" t="str">
        <f>VLOOKUP(A2050,Raw_Data!A:L,3,FALSE)</f>
        <v>Italy</v>
      </c>
      <c r="D2050" s="3">
        <f>VLOOKUP(A2050,Raw_Data!A:L,12,FALSE)</f>
        <v>722</v>
      </c>
      <c r="E2050" s="3">
        <f>VLOOKUP(A2050,Raw_Data!A:L,11,FALSE)</f>
        <v>19</v>
      </c>
      <c r="F2050" t="str">
        <f>TEXT(VLOOKUP(A2050,Raw_Data!A:L,5,FALSE),"mmm")</f>
        <v>Dec</v>
      </c>
    </row>
    <row r="2051" spans="1:6" x14ac:dyDescent="0.35">
      <c r="A2051" s="3" t="s">
        <v>2661</v>
      </c>
      <c r="B2051" t="str">
        <f>VLOOKUP(A2051,Raw_Data!A:L,6,FALSE)</f>
        <v>Ceiling fan</v>
      </c>
      <c r="C2051" t="str">
        <f>VLOOKUP(A2051,Raw_Data!A:L,3,FALSE)</f>
        <v>Mexico</v>
      </c>
      <c r="D2051" s="3">
        <f>VLOOKUP(A2051,Raw_Data!A:L,12,FALSE)</f>
        <v>2660</v>
      </c>
      <c r="E2051" s="3">
        <f>VLOOKUP(A2051,Raw_Data!A:L,11,FALSE)</f>
        <v>19</v>
      </c>
      <c r="F2051" t="str">
        <f>TEXT(VLOOKUP(A2051,Raw_Data!A:L,5,FALSE),"mmm")</f>
        <v>May</v>
      </c>
    </row>
    <row r="2052" spans="1:6" x14ac:dyDescent="0.35">
      <c r="A2052" s="3" t="s">
        <v>2663</v>
      </c>
      <c r="B2052" t="str">
        <f>VLOOKUP(A2052,Raw_Data!A:L,6,FALSE)</f>
        <v>Iron</v>
      </c>
      <c r="C2052" t="str">
        <f>VLOOKUP(A2052,Raw_Data!A:L,3,FALSE)</f>
        <v>Israel</v>
      </c>
      <c r="D2052" s="3">
        <f>VLOOKUP(A2052,Raw_Data!A:L,12,FALSE)</f>
        <v>1440</v>
      </c>
      <c r="E2052" s="3">
        <f>VLOOKUP(A2052,Raw_Data!A:L,11,FALSE)</f>
        <v>60</v>
      </c>
      <c r="F2052" t="str">
        <f>TEXT(VLOOKUP(A2052,Raw_Data!A:L,5,FALSE),"mmm")</f>
        <v>Jun</v>
      </c>
    </row>
    <row r="2053" spans="1:6" x14ac:dyDescent="0.35">
      <c r="A2053" s="3" t="s">
        <v>2664</v>
      </c>
      <c r="B2053" t="str">
        <f>VLOOKUP(A2053,Raw_Data!A:L,6,FALSE)</f>
        <v>Microwave</v>
      </c>
      <c r="C2053" t="str">
        <f>VLOOKUP(A2053,Raw_Data!A:L,3,FALSE)</f>
        <v>Brazil</v>
      </c>
      <c r="D2053" s="3">
        <f>VLOOKUP(A2053,Raw_Data!A:L,12,FALSE)</f>
        <v>1998</v>
      </c>
      <c r="E2053" s="3">
        <f>VLOOKUP(A2053,Raw_Data!A:L,11,FALSE)</f>
        <v>27</v>
      </c>
      <c r="F2053" t="str">
        <f>TEXT(VLOOKUP(A2053,Raw_Data!A:L,5,FALSE),"mmm")</f>
        <v>Oct</v>
      </c>
    </row>
    <row r="2054" spans="1:6" x14ac:dyDescent="0.35">
      <c r="A2054" s="3" t="s">
        <v>2665</v>
      </c>
      <c r="B2054" t="str">
        <f>VLOOKUP(A2054,Raw_Data!A:L,6,FALSE)</f>
        <v>Coffee grinder</v>
      </c>
      <c r="C2054" t="str">
        <f>VLOOKUP(A2054,Raw_Data!A:L,3,FALSE)</f>
        <v>UAE</v>
      </c>
      <c r="D2054" s="3">
        <f>VLOOKUP(A2054,Raw_Data!A:L,12,FALSE)</f>
        <v>2542</v>
      </c>
      <c r="E2054" s="3">
        <f>VLOOKUP(A2054,Raw_Data!A:L,11,FALSE)</f>
        <v>41</v>
      </c>
      <c r="F2054" t="str">
        <f>TEXT(VLOOKUP(A2054,Raw_Data!A:L,5,FALSE),"mmm")</f>
        <v>Feb</v>
      </c>
    </row>
    <row r="2055" spans="1:6" x14ac:dyDescent="0.35">
      <c r="A2055" s="3" t="s">
        <v>2666</v>
      </c>
      <c r="B2055" t="str">
        <f>VLOOKUP(A2055,Raw_Data!A:L,6,FALSE)</f>
        <v>Microwave</v>
      </c>
      <c r="C2055" t="str">
        <f>VLOOKUP(A2055,Raw_Data!A:L,3,FALSE)</f>
        <v>India</v>
      </c>
      <c r="D2055" s="3">
        <f>VLOOKUP(A2055,Raw_Data!A:L,12,FALSE)</f>
        <v>76</v>
      </c>
      <c r="E2055" s="3">
        <f>VLOOKUP(A2055,Raw_Data!A:L,11,FALSE)</f>
        <v>1</v>
      </c>
      <c r="F2055" t="str">
        <f>TEXT(VLOOKUP(A2055,Raw_Data!A:L,5,FALSE),"mmm")</f>
        <v>Aug</v>
      </c>
    </row>
    <row r="2056" spans="1:6" x14ac:dyDescent="0.35">
      <c r="A2056" s="3" t="s">
        <v>2667</v>
      </c>
      <c r="B2056" t="str">
        <f>VLOOKUP(A2056,Raw_Data!A:L,6,FALSE)</f>
        <v>Toaster</v>
      </c>
      <c r="C2056" t="str">
        <f>VLOOKUP(A2056,Raw_Data!A:L,3,FALSE)</f>
        <v>USA</v>
      </c>
      <c r="D2056" s="3">
        <f>VLOOKUP(A2056,Raw_Data!A:L,12,FALSE)</f>
        <v>2475</v>
      </c>
      <c r="E2056" s="3">
        <f>VLOOKUP(A2056,Raw_Data!A:L,11,FALSE)</f>
        <v>55</v>
      </c>
      <c r="F2056" t="str">
        <f>TEXT(VLOOKUP(A2056,Raw_Data!A:L,5,FALSE),"mmm")</f>
        <v>Nov</v>
      </c>
    </row>
    <row r="2057" spans="1:6" x14ac:dyDescent="0.35">
      <c r="A2057" s="3" t="s">
        <v>2669</v>
      </c>
      <c r="B2057" t="str">
        <f>VLOOKUP(A2057,Raw_Data!A:L,6,FALSE)</f>
        <v>Refrigerator</v>
      </c>
      <c r="C2057" t="str">
        <f>VLOOKUP(A2057,Raw_Data!A:L,3,FALSE)</f>
        <v>USA</v>
      </c>
      <c r="D2057" s="3">
        <f>VLOOKUP(A2057,Raw_Data!A:L,12,FALSE)</f>
        <v>24120</v>
      </c>
      <c r="E2057" s="3">
        <f>VLOOKUP(A2057,Raw_Data!A:L,11,FALSE)</f>
        <v>36</v>
      </c>
      <c r="F2057" t="str">
        <f>TEXT(VLOOKUP(A2057,Raw_Data!A:L,5,FALSE),"mmm")</f>
        <v>May</v>
      </c>
    </row>
    <row r="2058" spans="1:6" x14ac:dyDescent="0.35">
      <c r="A2058" s="3" t="s">
        <v>2670</v>
      </c>
      <c r="B2058" t="str">
        <f>VLOOKUP(A2058,Raw_Data!A:L,6,FALSE)</f>
        <v>Coffee grinder</v>
      </c>
      <c r="C2058" t="str">
        <f>VLOOKUP(A2058,Raw_Data!A:L,3,FALSE)</f>
        <v>Netherlands</v>
      </c>
      <c r="D2058" s="3">
        <f>VLOOKUP(A2058,Raw_Data!A:L,12,FALSE)</f>
        <v>6700</v>
      </c>
      <c r="E2058" s="3">
        <f>VLOOKUP(A2058,Raw_Data!A:L,11,FALSE)</f>
        <v>100</v>
      </c>
      <c r="F2058" t="str">
        <f>TEXT(VLOOKUP(A2058,Raw_Data!A:L,5,FALSE),"mmm")</f>
        <v>Sep</v>
      </c>
    </row>
    <row r="2059" spans="1:6" x14ac:dyDescent="0.35">
      <c r="A2059" s="3" t="s">
        <v>2671</v>
      </c>
      <c r="B2059" t="str">
        <f>VLOOKUP(A2059,Raw_Data!A:L,6,FALSE)</f>
        <v>Toaster</v>
      </c>
      <c r="C2059" t="str">
        <f>VLOOKUP(A2059,Raw_Data!A:L,3,FALSE)</f>
        <v>USA</v>
      </c>
      <c r="D2059" s="3">
        <f>VLOOKUP(A2059,Raw_Data!A:L,12,FALSE)</f>
        <v>2806</v>
      </c>
      <c r="E2059" s="3">
        <f>VLOOKUP(A2059,Raw_Data!A:L,11,FALSE)</f>
        <v>61</v>
      </c>
      <c r="F2059" t="str">
        <f>TEXT(VLOOKUP(A2059,Raw_Data!A:L,5,FALSE),"mmm")</f>
        <v>Sep</v>
      </c>
    </row>
    <row r="2060" spans="1:6" x14ac:dyDescent="0.35">
      <c r="A2060" s="3" t="s">
        <v>2672</v>
      </c>
      <c r="B2060" t="str">
        <f>VLOOKUP(A2060,Raw_Data!A:L,6,FALSE)</f>
        <v>Washing Machine</v>
      </c>
      <c r="C2060" t="str">
        <f>VLOOKUP(A2060,Raw_Data!A:L,3,FALSE)</f>
        <v>Japan</v>
      </c>
      <c r="D2060" s="3">
        <f>VLOOKUP(A2060,Raw_Data!A:L,12,FALSE)</f>
        <v>33088</v>
      </c>
      <c r="E2060" s="3">
        <f>VLOOKUP(A2060,Raw_Data!A:L,11,FALSE)</f>
        <v>44</v>
      </c>
      <c r="F2060" t="str">
        <f>TEXT(VLOOKUP(A2060,Raw_Data!A:L,5,FALSE),"mmm")</f>
        <v>Aug</v>
      </c>
    </row>
    <row r="2061" spans="1:6" x14ac:dyDescent="0.35">
      <c r="A2061" s="3" t="s">
        <v>2673</v>
      </c>
      <c r="B2061" t="str">
        <f>VLOOKUP(A2061,Raw_Data!A:L,6,FALSE)</f>
        <v>Oven</v>
      </c>
      <c r="C2061" t="str">
        <f>VLOOKUP(A2061,Raw_Data!A:L,3,FALSE)</f>
        <v>Chile</v>
      </c>
      <c r="D2061" s="3">
        <f>VLOOKUP(A2061,Raw_Data!A:L,12,FALSE)</f>
        <v>49000</v>
      </c>
      <c r="E2061" s="3">
        <f>VLOOKUP(A2061,Raw_Data!A:L,11,FALSE)</f>
        <v>100</v>
      </c>
      <c r="F2061" t="str">
        <f>TEXT(VLOOKUP(A2061,Raw_Data!A:L,5,FALSE),"mmm")</f>
        <v>Apr</v>
      </c>
    </row>
    <row r="2062" spans="1:6" x14ac:dyDescent="0.35">
      <c r="A2062" s="3" t="s">
        <v>2674</v>
      </c>
      <c r="B2062" t="str">
        <f>VLOOKUP(A2062,Raw_Data!A:L,6,FALSE)</f>
        <v>Ceiling fan</v>
      </c>
      <c r="C2062" t="str">
        <f>VLOOKUP(A2062,Raw_Data!A:L,3,FALSE)</f>
        <v>Turkey</v>
      </c>
      <c r="D2062" s="3">
        <f>VLOOKUP(A2062,Raw_Data!A:L,12,FALSE)</f>
        <v>8967</v>
      </c>
      <c r="E2062" s="3">
        <f>VLOOKUP(A2062,Raw_Data!A:L,11,FALSE)</f>
        <v>61</v>
      </c>
      <c r="F2062" t="str">
        <f>TEXT(VLOOKUP(A2062,Raw_Data!A:L,5,FALSE),"mmm")</f>
        <v>Oct</v>
      </c>
    </row>
    <row r="2063" spans="1:6" x14ac:dyDescent="0.35">
      <c r="A2063" s="3" t="s">
        <v>2675</v>
      </c>
      <c r="B2063" t="str">
        <f>VLOOKUP(A2063,Raw_Data!A:L,6,FALSE)</f>
        <v>Oven</v>
      </c>
      <c r="C2063" t="str">
        <f>VLOOKUP(A2063,Raw_Data!A:L,3,FALSE)</f>
        <v>Czech Republic</v>
      </c>
      <c r="D2063" s="3">
        <f>VLOOKUP(A2063,Raw_Data!A:L,12,FALSE)</f>
        <v>23760</v>
      </c>
      <c r="E2063" s="3">
        <f>VLOOKUP(A2063,Raw_Data!A:L,11,FALSE)</f>
        <v>48</v>
      </c>
      <c r="F2063" t="str">
        <f>TEXT(VLOOKUP(A2063,Raw_Data!A:L,5,FALSE),"mmm")</f>
        <v>Oct</v>
      </c>
    </row>
    <row r="2064" spans="1:6" x14ac:dyDescent="0.35">
      <c r="A2064" s="3" t="s">
        <v>2676</v>
      </c>
      <c r="B2064" t="str">
        <f>VLOOKUP(A2064,Raw_Data!A:L,6,FALSE)</f>
        <v>Oven</v>
      </c>
      <c r="C2064" t="str">
        <f>VLOOKUP(A2064,Raw_Data!A:L,3,FALSE)</f>
        <v>Israel</v>
      </c>
      <c r="D2064" s="3">
        <f>VLOOKUP(A2064,Raw_Data!A:L,12,FALSE)</f>
        <v>19500</v>
      </c>
      <c r="E2064" s="3">
        <f>VLOOKUP(A2064,Raw_Data!A:L,11,FALSE)</f>
        <v>39</v>
      </c>
      <c r="F2064" t="str">
        <f>TEXT(VLOOKUP(A2064,Raw_Data!A:L,5,FALSE),"mmm")</f>
        <v>Jun</v>
      </c>
    </row>
    <row r="2065" spans="1:6" x14ac:dyDescent="0.35">
      <c r="A2065" s="3" t="s">
        <v>2677</v>
      </c>
      <c r="B2065" t="str">
        <f>VLOOKUP(A2065,Raw_Data!A:L,6,FALSE)</f>
        <v>Refrigerator</v>
      </c>
      <c r="C2065" t="str">
        <f>VLOOKUP(A2065,Raw_Data!A:L,3,FALSE)</f>
        <v>Austria</v>
      </c>
      <c r="D2065" s="3">
        <f>VLOOKUP(A2065,Raw_Data!A:L,12,FALSE)</f>
        <v>19040</v>
      </c>
      <c r="E2065" s="3">
        <f>VLOOKUP(A2065,Raw_Data!A:L,11,FALSE)</f>
        <v>28</v>
      </c>
      <c r="F2065" t="str">
        <f>TEXT(VLOOKUP(A2065,Raw_Data!A:L,5,FALSE),"mmm")</f>
        <v>Feb</v>
      </c>
    </row>
    <row r="2066" spans="1:6" x14ac:dyDescent="0.35">
      <c r="A2066" s="3" t="s">
        <v>2678</v>
      </c>
      <c r="B2066" t="str">
        <f>VLOOKUP(A2066,Raw_Data!A:L,6,FALSE)</f>
        <v>Iron</v>
      </c>
      <c r="C2066" t="str">
        <f>VLOOKUP(A2066,Raw_Data!A:L,3,FALSE)</f>
        <v>USA</v>
      </c>
      <c r="D2066" s="3">
        <f>VLOOKUP(A2066,Raw_Data!A:L,12,FALSE)</f>
        <v>675</v>
      </c>
      <c r="E2066" s="3">
        <f>VLOOKUP(A2066,Raw_Data!A:L,11,FALSE)</f>
        <v>25</v>
      </c>
      <c r="F2066" t="str">
        <f>TEXT(VLOOKUP(A2066,Raw_Data!A:L,5,FALSE),"mmm")</f>
        <v>Nov</v>
      </c>
    </row>
    <row r="2067" spans="1:6" x14ac:dyDescent="0.35">
      <c r="A2067" s="3" t="s">
        <v>2679</v>
      </c>
      <c r="B2067" t="str">
        <f>VLOOKUP(A2067,Raw_Data!A:L,6,FALSE)</f>
        <v>Blender</v>
      </c>
      <c r="C2067" t="str">
        <f>VLOOKUP(A2067,Raw_Data!A:L,3,FALSE)</f>
        <v>Mexico</v>
      </c>
      <c r="D2067" s="3">
        <f>VLOOKUP(A2067,Raw_Data!A:L,12,FALSE)</f>
        <v>2904</v>
      </c>
      <c r="E2067" s="3">
        <f>VLOOKUP(A2067,Raw_Data!A:L,11,FALSE)</f>
        <v>66</v>
      </c>
      <c r="F2067" t="str">
        <f>TEXT(VLOOKUP(A2067,Raw_Data!A:L,5,FALSE),"mmm")</f>
        <v>Oct</v>
      </c>
    </row>
    <row r="2068" spans="1:6" x14ac:dyDescent="0.35">
      <c r="A2068" s="3" t="s">
        <v>2680</v>
      </c>
      <c r="B2068" t="str">
        <f>VLOOKUP(A2068,Raw_Data!A:L,6,FALSE)</f>
        <v>Microwave</v>
      </c>
      <c r="C2068" t="str">
        <f>VLOOKUP(A2068,Raw_Data!A:L,3,FALSE)</f>
        <v>USA</v>
      </c>
      <c r="D2068" s="3">
        <f>VLOOKUP(A2068,Raw_Data!A:L,12,FALSE)</f>
        <v>5280</v>
      </c>
      <c r="E2068" s="3">
        <f>VLOOKUP(A2068,Raw_Data!A:L,11,FALSE)</f>
        <v>66</v>
      </c>
      <c r="F2068" t="str">
        <f>TEXT(VLOOKUP(A2068,Raw_Data!A:L,5,FALSE),"mmm")</f>
        <v>Apr</v>
      </c>
    </row>
    <row r="2069" spans="1:6" x14ac:dyDescent="0.35">
      <c r="A2069" s="3" t="s">
        <v>2681</v>
      </c>
      <c r="B2069" t="str">
        <f>VLOOKUP(A2069,Raw_Data!A:L,6,FALSE)</f>
        <v>Dishwasher</v>
      </c>
      <c r="C2069" t="str">
        <f>VLOOKUP(A2069,Raw_Data!A:L,3,FALSE)</f>
        <v>Italy</v>
      </c>
      <c r="D2069" s="3">
        <f>VLOOKUP(A2069,Raw_Data!A:L,12,FALSE)</f>
        <v>17640</v>
      </c>
      <c r="E2069" s="3">
        <f>VLOOKUP(A2069,Raw_Data!A:L,11,FALSE)</f>
        <v>49</v>
      </c>
      <c r="F2069" t="str">
        <f>TEXT(VLOOKUP(A2069,Raw_Data!A:L,5,FALSE),"mmm")</f>
        <v>Jan</v>
      </c>
    </row>
    <row r="2070" spans="1:6" x14ac:dyDescent="0.35">
      <c r="A2070" s="3" t="s">
        <v>2682</v>
      </c>
      <c r="B2070" t="str">
        <f>VLOOKUP(A2070,Raw_Data!A:L,6,FALSE)</f>
        <v>Washing Machine</v>
      </c>
      <c r="C2070" t="str">
        <f>VLOOKUP(A2070,Raw_Data!A:L,3,FALSE)</f>
        <v>USA</v>
      </c>
      <c r="D2070" s="3">
        <f>VLOOKUP(A2070,Raw_Data!A:L,12,FALSE)</f>
        <v>38704</v>
      </c>
      <c r="E2070" s="3">
        <f>VLOOKUP(A2070,Raw_Data!A:L,11,FALSE)</f>
        <v>59</v>
      </c>
      <c r="F2070" t="str">
        <f>TEXT(VLOOKUP(A2070,Raw_Data!A:L,5,FALSE),"mmm")</f>
        <v>Aug</v>
      </c>
    </row>
    <row r="2071" spans="1:6" x14ac:dyDescent="0.35">
      <c r="A2071" s="3" t="s">
        <v>2683</v>
      </c>
      <c r="B2071" t="str">
        <f>VLOOKUP(A2071,Raw_Data!A:L,6,FALSE)</f>
        <v>Vacuum Cleaner</v>
      </c>
      <c r="C2071" t="str">
        <f>VLOOKUP(A2071,Raw_Data!A:L,3,FALSE)</f>
        <v>USA</v>
      </c>
      <c r="D2071" s="3">
        <f>VLOOKUP(A2071,Raw_Data!A:L,12,FALSE)</f>
        <v>2480</v>
      </c>
      <c r="E2071" s="3">
        <f>VLOOKUP(A2071,Raw_Data!A:L,11,FALSE)</f>
        <v>10</v>
      </c>
      <c r="F2071" t="str">
        <f>TEXT(VLOOKUP(A2071,Raw_Data!A:L,5,FALSE),"mmm")</f>
        <v>May</v>
      </c>
    </row>
    <row r="2072" spans="1:6" x14ac:dyDescent="0.35">
      <c r="A2072" s="3" t="s">
        <v>2684</v>
      </c>
      <c r="B2072" t="str">
        <f>VLOOKUP(A2072,Raw_Data!A:L,6,FALSE)</f>
        <v>Blender</v>
      </c>
      <c r="C2072" t="str">
        <f>VLOOKUP(A2072,Raw_Data!A:L,3,FALSE)</f>
        <v>Peru</v>
      </c>
      <c r="D2072" s="3">
        <f>VLOOKUP(A2072,Raw_Data!A:L,12,FALSE)</f>
        <v>1813</v>
      </c>
      <c r="E2072" s="3">
        <f>VLOOKUP(A2072,Raw_Data!A:L,11,FALSE)</f>
        <v>37</v>
      </c>
      <c r="F2072" t="str">
        <f>TEXT(VLOOKUP(A2072,Raw_Data!A:L,5,FALSE),"mmm")</f>
        <v>Sep</v>
      </c>
    </row>
    <row r="2073" spans="1:6" x14ac:dyDescent="0.35">
      <c r="A2073" s="3" t="s">
        <v>2685</v>
      </c>
      <c r="B2073" t="str">
        <f>VLOOKUP(A2073,Raw_Data!A:L,6,FALSE)</f>
        <v>Dishwasher</v>
      </c>
      <c r="C2073" t="str">
        <f>VLOOKUP(A2073,Raw_Data!A:L,3,FALSE)</f>
        <v>Russia</v>
      </c>
      <c r="D2073" s="3">
        <f>VLOOKUP(A2073,Raw_Data!A:L,12,FALSE)</f>
        <v>12000</v>
      </c>
      <c r="E2073" s="3">
        <f>VLOOKUP(A2073,Raw_Data!A:L,11,FALSE)</f>
        <v>25</v>
      </c>
      <c r="F2073" t="str">
        <f>TEXT(VLOOKUP(A2073,Raw_Data!A:L,5,FALSE),"mmm")</f>
        <v>Sep</v>
      </c>
    </row>
    <row r="2074" spans="1:6" x14ac:dyDescent="0.35">
      <c r="A2074" s="3" t="s">
        <v>2686</v>
      </c>
      <c r="B2074" t="str">
        <f>VLOOKUP(A2074,Raw_Data!A:L,6,FALSE)</f>
        <v>Refrigerator</v>
      </c>
      <c r="C2074" t="str">
        <f>VLOOKUP(A2074,Raw_Data!A:L,3,FALSE)</f>
        <v>Japan</v>
      </c>
      <c r="D2074" s="3">
        <f>VLOOKUP(A2074,Raw_Data!A:L,12,FALSE)</f>
        <v>620</v>
      </c>
      <c r="E2074" s="3">
        <f>VLOOKUP(A2074,Raw_Data!A:L,11,FALSE)</f>
        <v>1</v>
      </c>
      <c r="F2074" t="str">
        <f>TEXT(VLOOKUP(A2074,Raw_Data!A:L,5,FALSE),"mmm")</f>
        <v>Jan</v>
      </c>
    </row>
    <row r="2075" spans="1:6" x14ac:dyDescent="0.35">
      <c r="A2075" s="3" t="s">
        <v>2687</v>
      </c>
      <c r="B2075" t="str">
        <f>VLOOKUP(A2075,Raw_Data!A:L,6,FALSE)</f>
        <v>Vacuum Cleaner</v>
      </c>
      <c r="C2075" t="str">
        <f>VLOOKUP(A2075,Raw_Data!A:L,3,FALSE)</f>
        <v>Canada</v>
      </c>
      <c r="D2075" s="3">
        <f>VLOOKUP(A2075,Raw_Data!A:L,12,FALSE)</f>
        <v>14440</v>
      </c>
      <c r="E2075" s="3">
        <f>VLOOKUP(A2075,Raw_Data!A:L,11,FALSE)</f>
        <v>76</v>
      </c>
      <c r="F2075" t="str">
        <f>TEXT(VLOOKUP(A2075,Raw_Data!A:L,5,FALSE),"mmm")</f>
        <v>Aug</v>
      </c>
    </row>
    <row r="2076" spans="1:6" x14ac:dyDescent="0.35">
      <c r="A2076" s="3" t="s">
        <v>2688</v>
      </c>
      <c r="B2076" t="str">
        <f>VLOOKUP(A2076,Raw_Data!A:L,6,FALSE)</f>
        <v>Washing Machine</v>
      </c>
      <c r="C2076" t="str">
        <f>VLOOKUP(A2076,Raw_Data!A:L,3,FALSE)</f>
        <v>UK</v>
      </c>
      <c r="D2076" s="3">
        <f>VLOOKUP(A2076,Raw_Data!A:L,12,FALSE)</f>
        <v>19720</v>
      </c>
      <c r="E2076" s="3">
        <f>VLOOKUP(A2076,Raw_Data!A:L,11,FALSE)</f>
        <v>29</v>
      </c>
      <c r="F2076" t="str">
        <f>TEXT(VLOOKUP(A2076,Raw_Data!A:L,5,FALSE),"mmm")</f>
        <v>May</v>
      </c>
    </row>
    <row r="2077" spans="1:6" x14ac:dyDescent="0.35">
      <c r="A2077" s="3" t="s">
        <v>2689</v>
      </c>
      <c r="B2077" t="str">
        <f>VLOOKUP(A2077,Raw_Data!A:L,6,FALSE)</f>
        <v>Dishwasher</v>
      </c>
      <c r="C2077" t="str">
        <f>VLOOKUP(A2077,Raw_Data!A:L,3,FALSE)</f>
        <v>India</v>
      </c>
      <c r="D2077" s="3">
        <f>VLOOKUP(A2077,Raw_Data!A:L,12,FALSE)</f>
        <v>18240</v>
      </c>
      <c r="E2077" s="3">
        <f>VLOOKUP(A2077,Raw_Data!A:L,11,FALSE)</f>
        <v>38</v>
      </c>
      <c r="F2077" t="str">
        <f>TEXT(VLOOKUP(A2077,Raw_Data!A:L,5,FALSE),"mmm")</f>
        <v>Sep</v>
      </c>
    </row>
    <row r="2078" spans="1:6" x14ac:dyDescent="0.35">
      <c r="A2078" s="3" t="s">
        <v>2690</v>
      </c>
      <c r="B2078" t="str">
        <f>VLOOKUP(A2078,Raw_Data!A:L,6,FALSE)</f>
        <v>Blender</v>
      </c>
      <c r="C2078" t="str">
        <f>VLOOKUP(A2078,Raw_Data!A:L,3,FALSE)</f>
        <v>Chile</v>
      </c>
      <c r="D2078" s="3">
        <f>VLOOKUP(A2078,Raw_Data!A:L,12,FALSE)</f>
        <v>2940</v>
      </c>
      <c r="E2078" s="3">
        <f>VLOOKUP(A2078,Raw_Data!A:L,11,FALSE)</f>
        <v>60</v>
      </c>
      <c r="F2078" t="str">
        <f>TEXT(VLOOKUP(A2078,Raw_Data!A:L,5,FALSE),"mmm")</f>
        <v>Dec</v>
      </c>
    </row>
    <row r="2079" spans="1:6" x14ac:dyDescent="0.35">
      <c r="A2079" s="3" t="s">
        <v>2691</v>
      </c>
      <c r="B2079" t="str">
        <f>VLOOKUP(A2079,Raw_Data!A:L,6,FALSE)</f>
        <v>Microwave</v>
      </c>
      <c r="C2079" t="str">
        <f>VLOOKUP(A2079,Raw_Data!A:L,3,FALSE)</f>
        <v>UAE</v>
      </c>
      <c r="D2079" s="3">
        <f>VLOOKUP(A2079,Raw_Data!A:L,12,FALSE)</f>
        <v>2494</v>
      </c>
      <c r="E2079" s="3">
        <f>VLOOKUP(A2079,Raw_Data!A:L,11,FALSE)</f>
        <v>43</v>
      </c>
      <c r="F2079" t="str">
        <f>TEXT(VLOOKUP(A2079,Raw_Data!A:L,5,FALSE),"mmm")</f>
        <v>Feb</v>
      </c>
    </row>
    <row r="2080" spans="1:6" x14ac:dyDescent="0.35">
      <c r="A2080" s="3" t="s">
        <v>2692</v>
      </c>
      <c r="B2080" t="str">
        <f>VLOOKUP(A2080,Raw_Data!A:L,6,FALSE)</f>
        <v>Dishwasher</v>
      </c>
      <c r="C2080" t="str">
        <f>VLOOKUP(A2080,Raw_Data!A:L,3,FALSE)</f>
        <v>USA</v>
      </c>
      <c r="D2080" s="3">
        <f>VLOOKUP(A2080,Raw_Data!A:L,12,FALSE)</f>
        <v>7500</v>
      </c>
      <c r="E2080" s="3">
        <f>VLOOKUP(A2080,Raw_Data!A:L,11,FALSE)</f>
        <v>15</v>
      </c>
      <c r="F2080" t="str">
        <f>TEXT(VLOOKUP(A2080,Raw_Data!A:L,5,FALSE),"mmm")</f>
        <v>May</v>
      </c>
    </row>
    <row r="2081" spans="1:6" x14ac:dyDescent="0.35">
      <c r="A2081" s="3" t="s">
        <v>2693</v>
      </c>
      <c r="B2081" t="str">
        <f>VLOOKUP(A2081,Raw_Data!A:L,6,FALSE)</f>
        <v>Air conditioner</v>
      </c>
      <c r="C2081" t="str">
        <f>VLOOKUP(A2081,Raw_Data!A:L,3,FALSE)</f>
        <v>Israel</v>
      </c>
      <c r="D2081" s="3">
        <f>VLOOKUP(A2081,Raw_Data!A:L,12,FALSE)</f>
        <v>43624</v>
      </c>
      <c r="E2081" s="3">
        <f>VLOOKUP(A2081,Raw_Data!A:L,11,FALSE)</f>
        <v>76</v>
      </c>
      <c r="F2081" t="str">
        <f>TEXT(VLOOKUP(A2081,Raw_Data!A:L,5,FALSE),"mmm")</f>
        <v>Oct</v>
      </c>
    </row>
    <row r="2082" spans="1:6" x14ac:dyDescent="0.35">
      <c r="A2082" s="3" t="s">
        <v>2694</v>
      </c>
      <c r="B2082" t="str">
        <f>VLOOKUP(A2082,Raw_Data!A:L,6,FALSE)</f>
        <v>Toaster</v>
      </c>
      <c r="C2082" t="str">
        <f>VLOOKUP(A2082,Raw_Data!A:L,3,FALSE)</f>
        <v>Spain</v>
      </c>
      <c r="D2082" s="3">
        <f>VLOOKUP(A2082,Raw_Data!A:L,12,FALSE)</f>
        <v>3901</v>
      </c>
      <c r="E2082" s="3">
        <f>VLOOKUP(A2082,Raw_Data!A:L,11,FALSE)</f>
        <v>83</v>
      </c>
      <c r="F2082" t="str">
        <f>TEXT(VLOOKUP(A2082,Raw_Data!A:L,5,FALSE),"mmm")</f>
        <v>Feb</v>
      </c>
    </row>
    <row r="2083" spans="1:6" x14ac:dyDescent="0.35">
      <c r="A2083" s="3" t="s">
        <v>2695</v>
      </c>
      <c r="B2083" t="str">
        <f>VLOOKUP(A2083,Raw_Data!A:L,6,FALSE)</f>
        <v>Iron</v>
      </c>
      <c r="C2083" t="str">
        <f>VLOOKUP(A2083,Raw_Data!A:L,3,FALSE)</f>
        <v>China</v>
      </c>
      <c r="D2083" s="3">
        <f>VLOOKUP(A2083,Raw_Data!A:L,12,FALSE)</f>
        <v>1326</v>
      </c>
      <c r="E2083" s="3">
        <f>VLOOKUP(A2083,Raw_Data!A:L,11,FALSE)</f>
        <v>51</v>
      </c>
      <c r="F2083" t="str">
        <f>TEXT(VLOOKUP(A2083,Raw_Data!A:L,5,FALSE),"mmm")</f>
        <v>Dec</v>
      </c>
    </row>
    <row r="2084" spans="1:6" x14ac:dyDescent="0.35">
      <c r="A2084" s="3" t="s">
        <v>2696</v>
      </c>
      <c r="B2084" t="str">
        <f>VLOOKUP(A2084,Raw_Data!A:L,6,FALSE)</f>
        <v>Iron</v>
      </c>
      <c r="C2084" t="str">
        <f>VLOOKUP(A2084,Raw_Data!A:L,3,FALSE)</f>
        <v>Australia</v>
      </c>
      <c r="D2084" s="3">
        <f>VLOOKUP(A2084,Raw_Data!A:L,12,FALSE)</f>
        <v>2200</v>
      </c>
      <c r="E2084" s="3">
        <f>VLOOKUP(A2084,Raw_Data!A:L,11,FALSE)</f>
        <v>100</v>
      </c>
      <c r="F2084" t="str">
        <f>TEXT(VLOOKUP(A2084,Raw_Data!A:L,5,FALSE),"mmm")</f>
        <v>Nov</v>
      </c>
    </row>
    <row r="2085" spans="1:6" x14ac:dyDescent="0.35">
      <c r="A2085" s="3" t="s">
        <v>2697</v>
      </c>
      <c r="B2085" t="str">
        <f>VLOOKUP(A2085,Raw_Data!A:L,6,FALSE)</f>
        <v>Air conditioner</v>
      </c>
      <c r="C2085" t="str">
        <f>VLOOKUP(A2085,Raw_Data!A:L,3,FALSE)</f>
        <v>South Africa</v>
      </c>
      <c r="D2085" s="3">
        <f>VLOOKUP(A2085,Raw_Data!A:L,12,FALSE)</f>
        <v>13580</v>
      </c>
      <c r="E2085" s="3">
        <f>VLOOKUP(A2085,Raw_Data!A:L,11,FALSE)</f>
        <v>20</v>
      </c>
      <c r="F2085" t="str">
        <f>TEXT(VLOOKUP(A2085,Raw_Data!A:L,5,FALSE),"mmm")</f>
        <v>Oct</v>
      </c>
    </row>
    <row r="2086" spans="1:6" x14ac:dyDescent="0.35">
      <c r="A2086" s="3" t="s">
        <v>2698</v>
      </c>
      <c r="B2086" t="str">
        <f>VLOOKUP(A2086,Raw_Data!A:L,6,FALSE)</f>
        <v>Refrigerator</v>
      </c>
      <c r="C2086" t="str">
        <f>VLOOKUP(A2086,Raw_Data!A:L,3,FALSE)</f>
        <v>Austria</v>
      </c>
      <c r="D2086" s="3">
        <f>VLOOKUP(A2086,Raw_Data!A:L,12,FALSE)</f>
        <v>5100</v>
      </c>
      <c r="E2086" s="3">
        <f>VLOOKUP(A2086,Raw_Data!A:L,11,FALSE)</f>
        <v>6</v>
      </c>
      <c r="F2086" t="str">
        <f>TEXT(VLOOKUP(A2086,Raw_Data!A:L,5,FALSE),"mmm")</f>
        <v>Oct</v>
      </c>
    </row>
    <row r="2087" spans="1:6" x14ac:dyDescent="0.35">
      <c r="A2087" s="3" t="s">
        <v>2699</v>
      </c>
      <c r="B2087" t="str">
        <f>VLOOKUP(A2087,Raw_Data!A:L,6,FALSE)</f>
        <v>Oven</v>
      </c>
      <c r="C2087" t="str">
        <f>VLOOKUP(A2087,Raw_Data!A:L,3,FALSE)</f>
        <v>India</v>
      </c>
      <c r="D2087" s="3">
        <f>VLOOKUP(A2087,Raw_Data!A:L,12,FALSE)</f>
        <v>35770</v>
      </c>
      <c r="E2087" s="3">
        <f>VLOOKUP(A2087,Raw_Data!A:L,11,FALSE)</f>
        <v>73</v>
      </c>
      <c r="F2087" t="str">
        <f>TEXT(VLOOKUP(A2087,Raw_Data!A:L,5,FALSE),"mmm")</f>
        <v>Jun</v>
      </c>
    </row>
    <row r="2088" spans="1:6" x14ac:dyDescent="0.35">
      <c r="A2088" s="3" t="s">
        <v>2700</v>
      </c>
      <c r="B2088" t="str">
        <f>VLOOKUP(A2088,Raw_Data!A:L,6,FALSE)</f>
        <v>Coffee grinder</v>
      </c>
      <c r="C2088" t="str">
        <f>VLOOKUP(A2088,Raw_Data!A:L,3,FALSE)</f>
        <v>South Africa</v>
      </c>
      <c r="D2088" s="3">
        <f>VLOOKUP(A2088,Raw_Data!A:L,12,FALSE)</f>
        <v>5110</v>
      </c>
      <c r="E2088" s="3">
        <f>VLOOKUP(A2088,Raw_Data!A:L,11,FALSE)</f>
        <v>73</v>
      </c>
      <c r="F2088" t="str">
        <f>TEXT(VLOOKUP(A2088,Raw_Data!A:L,5,FALSE),"mmm")</f>
        <v>Aug</v>
      </c>
    </row>
    <row r="2089" spans="1:6" x14ac:dyDescent="0.35">
      <c r="A2089" s="3" t="s">
        <v>2701</v>
      </c>
      <c r="B2089" t="str">
        <f>VLOOKUP(A2089,Raw_Data!A:L,6,FALSE)</f>
        <v>Dishwasher</v>
      </c>
      <c r="C2089" t="str">
        <f>VLOOKUP(A2089,Raw_Data!A:L,3,FALSE)</f>
        <v>India</v>
      </c>
      <c r="D2089" s="3">
        <f>VLOOKUP(A2089,Raw_Data!A:L,12,FALSE)</f>
        <v>5005</v>
      </c>
      <c r="E2089" s="3">
        <f>VLOOKUP(A2089,Raw_Data!A:L,11,FALSE)</f>
        <v>11</v>
      </c>
      <c r="F2089" t="str">
        <f>TEXT(VLOOKUP(A2089,Raw_Data!A:L,5,FALSE),"mmm")</f>
        <v>Jun</v>
      </c>
    </row>
    <row r="2090" spans="1:6" x14ac:dyDescent="0.35">
      <c r="A2090" s="3" t="s">
        <v>2702</v>
      </c>
      <c r="B2090" t="str">
        <f>VLOOKUP(A2090,Raw_Data!A:L,6,FALSE)</f>
        <v>Iron</v>
      </c>
      <c r="C2090" t="str">
        <f>VLOOKUP(A2090,Raw_Data!A:L,3,FALSE)</f>
        <v>France</v>
      </c>
      <c r="D2090" s="3">
        <f>VLOOKUP(A2090,Raw_Data!A:L,12,FALSE)</f>
        <v>1768</v>
      </c>
      <c r="E2090" s="3">
        <f>VLOOKUP(A2090,Raw_Data!A:L,11,FALSE)</f>
        <v>68</v>
      </c>
      <c r="F2090" t="str">
        <f>TEXT(VLOOKUP(A2090,Raw_Data!A:L,5,FALSE),"mmm")</f>
        <v>Jul</v>
      </c>
    </row>
    <row r="2091" spans="1:6" x14ac:dyDescent="0.35">
      <c r="A2091" s="3" t="s">
        <v>2703</v>
      </c>
      <c r="B2091" t="str">
        <f>VLOOKUP(A2091,Raw_Data!A:L,6,FALSE)</f>
        <v>Coffee grinder</v>
      </c>
      <c r="C2091" t="str">
        <f>VLOOKUP(A2091,Raw_Data!A:L,3,FALSE)</f>
        <v>Thailand</v>
      </c>
      <c r="D2091" s="3">
        <f>VLOOKUP(A2091,Raw_Data!A:L,12,FALSE)</f>
        <v>759</v>
      </c>
      <c r="E2091" s="3">
        <f>VLOOKUP(A2091,Raw_Data!A:L,11,FALSE)</f>
        <v>11</v>
      </c>
      <c r="F2091" t="str">
        <f>TEXT(VLOOKUP(A2091,Raw_Data!A:L,5,FALSE),"mmm")</f>
        <v>Jan</v>
      </c>
    </row>
    <row r="2092" spans="1:6" x14ac:dyDescent="0.35">
      <c r="A2092" s="3" t="s">
        <v>2704</v>
      </c>
      <c r="B2092" t="str">
        <f>VLOOKUP(A2092,Raw_Data!A:L,6,FALSE)</f>
        <v>Microwave</v>
      </c>
      <c r="C2092" t="str">
        <f>VLOOKUP(A2092,Raw_Data!A:L,3,FALSE)</f>
        <v>Australia</v>
      </c>
      <c r="D2092" s="3">
        <f>VLOOKUP(A2092,Raw_Data!A:L,12,FALSE)</f>
        <v>3174</v>
      </c>
      <c r="E2092" s="3">
        <f>VLOOKUP(A2092,Raw_Data!A:L,11,FALSE)</f>
        <v>46</v>
      </c>
      <c r="F2092" t="str">
        <f>TEXT(VLOOKUP(A2092,Raw_Data!A:L,5,FALSE),"mmm")</f>
        <v>Nov</v>
      </c>
    </row>
    <row r="2093" spans="1:6" x14ac:dyDescent="0.35">
      <c r="A2093" s="3" t="s">
        <v>2705</v>
      </c>
      <c r="B2093" t="str">
        <f>VLOOKUP(A2093,Raw_Data!A:L,6,FALSE)</f>
        <v>Ceiling fan</v>
      </c>
      <c r="C2093" t="str">
        <f>VLOOKUP(A2093,Raw_Data!A:L,3,FALSE)</f>
        <v>South Africa</v>
      </c>
      <c r="D2093" s="3">
        <f>VLOOKUP(A2093,Raw_Data!A:L,12,FALSE)</f>
        <v>6768</v>
      </c>
      <c r="E2093" s="3">
        <f>VLOOKUP(A2093,Raw_Data!A:L,11,FALSE)</f>
        <v>48</v>
      </c>
      <c r="F2093" t="str">
        <f>TEXT(VLOOKUP(A2093,Raw_Data!A:L,5,FALSE),"mmm")</f>
        <v>Jul</v>
      </c>
    </row>
    <row r="2094" spans="1:6" x14ac:dyDescent="0.35">
      <c r="A2094" s="3" t="s">
        <v>2706</v>
      </c>
      <c r="B2094" t="str">
        <f>VLOOKUP(A2094,Raw_Data!A:L,6,FALSE)</f>
        <v>Blender</v>
      </c>
      <c r="C2094" t="str">
        <f>VLOOKUP(A2094,Raw_Data!A:L,3,FALSE)</f>
        <v>USA</v>
      </c>
      <c r="D2094" s="3">
        <f>VLOOKUP(A2094,Raw_Data!A:L,12,FALSE)</f>
        <v>1944</v>
      </c>
      <c r="E2094" s="3">
        <f>VLOOKUP(A2094,Raw_Data!A:L,11,FALSE)</f>
        <v>54</v>
      </c>
      <c r="F2094" t="str">
        <f>TEXT(VLOOKUP(A2094,Raw_Data!A:L,5,FALSE),"mmm")</f>
        <v>Jul</v>
      </c>
    </row>
    <row r="2095" spans="1:6" x14ac:dyDescent="0.35">
      <c r="A2095" s="3" t="s">
        <v>2707</v>
      </c>
      <c r="B2095" t="str">
        <f>VLOOKUP(A2095,Raw_Data!A:L,6,FALSE)</f>
        <v>Washing Machine</v>
      </c>
      <c r="C2095" t="str">
        <f>VLOOKUP(A2095,Raw_Data!A:L,3,FALSE)</f>
        <v>Spain</v>
      </c>
      <c r="D2095" s="3">
        <f>VLOOKUP(A2095,Raw_Data!A:L,12,FALSE)</f>
        <v>53504</v>
      </c>
      <c r="E2095" s="3">
        <f>VLOOKUP(A2095,Raw_Data!A:L,11,FALSE)</f>
        <v>88</v>
      </c>
      <c r="F2095" t="str">
        <f>TEXT(VLOOKUP(A2095,Raw_Data!A:L,5,FALSE),"mmm")</f>
        <v>Dec</v>
      </c>
    </row>
    <row r="2096" spans="1:6" x14ac:dyDescent="0.35">
      <c r="A2096" s="3" t="s">
        <v>2708</v>
      </c>
      <c r="B2096" t="str">
        <f>VLOOKUP(A2096,Raw_Data!A:L,6,FALSE)</f>
        <v>Oven</v>
      </c>
      <c r="C2096" t="str">
        <f>VLOOKUP(A2096,Raw_Data!A:L,3,FALSE)</f>
        <v>Italy</v>
      </c>
      <c r="D2096" s="3">
        <f>VLOOKUP(A2096,Raw_Data!A:L,12,FALSE)</f>
        <v>20790</v>
      </c>
      <c r="E2096" s="3">
        <f>VLOOKUP(A2096,Raw_Data!A:L,11,FALSE)</f>
        <v>42</v>
      </c>
      <c r="F2096" t="str">
        <f>TEXT(VLOOKUP(A2096,Raw_Data!A:L,5,FALSE),"mmm")</f>
        <v>May</v>
      </c>
    </row>
    <row r="2097" spans="1:6" x14ac:dyDescent="0.35">
      <c r="A2097" s="3" t="s">
        <v>2709</v>
      </c>
      <c r="B2097" t="str">
        <f>VLOOKUP(A2097,Raw_Data!A:L,6,FALSE)</f>
        <v>Ceiling fan</v>
      </c>
      <c r="C2097" t="str">
        <f>VLOOKUP(A2097,Raw_Data!A:L,3,FALSE)</f>
        <v>UK</v>
      </c>
      <c r="D2097" s="3">
        <f>VLOOKUP(A2097,Raw_Data!A:L,12,FALSE)</f>
        <v>2016</v>
      </c>
      <c r="E2097" s="3">
        <f>VLOOKUP(A2097,Raw_Data!A:L,11,FALSE)</f>
        <v>16</v>
      </c>
      <c r="F2097" t="str">
        <f>TEXT(VLOOKUP(A2097,Raw_Data!A:L,5,FALSE),"mmm")</f>
        <v>Sep</v>
      </c>
    </row>
    <row r="2098" spans="1:6" x14ac:dyDescent="0.35">
      <c r="A2098" s="3" t="s">
        <v>2710</v>
      </c>
      <c r="B2098" t="str">
        <f>VLOOKUP(A2098,Raw_Data!A:L,6,FALSE)</f>
        <v>Toaster</v>
      </c>
      <c r="C2098" t="str">
        <f>VLOOKUP(A2098,Raw_Data!A:L,3,FALSE)</f>
        <v>China</v>
      </c>
      <c r="D2098" s="3">
        <f>VLOOKUP(A2098,Raw_Data!A:L,12,FALSE)</f>
        <v>748</v>
      </c>
      <c r="E2098" s="3">
        <f>VLOOKUP(A2098,Raw_Data!A:L,11,FALSE)</f>
        <v>44</v>
      </c>
      <c r="F2098" t="str">
        <f>TEXT(VLOOKUP(A2098,Raw_Data!A:L,5,FALSE),"mmm")</f>
        <v>Feb</v>
      </c>
    </row>
    <row r="2099" spans="1:6" x14ac:dyDescent="0.35">
      <c r="A2099" s="3" t="s">
        <v>2711</v>
      </c>
      <c r="B2099" t="str">
        <f>VLOOKUP(A2099,Raw_Data!A:L,6,FALSE)</f>
        <v>Iron</v>
      </c>
      <c r="C2099" t="str">
        <f>VLOOKUP(A2099,Raw_Data!A:L,3,FALSE)</f>
        <v>Turkey</v>
      </c>
      <c r="D2099" s="3">
        <f>VLOOKUP(A2099,Raw_Data!A:L,12,FALSE)</f>
        <v>1316</v>
      </c>
      <c r="E2099" s="3">
        <f>VLOOKUP(A2099,Raw_Data!A:L,11,FALSE)</f>
        <v>47</v>
      </c>
      <c r="F2099" t="str">
        <f>TEXT(VLOOKUP(A2099,Raw_Data!A:L,5,FALSE),"mmm")</f>
        <v>Nov</v>
      </c>
    </row>
    <row r="2100" spans="1:6" x14ac:dyDescent="0.35">
      <c r="A2100" s="3" t="s">
        <v>2712</v>
      </c>
      <c r="B2100" t="str">
        <f>VLOOKUP(A2100,Raw_Data!A:L,6,FALSE)</f>
        <v>Refrigerator</v>
      </c>
      <c r="C2100" t="str">
        <f>VLOOKUP(A2100,Raw_Data!A:L,3,FALSE)</f>
        <v>USA</v>
      </c>
      <c r="D2100" s="3">
        <f>VLOOKUP(A2100,Raw_Data!A:L,12,FALSE)</f>
        <v>70470</v>
      </c>
      <c r="E2100" s="3">
        <f>VLOOKUP(A2100,Raw_Data!A:L,11,FALSE)</f>
        <v>87</v>
      </c>
      <c r="F2100" t="str">
        <f>TEXT(VLOOKUP(A2100,Raw_Data!A:L,5,FALSE),"mmm")</f>
        <v>Feb</v>
      </c>
    </row>
    <row r="2101" spans="1:6" x14ac:dyDescent="0.35">
      <c r="A2101" s="3" t="s">
        <v>2713</v>
      </c>
      <c r="B2101" t="str">
        <f>VLOOKUP(A2101,Raw_Data!A:L,6,FALSE)</f>
        <v>Air conditioner</v>
      </c>
      <c r="C2101" t="str">
        <f>VLOOKUP(A2101,Raw_Data!A:L,3,FALSE)</f>
        <v>China</v>
      </c>
      <c r="D2101" s="3">
        <f>VLOOKUP(A2101,Raw_Data!A:L,12,FALSE)</f>
        <v>23800</v>
      </c>
      <c r="E2101" s="3">
        <f>VLOOKUP(A2101,Raw_Data!A:L,11,FALSE)</f>
        <v>34</v>
      </c>
      <c r="F2101" t="str">
        <f>TEXT(VLOOKUP(A2101,Raw_Data!A:L,5,FALSE),"mmm")</f>
        <v>Oct</v>
      </c>
    </row>
    <row r="2102" spans="1:6" x14ac:dyDescent="0.35">
      <c r="A2102" s="3" t="s">
        <v>2714</v>
      </c>
      <c r="B2102" t="str">
        <f>VLOOKUP(A2102,Raw_Data!A:L,6,FALSE)</f>
        <v>Toaster</v>
      </c>
      <c r="C2102" t="str">
        <f>VLOOKUP(A2102,Raw_Data!A:L,3,FALSE)</f>
        <v>USA</v>
      </c>
      <c r="D2102" s="3">
        <f>VLOOKUP(A2102,Raw_Data!A:L,12,FALSE)</f>
        <v>3312</v>
      </c>
      <c r="E2102" s="3">
        <f>VLOOKUP(A2102,Raw_Data!A:L,11,FALSE)</f>
        <v>69</v>
      </c>
      <c r="F2102" t="str">
        <f>TEXT(VLOOKUP(A2102,Raw_Data!A:L,5,FALSE),"mmm")</f>
        <v>Sep</v>
      </c>
    </row>
    <row r="2103" spans="1:6" x14ac:dyDescent="0.35">
      <c r="A2103" s="3" t="s">
        <v>2715</v>
      </c>
      <c r="B2103" t="str">
        <f>VLOOKUP(A2103,Raw_Data!A:L,6,FALSE)</f>
        <v>Blender</v>
      </c>
      <c r="C2103" t="str">
        <f>VLOOKUP(A2103,Raw_Data!A:L,3,FALSE)</f>
        <v>USA</v>
      </c>
      <c r="D2103" s="3">
        <f>VLOOKUP(A2103,Raw_Data!A:L,12,FALSE)</f>
        <v>1075</v>
      </c>
      <c r="E2103" s="3">
        <f>VLOOKUP(A2103,Raw_Data!A:L,11,FALSE)</f>
        <v>25</v>
      </c>
      <c r="F2103" t="str">
        <f>TEXT(VLOOKUP(A2103,Raw_Data!A:L,5,FALSE),"mmm")</f>
        <v>Aug</v>
      </c>
    </row>
    <row r="2104" spans="1:6" x14ac:dyDescent="0.35">
      <c r="A2104" s="3" t="s">
        <v>2716</v>
      </c>
      <c r="B2104" t="str">
        <f>VLOOKUP(A2104,Raw_Data!A:L,6,FALSE)</f>
        <v>Washing Machine</v>
      </c>
      <c r="C2104" t="str">
        <f>VLOOKUP(A2104,Raw_Data!A:L,3,FALSE)</f>
        <v>Argentina</v>
      </c>
      <c r="D2104" s="3">
        <f>VLOOKUP(A2104,Raw_Data!A:L,12,FALSE)</f>
        <v>44352</v>
      </c>
      <c r="E2104" s="3">
        <f>VLOOKUP(A2104,Raw_Data!A:L,11,FALSE)</f>
        <v>88</v>
      </c>
      <c r="F2104" t="str">
        <f>TEXT(VLOOKUP(A2104,Raw_Data!A:L,5,FALSE),"mmm")</f>
        <v>Aug</v>
      </c>
    </row>
    <row r="2105" spans="1:6" x14ac:dyDescent="0.35">
      <c r="A2105" s="3" t="s">
        <v>2717</v>
      </c>
      <c r="B2105" t="str">
        <f>VLOOKUP(A2105,Raw_Data!A:L,6,FALSE)</f>
        <v>Microwave</v>
      </c>
      <c r="C2105" t="str">
        <f>VLOOKUP(A2105,Raw_Data!A:L,3,FALSE)</f>
        <v>South Korea</v>
      </c>
      <c r="D2105" s="3">
        <f>VLOOKUP(A2105,Raw_Data!A:L,12,FALSE)</f>
        <v>2736</v>
      </c>
      <c r="E2105" s="3">
        <f>VLOOKUP(A2105,Raw_Data!A:L,11,FALSE)</f>
        <v>36</v>
      </c>
      <c r="F2105" t="str">
        <f>TEXT(VLOOKUP(A2105,Raw_Data!A:L,5,FALSE),"mmm")</f>
        <v>Apr</v>
      </c>
    </row>
    <row r="2106" spans="1:6" x14ac:dyDescent="0.35">
      <c r="A2106" s="3" t="s">
        <v>2718</v>
      </c>
      <c r="B2106" t="str">
        <f>VLOOKUP(A2106,Raw_Data!A:L,6,FALSE)</f>
        <v>Iron</v>
      </c>
      <c r="C2106" t="str">
        <f>VLOOKUP(A2106,Raw_Data!A:L,3,FALSE)</f>
        <v>Thailand</v>
      </c>
      <c r="D2106" s="3">
        <f>VLOOKUP(A2106,Raw_Data!A:L,12,FALSE)</f>
        <v>2030</v>
      </c>
      <c r="E2106" s="3">
        <f>VLOOKUP(A2106,Raw_Data!A:L,11,FALSE)</f>
        <v>70</v>
      </c>
      <c r="F2106" t="str">
        <f>TEXT(VLOOKUP(A2106,Raw_Data!A:L,5,FALSE),"mmm")</f>
        <v>Jul</v>
      </c>
    </row>
    <row r="2107" spans="1:6" x14ac:dyDescent="0.35">
      <c r="A2107" s="3" t="s">
        <v>2719</v>
      </c>
      <c r="B2107" t="str">
        <f>VLOOKUP(A2107,Raw_Data!A:L,6,FALSE)</f>
        <v>Air conditioner</v>
      </c>
      <c r="C2107" t="str">
        <f>VLOOKUP(A2107,Raw_Data!A:L,3,FALSE)</f>
        <v>Japan</v>
      </c>
      <c r="D2107" s="3">
        <f>VLOOKUP(A2107,Raw_Data!A:L,12,FALSE)</f>
        <v>59248</v>
      </c>
      <c r="E2107" s="3">
        <f>VLOOKUP(A2107,Raw_Data!A:L,11,FALSE)</f>
        <v>92</v>
      </c>
      <c r="F2107" t="str">
        <f>TEXT(VLOOKUP(A2107,Raw_Data!A:L,5,FALSE),"mmm")</f>
        <v>Mar</v>
      </c>
    </row>
    <row r="2108" spans="1:6" x14ac:dyDescent="0.35">
      <c r="A2108" s="3" t="s">
        <v>2720</v>
      </c>
      <c r="B2108" t="str">
        <f>VLOOKUP(A2108,Raw_Data!A:L,6,FALSE)</f>
        <v>Coffee grinder</v>
      </c>
      <c r="C2108" t="str">
        <f>VLOOKUP(A2108,Raw_Data!A:L,3,FALSE)</f>
        <v>USA</v>
      </c>
      <c r="D2108" s="3">
        <f>VLOOKUP(A2108,Raw_Data!A:L,12,FALSE)</f>
        <v>2001</v>
      </c>
      <c r="E2108" s="3">
        <f>VLOOKUP(A2108,Raw_Data!A:L,11,FALSE)</f>
        <v>29</v>
      </c>
      <c r="F2108" t="str">
        <f>TEXT(VLOOKUP(A2108,Raw_Data!A:L,5,FALSE),"mmm")</f>
        <v>Dec</v>
      </c>
    </row>
    <row r="2109" spans="1:6" x14ac:dyDescent="0.35">
      <c r="A2109" s="3" t="s">
        <v>2721</v>
      </c>
      <c r="B2109" t="str">
        <f>VLOOKUP(A2109,Raw_Data!A:L,6,FALSE)</f>
        <v>Refrigerator</v>
      </c>
      <c r="C2109" t="str">
        <f>VLOOKUP(A2109,Raw_Data!A:L,3,FALSE)</f>
        <v>South Korea</v>
      </c>
      <c r="D2109" s="3">
        <f>VLOOKUP(A2109,Raw_Data!A:L,12,FALSE)</f>
        <v>54600</v>
      </c>
      <c r="E2109" s="3">
        <f>VLOOKUP(A2109,Raw_Data!A:L,11,FALSE)</f>
        <v>70</v>
      </c>
      <c r="F2109" t="str">
        <f>TEXT(VLOOKUP(A2109,Raw_Data!A:L,5,FALSE),"mmm")</f>
        <v>Mar</v>
      </c>
    </row>
    <row r="2110" spans="1:6" x14ac:dyDescent="0.35">
      <c r="A2110" s="3" t="s">
        <v>2722</v>
      </c>
      <c r="B2110" t="str">
        <f>VLOOKUP(A2110,Raw_Data!A:L,6,FALSE)</f>
        <v>Blender</v>
      </c>
      <c r="C2110" t="str">
        <f>VLOOKUP(A2110,Raw_Data!A:L,3,FALSE)</f>
        <v>India</v>
      </c>
      <c r="D2110" s="3">
        <f>VLOOKUP(A2110,Raw_Data!A:L,12,FALSE)</f>
        <v>2655</v>
      </c>
      <c r="E2110" s="3">
        <f>VLOOKUP(A2110,Raw_Data!A:L,11,FALSE)</f>
        <v>59</v>
      </c>
      <c r="F2110" t="str">
        <f>TEXT(VLOOKUP(A2110,Raw_Data!A:L,5,FALSE),"mmm")</f>
        <v>Mar</v>
      </c>
    </row>
    <row r="2111" spans="1:6" x14ac:dyDescent="0.35">
      <c r="A2111" s="3" t="s">
        <v>2723</v>
      </c>
      <c r="B2111" t="str">
        <f>VLOOKUP(A2111,Raw_Data!A:L,6,FALSE)</f>
        <v>Coffee grinder</v>
      </c>
      <c r="C2111" t="str">
        <f>VLOOKUP(A2111,Raw_Data!A:L,3,FALSE)</f>
        <v>UK</v>
      </c>
      <c r="D2111" s="3">
        <f>VLOOKUP(A2111,Raw_Data!A:L,12,FALSE)</f>
        <v>5880</v>
      </c>
      <c r="E2111" s="3">
        <f>VLOOKUP(A2111,Raw_Data!A:L,11,FALSE)</f>
        <v>84</v>
      </c>
      <c r="F2111" t="str">
        <f>TEXT(VLOOKUP(A2111,Raw_Data!A:L,5,FALSE),"mmm")</f>
        <v>Jul</v>
      </c>
    </row>
    <row r="2112" spans="1:6" x14ac:dyDescent="0.35">
      <c r="A2112" s="3" t="s">
        <v>2724</v>
      </c>
      <c r="B2112" t="str">
        <f>VLOOKUP(A2112,Raw_Data!A:L,6,FALSE)</f>
        <v>Vacuum Cleaner</v>
      </c>
      <c r="C2112" t="str">
        <f>VLOOKUP(A2112,Raw_Data!A:L,3,FALSE)</f>
        <v>France</v>
      </c>
      <c r="D2112" s="3">
        <f>VLOOKUP(A2112,Raw_Data!A:L,12,FALSE)</f>
        <v>19125</v>
      </c>
      <c r="E2112" s="3">
        <f>VLOOKUP(A2112,Raw_Data!A:L,11,FALSE)</f>
        <v>85</v>
      </c>
      <c r="F2112" t="str">
        <f>TEXT(VLOOKUP(A2112,Raw_Data!A:L,5,FALSE),"mmm")</f>
        <v>Feb</v>
      </c>
    </row>
    <row r="2113" spans="1:6" x14ac:dyDescent="0.35">
      <c r="A2113" s="3" t="s">
        <v>2725</v>
      </c>
      <c r="B2113" t="str">
        <f>VLOOKUP(A2113,Raw_Data!A:L,6,FALSE)</f>
        <v>Vacuum Cleaner</v>
      </c>
      <c r="C2113" t="str">
        <f>VLOOKUP(A2113,Raw_Data!A:L,3,FALSE)</f>
        <v>Vietnam</v>
      </c>
      <c r="D2113" s="3">
        <f>VLOOKUP(A2113,Raw_Data!A:L,12,FALSE)</f>
        <v>17015</v>
      </c>
      <c r="E2113" s="3">
        <f>VLOOKUP(A2113,Raw_Data!A:L,11,FALSE)</f>
        <v>83</v>
      </c>
      <c r="F2113" t="str">
        <f>TEXT(VLOOKUP(A2113,Raw_Data!A:L,5,FALSE),"mmm")</f>
        <v>Jan</v>
      </c>
    </row>
    <row r="2114" spans="1:6" x14ac:dyDescent="0.35">
      <c r="A2114" s="3" t="s">
        <v>2726</v>
      </c>
      <c r="B2114" t="str">
        <f>VLOOKUP(A2114,Raw_Data!A:L,6,FALSE)</f>
        <v>Ceiling fan</v>
      </c>
      <c r="C2114" t="str">
        <f>VLOOKUP(A2114,Raw_Data!A:L,3,FALSE)</f>
        <v>Japan</v>
      </c>
      <c r="D2114" s="3">
        <f>VLOOKUP(A2114,Raw_Data!A:L,12,FALSE)</f>
        <v>7729</v>
      </c>
      <c r="E2114" s="3">
        <f>VLOOKUP(A2114,Raw_Data!A:L,11,FALSE)</f>
        <v>59</v>
      </c>
      <c r="F2114" t="str">
        <f>TEXT(VLOOKUP(A2114,Raw_Data!A:L,5,FALSE),"mmm")</f>
        <v>Aug</v>
      </c>
    </row>
    <row r="2115" spans="1:6" x14ac:dyDescent="0.35">
      <c r="A2115" s="3" t="s">
        <v>2727</v>
      </c>
      <c r="B2115" t="str">
        <f>VLOOKUP(A2115,Raw_Data!A:L,6,FALSE)</f>
        <v>Iron</v>
      </c>
      <c r="C2115" t="str">
        <f>VLOOKUP(A2115,Raw_Data!A:L,3,FALSE)</f>
        <v>India</v>
      </c>
      <c r="D2115" s="3">
        <f>VLOOKUP(A2115,Raw_Data!A:L,12,FALSE)</f>
        <v>2162</v>
      </c>
      <c r="E2115" s="3">
        <f>VLOOKUP(A2115,Raw_Data!A:L,11,FALSE)</f>
        <v>94</v>
      </c>
      <c r="F2115" t="str">
        <f>TEXT(VLOOKUP(A2115,Raw_Data!A:L,5,FALSE),"mmm")</f>
        <v>May</v>
      </c>
    </row>
    <row r="2116" spans="1:6" x14ac:dyDescent="0.35">
      <c r="A2116" s="3" t="s">
        <v>2728</v>
      </c>
      <c r="B2116" t="str">
        <f>VLOOKUP(A2116,Raw_Data!A:L,6,FALSE)</f>
        <v>Ceiling fan</v>
      </c>
      <c r="C2116" t="str">
        <f>VLOOKUP(A2116,Raw_Data!A:L,3,FALSE)</f>
        <v>Thailand</v>
      </c>
      <c r="D2116" s="3">
        <f>VLOOKUP(A2116,Raw_Data!A:L,12,FALSE)</f>
        <v>14850</v>
      </c>
      <c r="E2116" s="3">
        <f>VLOOKUP(A2116,Raw_Data!A:L,11,FALSE)</f>
        <v>99</v>
      </c>
      <c r="F2116" t="str">
        <f>TEXT(VLOOKUP(A2116,Raw_Data!A:L,5,FALSE),"mmm")</f>
        <v>Aug</v>
      </c>
    </row>
    <row r="2117" spans="1:6" x14ac:dyDescent="0.35">
      <c r="A2117" s="3" t="s">
        <v>2729</v>
      </c>
      <c r="B2117" t="str">
        <f>VLOOKUP(A2117,Raw_Data!A:L,6,FALSE)</f>
        <v>Coffee grinder</v>
      </c>
      <c r="C2117" t="str">
        <f>VLOOKUP(A2117,Raw_Data!A:L,3,FALSE)</f>
        <v>Greece</v>
      </c>
      <c r="D2117" s="3">
        <f>VLOOKUP(A2117,Raw_Data!A:L,12,FALSE)</f>
        <v>3519</v>
      </c>
      <c r="E2117" s="3">
        <f>VLOOKUP(A2117,Raw_Data!A:L,11,FALSE)</f>
        <v>51</v>
      </c>
      <c r="F2117" t="str">
        <f>TEXT(VLOOKUP(A2117,Raw_Data!A:L,5,FALSE),"mmm")</f>
        <v>Sep</v>
      </c>
    </row>
    <row r="2118" spans="1:6" x14ac:dyDescent="0.35">
      <c r="A2118" s="3" t="s">
        <v>2730</v>
      </c>
      <c r="B2118" t="str">
        <f>VLOOKUP(A2118,Raw_Data!A:L,6,FALSE)</f>
        <v>Ceiling fan</v>
      </c>
      <c r="C2118" t="str">
        <f>VLOOKUP(A2118,Raw_Data!A:L,3,FALSE)</f>
        <v>India</v>
      </c>
      <c r="D2118" s="3">
        <f>VLOOKUP(A2118,Raw_Data!A:L,12,FALSE)</f>
        <v>9984</v>
      </c>
      <c r="E2118" s="3">
        <f>VLOOKUP(A2118,Raw_Data!A:L,11,FALSE)</f>
        <v>78</v>
      </c>
      <c r="F2118" t="str">
        <f>TEXT(VLOOKUP(A2118,Raw_Data!A:L,5,FALSE),"mmm")</f>
        <v>Mar</v>
      </c>
    </row>
    <row r="2119" spans="1:6" x14ac:dyDescent="0.35">
      <c r="A2119" s="3" t="s">
        <v>2731</v>
      </c>
      <c r="B2119" t="str">
        <f>VLOOKUP(A2119,Raw_Data!A:L,6,FALSE)</f>
        <v>Blender</v>
      </c>
      <c r="C2119" t="str">
        <f>VLOOKUP(A2119,Raw_Data!A:L,3,FALSE)</f>
        <v>Spain</v>
      </c>
      <c r="D2119" s="3">
        <f>VLOOKUP(A2119,Raw_Data!A:L,12,FALSE)</f>
        <v>1764</v>
      </c>
      <c r="E2119" s="3">
        <f>VLOOKUP(A2119,Raw_Data!A:L,11,FALSE)</f>
        <v>36</v>
      </c>
      <c r="F2119" t="str">
        <f>TEXT(VLOOKUP(A2119,Raw_Data!A:L,5,FALSE),"mmm")</f>
        <v>Sep</v>
      </c>
    </row>
    <row r="2120" spans="1:6" x14ac:dyDescent="0.35">
      <c r="A2120" s="3" t="s">
        <v>2732</v>
      </c>
      <c r="B2120" t="str">
        <f>VLOOKUP(A2120,Raw_Data!A:L,6,FALSE)</f>
        <v>Microwave</v>
      </c>
      <c r="C2120" t="str">
        <f>VLOOKUP(A2120,Raw_Data!A:L,3,FALSE)</f>
        <v>Spain</v>
      </c>
      <c r="D2120" s="3">
        <f>VLOOKUP(A2120,Raw_Data!A:L,12,FALSE)</f>
        <v>3360</v>
      </c>
      <c r="E2120" s="3">
        <f>VLOOKUP(A2120,Raw_Data!A:L,11,FALSE)</f>
        <v>48</v>
      </c>
      <c r="F2120" t="str">
        <f>TEXT(VLOOKUP(A2120,Raw_Data!A:L,5,FALSE),"mmm")</f>
        <v>Jun</v>
      </c>
    </row>
    <row r="2121" spans="1:6" x14ac:dyDescent="0.35">
      <c r="A2121" s="3" t="s">
        <v>2733</v>
      </c>
      <c r="B2121" t="str">
        <f>VLOOKUP(A2121,Raw_Data!A:L,6,FALSE)</f>
        <v>Microwave</v>
      </c>
      <c r="C2121" t="str">
        <f>VLOOKUP(A2121,Raw_Data!A:L,3,FALSE)</f>
        <v>South Korea</v>
      </c>
      <c r="D2121" s="3">
        <f>VLOOKUP(A2121,Raw_Data!A:L,12,FALSE)</f>
        <v>480</v>
      </c>
      <c r="E2121" s="3">
        <f>VLOOKUP(A2121,Raw_Data!A:L,11,FALSE)</f>
        <v>6</v>
      </c>
      <c r="F2121" t="str">
        <f>TEXT(VLOOKUP(A2121,Raw_Data!A:L,5,FALSE),"mmm")</f>
        <v>Sep</v>
      </c>
    </row>
    <row r="2122" spans="1:6" x14ac:dyDescent="0.35">
      <c r="A2122" s="3" t="s">
        <v>2734</v>
      </c>
      <c r="B2122" t="str">
        <f>VLOOKUP(A2122,Raw_Data!A:L,6,FALSE)</f>
        <v>Refrigerator</v>
      </c>
      <c r="C2122" t="str">
        <f>VLOOKUP(A2122,Raw_Data!A:L,3,FALSE)</f>
        <v>Ireland</v>
      </c>
      <c r="D2122" s="3">
        <f>VLOOKUP(A2122,Raw_Data!A:L,12,FALSE)</f>
        <v>58290</v>
      </c>
      <c r="E2122" s="3">
        <f>VLOOKUP(A2122,Raw_Data!A:L,11,FALSE)</f>
        <v>67</v>
      </c>
      <c r="F2122" t="str">
        <f>TEXT(VLOOKUP(A2122,Raw_Data!A:L,5,FALSE),"mmm")</f>
        <v>Oct</v>
      </c>
    </row>
    <row r="2123" spans="1:6" x14ac:dyDescent="0.35">
      <c r="A2123" s="3" t="s">
        <v>2735</v>
      </c>
      <c r="B2123" t="str">
        <f>VLOOKUP(A2123,Raw_Data!A:L,6,FALSE)</f>
        <v>Blender</v>
      </c>
      <c r="C2123" t="str">
        <f>VLOOKUP(A2123,Raw_Data!A:L,3,FALSE)</f>
        <v>Israel</v>
      </c>
      <c r="D2123" s="3">
        <f>VLOOKUP(A2123,Raw_Data!A:L,12,FALSE)</f>
        <v>3705</v>
      </c>
      <c r="E2123" s="3">
        <f>VLOOKUP(A2123,Raw_Data!A:L,11,FALSE)</f>
        <v>95</v>
      </c>
      <c r="F2123" t="str">
        <f>TEXT(VLOOKUP(A2123,Raw_Data!A:L,5,FALSE),"mmm")</f>
        <v>Apr</v>
      </c>
    </row>
    <row r="2124" spans="1:6" x14ac:dyDescent="0.35">
      <c r="A2124" s="3" t="s">
        <v>2736</v>
      </c>
      <c r="B2124" t="str">
        <f>VLOOKUP(A2124,Raw_Data!A:L,6,FALSE)</f>
        <v>Ceiling fan</v>
      </c>
      <c r="C2124" t="str">
        <f>VLOOKUP(A2124,Raw_Data!A:L,3,FALSE)</f>
        <v>Austria</v>
      </c>
      <c r="D2124" s="3">
        <f>VLOOKUP(A2124,Raw_Data!A:L,12,FALSE)</f>
        <v>5382</v>
      </c>
      <c r="E2124" s="3">
        <f>VLOOKUP(A2124,Raw_Data!A:L,11,FALSE)</f>
        <v>39</v>
      </c>
      <c r="F2124" t="str">
        <f>TEXT(VLOOKUP(A2124,Raw_Data!A:L,5,FALSE),"mmm")</f>
        <v>Sep</v>
      </c>
    </row>
    <row r="2125" spans="1:6" x14ac:dyDescent="0.35">
      <c r="A2125" s="3" t="s">
        <v>2737</v>
      </c>
      <c r="B2125" t="str">
        <f>VLOOKUP(A2125,Raw_Data!A:L,6,FALSE)</f>
        <v>Microwave</v>
      </c>
      <c r="C2125" t="str">
        <f>VLOOKUP(A2125,Raw_Data!A:L,3,FALSE)</f>
        <v>Turkey</v>
      </c>
      <c r="D2125" s="3">
        <f>VLOOKUP(A2125,Raw_Data!A:L,12,FALSE)</f>
        <v>675</v>
      </c>
      <c r="E2125" s="3">
        <f>VLOOKUP(A2125,Raw_Data!A:L,11,FALSE)</f>
        <v>9</v>
      </c>
      <c r="F2125" t="str">
        <f>TEXT(VLOOKUP(A2125,Raw_Data!A:L,5,FALSE),"mmm")</f>
        <v>Apr</v>
      </c>
    </row>
    <row r="2126" spans="1:6" x14ac:dyDescent="0.35">
      <c r="A2126" s="3" t="s">
        <v>2738</v>
      </c>
      <c r="B2126" t="str">
        <f>VLOOKUP(A2126,Raw_Data!A:L,6,FALSE)</f>
        <v>Iron</v>
      </c>
      <c r="C2126" t="str">
        <f>VLOOKUP(A2126,Raw_Data!A:L,3,FALSE)</f>
        <v>UK</v>
      </c>
      <c r="D2126" s="3">
        <f>VLOOKUP(A2126,Raw_Data!A:L,12,FALSE)</f>
        <v>2204</v>
      </c>
      <c r="E2126" s="3">
        <f>VLOOKUP(A2126,Raw_Data!A:L,11,FALSE)</f>
        <v>76</v>
      </c>
      <c r="F2126" t="str">
        <f>TEXT(VLOOKUP(A2126,Raw_Data!A:L,5,FALSE),"mmm")</f>
        <v>Feb</v>
      </c>
    </row>
    <row r="2127" spans="1:6" x14ac:dyDescent="0.35">
      <c r="A2127" s="3" t="s">
        <v>2739</v>
      </c>
      <c r="B2127" t="str">
        <f>VLOOKUP(A2127,Raw_Data!A:L,6,FALSE)</f>
        <v>Coffee grinder</v>
      </c>
      <c r="C2127" t="str">
        <f>VLOOKUP(A2127,Raw_Data!A:L,3,FALSE)</f>
        <v>Turkey</v>
      </c>
      <c r="D2127" s="3">
        <f>VLOOKUP(A2127,Raw_Data!A:L,12,FALSE)</f>
        <v>5135</v>
      </c>
      <c r="E2127" s="3">
        <f>VLOOKUP(A2127,Raw_Data!A:L,11,FALSE)</f>
        <v>79</v>
      </c>
      <c r="F2127" t="str">
        <f>TEXT(VLOOKUP(A2127,Raw_Data!A:L,5,FALSE),"mmm")</f>
        <v>Nov</v>
      </c>
    </row>
    <row r="2128" spans="1:6" x14ac:dyDescent="0.35">
      <c r="A2128" s="3" t="s">
        <v>2740</v>
      </c>
      <c r="B2128" t="str">
        <f>VLOOKUP(A2128,Raw_Data!A:L,6,FALSE)</f>
        <v>Blender</v>
      </c>
      <c r="C2128" t="str">
        <f>VLOOKUP(A2128,Raw_Data!A:L,3,FALSE)</f>
        <v>Israel</v>
      </c>
      <c r="D2128" s="3">
        <f>VLOOKUP(A2128,Raw_Data!A:L,12,FALSE)</f>
        <v>3243</v>
      </c>
      <c r="E2128" s="3">
        <f>VLOOKUP(A2128,Raw_Data!A:L,11,FALSE)</f>
        <v>69</v>
      </c>
      <c r="F2128" t="str">
        <f>TEXT(VLOOKUP(A2128,Raw_Data!A:L,5,FALSE),"mmm")</f>
        <v>Apr</v>
      </c>
    </row>
    <row r="2129" spans="1:6" x14ac:dyDescent="0.35">
      <c r="A2129" s="3" t="s">
        <v>2741</v>
      </c>
      <c r="B2129" t="str">
        <f>VLOOKUP(A2129,Raw_Data!A:L,6,FALSE)</f>
        <v>Ceiling fan</v>
      </c>
      <c r="C2129" t="str">
        <f>VLOOKUP(A2129,Raw_Data!A:L,3,FALSE)</f>
        <v>Canada</v>
      </c>
      <c r="D2129" s="3">
        <f>VLOOKUP(A2129,Raw_Data!A:L,12,FALSE)</f>
        <v>10920</v>
      </c>
      <c r="E2129" s="3">
        <f>VLOOKUP(A2129,Raw_Data!A:L,11,FALSE)</f>
        <v>78</v>
      </c>
      <c r="F2129" t="str">
        <f>TEXT(VLOOKUP(A2129,Raw_Data!A:L,5,FALSE),"mmm")</f>
        <v>Jun</v>
      </c>
    </row>
    <row r="2130" spans="1:6" x14ac:dyDescent="0.35">
      <c r="A2130" s="3" t="s">
        <v>2742</v>
      </c>
      <c r="B2130" t="str">
        <f>VLOOKUP(A2130,Raw_Data!A:L,6,FALSE)</f>
        <v>Vacuum Cleaner</v>
      </c>
      <c r="C2130" t="str">
        <f>VLOOKUP(A2130,Raw_Data!A:L,3,FALSE)</f>
        <v>Brazil</v>
      </c>
      <c r="D2130" s="3">
        <f>VLOOKUP(A2130,Raw_Data!A:L,12,FALSE)</f>
        <v>21660</v>
      </c>
      <c r="E2130" s="3">
        <f>VLOOKUP(A2130,Raw_Data!A:L,11,FALSE)</f>
        <v>95</v>
      </c>
      <c r="F2130" t="str">
        <f>TEXT(VLOOKUP(A2130,Raw_Data!A:L,5,FALSE),"mmm")</f>
        <v>Feb</v>
      </c>
    </row>
    <row r="2131" spans="1:6" x14ac:dyDescent="0.35">
      <c r="A2131" s="3" t="s">
        <v>2743</v>
      </c>
      <c r="B2131" t="str">
        <f>VLOOKUP(A2131,Raw_Data!A:L,6,FALSE)</f>
        <v>Coffee grinder</v>
      </c>
      <c r="C2131" t="str">
        <f>VLOOKUP(A2131,Raw_Data!A:L,3,FALSE)</f>
        <v>China</v>
      </c>
      <c r="D2131" s="3">
        <f>VLOOKUP(A2131,Raw_Data!A:L,12,FALSE)</f>
        <v>4650</v>
      </c>
      <c r="E2131" s="3">
        <f>VLOOKUP(A2131,Raw_Data!A:L,11,FALSE)</f>
        <v>93</v>
      </c>
      <c r="F2131" t="str">
        <f>TEXT(VLOOKUP(A2131,Raw_Data!A:L,5,FALSE),"mmm")</f>
        <v>Mar</v>
      </c>
    </row>
    <row r="2132" spans="1:6" x14ac:dyDescent="0.35">
      <c r="A2132" s="3" t="s">
        <v>2744</v>
      </c>
      <c r="B2132" t="str">
        <f>VLOOKUP(A2132,Raw_Data!A:L,6,FALSE)</f>
        <v>Washing Machine</v>
      </c>
      <c r="C2132" t="str">
        <f>VLOOKUP(A2132,Raw_Data!A:L,3,FALSE)</f>
        <v>Japan</v>
      </c>
      <c r="D2132" s="3">
        <f>VLOOKUP(A2132,Raw_Data!A:L,12,FALSE)</f>
        <v>9216</v>
      </c>
      <c r="E2132" s="3">
        <f>VLOOKUP(A2132,Raw_Data!A:L,11,FALSE)</f>
        <v>12</v>
      </c>
      <c r="F2132" t="str">
        <f>TEXT(VLOOKUP(A2132,Raw_Data!A:L,5,FALSE),"mmm")</f>
        <v>Sep</v>
      </c>
    </row>
    <row r="2133" spans="1:6" x14ac:dyDescent="0.35">
      <c r="A2133" s="3" t="s">
        <v>2745</v>
      </c>
      <c r="B2133" t="str">
        <f>VLOOKUP(A2133,Raw_Data!A:L,6,FALSE)</f>
        <v>Refrigerator</v>
      </c>
      <c r="C2133" t="str">
        <f>VLOOKUP(A2133,Raw_Data!A:L,3,FALSE)</f>
        <v>USA</v>
      </c>
      <c r="D2133" s="3">
        <f>VLOOKUP(A2133,Raw_Data!A:L,12,FALSE)</f>
        <v>590</v>
      </c>
      <c r="E2133" s="3">
        <f>VLOOKUP(A2133,Raw_Data!A:L,11,FALSE)</f>
        <v>1</v>
      </c>
      <c r="F2133" t="str">
        <f>TEXT(VLOOKUP(A2133,Raw_Data!A:L,5,FALSE),"mmm")</f>
        <v>Aug</v>
      </c>
    </row>
    <row r="2134" spans="1:6" x14ac:dyDescent="0.35">
      <c r="A2134" s="3" t="s">
        <v>2746</v>
      </c>
      <c r="B2134" t="str">
        <f>VLOOKUP(A2134,Raw_Data!A:L,6,FALSE)</f>
        <v>Toaster</v>
      </c>
      <c r="C2134" t="str">
        <f>VLOOKUP(A2134,Raw_Data!A:L,3,FALSE)</f>
        <v>Egypt</v>
      </c>
      <c r="D2134" s="3">
        <f>VLOOKUP(A2134,Raw_Data!A:L,12,FALSE)</f>
        <v>3350</v>
      </c>
      <c r="E2134" s="3">
        <f>VLOOKUP(A2134,Raw_Data!A:L,11,FALSE)</f>
        <v>67</v>
      </c>
      <c r="F2134" t="str">
        <f>TEXT(VLOOKUP(A2134,Raw_Data!A:L,5,FALSE),"mmm")</f>
        <v>Jun</v>
      </c>
    </row>
    <row r="2135" spans="1:6" x14ac:dyDescent="0.35">
      <c r="A2135" s="3" t="s">
        <v>2747</v>
      </c>
      <c r="B2135" t="str">
        <f>VLOOKUP(A2135,Raw_Data!A:L,6,FALSE)</f>
        <v>Washing Machine</v>
      </c>
      <c r="C2135" t="str">
        <f>VLOOKUP(A2135,Raw_Data!A:L,3,FALSE)</f>
        <v>Russia</v>
      </c>
      <c r="D2135" s="3">
        <f>VLOOKUP(A2135,Raw_Data!A:L,12,FALSE)</f>
        <v>20952</v>
      </c>
      <c r="E2135" s="3">
        <f>VLOOKUP(A2135,Raw_Data!A:L,11,FALSE)</f>
        <v>27</v>
      </c>
      <c r="F2135" t="str">
        <f>TEXT(VLOOKUP(A2135,Raw_Data!A:L,5,FALSE),"mmm")</f>
        <v>Jan</v>
      </c>
    </row>
    <row r="2136" spans="1:6" x14ac:dyDescent="0.35">
      <c r="A2136" s="3" t="s">
        <v>2748</v>
      </c>
      <c r="B2136" t="str">
        <f>VLOOKUP(A2136,Raw_Data!A:L,6,FALSE)</f>
        <v>Iron</v>
      </c>
      <c r="C2136" t="str">
        <f>VLOOKUP(A2136,Raw_Data!A:L,3,FALSE)</f>
        <v>China</v>
      </c>
      <c r="D2136" s="3">
        <f>VLOOKUP(A2136,Raw_Data!A:L,12,FALSE)</f>
        <v>2236</v>
      </c>
      <c r="E2136" s="3">
        <f>VLOOKUP(A2136,Raw_Data!A:L,11,FALSE)</f>
        <v>86</v>
      </c>
      <c r="F2136" t="str">
        <f>TEXT(VLOOKUP(A2136,Raw_Data!A:L,5,FALSE),"mmm")</f>
        <v>Jan</v>
      </c>
    </row>
    <row r="2137" spans="1:6" x14ac:dyDescent="0.35">
      <c r="A2137" s="3" t="s">
        <v>2749</v>
      </c>
      <c r="B2137" t="str">
        <f>VLOOKUP(A2137,Raw_Data!A:L,6,FALSE)</f>
        <v>Dishwasher</v>
      </c>
      <c r="C2137" t="str">
        <f>VLOOKUP(A2137,Raw_Data!A:L,3,FALSE)</f>
        <v>Italy</v>
      </c>
      <c r="D2137" s="3">
        <f>VLOOKUP(A2137,Raw_Data!A:L,12,FALSE)</f>
        <v>22320</v>
      </c>
      <c r="E2137" s="3">
        <f>VLOOKUP(A2137,Raw_Data!A:L,11,FALSE)</f>
        <v>62</v>
      </c>
      <c r="F2137" t="str">
        <f>TEXT(VLOOKUP(A2137,Raw_Data!A:L,5,FALSE),"mmm")</f>
        <v>Aug</v>
      </c>
    </row>
    <row r="2138" spans="1:6" x14ac:dyDescent="0.35">
      <c r="A2138" s="3" t="s">
        <v>2750</v>
      </c>
      <c r="B2138" t="str">
        <f>VLOOKUP(A2138,Raw_Data!A:L,6,FALSE)</f>
        <v>Ceiling fan</v>
      </c>
      <c r="C2138" t="str">
        <f>VLOOKUP(A2138,Raw_Data!A:L,3,FALSE)</f>
        <v>Czech Republic</v>
      </c>
      <c r="D2138" s="3">
        <f>VLOOKUP(A2138,Raw_Data!A:L,12,FALSE)</f>
        <v>7686</v>
      </c>
      <c r="E2138" s="3">
        <f>VLOOKUP(A2138,Raw_Data!A:L,11,FALSE)</f>
        <v>61</v>
      </c>
      <c r="F2138" t="str">
        <f>TEXT(VLOOKUP(A2138,Raw_Data!A:L,5,FALSE),"mmm")</f>
        <v>Aug</v>
      </c>
    </row>
    <row r="2139" spans="1:6" x14ac:dyDescent="0.35">
      <c r="A2139" s="3" t="s">
        <v>2751</v>
      </c>
      <c r="B2139" t="str">
        <f>VLOOKUP(A2139,Raw_Data!A:L,6,FALSE)</f>
        <v>Washing Machine</v>
      </c>
      <c r="C2139" t="str">
        <f>VLOOKUP(A2139,Raw_Data!A:L,3,FALSE)</f>
        <v>Australia</v>
      </c>
      <c r="D2139" s="3">
        <f>VLOOKUP(A2139,Raw_Data!A:L,12,FALSE)</f>
        <v>50960</v>
      </c>
      <c r="E2139" s="3">
        <f>VLOOKUP(A2139,Raw_Data!A:L,11,FALSE)</f>
        <v>98</v>
      </c>
      <c r="F2139" t="str">
        <f>TEXT(VLOOKUP(A2139,Raw_Data!A:L,5,FALSE),"mmm")</f>
        <v>Apr</v>
      </c>
    </row>
    <row r="2140" spans="1:6" x14ac:dyDescent="0.35">
      <c r="A2140" s="3" t="s">
        <v>2752</v>
      </c>
      <c r="B2140" t="str">
        <f>VLOOKUP(A2140,Raw_Data!A:L,6,FALSE)</f>
        <v>Refrigerator</v>
      </c>
      <c r="C2140" t="str">
        <f>VLOOKUP(A2140,Raw_Data!A:L,3,FALSE)</f>
        <v>USA</v>
      </c>
      <c r="D2140" s="3">
        <f>VLOOKUP(A2140,Raw_Data!A:L,12,FALSE)</f>
        <v>57200</v>
      </c>
      <c r="E2140" s="3">
        <f>VLOOKUP(A2140,Raw_Data!A:L,11,FALSE)</f>
        <v>88</v>
      </c>
      <c r="F2140" t="str">
        <f>TEXT(VLOOKUP(A2140,Raw_Data!A:L,5,FALSE),"mmm")</f>
        <v>Nov</v>
      </c>
    </row>
    <row r="2141" spans="1:6" x14ac:dyDescent="0.35">
      <c r="A2141" s="3" t="s">
        <v>2753</v>
      </c>
      <c r="B2141" t="str">
        <f>VLOOKUP(A2141,Raw_Data!A:L,6,FALSE)</f>
        <v>Refrigerator</v>
      </c>
      <c r="C2141" t="str">
        <f>VLOOKUP(A2141,Raw_Data!A:L,3,FALSE)</f>
        <v>Japan</v>
      </c>
      <c r="D2141" s="3">
        <f>VLOOKUP(A2141,Raw_Data!A:L,12,FALSE)</f>
        <v>9200</v>
      </c>
      <c r="E2141" s="3">
        <f>VLOOKUP(A2141,Raw_Data!A:L,11,FALSE)</f>
        <v>10</v>
      </c>
      <c r="F2141" t="str">
        <f>TEXT(VLOOKUP(A2141,Raw_Data!A:L,5,FALSE),"mmm")</f>
        <v>Aug</v>
      </c>
    </row>
    <row r="2142" spans="1:6" x14ac:dyDescent="0.35">
      <c r="A2142" s="3" t="s">
        <v>2754</v>
      </c>
      <c r="B2142" t="str">
        <f>VLOOKUP(A2142,Raw_Data!A:L,6,FALSE)</f>
        <v>Blender</v>
      </c>
      <c r="C2142" t="str">
        <f>VLOOKUP(A2142,Raw_Data!A:L,3,FALSE)</f>
        <v>UK</v>
      </c>
      <c r="D2142" s="3">
        <f>VLOOKUP(A2142,Raw_Data!A:L,12,FALSE)</f>
        <v>4410</v>
      </c>
      <c r="E2142" s="3">
        <f>VLOOKUP(A2142,Raw_Data!A:L,11,FALSE)</f>
        <v>90</v>
      </c>
      <c r="F2142" t="str">
        <f>TEXT(VLOOKUP(A2142,Raw_Data!A:L,5,FALSE),"mmm")</f>
        <v>Feb</v>
      </c>
    </row>
    <row r="2143" spans="1:6" x14ac:dyDescent="0.35">
      <c r="A2143" s="3" t="s">
        <v>2755</v>
      </c>
      <c r="B2143" t="str">
        <f>VLOOKUP(A2143,Raw_Data!A:L,6,FALSE)</f>
        <v>Refrigerator</v>
      </c>
      <c r="C2143" t="str">
        <f>VLOOKUP(A2143,Raw_Data!A:L,3,FALSE)</f>
        <v>Czech Republic</v>
      </c>
      <c r="D2143" s="3">
        <f>VLOOKUP(A2143,Raw_Data!A:L,12,FALSE)</f>
        <v>62700</v>
      </c>
      <c r="E2143" s="3">
        <f>VLOOKUP(A2143,Raw_Data!A:L,11,FALSE)</f>
        <v>66</v>
      </c>
      <c r="F2143" t="str">
        <f>TEXT(VLOOKUP(A2143,Raw_Data!A:L,5,FALSE),"mmm")</f>
        <v>Jan</v>
      </c>
    </row>
    <row r="2144" spans="1:6" x14ac:dyDescent="0.35">
      <c r="A2144" s="3" t="s">
        <v>2756</v>
      </c>
      <c r="B2144" t="str">
        <f>VLOOKUP(A2144,Raw_Data!A:L,6,FALSE)</f>
        <v>Iron</v>
      </c>
      <c r="C2144" t="str">
        <f>VLOOKUP(A2144,Raw_Data!A:L,3,FALSE)</f>
        <v>USA</v>
      </c>
      <c r="D2144" s="3">
        <f>VLOOKUP(A2144,Raw_Data!A:L,12,FALSE)</f>
        <v>638</v>
      </c>
      <c r="E2144" s="3">
        <f>VLOOKUP(A2144,Raw_Data!A:L,11,FALSE)</f>
        <v>22</v>
      </c>
      <c r="F2144" t="str">
        <f>TEXT(VLOOKUP(A2144,Raw_Data!A:L,5,FALSE),"mmm")</f>
        <v>Dec</v>
      </c>
    </row>
    <row r="2145" spans="1:6" x14ac:dyDescent="0.35">
      <c r="A2145" s="3" t="s">
        <v>2757</v>
      </c>
      <c r="B2145" t="str">
        <f>VLOOKUP(A2145,Raw_Data!A:L,6,FALSE)</f>
        <v>Blender</v>
      </c>
      <c r="C2145" t="str">
        <f>VLOOKUP(A2145,Raw_Data!A:L,3,FALSE)</f>
        <v>Spain</v>
      </c>
      <c r="D2145" s="3">
        <f>VLOOKUP(A2145,Raw_Data!A:L,12,FALSE)</f>
        <v>1850</v>
      </c>
      <c r="E2145" s="3">
        <f>VLOOKUP(A2145,Raw_Data!A:L,11,FALSE)</f>
        <v>50</v>
      </c>
      <c r="F2145" t="str">
        <f>TEXT(VLOOKUP(A2145,Raw_Data!A:L,5,FALSE),"mmm")</f>
        <v>Jan</v>
      </c>
    </row>
    <row r="2146" spans="1:6" x14ac:dyDescent="0.35">
      <c r="A2146" s="3" t="s">
        <v>2758</v>
      </c>
      <c r="B2146" t="str">
        <f>VLOOKUP(A2146,Raw_Data!A:L,6,FALSE)</f>
        <v>Iron</v>
      </c>
      <c r="C2146" t="str">
        <f>VLOOKUP(A2146,Raw_Data!A:L,3,FALSE)</f>
        <v>USA</v>
      </c>
      <c r="D2146" s="3">
        <f>VLOOKUP(A2146,Raw_Data!A:L,12,FALSE)</f>
        <v>184</v>
      </c>
      <c r="E2146" s="3">
        <f>VLOOKUP(A2146,Raw_Data!A:L,11,FALSE)</f>
        <v>8</v>
      </c>
      <c r="F2146" t="str">
        <f>TEXT(VLOOKUP(A2146,Raw_Data!A:L,5,FALSE),"mmm")</f>
        <v>Apr</v>
      </c>
    </row>
    <row r="2147" spans="1:6" x14ac:dyDescent="0.35">
      <c r="A2147" s="3" t="s">
        <v>2759</v>
      </c>
      <c r="B2147" t="str">
        <f>VLOOKUP(A2147,Raw_Data!A:L,6,FALSE)</f>
        <v>Vacuum Cleaner</v>
      </c>
      <c r="C2147" t="str">
        <f>VLOOKUP(A2147,Raw_Data!A:L,3,FALSE)</f>
        <v>Vietnam</v>
      </c>
      <c r="D2147" s="3">
        <f>VLOOKUP(A2147,Raw_Data!A:L,12,FALSE)</f>
        <v>2688</v>
      </c>
      <c r="E2147" s="3">
        <f>VLOOKUP(A2147,Raw_Data!A:L,11,FALSE)</f>
        <v>16</v>
      </c>
      <c r="F2147" t="str">
        <f>TEXT(VLOOKUP(A2147,Raw_Data!A:L,5,FALSE),"mmm")</f>
        <v>Feb</v>
      </c>
    </row>
    <row r="2148" spans="1:6" x14ac:dyDescent="0.35">
      <c r="A2148" s="3" t="s">
        <v>2760</v>
      </c>
      <c r="B2148" t="str">
        <f>VLOOKUP(A2148,Raw_Data!A:L,6,FALSE)</f>
        <v>Air conditioner</v>
      </c>
      <c r="C2148" t="str">
        <f>VLOOKUP(A2148,Raw_Data!A:L,3,FALSE)</f>
        <v>Israel</v>
      </c>
      <c r="D2148" s="3">
        <f>VLOOKUP(A2148,Raw_Data!A:L,12,FALSE)</f>
        <v>51156</v>
      </c>
      <c r="E2148" s="3">
        <f>VLOOKUP(A2148,Raw_Data!A:L,11,FALSE)</f>
        <v>84</v>
      </c>
      <c r="F2148" t="str">
        <f>TEXT(VLOOKUP(A2148,Raw_Data!A:L,5,FALSE),"mmm")</f>
        <v>Mar</v>
      </c>
    </row>
    <row r="2149" spans="1:6" x14ac:dyDescent="0.35">
      <c r="A2149" s="3" t="s">
        <v>2761</v>
      </c>
      <c r="B2149" t="str">
        <f>VLOOKUP(A2149,Raw_Data!A:L,6,FALSE)</f>
        <v>Dishwasher</v>
      </c>
      <c r="C2149" t="str">
        <f>VLOOKUP(A2149,Raw_Data!A:L,3,FALSE)</f>
        <v>Canada</v>
      </c>
      <c r="D2149" s="3">
        <f>VLOOKUP(A2149,Raw_Data!A:L,12,FALSE)</f>
        <v>9870</v>
      </c>
      <c r="E2149" s="3">
        <f>VLOOKUP(A2149,Raw_Data!A:L,11,FALSE)</f>
        <v>21</v>
      </c>
      <c r="F2149" t="str">
        <f>TEXT(VLOOKUP(A2149,Raw_Data!A:L,5,FALSE),"mmm")</f>
        <v>Apr</v>
      </c>
    </row>
    <row r="2150" spans="1:6" x14ac:dyDescent="0.35">
      <c r="A2150" s="3" t="s">
        <v>2762</v>
      </c>
      <c r="B2150" t="str">
        <f>VLOOKUP(A2150,Raw_Data!A:L,6,FALSE)</f>
        <v>Microwave</v>
      </c>
      <c r="C2150" t="str">
        <f>VLOOKUP(A2150,Raw_Data!A:L,3,FALSE)</f>
        <v>USA</v>
      </c>
      <c r="D2150" s="3">
        <f>VLOOKUP(A2150,Raw_Data!A:L,12,FALSE)</f>
        <v>1264</v>
      </c>
      <c r="E2150" s="3">
        <f>VLOOKUP(A2150,Raw_Data!A:L,11,FALSE)</f>
        <v>16</v>
      </c>
      <c r="F2150" t="str">
        <f>TEXT(VLOOKUP(A2150,Raw_Data!A:L,5,FALSE),"mmm")</f>
        <v>Dec</v>
      </c>
    </row>
    <row r="2151" spans="1:6" x14ac:dyDescent="0.35">
      <c r="A2151" s="3" t="s">
        <v>2763</v>
      </c>
      <c r="B2151" t="str">
        <f>VLOOKUP(A2151,Raw_Data!A:L,6,FALSE)</f>
        <v>Ceiling fan</v>
      </c>
      <c r="C2151" t="str">
        <f>VLOOKUP(A2151,Raw_Data!A:L,3,FALSE)</f>
        <v>China</v>
      </c>
      <c r="D2151" s="3">
        <f>VLOOKUP(A2151,Raw_Data!A:L,12,FALSE)</f>
        <v>630</v>
      </c>
      <c r="E2151" s="3">
        <f>VLOOKUP(A2151,Raw_Data!A:L,11,FALSE)</f>
        <v>6</v>
      </c>
      <c r="F2151" t="str">
        <f>TEXT(VLOOKUP(A2151,Raw_Data!A:L,5,FALSE),"mmm")</f>
        <v>Oct</v>
      </c>
    </row>
    <row r="2152" spans="1:6" x14ac:dyDescent="0.35">
      <c r="A2152" s="3" t="s">
        <v>2764</v>
      </c>
      <c r="B2152" t="str">
        <f>VLOOKUP(A2152,Raw_Data!A:L,6,FALSE)</f>
        <v>Microwave</v>
      </c>
      <c r="C2152" t="str">
        <f>VLOOKUP(A2152,Raw_Data!A:L,3,FALSE)</f>
        <v>Argentina</v>
      </c>
      <c r="D2152" s="3">
        <f>VLOOKUP(A2152,Raw_Data!A:L,12,FALSE)</f>
        <v>4408</v>
      </c>
      <c r="E2152" s="3">
        <f>VLOOKUP(A2152,Raw_Data!A:L,11,FALSE)</f>
        <v>76</v>
      </c>
      <c r="F2152" t="str">
        <f>TEXT(VLOOKUP(A2152,Raw_Data!A:L,5,FALSE),"mmm")</f>
        <v>Aug</v>
      </c>
    </row>
    <row r="2153" spans="1:6" x14ac:dyDescent="0.35">
      <c r="A2153" s="3" t="s">
        <v>2765</v>
      </c>
      <c r="B2153" t="str">
        <f>VLOOKUP(A2153,Raw_Data!A:L,6,FALSE)</f>
        <v>Washing Machine</v>
      </c>
      <c r="C2153" t="str">
        <f>VLOOKUP(A2153,Raw_Data!A:L,3,FALSE)</f>
        <v>Russia</v>
      </c>
      <c r="D2153" s="3">
        <f>VLOOKUP(A2153,Raw_Data!A:L,12,FALSE)</f>
        <v>11160</v>
      </c>
      <c r="E2153" s="3">
        <f>VLOOKUP(A2153,Raw_Data!A:L,11,FALSE)</f>
        <v>15</v>
      </c>
      <c r="F2153" t="str">
        <f>TEXT(VLOOKUP(A2153,Raw_Data!A:L,5,FALSE),"mmm")</f>
        <v>Mar</v>
      </c>
    </row>
    <row r="2154" spans="1:6" x14ac:dyDescent="0.35">
      <c r="A2154" s="3" t="s">
        <v>2766</v>
      </c>
      <c r="B2154" t="str">
        <f>VLOOKUP(A2154,Raw_Data!A:L,6,FALSE)</f>
        <v>Air conditioner</v>
      </c>
      <c r="C2154" t="str">
        <f>VLOOKUP(A2154,Raw_Data!A:L,3,FALSE)</f>
        <v>Ireland</v>
      </c>
      <c r="D2154" s="3">
        <f>VLOOKUP(A2154,Raw_Data!A:L,12,FALSE)</f>
        <v>9765</v>
      </c>
      <c r="E2154" s="3">
        <f>VLOOKUP(A2154,Raw_Data!A:L,11,FALSE)</f>
        <v>15</v>
      </c>
      <c r="F2154" t="str">
        <f>TEXT(VLOOKUP(A2154,Raw_Data!A:L,5,FALSE),"mmm")</f>
        <v>Aug</v>
      </c>
    </row>
    <row r="2155" spans="1:6" x14ac:dyDescent="0.35">
      <c r="A2155" s="3" t="s">
        <v>2767</v>
      </c>
      <c r="B2155" t="str">
        <f>VLOOKUP(A2155,Raw_Data!A:L,6,FALSE)</f>
        <v>Coffee grinder</v>
      </c>
      <c r="C2155" t="str">
        <f>VLOOKUP(A2155,Raw_Data!A:L,3,FALSE)</f>
        <v>Vietnam</v>
      </c>
      <c r="D2155" s="3">
        <f>VLOOKUP(A2155,Raw_Data!A:L,12,FALSE)</f>
        <v>5980</v>
      </c>
      <c r="E2155" s="3">
        <f>VLOOKUP(A2155,Raw_Data!A:L,11,FALSE)</f>
        <v>92</v>
      </c>
      <c r="F2155" t="str">
        <f>TEXT(VLOOKUP(A2155,Raw_Data!A:L,5,FALSE),"mmm")</f>
        <v>Jul</v>
      </c>
    </row>
    <row r="2156" spans="1:6" x14ac:dyDescent="0.35">
      <c r="A2156" s="3" t="s">
        <v>2768</v>
      </c>
      <c r="B2156" t="str">
        <f>VLOOKUP(A2156,Raw_Data!A:L,6,FALSE)</f>
        <v>Microwave</v>
      </c>
      <c r="C2156" t="str">
        <f>VLOOKUP(A2156,Raw_Data!A:L,3,FALSE)</f>
        <v>USA</v>
      </c>
      <c r="D2156" s="3">
        <f>VLOOKUP(A2156,Raw_Data!A:L,12,FALSE)</f>
        <v>5925</v>
      </c>
      <c r="E2156" s="3">
        <f>VLOOKUP(A2156,Raw_Data!A:L,11,FALSE)</f>
        <v>79</v>
      </c>
      <c r="F2156" t="str">
        <f>TEXT(VLOOKUP(A2156,Raw_Data!A:L,5,FALSE),"mmm")</f>
        <v>Jan</v>
      </c>
    </row>
    <row r="2157" spans="1:6" x14ac:dyDescent="0.35">
      <c r="A2157" s="3" t="s">
        <v>2769</v>
      </c>
      <c r="B2157" t="str">
        <f>VLOOKUP(A2157,Raw_Data!A:L,6,FALSE)</f>
        <v>Dishwasher</v>
      </c>
      <c r="C2157" t="str">
        <f>VLOOKUP(A2157,Raw_Data!A:L,3,FALSE)</f>
        <v>Peru</v>
      </c>
      <c r="D2157" s="3">
        <f>VLOOKUP(A2157,Raw_Data!A:L,12,FALSE)</f>
        <v>18500</v>
      </c>
      <c r="E2157" s="3">
        <f>VLOOKUP(A2157,Raw_Data!A:L,11,FALSE)</f>
        <v>37</v>
      </c>
      <c r="F2157" t="str">
        <f>TEXT(VLOOKUP(A2157,Raw_Data!A:L,5,FALSE),"mmm")</f>
        <v>Apr</v>
      </c>
    </row>
    <row r="2158" spans="1:6" x14ac:dyDescent="0.35">
      <c r="A2158" s="3" t="s">
        <v>2770</v>
      </c>
      <c r="B2158" t="str">
        <f>VLOOKUP(A2158,Raw_Data!A:L,6,FALSE)</f>
        <v>Oven</v>
      </c>
      <c r="C2158" t="str">
        <f>VLOOKUP(A2158,Raw_Data!A:L,3,FALSE)</f>
        <v>UK</v>
      </c>
      <c r="D2158" s="3">
        <f>VLOOKUP(A2158,Raw_Data!A:L,12,FALSE)</f>
        <v>2970</v>
      </c>
      <c r="E2158" s="3">
        <f>VLOOKUP(A2158,Raw_Data!A:L,11,FALSE)</f>
        <v>6</v>
      </c>
      <c r="F2158" t="str">
        <f>TEXT(VLOOKUP(A2158,Raw_Data!A:L,5,FALSE),"mmm")</f>
        <v>Nov</v>
      </c>
    </row>
    <row r="2159" spans="1:6" x14ac:dyDescent="0.35">
      <c r="A2159" s="3" t="s">
        <v>2771</v>
      </c>
      <c r="B2159" t="str">
        <f>VLOOKUP(A2159,Raw_Data!A:L,6,FALSE)</f>
        <v>Air conditioner</v>
      </c>
      <c r="C2159" t="str">
        <f>VLOOKUP(A2159,Raw_Data!A:L,3,FALSE)</f>
        <v>South Korea</v>
      </c>
      <c r="D2159" s="3">
        <f>VLOOKUP(A2159,Raw_Data!A:L,12,FALSE)</f>
        <v>63175</v>
      </c>
      <c r="E2159" s="3">
        <f>VLOOKUP(A2159,Raw_Data!A:L,11,FALSE)</f>
        <v>95</v>
      </c>
      <c r="F2159" t="str">
        <f>TEXT(VLOOKUP(A2159,Raw_Data!A:L,5,FALSE),"mmm")</f>
        <v>Jul</v>
      </c>
    </row>
    <row r="2160" spans="1:6" x14ac:dyDescent="0.35">
      <c r="A2160" s="3" t="s">
        <v>2772</v>
      </c>
      <c r="B2160" t="str">
        <f>VLOOKUP(A2160,Raw_Data!A:L,6,FALSE)</f>
        <v>Vacuum Cleaner</v>
      </c>
      <c r="C2160" t="str">
        <f>VLOOKUP(A2160,Raw_Data!A:L,3,FALSE)</f>
        <v>Czech Republic</v>
      </c>
      <c r="D2160" s="3">
        <f>VLOOKUP(A2160,Raw_Data!A:L,12,FALSE)</f>
        <v>20700</v>
      </c>
      <c r="E2160" s="3">
        <f>VLOOKUP(A2160,Raw_Data!A:L,11,FALSE)</f>
        <v>90</v>
      </c>
      <c r="F2160" t="str">
        <f>TEXT(VLOOKUP(A2160,Raw_Data!A:L,5,FALSE),"mmm")</f>
        <v>Nov</v>
      </c>
    </row>
    <row r="2161" spans="1:6" x14ac:dyDescent="0.35">
      <c r="A2161" s="3" t="s">
        <v>2773</v>
      </c>
      <c r="B2161" t="str">
        <f>VLOOKUP(A2161,Raw_Data!A:L,6,FALSE)</f>
        <v>Ceiling fan</v>
      </c>
      <c r="C2161" t="str">
        <f>VLOOKUP(A2161,Raw_Data!A:L,3,FALSE)</f>
        <v>Israel</v>
      </c>
      <c r="D2161" s="3">
        <f>VLOOKUP(A2161,Raw_Data!A:L,12,FALSE)</f>
        <v>8580</v>
      </c>
      <c r="E2161" s="3">
        <f>VLOOKUP(A2161,Raw_Data!A:L,11,FALSE)</f>
        <v>60</v>
      </c>
      <c r="F2161" t="str">
        <f>TEXT(VLOOKUP(A2161,Raw_Data!A:L,5,FALSE),"mmm")</f>
        <v>Mar</v>
      </c>
    </row>
    <row r="2162" spans="1:6" x14ac:dyDescent="0.35">
      <c r="A2162" s="3" t="s">
        <v>2774</v>
      </c>
      <c r="B2162" t="str">
        <f>VLOOKUP(A2162,Raw_Data!A:L,6,FALSE)</f>
        <v>Vacuum Cleaner</v>
      </c>
      <c r="C2162" t="str">
        <f>VLOOKUP(A2162,Raw_Data!A:L,3,FALSE)</f>
        <v>Chile</v>
      </c>
      <c r="D2162" s="3">
        <f>VLOOKUP(A2162,Raw_Data!A:L,12,FALSE)</f>
        <v>5060</v>
      </c>
      <c r="E2162" s="3">
        <f>VLOOKUP(A2162,Raw_Data!A:L,11,FALSE)</f>
        <v>22</v>
      </c>
      <c r="F2162" t="str">
        <f>TEXT(VLOOKUP(A2162,Raw_Data!A:L,5,FALSE),"mmm")</f>
        <v>Jan</v>
      </c>
    </row>
    <row r="2163" spans="1:6" x14ac:dyDescent="0.35">
      <c r="A2163" s="3" t="s">
        <v>2775</v>
      </c>
      <c r="B2163" t="str">
        <f>VLOOKUP(A2163,Raw_Data!A:L,6,FALSE)</f>
        <v>Air conditioner</v>
      </c>
      <c r="C2163" t="str">
        <f>VLOOKUP(A2163,Raw_Data!A:L,3,FALSE)</f>
        <v>Brazil</v>
      </c>
      <c r="D2163" s="3">
        <f>VLOOKUP(A2163,Raw_Data!A:L,12,FALSE)</f>
        <v>22610</v>
      </c>
      <c r="E2163" s="3">
        <f>VLOOKUP(A2163,Raw_Data!A:L,11,FALSE)</f>
        <v>34</v>
      </c>
      <c r="F2163" t="str">
        <f>TEXT(VLOOKUP(A2163,Raw_Data!A:L,5,FALSE),"mmm")</f>
        <v>Jun</v>
      </c>
    </row>
    <row r="2164" spans="1:6" x14ac:dyDescent="0.35">
      <c r="A2164" s="3" t="s">
        <v>2776</v>
      </c>
      <c r="B2164" t="str">
        <f>VLOOKUP(A2164,Raw_Data!A:L,6,FALSE)</f>
        <v>Vacuum Cleaner</v>
      </c>
      <c r="C2164" t="str">
        <f>VLOOKUP(A2164,Raw_Data!A:L,3,FALSE)</f>
        <v>USA</v>
      </c>
      <c r="D2164" s="3">
        <f>VLOOKUP(A2164,Raw_Data!A:L,12,FALSE)</f>
        <v>23520</v>
      </c>
      <c r="E2164" s="3">
        <f>VLOOKUP(A2164,Raw_Data!A:L,11,FALSE)</f>
        <v>96</v>
      </c>
      <c r="F2164" t="str">
        <f>TEXT(VLOOKUP(A2164,Raw_Data!A:L,5,FALSE),"mmm")</f>
        <v>Jul</v>
      </c>
    </row>
    <row r="2165" spans="1:6" x14ac:dyDescent="0.35">
      <c r="A2165" s="3" t="s">
        <v>2778</v>
      </c>
      <c r="B2165" t="str">
        <f>VLOOKUP(A2165,Raw_Data!A:L,6,FALSE)</f>
        <v>Toaster</v>
      </c>
      <c r="C2165" t="str">
        <f>VLOOKUP(A2165,Raw_Data!A:L,3,FALSE)</f>
        <v>USA</v>
      </c>
      <c r="D2165" s="3">
        <f>VLOOKUP(A2165,Raw_Data!A:L,12,FALSE)</f>
        <v>380</v>
      </c>
      <c r="E2165" s="3">
        <f>VLOOKUP(A2165,Raw_Data!A:L,11,FALSE)</f>
        <v>10</v>
      </c>
      <c r="F2165" t="str">
        <f>TEXT(VLOOKUP(A2165,Raw_Data!A:L,5,FALSE),"mmm")</f>
        <v>Sep</v>
      </c>
    </row>
    <row r="2166" spans="1:6" x14ac:dyDescent="0.35">
      <c r="A2166" s="3" t="s">
        <v>2779</v>
      </c>
      <c r="B2166" t="str">
        <f>VLOOKUP(A2166,Raw_Data!A:L,6,FALSE)</f>
        <v>Coffee grinder</v>
      </c>
      <c r="C2166" t="str">
        <f>VLOOKUP(A2166,Raw_Data!A:L,3,FALSE)</f>
        <v>Japan</v>
      </c>
      <c r="D2166" s="3">
        <f>VLOOKUP(A2166,Raw_Data!A:L,12,FALSE)</f>
        <v>4032</v>
      </c>
      <c r="E2166" s="3">
        <f>VLOOKUP(A2166,Raw_Data!A:L,11,FALSE)</f>
        <v>63</v>
      </c>
      <c r="F2166" t="str">
        <f>TEXT(VLOOKUP(A2166,Raw_Data!A:L,5,FALSE),"mmm")</f>
        <v>Sep</v>
      </c>
    </row>
    <row r="2167" spans="1:6" x14ac:dyDescent="0.35">
      <c r="A2167" s="3" t="s">
        <v>2780</v>
      </c>
      <c r="B2167" t="str">
        <f>VLOOKUP(A2167,Raw_Data!A:L,6,FALSE)</f>
        <v>Vacuum Cleaner</v>
      </c>
      <c r="C2167" t="str">
        <f>VLOOKUP(A2167,Raw_Data!A:L,3,FALSE)</f>
        <v>China</v>
      </c>
      <c r="D2167" s="3">
        <f>VLOOKUP(A2167,Raw_Data!A:L,12,FALSE)</f>
        <v>19278</v>
      </c>
      <c r="E2167" s="3">
        <f>VLOOKUP(A2167,Raw_Data!A:L,11,FALSE)</f>
        <v>81</v>
      </c>
      <c r="F2167" t="str">
        <f>TEXT(VLOOKUP(A2167,Raw_Data!A:L,5,FALSE),"mmm")</f>
        <v>Jul</v>
      </c>
    </row>
    <row r="2168" spans="1:6" x14ac:dyDescent="0.35">
      <c r="A2168" s="3" t="s">
        <v>2781</v>
      </c>
      <c r="B2168" t="str">
        <f>VLOOKUP(A2168,Raw_Data!A:L,6,FALSE)</f>
        <v>Ceiling fan</v>
      </c>
      <c r="C2168" t="str">
        <f>VLOOKUP(A2168,Raw_Data!A:L,3,FALSE)</f>
        <v>Israel</v>
      </c>
      <c r="D2168" s="3">
        <f>VLOOKUP(A2168,Raw_Data!A:L,12,FALSE)</f>
        <v>4658</v>
      </c>
      <c r="E2168" s="3">
        <f>VLOOKUP(A2168,Raw_Data!A:L,11,FALSE)</f>
        <v>34</v>
      </c>
      <c r="F2168" t="str">
        <f>TEXT(VLOOKUP(A2168,Raw_Data!A:L,5,FALSE),"mmm")</f>
        <v>May</v>
      </c>
    </row>
    <row r="2169" spans="1:6" x14ac:dyDescent="0.35">
      <c r="A2169" s="3" t="s">
        <v>2782</v>
      </c>
      <c r="B2169" t="str">
        <f>VLOOKUP(A2169,Raw_Data!A:L,6,FALSE)</f>
        <v>Washing Machine</v>
      </c>
      <c r="C2169" t="str">
        <f>VLOOKUP(A2169,Raw_Data!A:L,3,FALSE)</f>
        <v>Poland</v>
      </c>
      <c r="D2169" s="3">
        <f>VLOOKUP(A2169,Raw_Data!A:L,12,FALSE)</f>
        <v>39520</v>
      </c>
      <c r="E2169" s="3">
        <f>VLOOKUP(A2169,Raw_Data!A:L,11,FALSE)</f>
        <v>76</v>
      </c>
      <c r="F2169" t="str">
        <f>TEXT(VLOOKUP(A2169,Raw_Data!A:L,5,FALSE),"mmm")</f>
        <v>Jun</v>
      </c>
    </row>
    <row r="2170" spans="1:6" x14ac:dyDescent="0.35">
      <c r="A2170" s="3" t="s">
        <v>2783</v>
      </c>
      <c r="B2170" t="str">
        <f>VLOOKUP(A2170,Raw_Data!A:L,6,FALSE)</f>
        <v>Microwave</v>
      </c>
      <c r="C2170" t="str">
        <f>VLOOKUP(A2170,Raw_Data!A:L,3,FALSE)</f>
        <v>Ireland</v>
      </c>
      <c r="D2170" s="3">
        <f>VLOOKUP(A2170,Raw_Data!A:L,12,FALSE)</f>
        <v>4560</v>
      </c>
      <c r="E2170" s="3">
        <f>VLOOKUP(A2170,Raw_Data!A:L,11,FALSE)</f>
        <v>57</v>
      </c>
      <c r="F2170" t="str">
        <f>TEXT(VLOOKUP(A2170,Raw_Data!A:L,5,FALSE),"mmm")</f>
        <v>Jun</v>
      </c>
    </row>
    <row r="2171" spans="1:6" x14ac:dyDescent="0.35">
      <c r="A2171" s="3" t="s">
        <v>2784</v>
      </c>
      <c r="B2171" t="str">
        <f>VLOOKUP(A2171,Raw_Data!A:L,6,FALSE)</f>
        <v>Microwave</v>
      </c>
      <c r="C2171" t="str">
        <f>VLOOKUP(A2171,Raw_Data!A:L,3,FALSE)</f>
        <v>South Africa</v>
      </c>
      <c r="D2171" s="3">
        <f>VLOOKUP(A2171,Raw_Data!A:L,12,FALSE)</f>
        <v>2976</v>
      </c>
      <c r="E2171" s="3">
        <f>VLOOKUP(A2171,Raw_Data!A:L,11,FALSE)</f>
        <v>48</v>
      </c>
      <c r="F2171" t="str">
        <f>TEXT(VLOOKUP(A2171,Raw_Data!A:L,5,FALSE),"mmm")</f>
        <v>Feb</v>
      </c>
    </row>
    <row r="2172" spans="1:6" x14ac:dyDescent="0.35">
      <c r="A2172" s="3" t="s">
        <v>2785</v>
      </c>
      <c r="B2172" t="str">
        <f>VLOOKUP(A2172,Raw_Data!A:L,6,FALSE)</f>
        <v>Toaster</v>
      </c>
      <c r="C2172" t="str">
        <f>VLOOKUP(A2172,Raw_Data!A:L,3,FALSE)</f>
        <v>UK</v>
      </c>
      <c r="D2172" s="3">
        <f>VLOOKUP(A2172,Raw_Data!A:L,12,FALSE)</f>
        <v>2950</v>
      </c>
      <c r="E2172" s="3">
        <f>VLOOKUP(A2172,Raw_Data!A:L,11,FALSE)</f>
        <v>59</v>
      </c>
      <c r="F2172" t="str">
        <f>TEXT(VLOOKUP(A2172,Raw_Data!A:L,5,FALSE),"mmm")</f>
        <v>Aug</v>
      </c>
    </row>
    <row r="2173" spans="1:6" x14ac:dyDescent="0.35">
      <c r="A2173" s="3" t="s">
        <v>2786</v>
      </c>
      <c r="B2173" t="str">
        <f>VLOOKUP(A2173,Raw_Data!A:L,6,FALSE)</f>
        <v>Washing Machine</v>
      </c>
      <c r="C2173" t="str">
        <f>VLOOKUP(A2173,Raw_Data!A:L,3,FALSE)</f>
        <v>USA</v>
      </c>
      <c r="D2173" s="3">
        <f>VLOOKUP(A2173,Raw_Data!A:L,12,FALSE)</f>
        <v>14720</v>
      </c>
      <c r="E2173" s="3">
        <f>VLOOKUP(A2173,Raw_Data!A:L,11,FALSE)</f>
        <v>23</v>
      </c>
      <c r="F2173" t="str">
        <f>TEXT(VLOOKUP(A2173,Raw_Data!A:L,5,FALSE),"mmm")</f>
        <v>May</v>
      </c>
    </row>
    <row r="2174" spans="1:6" x14ac:dyDescent="0.35">
      <c r="A2174" s="3" t="s">
        <v>2787</v>
      </c>
      <c r="B2174" t="str">
        <f>VLOOKUP(A2174,Raw_Data!A:L,6,FALSE)</f>
        <v>Iron</v>
      </c>
      <c r="C2174" t="str">
        <f>VLOOKUP(A2174,Raw_Data!A:L,3,FALSE)</f>
        <v>UAE</v>
      </c>
      <c r="D2174" s="3">
        <f>VLOOKUP(A2174,Raw_Data!A:L,12,FALSE)</f>
        <v>987</v>
      </c>
      <c r="E2174" s="3">
        <f>VLOOKUP(A2174,Raw_Data!A:L,11,FALSE)</f>
        <v>47</v>
      </c>
      <c r="F2174" t="str">
        <f>TEXT(VLOOKUP(A2174,Raw_Data!A:L,5,FALSE),"mmm")</f>
        <v>Mar</v>
      </c>
    </row>
    <row r="2175" spans="1:6" x14ac:dyDescent="0.35">
      <c r="A2175" s="3" t="s">
        <v>2788</v>
      </c>
      <c r="B2175" t="str">
        <f>VLOOKUP(A2175,Raw_Data!A:L,6,FALSE)</f>
        <v>Refrigerator</v>
      </c>
      <c r="C2175" t="str">
        <f>VLOOKUP(A2175,Raw_Data!A:L,3,FALSE)</f>
        <v>Canada</v>
      </c>
      <c r="D2175" s="3">
        <f>VLOOKUP(A2175,Raw_Data!A:L,12,FALSE)</f>
        <v>52260</v>
      </c>
      <c r="E2175" s="3">
        <f>VLOOKUP(A2175,Raw_Data!A:L,11,FALSE)</f>
        <v>67</v>
      </c>
      <c r="F2175" t="str">
        <f>TEXT(VLOOKUP(A2175,Raw_Data!A:L,5,FALSE),"mmm")</f>
        <v>May</v>
      </c>
    </row>
    <row r="2176" spans="1:6" x14ac:dyDescent="0.35">
      <c r="A2176" s="3" t="s">
        <v>2790</v>
      </c>
      <c r="B2176" t="str">
        <f>VLOOKUP(A2176,Raw_Data!A:L,6,FALSE)</f>
        <v>Air conditioner</v>
      </c>
      <c r="C2176" t="str">
        <f>VLOOKUP(A2176,Raw_Data!A:L,3,FALSE)</f>
        <v>Czech Republic</v>
      </c>
      <c r="D2176" s="3">
        <f>VLOOKUP(A2176,Raw_Data!A:L,12,FALSE)</f>
        <v>8827</v>
      </c>
      <c r="E2176" s="3">
        <f>VLOOKUP(A2176,Raw_Data!A:L,11,FALSE)</f>
        <v>13</v>
      </c>
      <c r="F2176" t="str">
        <f>TEXT(VLOOKUP(A2176,Raw_Data!A:L,5,FALSE),"mmm")</f>
        <v>Aug</v>
      </c>
    </row>
    <row r="2177" spans="1:6" x14ac:dyDescent="0.35">
      <c r="A2177" s="3" t="s">
        <v>2791</v>
      </c>
      <c r="B2177" t="str">
        <f>VLOOKUP(A2177,Raw_Data!A:L,6,FALSE)</f>
        <v>Toaster</v>
      </c>
      <c r="C2177" t="str">
        <f>VLOOKUP(A2177,Raw_Data!A:L,3,FALSE)</f>
        <v>India</v>
      </c>
      <c r="D2177" s="3">
        <f>VLOOKUP(A2177,Raw_Data!A:L,12,FALSE)</f>
        <v>2550</v>
      </c>
      <c r="E2177" s="3">
        <f>VLOOKUP(A2177,Raw_Data!A:L,11,FALSE)</f>
        <v>51</v>
      </c>
      <c r="F2177" t="str">
        <f>TEXT(VLOOKUP(A2177,Raw_Data!A:L,5,FALSE),"mmm")</f>
        <v>Feb</v>
      </c>
    </row>
    <row r="2178" spans="1:6" x14ac:dyDescent="0.35">
      <c r="A2178" s="3" t="s">
        <v>2792</v>
      </c>
      <c r="B2178" t="str">
        <f>VLOOKUP(A2178,Raw_Data!A:L,6,FALSE)</f>
        <v>Coffee grinder</v>
      </c>
      <c r="C2178" t="str">
        <f>VLOOKUP(A2178,Raw_Data!A:L,3,FALSE)</f>
        <v>USA</v>
      </c>
      <c r="D2178" s="3">
        <f>VLOOKUP(A2178,Raw_Data!A:L,12,FALSE)</f>
        <v>2310</v>
      </c>
      <c r="E2178" s="3">
        <f>VLOOKUP(A2178,Raw_Data!A:L,11,FALSE)</f>
        <v>42</v>
      </c>
      <c r="F2178" t="str">
        <f>TEXT(VLOOKUP(A2178,Raw_Data!A:L,5,FALSE),"mmm")</f>
        <v>Dec</v>
      </c>
    </row>
    <row r="2179" spans="1:6" x14ac:dyDescent="0.35">
      <c r="A2179" s="3" t="s">
        <v>2793</v>
      </c>
      <c r="B2179" t="str">
        <f>VLOOKUP(A2179,Raw_Data!A:L,6,FALSE)</f>
        <v>Washing Machine</v>
      </c>
      <c r="C2179" t="str">
        <f>VLOOKUP(A2179,Raw_Data!A:L,3,FALSE)</f>
        <v>UAE</v>
      </c>
      <c r="D2179" s="3">
        <f>VLOOKUP(A2179,Raw_Data!A:L,12,FALSE)</f>
        <v>5600</v>
      </c>
      <c r="E2179" s="3">
        <f>VLOOKUP(A2179,Raw_Data!A:L,11,FALSE)</f>
        <v>7</v>
      </c>
      <c r="F2179" t="str">
        <f>TEXT(VLOOKUP(A2179,Raw_Data!A:L,5,FALSE),"mmm")</f>
        <v>Jul</v>
      </c>
    </row>
    <row r="2180" spans="1:6" x14ac:dyDescent="0.35">
      <c r="A2180" s="3" t="s">
        <v>2794</v>
      </c>
      <c r="B2180" t="str">
        <f>VLOOKUP(A2180,Raw_Data!A:L,6,FALSE)</f>
        <v>Toaster</v>
      </c>
      <c r="C2180" t="str">
        <f>VLOOKUP(A2180,Raw_Data!A:L,3,FALSE)</f>
        <v>Thailand</v>
      </c>
      <c r="D2180" s="3">
        <f>VLOOKUP(A2180,Raw_Data!A:L,12,FALSE)</f>
        <v>550</v>
      </c>
      <c r="E2180" s="3">
        <f>VLOOKUP(A2180,Raw_Data!A:L,11,FALSE)</f>
        <v>11</v>
      </c>
      <c r="F2180" t="str">
        <f>TEXT(VLOOKUP(A2180,Raw_Data!A:L,5,FALSE),"mmm")</f>
        <v>Dec</v>
      </c>
    </row>
    <row r="2181" spans="1:6" x14ac:dyDescent="0.35">
      <c r="A2181" s="3" t="s">
        <v>2795</v>
      </c>
      <c r="B2181" t="str">
        <f>VLOOKUP(A2181,Raw_Data!A:L,6,FALSE)</f>
        <v>Microwave</v>
      </c>
      <c r="C2181" t="str">
        <f>VLOOKUP(A2181,Raw_Data!A:L,3,FALSE)</f>
        <v>Canada</v>
      </c>
      <c r="D2181" s="3">
        <f>VLOOKUP(A2181,Raw_Data!A:L,12,FALSE)</f>
        <v>708</v>
      </c>
      <c r="E2181" s="3">
        <f>VLOOKUP(A2181,Raw_Data!A:L,11,FALSE)</f>
        <v>12</v>
      </c>
      <c r="F2181" t="str">
        <f>TEXT(VLOOKUP(A2181,Raw_Data!A:L,5,FALSE),"mmm")</f>
        <v>Nov</v>
      </c>
    </row>
    <row r="2182" spans="1:6" x14ac:dyDescent="0.35">
      <c r="A2182" s="3" t="s">
        <v>2796</v>
      </c>
      <c r="B2182" t="str">
        <f>VLOOKUP(A2182,Raw_Data!A:L,6,FALSE)</f>
        <v>Iron</v>
      </c>
      <c r="C2182" t="str">
        <f>VLOOKUP(A2182,Raw_Data!A:L,3,FALSE)</f>
        <v>USA</v>
      </c>
      <c r="D2182" s="3">
        <f>VLOOKUP(A2182,Raw_Data!A:L,12,FALSE)</f>
        <v>1680</v>
      </c>
      <c r="E2182" s="3">
        <f>VLOOKUP(A2182,Raw_Data!A:L,11,FALSE)</f>
        <v>56</v>
      </c>
      <c r="F2182" t="str">
        <f>TEXT(VLOOKUP(A2182,Raw_Data!A:L,5,FALSE),"mmm")</f>
        <v>Apr</v>
      </c>
    </row>
    <row r="2183" spans="1:6" x14ac:dyDescent="0.35">
      <c r="A2183" s="3" t="s">
        <v>2797</v>
      </c>
      <c r="B2183" t="str">
        <f>VLOOKUP(A2183,Raw_Data!A:L,6,FALSE)</f>
        <v>Ceiling fan</v>
      </c>
      <c r="C2183" t="str">
        <f>VLOOKUP(A2183,Raw_Data!A:L,3,FALSE)</f>
        <v>Malaysia</v>
      </c>
      <c r="D2183" s="3">
        <f>VLOOKUP(A2183,Raw_Data!A:L,12,FALSE)</f>
        <v>12880</v>
      </c>
      <c r="E2183" s="3">
        <f>VLOOKUP(A2183,Raw_Data!A:L,11,FALSE)</f>
        <v>92</v>
      </c>
      <c r="F2183" t="str">
        <f>TEXT(VLOOKUP(A2183,Raw_Data!A:L,5,FALSE),"mmm")</f>
        <v>Aug</v>
      </c>
    </row>
    <row r="2184" spans="1:6" x14ac:dyDescent="0.35">
      <c r="A2184" s="3" t="s">
        <v>2798</v>
      </c>
      <c r="B2184" t="str">
        <f>VLOOKUP(A2184,Raw_Data!A:L,6,FALSE)</f>
        <v>Microwave</v>
      </c>
      <c r="C2184" t="str">
        <f>VLOOKUP(A2184,Raw_Data!A:L,3,FALSE)</f>
        <v>Spain</v>
      </c>
      <c r="D2184" s="3">
        <f>VLOOKUP(A2184,Raw_Data!A:L,12,FALSE)</f>
        <v>2838</v>
      </c>
      <c r="E2184" s="3">
        <f>VLOOKUP(A2184,Raw_Data!A:L,11,FALSE)</f>
        <v>43</v>
      </c>
      <c r="F2184" t="str">
        <f>TEXT(VLOOKUP(A2184,Raw_Data!A:L,5,FALSE),"mmm")</f>
        <v>Sep</v>
      </c>
    </row>
    <row r="2185" spans="1:6" x14ac:dyDescent="0.35">
      <c r="A2185" s="3" t="s">
        <v>2799</v>
      </c>
      <c r="B2185" t="str">
        <f>VLOOKUP(A2185,Raw_Data!A:L,6,FALSE)</f>
        <v>Dishwasher</v>
      </c>
      <c r="C2185" t="str">
        <f>VLOOKUP(A2185,Raw_Data!A:L,3,FALSE)</f>
        <v>Romania</v>
      </c>
      <c r="D2185" s="3">
        <f>VLOOKUP(A2185,Raw_Data!A:L,12,FALSE)</f>
        <v>36575</v>
      </c>
      <c r="E2185" s="3">
        <f>VLOOKUP(A2185,Raw_Data!A:L,11,FALSE)</f>
        <v>77</v>
      </c>
      <c r="F2185" t="str">
        <f>TEXT(VLOOKUP(A2185,Raw_Data!A:L,5,FALSE),"mmm")</f>
        <v>Sep</v>
      </c>
    </row>
    <row r="2186" spans="1:6" x14ac:dyDescent="0.35">
      <c r="A2186" s="3" t="s">
        <v>2800</v>
      </c>
      <c r="B2186" t="str">
        <f>VLOOKUP(A2186,Raw_Data!A:L,6,FALSE)</f>
        <v>Dishwasher</v>
      </c>
      <c r="C2186" t="str">
        <f>VLOOKUP(A2186,Raw_Data!A:L,3,FALSE)</f>
        <v>Peru</v>
      </c>
      <c r="D2186" s="3">
        <f>VLOOKUP(A2186,Raw_Data!A:L,12,FALSE)</f>
        <v>17945</v>
      </c>
      <c r="E2186" s="3">
        <f>VLOOKUP(A2186,Raw_Data!A:L,11,FALSE)</f>
        <v>37</v>
      </c>
      <c r="F2186" t="str">
        <f>TEXT(VLOOKUP(A2186,Raw_Data!A:L,5,FALSE),"mmm")</f>
        <v>Jun</v>
      </c>
    </row>
    <row r="2187" spans="1:6" x14ac:dyDescent="0.35">
      <c r="A2187" s="3" t="s">
        <v>2801</v>
      </c>
      <c r="B2187" t="str">
        <f>VLOOKUP(A2187,Raw_Data!A:L,6,FALSE)</f>
        <v>Air conditioner</v>
      </c>
      <c r="C2187" t="str">
        <f>VLOOKUP(A2187,Raw_Data!A:L,3,FALSE)</f>
        <v>Mexico</v>
      </c>
      <c r="D2187" s="3">
        <f>VLOOKUP(A2187,Raw_Data!A:L,12,FALSE)</f>
        <v>26726</v>
      </c>
      <c r="E2187" s="3">
        <f>VLOOKUP(A2187,Raw_Data!A:L,11,FALSE)</f>
        <v>46</v>
      </c>
      <c r="F2187" t="str">
        <f>TEXT(VLOOKUP(A2187,Raw_Data!A:L,5,FALSE),"mmm")</f>
        <v>Sep</v>
      </c>
    </row>
    <row r="2188" spans="1:6" x14ac:dyDescent="0.35">
      <c r="A2188" s="3" t="s">
        <v>2802</v>
      </c>
      <c r="B2188" t="str">
        <f>VLOOKUP(A2188,Raw_Data!A:L,6,FALSE)</f>
        <v>Microwave</v>
      </c>
      <c r="C2188" t="str">
        <f>VLOOKUP(A2188,Raw_Data!A:L,3,FALSE)</f>
        <v>Saudi Arabia</v>
      </c>
      <c r="D2188" s="3">
        <f>VLOOKUP(A2188,Raw_Data!A:L,12,FALSE)</f>
        <v>148</v>
      </c>
      <c r="E2188" s="3">
        <f>VLOOKUP(A2188,Raw_Data!A:L,11,FALSE)</f>
        <v>2</v>
      </c>
      <c r="F2188" t="str">
        <f>TEXT(VLOOKUP(A2188,Raw_Data!A:L,5,FALSE),"mmm")</f>
        <v>Aug</v>
      </c>
    </row>
    <row r="2189" spans="1:6" x14ac:dyDescent="0.35">
      <c r="A2189" s="3" t="s">
        <v>2803</v>
      </c>
      <c r="B2189" t="str">
        <f>VLOOKUP(A2189,Raw_Data!A:L,6,FALSE)</f>
        <v>Oven</v>
      </c>
      <c r="C2189" t="str">
        <f>VLOOKUP(A2189,Raw_Data!A:L,3,FALSE)</f>
        <v>Argentina</v>
      </c>
      <c r="D2189" s="3">
        <f>VLOOKUP(A2189,Raw_Data!A:L,12,FALSE)</f>
        <v>9310</v>
      </c>
      <c r="E2189" s="3">
        <f>VLOOKUP(A2189,Raw_Data!A:L,11,FALSE)</f>
        <v>19</v>
      </c>
      <c r="F2189" t="str">
        <f>TEXT(VLOOKUP(A2189,Raw_Data!A:L,5,FALSE),"mmm")</f>
        <v>Jan</v>
      </c>
    </row>
    <row r="2190" spans="1:6" x14ac:dyDescent="0.35">
      <c r="A2190" s="3" t="s">
        <v>2804</v>
      </c>
      <c r="B2190" t="str">
        <f>VLOOKUP(A2190,Raw_Data!A:L,6,FALSE)</f>
        <v>Vacuum Cleaner</v>
      </c>
      <c r="C2190" t="str">
        <f>VLOOKUP(A2190,Raw_Data!A:L,3,FALSE)</f>
        <v>India</v>
      </c>
      <c r="D2190" s="3">
        <f>VLOOKUP(A2190,Raw_Data!A:L,12,FALSE)</f>
        <v>3600</v>
      </c>
      <c r="E2190" s="3">
        <f>VLOOKUP(A2190,Raw_Data!A:L,11,FALSE)</f>
        <v>15</v>
      </c>
      <c r="F2190" t="str">
        <f>TEXT(VLOOKUP(A2190,Raw_Data!A:L,5,FALSE),"mmm")</f>
        <v>Sep</v>
      </c>
    </row>
    <row r="2191" spans="1:6" x14ac:dyDescent="0.35">
      <c r="A2191" s="3" t="s">
        <v>2805</v>
      </c>
      <c r="B2191" t="str">
        <f>VLOOKUP(A2191,Raw_Data!A:L,6,FALSE)</f>
        <v>Washing Machine</v>
      </c>
      <c r="C2191" t="str">
        <f>VLOOKUP(A2191,Raw_Data!A:L,3,FALSE)</f>
        <v>Peru</v>
      </c>
      <c r="D2191" s="3">
        <f>VLOOKUP(A2191,Raw_Data!A:L,12,FALSE)</f>
        <v>12648</v>
      </c>
      <c r="E2191" s="3">
        <f>VLOOKUP(A2191,Raw_Data!A:L,11,FALSE)</f>
        <v>17</v>
      </c>
      <c r="F2191" t="str">
        <f>TEXT(VLOOKUP(A2191,Raw_Data!A:L,5,FALSE),"mmm")</f>
        <v>Oct</v>
      </c>
    </row>
    <row r="2192" spans="1:6" x14ac:dyDescent="0.35">
      <c r="A2192" s="3" t="s">
        <v>2806</v>
      </c>
      <c r="B2192" t="str">
        <f>VLOOKUP(A2192,Raw_Data!A:L,6,FALSE)</f>
        <v>Oven</v>
      </c>
      <c r="C2192" t="str">
        <f>VLOOKUP(A2192,Raw_Data!A:L,3,FALSE)</f>
        <v>Mexico</v>
      </c>
      <c r="D2192" s="3">
        <f>VLOOKUP(A2192,Raw_Data!A:L,12,FALSE)</f>
        <v>39200</v>
      </c>
      <c r="E2192" s="3">
        <f>VLOOKUP(A2192,Raw_Data!A:L,11,FALSE)</f>
        <v>80</v>
      </c>
      <c r="F2192" t="str">
        <f>TEXT(VLOOKUP(A2192,Raw_Data!A:L,5,FALSE),"mmm")</f>
        <v>Jan</v>
      </c>
    </row>
    <row r="2193" spans="1:6" x14ac:dyDescent="0.35">
      <c r="A2193" s="3" t="s">
        <v>2807</v>
      </c>
      <c r="B2193" t="str">
        <f>VLOOKUP(A2193,Raw_Data!A:L,6,FALSE)</f>
        <v>Oven</v>
      </c>
      <c r="C2193" t="str">
        <f>VLOOKUP(A2193,Raw_Data!A:L,3,FALSE)</f>
        <v>Spain</v>
      </c>
      <c r="D2193" s="3">
        <f>VLOOKUP(A2193,Raw_Data!A:L,12,FALSE)</f>
        <v>17325</v>
      </c>
      <c r="E2193" s="3">
        <f>VLOOKUP(A2193,Raw_Data!A:L,11,FALSE)</f>
        <v>35</v>
      </c>
      <c r="F2193" t="str">
        <f>TEXT(VLOOKUP(A2193,Raw_Data!A:L,5,FALSE),"mmm")</f>
        <v>Oct</v>
      </c>
    </row>
    <row r="2194" spans="1:6" x14ac:dyDescent="0.35">
      <c r="A2194" s="3" t="s">
        <v>2808</v>
      </c>
      <c r="B2194" t="str">
        <f>VLOOKUP(A2194,Raw_Data!A:L,6,FALSE)</f>
        <v>Oven</v>
      </c>
      <c r="C2194" t="str">
        <f>VLOOKUP(A2194,Raw_Data!A:L,3,FALSE)</f>
        <v>USA</v>
      </c>
      <c r="D2194" s="3">
        <f>VLOOKUP(A2194,Raw_Data!A:L,12,FALSE)</f>
        <v>5500</v>
      </c>
      <c r="E2194" s="3">
        <f>VLOOKUP(A2194,Raw_Data!A:L,11,FALSE)</f>
        <v>11</v>
      </c>
      <c r="F2194" t="str">
        <f>TEXT(VLOOKUP(A2194,Raw_Data!A:L,5,FALSE),"mmm")</f>
        <v>Jan</v>
      </c>
    </row>
    <row r="2195" spans="1:6" x14ac:dyDescent="0.35">
      <c r="A2195" s="3" t="s">
        <v>2809</v>
      </c>
      <c r="B2195" t="str">
        <f>VLOOKUP(A2195,Raw_Data!A:L,6,FALSE)</f>
        <v>Ceiling fan</v>
      </c>
      <c r="C2195" t="str">
        <f>VLOOKUP(A2195,Raw_Data!A:L,3,FALSE)</f>
        <v>Poland</v>
      </c>
      <c r="D2195" s="3">
        <f>VLOOKUP(A2195,Raw_Data!A:L,12,FALSE)</f>
        <v>1932</v>
      </c>
      <c r="E2195" s="3">
        <f>VLOOKUP(A2195,Raw_Data!A:L,11,FALSE)</f>
        <v>14</v>
      </c>
      <c r="F2195" t="str">
        <f>TEXT(VLOOKUP(A2195,Raw_Data!A:L,5,FALSE),"mmm")</f>
        <v>Nov</v>
      </c>
    </row>
    <row r="2196" spans="1:6" x14ac:dyDescent="0.35">
      <c r="A2196" s="3" t="s">
        <v>2810</v>
      </c>
      <c r="B2196" t="str">
        <f>VLOOKUP(A2196,Raw_Data!A:L,6,FALSE)</f>
        <v>Oven</v>
      </c>
      <c r="C2196" t="str">
        <f>VLOOKUP(A2196,Raw_Data!A:L,3,FALSE)</f>
        <v>Peru</v>
      </c>
      <c r="D2196" s="3">
        <f>VLOOKUP(A2196,Raw_Data!A:L,12,FALSE)</f>
        <v>41160</v>
      </c>
      <c r="E2196" s="3">
        <f>VLOOKUP(A2196,Raw_Data!A:L,11,FALSE)</f>
        <v>84</v>
      </c>
      <c r="F2196" t="str">
        <f>TEXT(VLOOKUP(A2196,Raw_Data!A:L,5,FALSE),"mmm")</f>
        <v>Feb</v>
      </c>
    </row>
    <row r="2197" spans="1:6" x14ac:dyDescent="0.35">
      <c r="A2197" s="3" t="s">
        <v>2811</v>
      </c>
      <c r="B2197" t="str">
        <f>VLOOKUP(A2197,Raw_Data!A:L,6,FALSE)</f>
        <v>Air conditioner</v>
      </c>
      <c r="C2197" t="str">
        <f>VLOOKUP(A2197,Raw_Data!A:L,3,FALSE)</f>
        <v>Vietnam</v>
      </c>
      <c r="D2197" s="3">
        <f>VLOOKUP(A2197,Raw_Data!A:L,12,FALSE)</f>
        <v>18424</v>
      </c>
      <c r="E2197" s="3">
        <f>VLOOKUP(A2197,Raw_Data!A:L,11,FALSE)</f>
        <v>28</v>
      </c>
      <c r="F2197" t="str">
        <f>TEXT(VLOOKUP(A2197,Raw_Data!A:L,5,FALSE),"mmm")</f>
        <v>Apr</v>
      </c>
    </row>
    <row r="2198" spans="1:6" x14ac:dyDescent="0.35">
      <c r="A2198" s="3" t="s">
        <v>2812</v>
      </c>
      <c r="B2198" t="str">
        <f>VLOOKUP(A2198,Raw_Data!A:L,6,FALSE)</f>
        <v>Refrigerator</v>
      </c>
      <c r="C2198" t="str">
        <f>VLOOKUP(A2198,Raw_Data!A:L,3,FALSE)</f>
        <v>Romania</v>
      </c>
      <c r="D2198" s="3">
        <f>VLOOKUP(A2198,Raw_Data!A:L,12,FALSE)</f>
        <v>27200</v>
      </c>
      <c r="E2198" s="3">
        <f>VLOOKUP(A2198,Raw_Data!A:L,11,FALSE)</f>
        <v>34</v>
      </c>
      <c r="F2198" t="str">
        <f>TEXT(VLOOKUP(A2198,Raw_Data!A:L,5,FALSE),"mmm")</f>
        <v>Mar</v>
      </c>
    </row>
    <row r="2199" spans="1:6" x14ac:dyDescent="0.35">
      <c r="A2199" s="3" t="s">
        <v>2813</v>
      </c>
      <c r="B2199" t="str">
        <f>VLOOKUP(A2199,Raw_Data!A:L,6,FALSE)</f>
        <v>Dishwasher</v>
      </c>
      <c r="C2199" t="str">
        <f>VLOOKUP(A2199,Raw_Data!A:L,3,FALSE)</f>
        <v>China</v>
      </c>
      <c r="D2199" s="3">
        <f>VLOOKUP(A2199,Raw_Data!A:L,12,FALSE)</f>
        <v>40740</v>
      </c>
      <c r="E2199" s="3">
        <f>VLOOKUP(A2199,Raw_Data!A:L,11,FALSE)</f>
        <v>84</v>
      </c>
      <c r="F2199" t="str">
        <f>TEXT(VLOOKUP(A2199,Raw_Data!A:L,5,FALSE),"mmm")</f>
        <v>Feb</v>
      </c>
    </row>
    <row r="2200" spans="1:6" x14ac:dyDescent="0.35">
      <c r="A2200" s="3" t="s">
        <v>2814</v>
      </c>
      <c r="B2200" t="str">
        <f>VLOOKUP(A2200,Raw_Data!A:L,6,FALSE)</f>
        <v>Dishwasher</v>
      </c>
      <c r="C2200" t="str">
        <f>VLOOKUP(A2200,Raw_Data!A:L,3,FALSE)</f>
        <v>Greece</v>
      </c>
      <c r="D2200" s="3">
        <f>VLOOKUP(A2200,Raw_Data!A:L,12,FALSE)</f>
        <v>4450</v>
      </c>
      <c r="E2200" s="3">
        <f>VLOOKUP(A2200,Raw_Data!A:L,11,FALSE)</f>
        <v>10</v>
      </c>
      <c r="F2200" t="str">
        <f>TEXT(VLOOKUP(A2200,Raw_Data!A:L,5,FALSE),"mmm")</f>
        <v>Jan</v>
      </c>
    </row>
    <row r="2201" spans="1:6" x14ac:dyDescent="0.35">
      <c r="A2201" s="3" t="s">
        <v>2815</v>
      </c>
      <c r="B2201" t="str">
        <f>VLOOKUP(A2201,Raw_Data!A:L,6,FALSE)</f>
        <v>Coffee grinder</v>
      </c>
      <c r="C2201" t="str">
        <f>VLOOKUP(A2201,Raw_Data!A:L,3,FALSE)</f>
        <v>Japan</v>
      </c>
      <c r="D2201" s="3">
        <f>VLOOKUP(A2201,Raw_Data!A:L,12,FALSE)</f>
        <v>1593</v>
      </c>
      <c r="E2201" s="3">
        <f>VLOOKUP(A2201,Raw_Data!A:L,11,FALSE)</f>
        <v>27</v>
      </c>
      <c r="F2201" t="str">
        <f>TEXT(VLOOKUP(A2201,Raw_Data!A:L,5,FALSE),"mmm")</f>
        <v>Jan</v>
      </c>
    </row>
    <row r="2202" spans="1:6" x14ac:dyDescent="0.35">
      <c r="A2202" s="3" t="s">
        <v>2816</v>
      </c>
      <c r="B2202" t="str">
        <f>VLOOKUP(A2202,Raw_Data!A:L,6,FALSE)</f>
        <v>Ceiling fan</v>
      </c>
      <c r="C2202" t="str">
        <f>VLOOKUP(A2202,Raw_Data!A:L,3,FALSE)</f>
        <v>USA</v>
      </c>
      <c r="D2202" s="3">
        <f>VLOOKUP(A2202,Raw_Data!A:L,12,FALSE)</f>
        <v>6710</v>
      </c>
      <c r="E2202" s="3">
        <f>VLOOKUP(A2202,Raw_Data!A:L,11,FALSE)</f>
        <v>55</v>
      </c>
      <c r="F2202" t="str">
        <f>TEXT(VLOOKUP(A2202,Raw_Data!A:L,5,FALSE),"mmm")</f>
        <v>Apr</v>
      </c>
    </row>
    <row r="2203" spans="1:6" x14ac:dyDescent="0.35">
      <c r="A2203" s="3" t="s">
        <v>2817</v>
      </c>
      <c r="B2203" t="str">
        <f>VLOOKUP(A2203,Raw_Data!A:L,6,FALSE)</f>
        <v>Air conditioner</v>
      </c>
      <c r="C2203" t="str">
        <f>VLOOKUP(A2203,Raw_Data!A:L,3,FALSE)</f>
        <v>Netherlands</v>
      </c>
      <c r="D2203" s="3">
        <f>VLOOKUP(A2203,Raw_Data!A:L,12,FALSE)</f>
        <v>32900</v>
      </c>
      <c r="E2203" s="3">
        <f>VLOOKUP(A2203,Raw_Data!A:L,11,FALSE)</f>
        <v>50</v>
      </c>
      <c r="F2203" t="str">
        <f>TEXT(VLOOKUP(A2203,Raw_Data!A:L,5,FALSE),"mmm")</f>
        <v>Apr</v>
      </c>
    </row>
    <row r="2204" spans="1:6" x14ac:dyDescent="0.35">
      <c r="A2204" s="3" t="s">
        <v>2818</v>
      </c>
      <c r="B2204" t="str">
        <f>VLOOKUP(A2204,Raw_Data!A:L,6,FALSE)</f>
        <v>Dishwasher</v>
      </c>
      <c r="C2204" t="str">
        <f>VLOOKUP(A2204,Raw_Data!A:L,3,FALSE)</f>
        <v>Russia</v>
      </c>
      <c r="D2204" s="3">
        <f>VLOOKUP(A2204,Raw_Data!A:L,12,FALSE)</f>
        <v>960</v>
      </c>
      <c r="E2204" s="3">
        <f>VLOOKUP(A2204,Raw_Data!A:L,11,FALSE)</f>
        <v>2</v>
      </c>
      <c r="F2204" t="str">
        <f>TEXT(VLOOKUP(A2204,Raw_Data!A:L,5,FALSE),"mmm")</f>
        <v>Mar</v>
      </c>
    </row>
    <row r="2205" spans="1:6" x14ac:dyDescent="0.35">
      <c r="A2205" s="3" t="s">
        <v>2819</v>
      </c>
      <c r="B2205" t="str">
        <f>VLOOKUP(A2205,Raw_Data!A:L,6,FALSE)</f>
        <v>Iron</v>
      </c>
      <c r="C2205" t="str">
        <f>VLOOKUP(A2205,Raw_Data!A:L,3,FALSE)</f>
        <v>Germany</v>
      </c>
      <c r="D2205" s="3">
        <f>VLOOKUP(A2205,Raw_Data!A:L,12,FALSE)</f>
        <v>594</v>
      </c>
      <c r="E2205" s="3">
        <f>VLOOKUP(A2205,Raw_Data!A:L,11,FALSE)</f>
        <v>22</v>
      </c>
      <c r="F2205" t="str">
        <f>TEXT(VLOOKUP(A2205,Raw_Data!A:L,5,FALSE),"mmm")</f>
        <v>Oct</v>
      </c>
    </row>
    <row r="2206" spans="1:6" x14ac:dyDescent="0.35">
      <c r="A2206" s="3" t="s">
        <v>2820</v>
      </c>
      <c r="B2206" t="str">
        <f>VLOOKUP(A2206,Raw_Data!A:L,6,FALSE)</f>
        <v>Washing Machine</v>
      </c>
      <c r="C2206" t="str">
        <f>VLOOKUP(A2206,Raw_Data!A:L,3,FALSE)</f>
        <v>UAE</v>
      </c>
      <c r="D2206" s="3">
        <f>VLOOKUP(A2206,Raw_Data!A:L,12,FALSE)</f>
        <v>58016</v>
      </c>
      <c r="E2206" s="3">
        <f>VLOOKUP(A2206,Raw_Data!A:L,11,FALSE)</f>
        <v>98</v>
      </c>
      <c r="F2206" t="str">
        <f>TEXT(VLOOKUP(A2206,Raw_Data!A:L,5,FALSE),"mmm")</f>
        <v>Aug</v>
      </c>
    </row>
    <row r="2207" spans="1:6" x14ac:dyDescent="0.35">
      <c r="A2207" s="3" t="s">
        <v>2821</v>
      </c>
      <c r="B2207" t="str">
        <f>VLOOKUP(A2207,Raw_Data!A:L,6,FALSE)</f>
        <v>Washing Machine</v>
      </c>
      <c r="C2207" t="str">
        <f>VLOOKUP(A2207,Raw_Data!A:L,3,FALSE)</f>
        <v>Brazil</v>
      </c>
      <c r="D2207" s="3">
        <f>VLOOKUP(A2207,Raw_Data!A:L,12,FALSE)</f>
        <v>40120</v>
      </c>
      <c r="E2207" s="3">
        <f>VLOOKUP(A2207,Raw_Data!A:L,11,FALSE)</f>
        <v>59</v>
      </c>
      <c r="F2207" t="str">
        <f>TEXT(VLOOKUP(A2207,Raw_Data!A:L,5,FALSE),"mmm")</f>
        <v>Feb</v>
      </c>
    </row>
    <row r="2208" spans="1:6" x14ac:dyDescent="0.35">
      <c r="A2208" s="3" t="s">
        <v>2822</v>
      </c>
      <c r="B2208" t="str">
        <f>VLOOKUP(A2208,Raw_Data!A:L,6,FALSE)</f>
        <v>Air conditioner</v>
      </c>
      <c r="C2208" t="str">
        <f>VLOOKUP(A2208,Raw_Data!A:L,3,FALSE)</f>
        <v>Chile</v>
      </c>
      <c r="D2208" s="3">
        <f>VLOOKUP(A2208,Raw_Data!A:L,12,FALSE)</f>
        <v>48510</v>
      </c>
      <c r="E2208" s="3">
        <f>VLOOKUP(A2208,Raw_Data!A:L,11,FALSE)</f>
        <v>70</v>
      </c>
      <c r="F2208" t="str">
        <f>TEXT(VLOOKUP(A2208,Raw_Data!A:L,5,FALSE),"mmm")</f>
        <v>Jan</v>
      </c>
    </row>
    <row r="2209" spans="1:6" x14ac:dyDescent="0.35">
      <c r="A2209" s="3" t="s">
        <v>2823</v>
      </c>
      <c r="B2209" t="str">
        <f>VLOOKUP(A2209,Raw_Data!A:L,6,FALSE)</f>
        <v>Ceiling fan</v>
      </c>
      <c r="C2209" t="str">
        <f>VLOOKUP(A2209,Raw_Data!A:L,3,FALSE)</f>
        <v>China</v>
      </c>
      <c r="D2209" s="3">
        <f>VLOOKUP(A2209,Raw_Data!A:L,12,FALSE)</f>
        <v>10857</v>
      </c>
      <c r="E2209" s="3">
        <f>VLOOKUP(A2209,Raw_Data!A:L,11,FALSE)</f>
        <v>77</v>
      </c>
      <c r="F2209" t="str">
        <f>TEXT(VLOOKUP(A2209,Raw_Data!A:L,5,FALSE),"mmm")</f>
        <v>Oct</v>
      </c>
    </row>
    <row r="2210" spans="1:6" x14ac:dyDescent="0.35">
      <c r="A2210" s="3" t="s">
        <v>2824</v>
      </c>
      <c r="B2210" t="str">
        <f>VLOOKUP(A2210,Raw_Data!A:L,6,FALSE)</f>
        <v>Dishwasher</v>
      </c>
      <c r="C2210" t="str">
        <f>VLOOKUP(A2210,Raw_Data!A:L,3,FALSE)</f>
        <v>Colombia</v>
      </c>
      <c r="D2210" s="3">
        <f>VLOOKUP(A2210,Raw_Data!A:L,12,FALSE)</f>
        <v>43710</v>
      </c>
      <c r="E2210" s="3">
        <f>VLOOKUP(A2210,Raw_Data!A:L,11,FALSE)</f>
        <v>93</v>
      </c>
      <c r="F2210" t="str">
        <f>TEXT(VLOOKUP(A2210,Raw_Data!A:L,5,FALSE),"mmm")</f>
        <v>Aug</v>
      </c>
    </row>
    <row r="2211" spans="1:6" x14ac:dyDescent="0.35">
      <c r="A2211" s="3" t="s">
        <v>2825</v>
      </c>
      <c r="B2211" t="str">
        <f>VLOOKUP(A2211,Raw_Data!A:L,6,FALSE)</f>
        <v>Oven</v>
      </c>
      <c r="C2211" t="str">
        <f>VLOOKUP(A2211,Raw_Data!A:L,3,FALSE)</f>
        <v>USA</v>
      </c>
      <c r="D2211" s="3">
        <f>VLOOKUP(A2211,Raw_Data!A:L,12,FALSE)</f>
        <v>4950</v>
      </c>
      <c r="E2211" s="3">
        <f>VLOOKUP(A2211,Raw_Data!A:L,11,FALSE)</f>
        <v>10</v>
      </c>
      <c r="F2211" t="str">
        <f>TEXT(VLOOKUP(A2211,Raw_Data!A:L,5,FALSE),"mmm")</f>
        <v>Jul</v>
      </c>
    </row>
    <row r="2212" spans="1:6" x14ac:dyDescent="0.35">
      <c r="A2212" s="3" t="s">
        <v>2826</v>
      </c>
      <c r="B2212" t="str">
        <f>VLOOKUP(A2212,Raw_Data!A:L,6,FALSE)</f>
        <v>Vacuum Cleaner</v>
      </c>
      <c r="C2212" t="str">
        <f>VLOOKUP(A2212,Raw_Data!A:L,3,FALSE)</f>
        <v>USA</v>
      </c>
      <c r="D2212" s="3">
        <f>VLOOKUP(A2212,Raw_Data!A:L,12,FALSE)</f>
        <v>21824</v>
      </c>
      <c r="E2212" s="3">
        <f>VLOOKUP(A2212,Raw_Data!A:L,11,FALSE)</f>
        <v>88</v>
      </c>
      <c r="F2212" t="str">
        <f>TEXT(VLOOKUP(A2212,Raw_Data!A:L,5,FALSE),"mmm")</f>
        <v>Jul</v>
      </c>
    </row>
    <row r="2213" spans="1:6" x14ac:dyDescent="0.35">
      <c r="A2213" s="3" t="s">
        <v>2827</v>
      </c>
      <c r="B2213" t="str">
        <f>VLOOKUP(A2213,Raw_Data!A:L,6,FALSE)</f>
        <v>Microwave</v>
      </c>
      <c r="C2213" t="str">
        <f>VLOOKUP(A2213,Raw_Data!A:L,3,FALSE)</f>
        <v>Israel</v>
      </c>
      <c r="D2213" s="3">
        <f>VLOOKUP(A2213,Raw_Data!A:L,12,FALSE)</f>
        <v>6460</v>
      </c>
      <c r="E2213" s="3">
        <f>VLOOKUP(A2213,Raw_Data!A:L,11,FALSE)</f>
        <v>85</v>
      </c>
      <c r="F2213" t="str">
        <f>TEXT(VLOOKUP(A2213,Raw_Data!A:L,5,FALSE),"mmm")</f>
        <v>Nov</v>
      </c>
    </row>
    <row r="2214" spans="1:6" x14ac:dyDescent="0.35">
      <c r="A2214" s="3" t="s">
        <v>2828</v>
      </c>
      <c r="B2214" t="str">
        <f>VLOOKUP(A2214,Raw_Data!A:L,6,FALSE)</f>
        <v>Blender</v>
      </c>
      <c r="C2214" t="str">
        <f>VLOOKUP(A2214,Raw_Data!A:L,3,FALSE)</f>
        <v>Japan</v>
      </c>
      <c r="D2214" s="3">
        <f>VLOOKUP(A2214,Raw_Data!A:L,12,FALSE)</f>
        <v>1716</v>
      </c>
      <c r="E2214" s="3">
        <f>VLOOKUP(A2214,Raw_Data!A:L,11,FALSE)</f>
        <v>52</v>
      </c>
      <c r="F2214" t="str">
        <f>TEXT(VLOOKUP(A2214,Raw_Data!A:L,5,FALSE),"mmm")</f>
        <v>May</v>
      </c>
    </row>
    <row r="2215" spans="1:6" x14ac:dyDescent="0.35">
      <c r="A2215" s="3" t="s">
        <v>2829</v>
      </c>
      <c r="B2215" t="str">
        <f>VLOOKUP(A2215,Raw_Data!A:L,6,FALSE)</f>
        <v>Dishwasher</v>
      </c>
      <c r="C2215" t="str">
        <f>VLOOKUP(A2215,Raw_Data!A:L,3,FALSE)</f>
        <v>Peru</v>
      </c>
      <c r="D2215" s="3">
        <f>VLOOKUP(A2215,Raw_Data!A:L,12,FALSE)</f>
        <v>41325</v>
      </c>
      <c r="E2215" s="3">
        <f>VLOOKUP(A2215,Raw_Data!A:L,11,FALSE)</f>
        <v>87</v>
      </c>
      <c r="F2215" t="str">
        <f>TEXT(VLOOKUP(A2215,Raw_Data!A:L,5,FALSE),"mmm")</f>
        <v>Jul</v>
      </c>
    </row>
    <row r="2216" spans="1:6" x14ac:dyDescent="0.35">
      <c r="A2216" s="3" t="s">
        <v>2830</v>
      </c>
      <c r="B2216" t="str">
        <f>VLOOKUP(A2216,Raw_Data!A:L,6,FALSE)</f>
        <v>Air conditioner</v>
      </c>
      <c r="C2216" t="str">
        <f>VLOOKUP(A2216,Raw_Data!A:L,3,FALSE)</f>
        <v>South Korea</v>
      </c>
      <c r="D2216" s="3">
        <f>VLOOKUP(A2216,Raw_Data!A:L,12,FALSE)</f>
        <v>10290</v>
      </c>
      <c r="E2216" s="3">
        <f>VLOOKUP(A2216,Raw_Data!A:L,11,FALSE)</f>
        <v>15</v>
      </c>
      <c r="F2216" t="str">
        <f>TEXT(VLOOKUP(A2216,Raw_Data!A:L,5,FALSE),"mmm")</f>
        <v>Jun</v>
      </c>
    </row>
    <row r="2217" spans="1:6" x14ac:dyDescent="0.35">
      <c r="A2217" s="3" t="s">
        <v>2831</v>
      </c>
      <c r="B2217" t="str">
        <f>VLOOKUP(A2217,Raw_Data!A:L,6,FALSE)</f>
        <v>Refrigerator</v>
      </c>
      <c r="C2217" t="str">
        <f>VLOOKUP(A2217,Raw_Data!A:L,3,FALSE)</f>
        <v>UK</v>
      </c>
      <c r="D2217" s="3">
        <f>VLOOKUP(A2217,Raw_Data!A:L,12,FALSE)</f>
        <v>37440</v>
      </c>
      <c r="E2217" s="3">
        <f>VLOOKUP(A2217,Raw_Data!A:L,11,FALSE)</f>
        <v>48</v>
      </c>
      <c r="F2217" t="str">
        <f>TEXT(VLOOKUP(A2217,Raw_Data!A:L,5,FALSE),"mmm")</f>
        <v>Mar</v>
      </c>
    </row>
    <row r="2218" spans="1:6" x14ac:dyDescent="0.35">
      <c r="A2218" s="3" t="s">
        <v>2832</v>
      </c>
      <c r="B2218" t="str">
        <f>VLOOKUP(A2218,Raw_Data!A:L,6,FALSE)</f>
        <v>Refrigerator</v>
      </c>
      <c r="C2218" t="str">
        <f>VLOOKUP(A2218,Raw_Data!A:L,3,FALSE)</f>
        <v>Canada</v>
      </c>
      <c r="D2218" s="3">
        <f>VLOOKUP(A2218,Raw_Data!A:L,12,FALSE)</f>
        <v>40800</v>
      </c>
      <c r="E2218" s="3">
        <f>VLOOKUP(A2218,Raw_Data!A:L,11,FALSE)</f>
        <v>80</v>
      </c>
      <c r="F2218" t="str">
        <f>TEXT(VLOOKUP(A2218,Raw_Data!A:L,5,FALSE),"mmm")</f>
        <v>May</v>
      </c>
    </row>
    <row r="2219" spans="1:6" x14ac:dyDescent="0.35">
      <c r="A2219" s="3" t="s">
        <v>2833</v>
      </c>
      <c r="B2219" t="str">
        <f>VLOOKUP(A2219,Raw_Data!A:L,6,FALSE)</f>
        <v>Blender</v>
      </c>
      <c r="C2219" t="str">
        <f>VLOOKUP(A2219,Raw_Data!A:L,3,FALSE)</f>
        <v>USA</v>
      </c>
      <c r="D2219" s="3">
        <f>VLOOKUP(A2219,Raw_Data!A:L,12,FALSE)</f>
        <v>3430</v>
      </c>
      <c r="E2219" s="3">
        <f>VLOOKUP(A2219,Raw_Data!A:L,11,FALSE)</f>
        <v>70</v>
      </c>
      <c r="F2219" t="str">
        <f>TEXT(VLOOKUP(A2219,Raw_Data!A:L,5,FALSE),"mmm")</f>
        <v>Dec</v>
      </c>
    </row>
    <row r="2220" spans="1:6" x14ac:dyDescent="0.35">
      <c r="A2220" s="3" t="s">
        <v>2834</v>
      </c>
      <c r="B2220" t="str">
        <f>VLOOKUP(A2220,Raw_Data!A:L,6,FALSE)</f>
        <v>Washing Machine</v>
      </c>
      <c r="C2220" t="str">
        <f>VLOOKUP(A2220,Raw_Data!A:L,3,FALSE)</f>
        <v>China</v>
      </c>
      <c r="D2220" s="3">
        <f>VLOOKUP(A2220,Raw_Data!A:L,12,FALSE)</f>
        <v>19456</v>
      </c>
      <c r="E2220" s="3">
        <f>VLOOKUP(A2220,Raw_Data!A:L,11,FALSE)</f>
        <v>38</v>
      </c>
      <c r="F2220" t="str">
        <f>TEXT(VLOOKUP(A2220,Raw_Data!A:L,5,FALSE),"mmm")</f>
        <v>Oct</v>
      </c>
    </row>
    <row r="2221" spans="1:6" x14ac:dyDescent="0.35">
      <c r="A2221" s="3" t="s">
        <v>2835</v>
      </c>
      <c r="B2221" t="str">
        <f>VLOOKUP(A2221,Raw_Data!A:L,6,FALSE)</f>
        <v>Washing Machine</v>
      </c>
      <c r="C2221" t="str">
        <f>VLOOKUP(A2221,Raw_Data!A:L,3,FALSE)</f>
        <v>Colombia</v>
      </c>
      <c r="D2221" s="3">
        <f>VLOOKUP(A2221,Raw_Data!A:L,12,FALSE)</f>
        <v>13776</v>
      </c>
      <c r="E2221" s="3">
        <f>VLOOKUP(A2221,Raw_Data!A:L,11,FALSE)</f>
        <v>21</v>
      </c>
      <c r="F2221" t="str">
        <f>TEXT(VLOOKUP(A2221,Raw_Data!A:L,5,FALSE),"mmm")</f>
        <v>Aug</v>
      </c>
    </row>
    <row r="2222" spans="1:6" x14ac:dyDescent="0.35">
      <c r="A2222" s="3" t="s">
        <v>2836</v>
      </c>
      <c r="B2222" t="str">
        <f>VLOOKUP(A2222,Raw_Data!A:L,6,FALSE)</f>
        <v>Microwave</v>
      </c>
      <c r="C2222" t="str">
        <f>VLOOKUP(A2222,Raw_Data!A:L,3,FALSE)</f>
        <v>Colombia</v>
      </c>
      <c r="D2222" s="3">
        <f>VLOOKUP(A2222,Raw_Data!A:L,12,FALSE)</f>
        <v>2520</v>
      </c>
      <c r="E2222" s="3">
        <f>VLOOKUP(A2222,Raw_Data!A:L,11,FALSE)</f>
        <v>35</v>
      </c>
      <c r="F2222" t="str">
        <f>TEXT(VLOOKUP(A2222,Raw_Data!A:L,5,FALSE),"mmm")</f>
        <v>Apr</v>
      </c>
    </row>
    <row r="2223" spans="1:6" x14ac:dyDescent="0.35">
      <c r="A2223" s="3" t="s">
        <v>2837</v>
      </c>
      <c r="B2223" t="str">
        <f>VLOOKUP(A2223,Raw_Data!A:L,6,FALSE)</f>
        <v>Oven</v>
      </c>
      <c r="C2223" t="str">
        <f>VLOOKUP(A2223,Raw_Data!A:L,3,FALSE)</f>
        <v>India</v>
      </c>
      <c r="D2223" s="3">
        <f>VLOOKUP(A2223,Raw_Data!A:L,12,FALSE)</f>
        <v>16500</v>
      </c>
      <c r="E2223" s="3">
        <f>VLOOKUP(A2223,Raw_Data!A:L,11,FALSE)</f>
        <v>33</v>
      </c>
      <c r="F2223" t="str">
        <f>TEXT(VLOOKUP(A2223,Raw_Data!A:L,5,FALSE),"mmm")</f>
        <v>Aug</v>
      </c>
    </row>
    <row r="2224" spans="1:6" x14ac:dyDescent="0.35">
      <c r="A2224" s="3" t="s">
        <v>2838</v>
      </c>
      <c r="B2224" t="str">
        <f>VLOOKUP(A2224,Raw_Data!A:L,6,FALSE)</f>
        <v>Washing Machine</v>
      </c>
      <c r="C2224" t="str">
        <f>VLOOKUP(A2224,Raw_Data!A:L,3,FALSE)</f>
        <v>India</v>
      </c>
      <c r="D2224" s="3">
        <f>VLOOKUP(A2224,Raw_Data!A:L,12,FALSE)</f>
        <v>16048</v>
      </c>
      <c r="E2224" s="3">
        <f>VLOOKUP(A2224,Raw_Data!A:L,11,FALSE)</f>
        <v>34</v>
      </c>
      <c r="F2224" t="str">
        <f>TEXT(VLOOKUP(A2224,Raw_Data!A:L,5,FALSE),"mmm")</f>
        <v>Jul</v>
      </c>
    </row>
    <row r="2225" spans="1:6" x14ac:dyDescent="0.35">
      <c r="A2225" s="3" t="s">
        <v>2839</v>
      </c>
      <c r="B2225" t="str">
        <f>VLOOKUP(A2225,Raw_Data!A:L,6,FALSE)</f>
        <v>Microwave</v>
      </c>
      <c r="C2225" t="str">
        <f>VLOOKUP(A2225,Raw_Data!A:L,3,FALSE)</f>
        <v>India</v>
      </c>
      <c r="D2225" s="3">
        <f>VLOOKUP(A2225,Raw_Data!A:L,12,FALSE)</f>
        <v>4880</v>
      </c>
      <c r="E2225" s="3">
        <f>VLOOKUP(A2225,Raw_Data!A:L,11,FALSE)</f>
        <v>61</v>
      </c>
      <c r="F2225" t="str">
        <f>TEXT(VLOOKUP(A2225,Raw_Data!A:L,5,FALSE),"mmm")</f>
        <v>Jan</v>
      </c>
    </row>
    <row r="2226" spans="1:6" x14ac:dyDescent="0.35">
      <c r="A2226" s="3" t="s">
        <v>2840</v>
      </c>
      <c r="B2226" t="str">
        <f>VLOOKUP(A2226,Raw_Data!A:L,6,FALSE)</f>
        <v>Coffee grinder</v>
      </c>
      <c r="C2226" t="str">
        <f>VLOOKUP(A2226,Raw_Data!A:L,3,FALSE)</f>
        <v>Ireland</v>
      </c>
      <c r="D2226" s="3">
        <f>VLOOKUP(A2226,Raw_Data!A:L,12,FALSE)</f>
        <v>3200</v>
      </c>
      <c r="E2226" s="3">
        <f>VLOOKUP(A2226,Raw_Data!A:L,11,FALSE)</f>
        <v>50</v>
      </c>
      <c r="F2226" t="str">
        <f>TEXT(VLOOKUP(A2226,Raw_Data!A:L,5,FALSE),"mmm")</f>
        <v>Mar</v>
      </c>
    </row>
    <row r="2227" spans="1:6" x14ac:dyDescent="0.35">
      <c r="A2227" s="3" t="s">
        <v>2841</v>
      </c>
      <c r="B2227" t="str">
        <f>VLOOKUP(A2227,Raw_Data!A:L,6,FALSE)</f>
        <v>Ceiling fan</v>
      </c>
      <c r="C2227" t="str">
        <f>VLOOKUP(A2227,Raw_Data!A:L,3,FALSE)</f>
        <v>USA</v>
      </c>
      <c r="D2227" s="3">
        <f>VLOOKUP(A2227,Raw_Data!A:L,12,FALSE)</f>
        <v>8664</v>
      </c>
      <c r="E2227" s="3">
        <f>VLOOKUP(A2227,Raw_Data!A:L,11,FALSE)</f>
        <v>76</v>
      </c>
      <c r="F2227" t="str">
        <f>TEXT(VLOOKUP(A2227,Raw_Data!A:L,5,FALSE),"mmm")</f>
        <v>May</v>
      </c>
    </row>
    <row r="2228" spans="1:6" x14ac:dyDescent="0.35">
      <c r="A2228" s="3" t="s">
        <v>2842</v>
      </c>
      <c r="B2228" t="str">
        <f>VLOOKUP(A2228,Raw_Data!A:L,6,FALSE)</f>
        <v>Microwave</v>
      </c>
      <c r="C2228" t="str">
        <f>VLOOKUP(A2228,Raw_Data!A:L,3,FALSE)</f>
        <v>Turkey</v>
      </c>
      <c r="D2228" s="3">
        <f>VLOOKUP(A2228,Raw_Data!A:L,12,FALSE)</f>
        <v>6643</v>
      </c>
      <c r="E2228" s="3">
        <f>VLOOKUP(A2228,Raw_Data!A:L,11,FALSE)</f>
        <v>91</v>
      </c>
      <c r="F2228" t="str">
        <f>TEXT(VLOOKUP(A2228,Raw_Data!A:L,5,FALSE),"mmm")</f>
        <v>Feb</v>
      </c>
    </row>
    <row r="2229" spans="1:6" x14ac:dyDescent="0.35">
      <c r="A2229" s="3" t="s">
        <v>2844</v>
      </c>
      <c r="B2229" t="str">
        <f>VLOOKUP(A2229,Raw_Data!A:L,6,FALSE)</f>
        <v>Blender</v>
      </c>
      <c r="C2229" t="str">
        <f>VLOOKUP(A2229,Raw_Data!A:L,3,FALSE)</f>
        <v>Germany</v>
      </c>
      <c r="D2229" s="3">
        <f>VLOOKUP(A2229,Raw_Data!A:L,12,FALSE)</f>
        <v>3384</v>
      </c>
      <c r="E2229" s="3">
        <f>VLOOKUP(A2229,Raw_Data!A:L,11,FALSE)</f>
        <v>72</v>
      </c>
      <c r="F2229" t="str">
        <f>TEXT(VLOOKUP(A2229,Raw_Data!A:L,5,FALSE),"mmm")</f>
        <v>Jan</v>
      </c>
    </row>
    <row r="2230" spans="1:6" x14ac:dyDescent="0.35">
      <c r="A2230" s="3" t="s">
        <v>2845</v>
      </c>
      <c r="B2230" t="str">
        <f>VLOOKUP(A2230,Raw_Data!A:L,6,FALSE)</f>
        <v>Refrigerator</v>
      </c>
      <c r="C2230" t="str">
        <f>VLOOKUP(A2230,Raw_Data!A:L,3,FALSE)</f>
        <v>Mexico</v>
      </c>
      <c r="D2230" s="3">
        <f>VLOOKUP(A2230,Raw_Data!A:L,12,FALSE)</f>
        <v>54720</v>
      </c>
      <c r="E2230" s="3">
        <f>VLOOKUP(A2230,Raw_Data!A:L,11,FALSE)</f>
        <v>57</v>
      </c>
      <c r="F2230" t="str">
        <f>TEXT(VLOOKUP(A2230,Raw_Data!A:L,5,FALSE),"mmm")</f>
        <v>Nov</v>
      </c>
    </row>
    <row r="2231" spans="1:6" x14ac:dyDescent="0.35">
      <c r="A2231" s="3" t="s">
        <v>2846</v>
      </c>
      <c r="B2231" t="str">
        <f>VLOOKUP(A2231,Raw_Data!A:L,6,FALSE)</f>
        <v>Refrigerator</v>
      </c>
      <c r="C2231" t="str">
        <f>VLOOKUP(A2231,Raw_Data!A:L,3,FALSE)</f>
        <v>USA</v>
      </c>
      <c r="D2231" s="3">
        <f>VLOOKUP(A2231,Raw_Data!A:L,12,FALSE)</f>
        <v>26730</v>
      </c>
      <c r="E2231" s="3">
        <f>VLOOKUP(A2231,Raw_Data!A:L,11,FALSE)</f>
        <v>27</v>
      </c>
      <c r="F2231" t="str">
        <f>TEXT(VLOOKUP(A2231,Raw_Data!A:L,5,FALSE),"mmm")</f>
        <v>Sep</v>
      </c>
    </row>
    <row r="2232" spans="1:6" x14ac:dyDescent="0.35">
      <c r="A2232" s="3" t="s">
        <v>2847</v>
      </c>
      <c r="B2232" t="str">
        <f>VLOOKUP(A2232,Raw_Data!A:L,6,FALSE)</f>
        <v>Washing Machine</v>
      </c>
      <c r="C2232" t="str">
        <f>VLOOKUP(A2232,Raw_Data!A:L,3,FALSE)</f>
        <v>Colombia</v>
      </c>
      <c r="D2232" s="3">
        <f>VLOOKUP(A2232,Raw_Data!A:L,12,FALSE)</f>
        <v>31680</v>
      </c>
      <c r="E2232" s="3">
        <f>VLOOKUP(A2232,Raw_Data!A:L,11,FALSE)</f>
        <v>44</v>
      </c>
      <c r="F2232" t="str">
        <f>TEXT(VLOOKUP(A2232,Raw_Data!A:L,5,FALSE),"mmm")</f>
        <v>Oct</v>
      </c>
    </row>
    <row r="2233" spans="1:6" x14ac:dyDescent="0.35">
      <c r="A2233" s="3" t="s">
        <v>2848</v>
      </c>
      <c r="B2233" t="str">
        <f>VLOOKUP(A2233,Raw_Data!A:L,6,FALSE)</f>
        <v>Washing Machine</v>
      </c>
      <c r="C2233" t="str">
        <f>VLOOKUP(A2233,Raw_Data!A:L,3,FALSE)</f>
        <v>USA</v>
      </c>
      <c r="D2233" s="3">
        <f>VLOOKUP(A2233,Raw_Data!A:L,12,FALSE)</f>
        <v>7200</v>
      </c>
      <c r="E2233" s="3">
        <f>VLOOKUP(A2233,Raw_Data!A:L,11,FALSE)</f>
        <v>12</v>
      </c>
      <c r="F2233" t="str">
        <f>TEXT(VLOOKUP(A2233,Raw_Data!A:L,5,FALSE),"mmm")</f>
        <v>Aug</v>
      </c>
    </row>
    <row r="2234" spans="1:6" x14ac:dyDescent="0.35">
      <c r="A2234" s="3" t="s">
        <v>2849</v>
      </c>
      <c r="B2234" t="str">
        <f>VLOOKUP(A2234,Raw_Data!A:L,6,FALSE)</f>
        <v>Dishwasher</v>
      </c>
      <c r="C2234" t="str">
        <f>VLOOKUP(A2234,Raw_Data!A:L,3,FALSE)</f>
        <v>France</v>
      </c>
      <c r="D2234" s="3">
        <f>VLOOKUP(A2234,Raw_Data!A:L,12,FALSE)</f>
        <v>6525</v>
      </c>
      <c r="E2234" s="3">
        <f>VLOOKUP(A2234,Raw_Data!A:L,11,FALSE)</f>
        <v>15</v>
      </c>
      <c r="F2234" t="str">
        <f>TEXT(VLOOKUP(A2234,Raw_Data!A:L,5,FALSE),"mmm")</f>
        <v>Mar</v>
      </c>
    </row>
    <row r="2235" spans="1:6" x14ac:dyDescent="0.35">
      <c r="A2235" s="3" t="s">
        <v>2850</v>
      </c>
      <c r="B2235" t="str">
        <f>VLOOKUP(A2235,Raw_Data!A:L,6,FALSE)</f>
        <v>Iron</v>
      </c>
      <c r="C2235" t="str">
        <f>VLOOKUP(A2235,Raw_Data!A:L,3,FALSE)</f>
        <v>Colombia</v>
      </c>
      <c r="D2235" s="3">
        <f>VLOOKUP(A2235,Raw_Data!A:L,12,FALSE)</f>
        <v>2125</v>
      </c>
      <c r="E2235" s="3">
        <f>VLOOKUP(A2235,Raw_Data!A:L,11,FALSE)</f>
        <v>85</v>
      </c>
      <c r="F2235" t="str">
        <f>TEXT(VLOOKUP(A2235,Raw_Data!A:L,5,FALSE),"mmm")</f>
        <v>Feb</v>
      </c>
    </row>
    <row r="2236" spans="1:6" x14ac:dyDescent="0.35">
      <c r="A2236" s="3" t="s">
        <v>2851</v>
      </c>
      <c r="B2236" t="str">
        <f>VLOOKUP(A2236,Raw_Data!A:L,6,FALSE)</f>
        <v>Toaster</v>
      </c>
      <c r="C2236" t="str">
        <f>VLOOKUP(A2236,Raw_Data!A:L,3,FALSE)</f>
        <v>China</v>
      </c>
      <c r="D2236" s="3">
        <f>VLOOKUP(A2236,Raw_Data!A:L,12,FALSE)</f>
        <v>4324</v>
      </c>
      <c r="E2236" s="3">
        <f>VLOOKUP(A2236,Raw_Data!A:L,11,FALSE)</f>
        <v>94</v>
      </c>
      <c r="F2236" t="str">
        <f>TEXT(VLOOKUP(A2236,Raw_Data!A:L,5,FALSE),"mmm")</f>
        <v>Jan</v>
      </c>
    </row>
    <row r="2237" spans="1:6" x14ac:dyDescent="0.35">
      <c r="A2237" s="3" t="s">
        <v>2852</v>
      </c>
      <c r="B2237" t="str">
        <f>VLOOKUP(A2237,Raw_Data!A:L,6,FALSE)</f>
        <v>Toaster</v>
      </c>
      <c r="C2237" t="str">
        <f>VLOOKUP(A2237,Raw_Data!A:L,3,FALSE)</f>
        <v>UK</v>
      </c>
      <c r="D2237" s="3">
        <f>VLOOKUP(A2237,Raw_Data!A:L,12,FALSE)</f>
        <v>192</v>
      </c>
      <c r="E2237" s="3">
        <f>VLOOKUP(A2237,Raw_Data!A:L,11,FALSE)</f>
        <v>4</v>
      </c>
      <c r="F2237" t="str">
        <f>TEXT(VLOOKUP(A2237,Raw_Data!A:L,5,FALSE),"mmm")</f>
        <v>Sep</v>
      </c>
    </row>
    <row r="2238" spans="1:6" x14ac:dyDescent="0.35">
      <c r="A2238" s="3" t="s">
        <v>2853</v>
      </c>
      <c r="B2238" t="str">
        <f>VLOOKUP(A2238,Raw_Data!A:L,6,FALSE)</f>
        <v>Ceiling fan</v>
      </c>
      <c r="C2238" t="str">
        <f>VLOOKUP(A2238,Raw_Data!A:L,3,FALSE)</f>
        <v>Italy</v>
      </c>
      <c r="D2238" s="3">
        <f>VLOOKUP(A2238,Raw_Data!A:L,12,FALSE)</f>
        <v>1474</v>
      </c>
      <c r="E2238" s="3">
        <f>VLOOKUP(A2238,Raw_Data!A:L,11,FALSE)</f>
        <v>11</v>
      </c>
      <c r="F2238" t="str">
        <f>TEXT(VLOOKUP(A2238,Raw_Data!A:L,5,FALSE),"mmm")</f>
        <v>Aug</v>
      </c>
    </row>
    <row r="2239" spans="1:6" x14ac:dyDescent="0.35">
      <c r="A2239" s="3" t="s">
        <v>2854</v>
      </c>
      <c r="B2239" t="str">
        <f>VLOOKUP(A2239,Raw_Data!A:L,6,FALSE)</f>
        <v>Microwave</v>
      </c>
      <c r="C2239" t="str">
        <f>VLOOKUP(A2239,Raw_Data!A:L,3,FALSE)</f>
        <v>Mexico</v>
      </c>
      <c r="D2239" s="3">
        <f>VLOOKUP(A2239,Raw_Data!A:L,12,FALSE)</f>
        <v>6900</v>
      </c>
      <c r="E2239" s="3">
        <f>VLOOKUP(A2239,Raw_Data!A:L,11,FALSE)</f>
        <v>92</v>
      </c>
      <c r="F2239" t="str">
        <f>TEXT(VLOOKUP(A2239,Raw_Data!A:L,5,FALSE),"mmm")</f>
        <v>Mar</v>
      </c>
    </row>
    <row r="2240" spans="1:6" x14ac:dyDescent="0.35">
      <c r="A2240" s="3" t="s">
        <v>2856</v>
      </c>
      <c r="B2240" t="str">
        <f>VLOOKUP(A2240,Raw_Data!A:L,6,FALSE)</f>
        <v>Air conditioner</v>
      </c>
      <c r="C2240" t="str">
        <f>VLOOKUP(A2240,Raw_Data!A:L,3,FALSE)</f>
        <v>South Korea</v>
      </c>
      <c r="D2240" s="3">
        <f>VLOOKUP(A2240,Raw_Data!A:L,12,FALSE)</f>
        <v>61677</v>
      </c>
      <c r="E2240" s="3">
        <f>VLOOKUP(A2240,Raw_Data!A:L,11,FALSE)</f>
        <v>89</v>
      </c>
      <c r="F2240" t="str">
        <f>TEXT(VLOOKUP(A2240,Raw_Data!A:L,5,FALSE),"mmm")</f>
        <v>Apr</v>
      </c>
    </row>
    <row r="2241" spans="1:6" x14ac:dyDescent="0.35">
      <c r="A2241" s="3" t="s">
        <v>2857</v>
      </c>
      <c r="B2241" t="str">
        <f>VLOOKUP(A2241,Raw_Data!A:L,6,FALSE)</f>
        <v>Ceiling fan</v>
      </c>
      <c r="C2241" t="str">
        <f>VLOOKUP(A2241,Raw_Data!A:L,3,FALSE)</f>
        <v>Israel</v>
      </c>
      <c r="D2241" s="3">
        <f>VLOOKUP(A2241,Raw_Data!A:L,12,FALSE)</f>
        <v>11067</v>
      </c>
      <c r="E2241" s="3">
        <f>VLOOKUP(A2241,Raw_Data!A:L,11,FALSE)</f>
        <v>93</v>
      </c>
      <c r="F2241" t="str">
        <f>TEXT(VLOOKUP(A2241,Raw_Data!A:L,5,FALSE),"mmm")</f>
        <v>Nov</v>
      </c>
    </row>
    <row r="2242" spans="1:6" x14ac:dyDescent="0.35">
      <c r="A2242" s="3" t="s">
        <v>2858</v>
      </c>
      <c r="B2242" t="str">
        <f>VLOOKUP(A2242,Raw_Data!A:L,6,FALSE)</f>
        <v>Microwave</v>
      </c>
      <c r="C2242" t="str">
        <f>VLOOKUP(A2242,Raw_Data!A:L,3,FALSE)</f>
        <v>Saudi Arabia</v>
      </c>
      <c r="D2242" s="3">
        <f>VLOOKUP(A2242,Raw_Data!A:L,12,FALSE)</f>
        <v>1440</v>
      </c>
      <c r="E2242" s="3">
        <f>VLOOKUP(A2242,Raw_Data!A:L,11,FALSE)</f>
        <v>30</v>
      </c>
      <c r="F2242" t="str">
        <f>TEXT(VLOOKUP(A2242,Raw_Data!A:L,5,FALSE),"mmm")</f>
        <v>Oct</v>
      </c>
    </row>
    <row r="2243" spans="1:6" x14ac:dyDescent="0.35">
      <c r="A2243" s="3" t="s">
        <v>2859</v>
      </c>
      <c r="B2243" t="str">
        <f>VLOOKUP(A2243,Raw_Data!A:L,6,FALSE)</f>
        <v>Blender</v>
      </c>
      <c r="C2243" t="str">
        <f>VLOOKUP(A2243,Raw_Data!A:L,3,FALSE)</f>
        <v>Canada</v>
      </c>
      <c r="D2243" s="3">
        <f>VLOOKUP(A2243,Raw_Data!A:L,12,FALSE)</f>
        <v>3330</v>
      </c>
      <c r="E2243" s="3">
        <f>VLOOKUP(A2243,Raw_Data!A:L,11,FALSE)</f>
        <v>74</v>
      </c>
      <c r="F2243" t="str">
        <f>TEXT(VLOOKUP(A2243,Raw_Data!A:L,5,FALSE),"mmm")</f>
        <v>Sep</v>
      </c>
    </row>
    <row r="2244" spans="1:6" x14ac:dyDescent="0.35">
      <c r="A2244" s="3" t="s">
        <v>2860</v>
      </c>
      <c r="B2244" t="str">
        <f>VLOOKUP(A2244,Raw_Data!A:L,6,FALSE)</f>
        <v>Vacuum Cleaner</v>
      </c>
      <c r="C2244" t="str">
        <f>VLOOKUP(A2244,Raw_Data!A:L,3,FALSE)</f>
        <v>USA</v>
      </c>
      <c r="D2244" s="3">
        <f>VLOOKUP(A2244,Raw_Data!A:L,12,FALSE)</f>
        <v>5750</v>
      </c>
      <c r="E2244" s="3">
        <f>VLOOKUP(A2244,Raw_Data!A:L,11,FALSE)</f>
        <v>23</v>
      </c>
      <c r="F2244" t="str">
        <f>TEXT(VLOOKUP(A2244,Raw_Data!A:L,5,FALSE),"mmm")</f>
        <v>Jun</v>
      </c>
    </row>
    <row r="2245" spans="1:6" x14ac:dyDescent="0.35">
      <c r="A2245" s="3" t="s">
        <v>2861</v>
      </c>
      <c r="B2245" t="str">
        <f>VLOOKUP(A2245,Raw_Data!A:L,6,FALSE)</f>
        <v>Dishwasher</v>
      </c>
      <c r="C2245" t="str">
        <f>VLOOKUP(A2245,Raw_Data!A:L,3,FALSE)</f>
        <v>Germany</v>
      </c>
      <c r="D2245" s="3">
        <f>VLOOKUP(A2245,Raw_Data!A:L,12,FALSE)</f>
        <v>22040</v>
      </c>
      <c r="E2245" s="3">
        <f>VLOOKUP(A2245,Raw_Data!A:L,11,FALSE)</f>
        <v>58</v>
      </c>
      <c r="F2245" t="str">
        <f>TEXT(VLOOKUP(A2245,Raw_Data!A:L,5,FALSE),"mmm")</f>
        <v>Jul</v>
      </c>
    </row>
    <row r="2246" spans="1:6" x14ac:dyDescent="0.35">
      <c r="A2246" s="3" t="s">
        <v>2862</v>
      </c>
      <c r="B2246" t="str">
        <f>VLOOKUP(A2246,Raw_Data!A:L,6,FALSE)</f>
        <v>Oven</v>
      </c>
      <c r="C2246" t="str">
        <f>VLOOKUP(A2246,Raw_Data!A:L,3,FALSE)</f>
        <v>China</v>
      </c>
      <c r="D2246" s="3">
        <f>VLOOKUP(A2246,Raw_Data!A:L,12,FALSE)</f>
        <v>32670</v>
      </c>
      <c r="E2246" s="3">
        <f>VLOOKUP(A2246,Raw_Data!A:L,11,FALSE)</f>
        <v>66</v>
      </c>
      <c r="F2246" t="str">
        <f>TEXT(VLOOKUP(A2246,Raw_Data!A:L,5,FALSE),"mmm")</f>
        <v>Jul</v>
      </c>
    </row>
    <row r="2247" spans="1:6" x14ac:dyDescent="0.35">
      <c r="A2247" s="3" t="s">
        <v>2863</v>
      </c>
      <c r="B2247" t="str">
        <f>VLOOKUP(A2247,Raw_Data!A:L,6,FALSE)</f>
        <v>Air conditioner</v>
      </c>
      <c r="C2247" t="str">
        <f>VLOOKUP(A2247,Raw_Data!A:L,3,FALSE)</f>
        <v>Israel</v>
      </c>
      <c r="D2247" s="3">
        <f>VLOOKUP(A2247,Raw_Data!A:L,12,FALSE)</f>
        <v>43610</v>
      </c>
      <c r="E2247" s="3">
        <f>VLOOKUP(A2247,Raw_Data!A:L,11,FALSE)</f>
        <v>70</v>
      </c>
      <c r="F2247" t="str">
        <f>TEXT(VLOOKUP(A2247,Raw_Data!A:L,5,FALSE),"mmm")</f>
        <v>Jan</v>
      </c>
    </row>
    <row r="2248" spans="1:6" x14ac:dyDescent="0.35">
      <c r="A2248" s="3" t="s">
        <v>2864</v>
      </c>
      <c r="B2248" t="str">
        <f>VLOOKUP(A2248,Raw_Data!A:L,6,FALSE)</f>
        <v>Blender</v>
      </c>
      <c r="C2248" t="str">
        <f>VLOOKUP(A2248,Raw_Data!A:L,3,FALSE)</f>
        <v>South Africa</v>
      </c>
      <c r="D2248" s="3">
        <f>VLOOKUP(A2248,Raw_Data!A:L,12,FALSE)</f>
        <v>2200</v>
      </c>
      <c r="E2248" s="3">
        <f>VLOOKUP(A2248,Raw_Data!A:L,11,FALSE)</f>
        <v>50</v>
      </c>
      <c r="F2248" t="str">
        <f>TEXT(VLOOKUP(A2248,Raw_Data!A:L,5,FALSE),"mmm")</f>
        <v>Apr</v>
      </c>
    </row>
    <row r="2249" spans="1:6" x14ac:dyDescent="0.35">
      <c r="A2249" s="3" t="s">
        <v>2865</v>
      </c>
      <c r="B2249" t="str">
        <f>VLOOKUP(A2249,Raw_Data!A:L,6,FALSE)</f>
        <v>Iron</v>
      </c>
      <c r="C2249" t="str">
        <f>VLOOKUP(A2249,Raw_Data!A:L,3,FALSE)</f>
        <v>Greece</v>
      </c>
      <c r="D2249" s="3">
        <f>VLOOKUP(A2249,Raw_Data!A:L,12,FALSE)</f>
        <v>2070</v>
      </c>
      <c r="E2249" s="3">
        <f>VLOOKUP(A2249,Raw_Data!A:L,11,FALSE)</f>
        <v>69</v>
      </c>
      <c r="F2249" t="str">
        <f>TEXT(VLOOKUP(A2249,Raw_Data!A:L,5,FALSE),"mmm")</f>
        <v>Sep</v>
      </c>
    </row>
    <row r="2250" spans="1:6" x14ac:dyDescent="0.35">
      <c r="A2250" s="3" t="s">
        <v>2866</v>
      </c>
      <c r="B2250" t="str">
        <f>VLOOKUP(A2250,Raw_Data!A:L,6,FALSE)</f>
        <v>Toaster</v>
      </c>
      <c r="C2250" t="str">
        <f>VLOOKUP(A2250,Raw_Data!A:L,3,FALSE)</f>
        <v>Romania</v>
      </c>
      <c r="D2250" s="3">
        <f>VLOOKUP(A2250,Raw_Data!A:L,12,FALSE)</f>
        <v>49</v>
      </c>
      <c r="E2250" s="3">
        <f>VLOOKUP(A2250,Raw_Data!A:L,11,FALSE)</f>
        <v>1</v>
      </c>
      <c r="F2250" t="str">
        <f>TEXT(VLOOKUP(A2250,Raw_Data!A:L,5,FALSE),"mmm")</f>
        <v>Jul</v>
      </c>
    </row>
    <row r="2251" spans="1:6" x14ac:dyDescent="0.35">
      <c r="A2251" s="3" t="s">
        <v>2867</v>
      </c>
      <c r="B2251" t="str">
        <f>VLOOKUP(A2251,Raw_Data!A:L,6,FALSE)</f>
        <v>Microwave</v>
      </c>
      <c r="C2251" t="str">
        <f>VLOOKUP(A2251,Raw_Data!A:L,3,FALSE)</f>
        <v>USA</v>
      </c>
      <c r="D2251" s="3">
        <f>VLOOKUP(A2251,Raw_Data!A:L,12,FALSE)</f>
        <v>2088</v>
      </c>
      <c r="E2251" s="3">
        <f>VLOOKUP(A2251,Raw_Data!A:L,11,FALSE)</f>
        <v>29</v>
      </c>
      <c r="F2251" t="str">
        <f>TEXT(VLOOKUP(A2251,Raw_Data!A:L,5,FALSE),"mmm")</f>
        <v>Jun</v>
      </c>
    </row>
    <row r="2252" spans="1:6" x14ac:dyDescent="0.35">
      <c r="A2252" s="3" t="s">
        <v>2868</v>
      </c>
      <c r="B2252" t="str">
        <f>VLOOKUP(A2252,Raw_Data!A:L,6,FALSE)</f>
        <v>Toaster</v>
      </c>
      <c r="C2252" t="str">
        <f>VLOOKUP(A2252,Raw_Data!A:L,3,FALSE)</f>
        <v>China</v>
      </c>
      <c r="D2252" s="3">
        <f>VLOOKUP(A2252,Raw_Data!A:L,12,FALSE)</f>
        <v>540</v>
      </c>
      <c r="E2252" s="3">
        <f>VLOOKUP(A2252,Raw_Data!A:L,11,FALSE)</f>
        <v>12</v>
      </c>
      <c r="F2252" t="str">
        <f>TEXT(VLOOKUP(A2252,Raw_Data!A:L,5,FALSE),"mmm")</f>
        <v>Jun</v>
      </c>
    </row>
    <row r="2253" spans="1:6" x14ac:dyDescent="0.35">
      <c r="A2253" s="3" t="s">
        <v>2869</v>
      </c>
      <c r="B2253" t="str">
        <f>VLOOKUP(A2253,Raw_Data!A:L,6,FALSE)</f>
        <v>Ceiling fan</v>
      </c>
      <c r="C2253" t="str">
        <f>VLOOKUP(A2253,Raw_Data!A:L,3,FALSE)</f>
        <v>USA</v>
      </c>
      <c r="D2253" s="3">
        <f>VLOOKUP(A2253,Raw_Data!A:L,12,FALSE)</f>
        <v>6407</v>
      </c>
      <c r="E2253" s="3">
        <f>VLOOKUP(A2253,Raw_Data!A:L,11,FALSE)</f>
        <v>43</v>
      </c>
      <c r="F2253" t="str">
        <f>TEXT(VLOOKUP(A2253,Raw_Data!A:L,5,FALSE),"mmm")</f>
        <v>Aug</v>
      </c>
    </row>
    <row r="2254" spans="1:6" x14ac:dyDescent="0.35">
      <c r="A2254" s="3" t="s">
        <v>2870</v>
      </c>
      <c r="B2254" t="str">
        <f>VLOOKUP(A2254,Raw_Data!A:L,6,FALSE)</f>
        <v>Coffee grinder</v>
      </c>
      <c r="C2254" t="str">
        <f>VLOOKUP(A2254,Raw_Data!A:L,3,FALSE)</f>
        <v>Netherlands</v>
      </c>
      <c r="D2254" s="3">
        <f>VLOOKUP(A2254,Raw_Data!A:L,12,FALSE)</f>
        <v>2318</v>
      </c>
      <c r="E2254" s="3">
        <f>VLOOKUP(A2254,Raw_Data!A:L,11,FALSE)</f>
        <v>38</v>
      </c>
      <c r="F2254" t="str">
        <f>TEXT(VLOOKUP(A2254,Raw_Data!A:L,5,FALSE),"mmm")</f>
        <v>Nov</v>
      </c>
    </row>
    <row r="2255" spans="1:6" x14ac:dyDescent="0.35">
      <c r="A2255" s="3" t="s">
        <v>2871</v>
      </c>
      <c r="B2255" t="str">
        <f>VLOOKUP(A2255,Raw_Data!A:L,6,FALSE)</f>
        <v>Oven</v>
      </c>
      <c r="C2255" t="str">
        <f>VLOOKUP(A2255,Raw_Data!A:L,3,FALSE)</f>
        <v>Israel</v>
      </c>
      <c r="D2255" s="3">
        <f>VLOOKUP(A2255,Raw_Data!A:L,12,FALSE)</f>
        <v>2500</v>
      </c>
      <c r="E2255" s="3">
        <f>VLOOKUP(A2255,Raw_Data!A:L,11,FALSE)</f>
        <v>5</v>
      </c>
      <c r="F2255" t="str">
        <f>TEXT(VLOOKUP(A2255,Raw_Data!A:L,5,FALSE),"mmm")</f>
        <v>Aug</v>
      </c>
    </row>
    <row r="2256" spans="1:6" x14ac:dyDescent="0.35">
      <c r="A2256" s="3" t="s">
        <v>2872</v>
      </c>
      <c r="B2256" t="str">
        <f>VLOOKUP(A2256,Raw_Data!A:L,6,FALSE)</f>
        <v>Air conditioner</v>
      </c>
      <c r="C2256" t="str">
        <f>VLOOKUP(A2256,Raw_Data!A:L,3,FALSE)</f>
        <v>Czech Republic</v>
      </c>
      <c r="D2256" s="3">
        <f>VLOOKUP(A2256,Raw_Data!A:L,12,FALSE)</f>
        <v>12768</v>
      </c>
      <c r="E2256" s="3">
        <f>VLOOKUP(A2256,Raw_Data!A:L,11,FALSE)</f>
        <v>19</v>
      </c>
      <c r="F2256" t="str">
        <f>TEXT(VLOOKUP(A2256,Raw_Data!A:L,5,FALSE),"mmm")</f>
        <v>Dec</v>
      </c>
    </row>
    <row r="2257" spans="1:6" x14ac:dyDescent="0.35">
      <c r="A2257" s="3" t="s">
        <v>2873</v>
      </c>
      <c r="B2257" t="str">
        <f>VLOOKUP(A2257,Raw_Data!A:L,6,FALSE)</f>
        <v>Washing Machine</v>
      </c>
      <c r="C2257" t="str">
        <f>VLOOKUP(A2257,Raw_Data!A:L,3,FALSE)</f>
        <v>Chile</v>
      </c>
      <c r="D2257" s="3">
        <f>VLOOKUP(A2257,Raw_Data!A:L,12,FALSE)</f>
        <v>19840</v>
      </c>
      <c r="E2257" s="3">
        <f>VLOOKUP(A2257,Raw_Data!A:L,11,FALSE)</f>
        <v>31</v>
      </c>
      <c r="F2257" t="str">
        <f>TEXT(VLOOKUP(A2257,Raw_Data!A:L,5,FALSE),"mmm")</f>
        <v>Apr</v>
      </c>
    </row>
    <row r="2258" spans="1:6" x14ac:dyDescent="0.35">
      <c r="A2258" s="3" t="s">
        <v>2874</v>
      </c>
      <c r="B2258" t="str">
        <f>VLOOKUP(A2258,Raw_Data!A:L,6,FALSE)</f>
        <v>Refrigerator</v>
      </c>
      <c r="C2258" t="str">
        <f>VLOOKUP(A2258,Raw_Data!A:L,3,FALSE)</f>
        <v>Spain</v>
      </c>
      <c r="D2258" s="3">
        <f>VLOOKUP(A2258,Raw_Data!A:L,12,FALSE)</f>
        <v>62370</v>
      </c>
      <c r="E2258" s="3">
        <f>VLOOKUP(A2258,Raw_Data!A:L,11,FALSE)</f>
        <v>99</v>
      </c>
      <c r="F2258" t="str">
        <f>TEXT(VLOOKUP(A2258,Raw_Data!A:L,5,FALSE),"mmm")</f>
        <v>Jul</v>
      </c>
    </row>
    <row r="2259" spans="1:6" x14ac:dyDescent="0.35">
      <c r="A2259" s="3" t="s">
        <v>2875</v>
      </c>
      <c r="B2259" t="str">
        <f>VLOOKUP(A2259,Raw_Data!A:L,6,FALSE)</f>
        <v>Toaster</v>
      </c>
      <c r="C2259" t="str">
        <f>VLOOKUP(A2259,Raw_Data!A:L,3,FALSE)</f>
        <v>Germany</v>
      </c>
      <c r="D2259" s="3">
        <f>VLOOKUP(A2259,Raw_Data!A:L,12,FALSE)</f>
        <v>2024</v>
      </c>
      <c r="E2259" s="3">
        <f>VLOOKUP(A2259,Raw_Data!A:L,11,FALSE)</f>
        <v>44</v>
      </c>
      <c r="F2259" t="str">
        <f>TEXT(VLOOKUP(A2259,Raw_Data!A:L,5,FALSE),"mmm")</f>
        <v>May</v>
      </c>
    </row>
    <row r="2260" spans="1:6" x14ac:dyDescent="0.35">
      <c r="A2260" s="3" t="s">
        <v>2876</v>
      </c>
      <c r="B2260" t="str">
        <f>VLOOKUP(A2260,Raw_Data!A:L,6,FALSE)</f>
        <v>Toaster</v>
      </c>
      <c r="C2260" t="str">
        <f>VLOOKUP(A2260,Raw_Data!A:L,3,FALSE)</f>
        <v>USA</v>
      </c>
      <c r="D2260" s="3">
        <f>VLOOKUP(A2260,Raw_Data!A:L,12,FALSE)</f>
        <v>132</v>
      </c>
      <c r="E2260" s="3">
        <f>VLOOKUP(A2260,Raw_Data!A:L,11,FALSE)</f>
        <v>4</v>
      </c>
      <c r="F2260" t="str">
        <f>TEXT(VLOOKUP(A2260,Raw_Data!A:L,5,FALSE),"mmm")</f>
        <v>Jan</v>
      </c>
    </row>
    <row r="2261" spans="1:6" x14ac:dyDescent="0.35">
      <c r="A2261" s="3" t="s">
        <v>2877</v>
      </c>
      <c r="B2261" t="str">
        <f>VLOOKUP(A2261,Raw_Data!A:L,6,FALSE)</f>
        <v>Washing Machine</v>
      </c>
      <c r="C2261" t="str">
        <f>VLOOKUP(A2261,Raw_Data!A:L,3,FALSE)</f>
        <v>Czech Republic</v>
      </c>
      <c r="D2261" s="3">
        <f>VLOOKUP(A2261,Raw_Data!A:L,12,FALSE)</f>
        <v>32376</v>
      </c>
      <c r="E2261" s="3">
        <f>VLOOKUP(A2261,Raw_Data!A:L,11,FALSE)</f>
        <v>57</v>
      </c>
      <c r="F2261" t="str">
        <f>TEXT(VLOOKUP(A2261,Raw_Data!A:L,5,FALSE),"mmm")</f>
        <v>Dec</v>
      </c>
    </row>
    <row r="2262" spans="1:6" x14ac:dyDescent="0.35">
      <c r="A2262" s="3" t="s">
        <v>2878</v>
      </c>
      <c r="B2262" t="str">
        <f>VLOOKUP(A2262,Raw_Data!A:L,6,FALSE)</f>
        <v>Dishwasher</v>
      </c>
      <c r="C2262" t="str">
        <f>VLOOKUP(A2262,Raw_Data!A:L,3,FALSE)</f>
        <v>Japan</v>
      </c>
      <c r="D2262" s="3">
        <f>VLOOKUP(A2262,Raw_Data!A:L,12,FALSE)</f>
        <v>47040</v>
      </c>
      <c r="E2262" s="3">
        <f>VLOOKUP(A2262,Raw_Data!A:L,11,FALSE)</f>
        <v>96</v>
      </c>
      <c r="F2262" t="str">
        <f>TEXT(VLOOKUP(A2262,Raw_Data!A:L,5,FALSE),"mmm")</f>
        <v>Mar</v>
      </c>
    </row>
    <row r="2263" spans="1:6" x14ac:dyDescent="0.35">
      <c r="A2263" s="3" t="s">
        <v>2879</v>
      </c>
      <c r="B2263" t="str">
        <f>VLOOKUP(A2263,Raw_Data!A:L,6,FALSE)</f>
        <v>Vacuum Cleaner</v>
      </c>
      <c r="C2263" t="str">
        <f>VLOOKUP(A2263,Raw_Data!A:L,3,FALSE)</f>
        <v>France</v>
      </c>
      <c r="D2263" s="3">
        <f>VLOOKUP(A2263,Raw_Data!A:L,12,FALSE)</f>
        <v>22848</v>
      </c>
      <c r="E2263" s="3">
        <f>VLOOKUP(A2263,Raw_Data!A:L,11,FALSE)</f>
        <v>96</v>
      </c>
      <c r="F2263" t="str">
        <f>TEXT(VLOOKUP(A2263,Raw_Data!A:L,5,FALSE),"mmm")</f>
        <v>Jun</v>
      </c>
    </row>
    <row r="2264" spans="1:6" x14ac:dyDescent="0.35">
      <c r="A2264" s="3" t="s">
        <v>2880</v>
      </c>
      <c r="B2264" t="str">
        <f>VLOOKUP(A2264,Raw_Data!A:L,6,FALSE)</f>
        <v>Iron</v>
      </c>
      <c r="C2264" t="str">
        <f>VLOOKUP(A2264,Raw_Data!A:L,3,FALSE)</f>
        <v>South Africa</v>
      </c>
      <c r="D2264" s="3">
        <f>VLOOKUP(A2264,Raw_Data!A:L,12,FALSE)</f>
        <v>286</v>
      </c>
      <c r="E2264" s="3">
        <f>VLOOKUP(A2264,Raw_Data!A:L,11,FALSE)</f>
        <v>11</v>
      </c>
      <c r="F2264" t="str">
        <f>TEXT(VLOOKUP(A2264,Raw_Data!A:L,5,FALSE),"mmm")</f>
        <v>Sep</v>
      </c>
    </row>
    <row r="2265" spans="1:6" x14ac:dyDescent="0.35">
      <c r="A2265" s="3" t="s">
        <v>2881</v>
      </c>
      <c r="B2265" t="str">
        <f>VLOOKUP(A2265,Raw_Data!A:L,6,FALSE)</f>
        <v>Iron</v>
      </c>
      <c r="C2265" t="str">
        <f>VLOOKUP(A2265,Raw_Data!A:L,3,FALSE)</f>
        <v>Mexico</v>
      </c>
      <c r="D2265" s="3">
        <f>VLOOKUP(A2265,Raw_Data!A:L,12,FALSE)</f>
        <v>810</v>
      </c>
      <c r="E2265" s="3">
        <f>VLOOKUP(A2265,Raw_Data!A:L,11,FALSE)</f>
        <v>27</v>
      </c>
      <c r="F2265" t="str">
        <f>TEXT(VLOOKUP(A2265,Raw_Data!A:L,5,FALSE),"mmm")</f>
        <v>Dec</v>
      </c>
    </row>
    <row r="2266" spans="1:6" x14ac:dyDescent="0.35">
      <c r="A2266" s="3" t="s">
        <v>2882</v>
      </c>
      <c r="B2266" t="str">
        <f>VLOOKUP(A2266,Raw_Data!A:L,6,FALSE)</f>
        <v>Refrigerator</v>
      </c>
      <c r="C2266" t="str">
        <f>VLOOKUP(A2266,Raw_Data!A:L,3,FALSE)</f>
        <v>Egypt</v>
      </c>
      <c r="D2266" s="3">
        <f>VLOOKUP(A2266,Raw_Data!A:L,12,FALSE)</f>
        <v>77400</v>
      </c>
      <c r="E2266" s="3">
        <f>VLOOKUP(A2266,Raw_Data!A:L,11,FALSE)</f>
        <v>90</v>
      </c>
      <c r="F2266" t="str">
        <f>TEXT(VLOOKUP(A2266,Raw_Data!A:L,5,FALSE),"mmm")</f>
        <v>Nov</v>
      </c>
    </row>
    <row r="2267" spans="1:6" x14ac:dyDescent="0.35">
      <c r="A2267" s="3" t="s">
        <v>2883</v>
      </c>
      <c r="B2267" t="str">
        <f>VLOOKUP(A2267,Raw_Data!A:L,6,FALSE)</f>
        <v>Refrigerator</v>
      </c>
      <c r="C2267" t="str">
        <f>VLOOKUP(A2267,Raw_Data!A:L,3,FALSE)</f>
        <v>Malaysia</v>
      </c>
      <c r="D2267" s="3">
        <f>VLOOKUP(A2267,Raw_Data!A:L,12,FALSE)</f>
        <v>78400</v>
      </c>
      <c r="E2267" s="3">
        <f>VLOOKUP(A2267,Raw_Data!A:L,11,FALSE)</f>
        <v>98</v>
      </c>
      <c r="F2267" t="str">
        <f>TEXT(VLOOKUP(A2267,Raw_Data!A:L,5,FALSE),"mmm")</f>
        <v>Jul</v>
      </c>
    </row>
    <row r="2268" spans="1:6" x14ac:dyDescent="0.35">
      <c r="A2268" s="3" t="s">
        <v>2885</v>
      </c>
      <c r="B2268" t="str">
        <f>VLOOKUP(A2268,Raw_Data!A:L,6,FALSE)</f>
        <v>Microwave</v>
      </c>
      <c r="C2268" t="str">
        <f>VLOOKUP(A2268,Raw_Data!A:L,3,FALSE)</f>
        <v>USA</v>
      </c>
      <c r="D2268" s="3">
        <f>VLOOKUP(A2268,Raw_Data!A:L,12,FALSE)</f>
        <v>4661</v>
      </c>
      <c r="E2268" s="3">
        <f>VLOOKUP(A2268,Raw_Data!A:L,11,FALSE)</f>
        <v>59</v>
      </c>
      <c r="F2268" t="str">
        <f>TEXT(VLOOKUP(A2268,Raw_Data!A:L,5,FALSE),"mmm")</f>
        <v>Jun</v>
      </c>
    </row>
    <row r="2269" spans="1:6" x14ac:dyDescent="0.35">
      <c r="A2269" s="3" t="s">
        <v>2886</v>
      </c>
      <c r="B2269" t="str">
        <f>VLOOKUP(A2269,Raw_Data!A:L,6,FALSE)</f>
        <v>Toaster</v>
      </c>
      <c r="C2269" t="str">
        <f>VLOOKUP(A2269,Raw_Data!A:L,3,FALSE)</f>
        <v>Netherlands</v>
      </c>
      <c r="D2269" s="3">
        <f>VLOOKUP(A2269,Raw_Data!A:L,12,FALSE)</f>
        <v>1372</v>
      </c>
      <c r="E2269" s="3">
        <f>VLOOKUP(A2269,Raw_Data!A:L,11,FALSE)</f>
        <v>28</v>
      </c>
      <c r="F2269" t="str">
        <f>TEXT(VLOOKUP(A2269,Raw_Data!A:L,5,FALSE),"mmm")</f>
        <v>Aug</v>
      </c>
    </row>
    <row r="2270" spans="1:6" x14ac:dyDescent="0.35">
      <c r="A2270" s="3" t="s">
        <v>2887</v>
      </c>
      <c r="B2270" t="str">
        <f>VLOOKUP(A2270,Raw_Data!A:L,6,FALSE)</f>
        <v>Iron</v>
      </c>
      <c r="C2270" t="str">
        <f>VLOOKUP(A2270,Raw_Data!A:L,3,FALSE)</f>
        <v>India</v>
      </c>
      <c r="D2270" s="3">
        <f>VLOOKUP(A2270,Raw_Data!A:L,12,FALSE)</f>
        <v>1988</v>
      </c>
      <c r="E2270" s="3">
        <f>VLOOKUP(A2270,Raw_Data!A:L,11,FALSE)</f>
        <v>71</v>
      </c>
      <c r="F2270" t="str">
        <f>TEXT(VLOOKUP(A2270,Raw_Data!A:L,5,FALSE),"mmm")</f>
        <v>May</v>
      </c>
    </row>
    <row r="2271" spans="1:6" x14ac:dyDescent="0.35">
      <c r="A2271" s="3" t="s">
        <v>2888</v>
      </c>
      <c r="B2271" t="str">
        <f>VLOOKUP(A2271,Raw_Data!A:L,6,FALSE)</f>
        <v>Air conditioner</v>
      </c>
      <c r="C2271" t="str">
        <f>VLOOKUP(A2271,Raw_Data!A:L,3,FALSE)</f>
        <v>Poland</v>
      </c>
      <c r="D2271" s="3">
        <f>VLOOKUP(A2271,Raw_Data!A:L,12,FALSE)</f>
        <v>34265</v>
      </c>
      <c r="E2271" s="3">
        <f>VLOOKUP(A2271,Raw_Data!A:L,11,FALSE)</f>
        <v>55</v>
      </c>
      <c r="F2271" t="str">
        <f>TEXT(VLOOKUP(A2271,Raw_Data!A:L,5,FALSE),"mmm")</f>
        <v>Oct</v>
      </c>
    </row>
    <row r="2272" spans="1:6" x14ac:dyDescent="0.35">
      <c r="A2272" s="3" t="s">
        <v>2889</v>
      </c>
      <c r="B2272" t="str">
        <f>VLOOKUP(A2272,Raw_Data!A:L,6,FALSE)</f>
        <v>Dishwasher</v>
      </c>
      <c r="C2272" t="str">
        <f>VLOOKUP(A2272,Raw_Data!A:L,3,FALSE)</f>
        <v>Argentina</v>
      </c>
      <c r="D2272" s="3">
        <f>VLOOKUP(A2272,Raw_Data!A:L,12,FALSE)</f>
        <v>20445</v>
      </c>
      <c r="E2272" s="3">
        <f>VLOOKUP(A2272,Raw_Data!A:L,11,FALSE)</f>
        <v>47</v>
      </c>
      <c r="F2272" t="str">
        <f>TEXT(VLOOKUP(A2272,Raw_Data!A:L,5,FALSE),"mmm")</f>
        <v>Jan</v>
      </c>
    </row>
    <row r="2273" spans="1:6" x14ac:dyDescent="0.35">
      <c r="A2273" s="3" t="s">
        <v>2890</v>
      </c>
      <c r="B2273" t="str">
        <f>VLOOKUP(A2273,Raw_Data!A:L,6,FALSE)</f>
        <v>Air conditioner</v>
      </c>
      <c r="C2273" t="str">
        <f>VLOOKUP(A2273,Raw_Data!A:L,3,FALSE)</f>
        <v>Malaysia</v>
      </c>
      <c r="D2273" s="3">
        <f>VLOOKUP(A2273,Raw_Data!A:L,12,FALSE)</f>
        <v>51282</v>
      </c>
      <c r="E2273" s="3">
        <f>VLOOKUP(A2273,Raw_Data!A:L,11,FALSE)</f>
        <v>74</v>
      </c>
      <c r="F2273" t="str">
        <f>TEXT(VLOOKUP(A2273,Raw_Data!A:L,5,FALSE),"mmm")</f>
        <v>Dec</v>
      </c>
    </row>
    <row r="2274" spans="1:6" x14ac:dyDescent="0.35">
      <c r="A2274" s="3" t="s">
        <v>2891</v>
      </c>
      <c r="B2274" t="str">
        <f>VLOOKUP(A2274,Raw_Data!A:L,6,FALSE)</f>
        <v>Ceiling fan</v>
      </c>
      <c r="C2274" t="str">
        <f>VLOOKUP(A2274,Raw_Data!A:L,3,FALSE)</f>
        <v>USA</v>
      </c>
      <c r="D2274" s="3">
        <f>VLOOKUP(A2274,Raw_Data!A:L,12,FALSE)</f>
        <v>9150</v>
      </c>
      <c r="E2274" s="3">
        <f>VLOOKUP(A2274,Raw_Data!A:L,11,FALSE)</f>
        <v>61</v>
      </c>
      <c r="F2274" t="str">
        <f>TEXT(VLOOKUP(A2274,Raw_Data!A:L,5,FALSE),"mmm")</f>
        <v>May</v>
      </c>
    </row>
    <row r="2275" spans="1:6" x14ac:dyDescent="0.35">
      <c r="A2275" s="3" t="s">
        <v>2892</v>
      </c>
      <c r="B2275" t="str">
        <f>VLOOKUP(A2275,Raw_Data!A:L,6,FALSE)</f>
        <v>Washing Machine</v>
      </c>
      <c r="C2275" t="str">
        <f>VLOOKUP(A2275,Raw_Data!A:L,3,FALSE)</f>
        <v>USA</v>
      </c>
      <c r="D2275" s="3">
        <f>VLOOKUP(A2275,Raw_Data!A:L,12,FALSE)</f>
        <v>39672</v>
      </c>
      <c r="E2275" s="3">
        <f>VLOOKUP(A2275,Raw_Data!A:L,11,FALSE)</f>
        <v>57</v>
      </c>
      <c r="F2275" t="str">
        <f>TEXT(VLOOKUP(A2275,Raw_Data!A:L,5,FALSE),"mmm")</f>
        <v>Jun</v>
      </c>
    </row>
    <row r="2276" spans="1:6" x14ac:dyDescent="0.35">
      <c r="A2276" s="3" t="s">
        <v>2893</v>
      </c>
      <c r="B2276" t="str">
        <f>VLOOKUP(A2276,Raw_Data!A:L,6,FALSE)</f>
        <v>Iron</v>
      </c>
      <c r="C2276" t="str">
        <f>VLOOKUP(A2276,Raw_Data!A:L,3,FALSE)</f>
        <v>Ireland</v>
      </c>
      <c r="D2276" s="3">
        <f>VLOOKUP(A2276,Raw_Data!A:L,12,FALSE)</f>
        <v>2314</v>
      </c>
      <c r="E2276" s="3">
        <f>VLOOKUP(A2276,Raw_Data!A:L,11,FALSE)</f>
        <v>89</v>
      </c>
      <c r="F2276" t="str">
        <f>TEXT(VLOOKUP(A2276,Raw_Data!A:L,5,FALSE),"mmm")</f>
        <v>Apr</v>
      </c>
    </row>
    <row r="2277" spans="1:6" x14ac:dyDescent="0.35">
      <c r="A2277" s="3" t="s">
        <v>2894</v>
      </c>
      <c r="B2277" t="str">
        <f>VLOOKUP(A2277,Raw_Data!A:L,6,FALSE)</f>
        <v>Air conditioner</v>
      </c>
      <c r="C2277" t="str">
        <f>VLOOKUP(A2277,Raw_Data!A:L,3,FALSE)</f>
        <v>Peru</v>
      </c>
      <c r="D2277" s="3">
        <f>VLOOKUP(A2277,Raw_Data!A:L,12,FALSE)</f>
        <v>4361</v>
      </c>
      <c r="E2277" s="3">
        <f>VLOOKUP(A2277,Raw_Data!A:L,11,FALSE)</f>
        <v>7</v>
      </c>
      <c r="F2277" t="str">
        <f>TEXT(VLOOKUP(A2277,Raw_Data!A:L,5,FALSE),"mmm")</f>
        <v>Jun</v>
      </c>
    </row>
    <row r="2278" spans="1:6" x14ac:dyDescent="0.35">
      <c r="A2278" s="3" t="s">
        <v>2895</v>
      </c>
      <c r="B2278" t="str">
        <f>VLOOKUP(A2278,Raw_Data!A:L,6,FALSE)</f>
        <v>Microwave</v>
      </c>
      <c r="C2278" t="str">
        <f>VLOOKUP(A2278,Raw_Data!A:L,3,FALSE)</f>
        <v>Spain</v>
      </c>
      <c r="D2278" s="3">
        <f>VLOOKUP(A2278,Raw_Data!A:L,12,FALSE)</f>
        <v>2664</v>
      </c>
      <c r="E2278" s="3">
        <f>VLOOKUP(A2278,Raw_Data!A:L,11,FALSE)</f>
        <v>36</v>
      </c>
      <c r="F2278" t="str">
        <f>TEXT(VLOOKUP(A2278,Raw_Data!A:L,5,FALSE),"mmm")</f>
        <v>Apr</v>
      </c>
    </row>
    <row r="2279" spans="1:6" x14ac:dyDescent="0.35">
      <c r="A2279" s="3" t="s">
        <v>2896</v>
      </c>
      <c r="B2279" t="str">
        <f>VLOOKUP(A2279,Raw_Data!A:L,6,FALSE)</f>
        <v>Iron</v>
      </c>
      <c r="C2279" t="str">
        <f>VLOOKUP(A2279,Raw_Data!A:L,3,FALSE)</f>
        <v>Saudi Arabia</v>
      </c>
      <c r="D2279" s="3">
        <f>VLOOKUP(A2279,Raw_Data!A:L,12,FALSE)</f>
        <v>819</v>
      </c>
      <c r="E2279" s="3">
        <f>VLOOKUP(A2279,Raw_Data!A:L,11,FALSE)</f>
        <v>39</v>
      </c>
      <c r="F2279" t="str">
        <f>TEXT(VLOOKUP(A2279,Raw_Data!A:L,5,FALSE),"mmm")</f>
        <v>Nov</v>
      </c>
    </row>
    <row r="2280" spans="1:6" x14ac:dyDescent="0.35">
      <c r="A2280" s="3" t="s">
        <v>2897</v>
      </c>
      <c r="B2280" t="str">
        <f>VLOOKUP(A2280,Raw_Data!A:L,6,FALSE)</f>
        <v>Microwave</v>
      </c>
      <c r="C2280" t="str">
        <f>VLOOKUP(A2280,Raw_Data!A:L,3,FALSE)</f>
        <v>USA</v>
      </c>
      <c r="D2280" s="3">
        <f>VLOOKUP(A2280,Raw_Data!A:L,12,FALSE)</f>
        <v>5780</v>
      </c>
      <c r="E2280" s="3">
        <f>VLOOKUP(A2280,Raw_Data!A:L,11,FALSE)</f>
        <v>85</v>
      </c>
      <c r="F2280" t="str">
        <f>TEXT(VLOOKUP(A2280,Raw_Data!A:L,5,FALSE),"mmm")</f>
        <v>Jul</v>
      </c>
    </row>
    <row r="2281" spans="1:6" x14ac:dyDescent="0.35">
      <c r="A2281" s="3" t="s">
        <v>2898</v>
      </c>
      <c r="B2281" t="str">
        <f>VLOOKUP(A2281,Raw_Data!A:L,6,FALSE)</f>
        <v>Blender</v>
      </c>
      <c r="C2281" t="str">
        <f>VLOOKUP(A2281,Raw_Data!A:L,3,FALSE)</f>
        <v>Japan</v>
      </c>
      <c r="D2281" s="3">
        <f>VLOOKUP(A2281,Raw_Data!A:L,12,FALSE)</f>
        <v>1728</v>
      </c>
      <c r="E2281" s="3">
        <f>VLOOKUP(A2281,Raw_Data!A:L,11,FALSE)</f>
        <v>36</v>
      </c>
      <c r="F2281" t="str">
        <f>TEXT(VLOOKUP(A2281,Raw_Data!A:L,5,FALSE),"mmm")</f>
        <v>Jan</v>
      </c>
    </row>
    <row r="2282" spans="1:6" x14ac:dyDescent="0.35">
      <c r="A2282" s="3" t="s">
        <v>2899</v>
      </c>
      <c r="B2282" t="str">
        <f>VLOOKUP(A2282,Raw_Data!A:L,6,FALSE)</f>
        <v>Iron</v>
      </c>
      <c r="C2282" t="str">
        <f>VLOOKUP(A2282,Raw_Data!A:L,3,FALSE)</f>
        <v>China</v>
      </c>
      <c r="D2282" s="3">
        <f>VLOOKUP(A2282,Raw_Data!A:L,12,FALSE)</f>
        <v>1972</v>
      </c>
      <c r="E2282" s="3">
        <f>VLOOKUP(A2282,Raw_Data!A:L,11,FALSE)</f>
        <v>68</v>
      </c>
      <c r="F2282" t="str">
        <f>TEXT(VLOOKUP(A2282,Raw_Data!A:L,5,FALSE),"mmm")</f>
        <v>Jul</v>
      </c>
    </row>
    <row r="2283" spans="1:6" x14ac:dyDescent="0.35">
      <c r="A2283" s="3" t="s">
        <v>2900</v>
      </c>
      <c r="B2283" t="str">
        <f>VLOOKUP(A2283,Raw_Data!A:L,6,FALSE)</f>
        <v>Iron</v>
      </c>
      <c r="C2283" t="str">
        <f>VLOOKUP(A2283,Raw_Data!A:L,3,FALSE)</f>
        <v>South Africa</v>
      </c>
      <c r="D2283" s="3">
        <f>VLOOKUP(A2283,Raw_Data!A:L,12,FALSE)</f>
        <v>406</v>
      </c>
      <c r="E2283" s="3">
        <f>VLOOKUP(A2283,Raw_Data!A:L,11,FALSE)</f>
        <v>14</v>
      </c>
      <c r="F2283" t="str">
        <f>TEXT(VLOOKUP(A2283,Raw_Data!A:L,5,FALSE),"mmm")</f>
        <v>Mar</v>
      </c>
    </row>
    <row r="2284" spans="1:6" x14ac:dyDescent="0.35">
      <c r="A2284" s="3" t="s">
        <v>2901</v>
      </c>
      <c r="B2284" t="str">
        <f>VLOOKUP(A2284,Raw_Data!A:L,6,FALSE)</f>
        <v>Refrigerator</v>
      </c>
      <c r="C2284" t="str">
        <f>VLOOKUP(A2284,Raw_Data!A:L,3,FALSE)</f>
        <v>India</v>
      </c>
      <c r="D2284" s="3">
        <f>VLOOKUP(A2284,Raw_Data!A:L,12,FALSE)</f>
        <v>21420</v>
      </c>
      <c r="E2284" s="3">
        <f>VLOOKUP(A2284,Raw_Data!A:L,11,FALSE)</f>
        <v>42</v>
      </c>
      <c r="F2284" t="str">
        <f>TEXT(VLOOKUP(A2284,Raw_Data!A:L,5,FALSE),"mmm")</f>
        <v>Mar</v>
      </c>
    </row>
    <row r="2285" spans="1:6" x14ac:dyDescent="0.35">
      <c r="A2285" s="3" t="s">
        <v>2902</v>
      </c>
      <c r="B2285" t="str">
        <f>VLOOKUP(A2285,Raw_Data!A:L,6,FALSE)</f>
        <v>Iron</v>
      </c>
      <c r="C2285" t="str">
        <f>VLOOKUP(A2285,Raw_Data!A:L,3,FALSE)</f>
        <v>Thailand</v>
      </c>
      <c r="D2285" s="3">
        <f>VLOOKUP(A2285,Raw_Data!A:L,12,FALSE)</f>
        <v>464</v>
      </c>
      <c r="E2285" s="3">
        <f>VLOOKUP(A2285,Raw_Data!A:L,11,FALSE)</f>
        <v>16</v>
      </c>
      <c r="F2285" t="str">
        <f>TEXT(VLOOKUP(A2285,Raw_Data!A:L,5,FALSE),"mmm")</f>
        <v>Dec</v>
      </c>
    </row>
    <row r="2286" spans="1:6" x14ac:dyDescent="0.35">
      <c r="A2286" s="3" t="s">
        <v>2903</v>
      </c>
      <c r="B2286" t="str">
        <f>VLOOKUP(A2286,Raw_Data!A:L,6,FALSE)</f>
        <v>Refrigerator</v>
      </c>
      <c r="C2286" t="str">
        <f>VLOOKUP(A2286,Raw_Data!A:L,3,FALSE)</f>
        <v>Israel</v>
      </c>
      <c r="D2286" s="3">
        <f>VLOOKUP(A2286,Raw_Data!A:L,12,FALSE)</f>
        <v>83160</v>
      </c>
      <c r="E2286" s="3">
        <f>VLOOKUP(A2286,Raw_Data!A:L,11,FALSE)</f>
        <v>99</v>
      </c>
      <c r="F2286" t="str">
        <f>TEXT(VLOOKUP(A2286,Raw_Data!A:L,5,FALSE),"mmm")</f>
        <v>Aug</v>
      </c>
    </row>
    <row r="2287" spans="1:6" x14ac:dyDescent="0.35">
      <c r="A2287" s="3" t="s">
        <v>2904</v>
      </c>
      <c r="B2287" t="str">
        <f>VLOOKUP(A2287,Raw_Data!A:L,6,FALSE)</f>
        <v>Vacuum Cleaner</v>
      </c>
      <c r="C2287" t="str">
        <f>VLOOKUP(A2287,Raw_Data!A:L,3,FALSE)</f>
        <v>Turkey</v>
      </c>
      <c r="D2287" s="3">
        <f>VLOOKUP(A2287,Raw_Data!A:L,12,FALSE)</f>
        <v>9450</v>
      </c>
      <c r="E2287" s="3">
        <f>VLOOKUP(A2287,Raw_Data!A:L,11,FALSE)</f>
        <v>42</v>
      </c>
      <c r="F2287" t="str">
        <f>TEXT(VLOOKUP(A2287,Raw_Data!A:L,5,FALSE),"mmm")</f>
        <v>Jan</v>
      </c>
    </row>
    <row r="2288" spans="1:6" x14ac:dyDescent="0.35">
      <c r="A2288" s="3" t="s">
        <v>2905</v>
      </c>
      <c r="B2288" t="str">
        <f>VLOOKUP(A2288,Raw_Data!A:L,6,FALSE)</f>
        <v>Iron</v>
      </c>
      <c r="C2288" t="str">
        <f>VLOOKUP(A2288,Raw_Data!A:L,3,FALSE)</f>
        <v>Argentina</v>
      </c>
      <c r="D2288" s="3">
        <f>VLOOKUP(A2288,Raw_Data!A:L,12,FALSE)</f>
        <v>1742</v>
      </c>
      <c r="E2288" s="3">
        <f>VLOOKUP(A2288,Raw_Data!A:L,11,FALSE)</f>
        <v>67</v>
      </c>
      <c r="F2288" t="str">
        <f>TEXT(VLOOKUP(A2288,Raw_Data!A:L,5,FALSE),"mmm")</f>
        <v>Sep</v>
      </c>
    </row>
    <row r="2289" spans="1:6" x14ac:dyDescent="0.35">
      <c r="A2289" s="3" t="s">
        <v>2906</v>
      </c>
      <c r="B2289" t="str">
        <f>VLOOKUP(A2289,Raw_Data!A:L,6,FALSE)</f>
        <v>Air conditioner</v>
      </c>
      <c r="C2289" t="str">
        <f>VLOOKUP(A2289,Raw_Data!A:L,3,FALSE)</f>
        <v>Netherlands</v>
      </c>
      <c r="D2289" s="3">
        <f>VLOOKUP(A2289,Raw_Data!A:L,12,FALSE)</f>
        <v>11858</v>
      </c>
      <c r="E2289" s="3">
        <f>VLOOKUP(A2289,Raw_Data!A:L,11,FALSE)</f>
        <v>22</v>
      </c>
      <c r="F2289" t="str">
        <f>TEXT(VLOOKUP(A2289,Raw_Data!A:L,5,FALSE),"mmm")</f>
        <v>Nov</v>
      </c>
    </row>
    <row r="2290" spans="1:6" x14ac:dyDescent="0.35">
      <c r="A2290" s="3" t="s">
        <v>2907</v>
      </c>
      <c r="B2290" t="str">
        <f>VLOOKUP(A2290,Raw_Data!A:L,6,FALSE)</f>
        <v>Blender</v>
      </c>
      <c r="C2290" t="str">
        <f>VLOOKUP(A2290,Raw_Data!A:L,3,FALSE)</f>
        <v>Turkey</v>
      </c>
      <c r="D2290" s="3">
        <f>VLOOKUP(A2290,Raw_Data!A:L,12,FALSE)</f>
        <v>3871</v>
      </c>
      <c r="E2290" s="3">
        <f>VLOOKUP(A2290,Raw_Data!A:L,11,FALSE)</f>
        <v>79</v>
      </c>
      <c r="F2290" t="str">
        <f>TEXT(VLOOKUP(A2290,Raw_Data!A:L,5,FALSE),"mmm")</f>
        <v>Mar</v>
      </c>
    </row>
    <row r="2291" spans="1:6" x14ac:dyDescent="0.35">
      <c r="A2291" s="3" t="s">
        <v>2908</v>
      </c>
      <c r="B2291" t="str">
        <f>VLOOKUP(A2291,Raw_Data!A:L,6,FALSE)</f>
        <v>Microwave</v>
      </c>
      <c r="C2291" t="str">
        <f>VLOOKUP(A2291,Raw_Data!A:L,3,FALSE)</f>
        <v>UK</v>
      </c>
      <c r="D2291" s="3">
        <f>VLOOKUP(A2291,Raw_Data!A:L,12,FALSE)</f>
        <v>2800</v>
      </c>
      <c r="E2291" s="3">
        <f>VLOOKUP(A2291,Raw_Data!A:L,11,FALSE)</f>
        <v>40</v>
      </c>
      <c r="F2291" t="str">
        <f>TEXT(VLOOKUP(A2291,Raw_Data!A:L,5,FALSE),"mmm")</f>
        <v>Aug</v>
      </c>
    </row>
    <row r="2292" spans="1:6" x14ac:dyDescent="0.35">
      <c r="A2292" s="3" t="s">
        <v>2909</v>
      </c>
      <c r="B2292" t="str">
        <f>VLOOKUP(A2292,Raw_Data!A:L,6,FALSE)</f>
        <v>Toaster</v>
      </c>
      <c r="C2292" t="str">
        <f>VLOOKUP(A2292,Raw_Data!A:L,3,FALSE)</f>
        <v>USA</v>
      </c>
      <c r="D2292" s="3">
        <f>VLOOKUP(A2292,Raw_Data!A:L,12,FALSE)</f>
        <v>1968</v>
      </c>
      <c r="E2292" s="3">
        <f>VLOOKUP(A2292,Raw_Data!A:L,11,FALSE)</f>
        <v>41</v>
      </c>
      <c r="F2292" t="str">
        <f>TEXT(VLOOKUP(A2292,Raw_Data!A:L,5,FALSE),"mmm")</f>
        <v>Jun</v>
      </c>
    </row>
    <row r="2293" spans="1:6" x14ac:dyDescent="0.35">
      <c r="A2293" s="3" t="s">
        <v>2910</v>
      </c>
      <c r="B2293" t="str">
        <f>VLOOKUP(A2293,Raw_Data!A:L,6,FALSE)</f>
        <v>Washing Machine</v>
      </c>
      <c r="C2293" t="str">
        <f>VLOOKUP(A2293,Raw_Data!A:L,3,FALSE)</f>
        <v>USA</v>
      </c>
      <c r="D2293" s="3">
        <f>VLOOKUP(A2293,Raw_Data!A:L,12,FALSE)</f>
        <v>39712</v>
      </c>
      <c r="E2293" s="3">
        <f>VLOOKUP(A2293,Raw_Data!A:L,11,FALSE)</f>
        <v>73</v>
      </c>
      <c r="F2293" t="str">
        <f>TEXT(VLOOKUP(A2293,Raw_Data!A:L,5,FALSE),"mmm")</f>
        <v>Jul</v>
      </c>
    </row>
    <row r="2294" spans="1:6" x14ac:dyDescent="0.35">
      <c r="A2294" s="3" t="s">
        <v>2911</v>
      </c>
      <c r="B2294" t="str">
        <f>VLOOKUP(A2294,Raw_Data!A:L,6,FALSE)</f>
        <v>Toaster</v>
      </c>
      <c r="C2294" t="str">
        <f>VLOOKUP(A2294,Raw_Data!A:L,3,FALSE)</f>
        <v>Israel</v>
      </c>
      <c r="D2294" s="3">
        <f>VLOOKUP(A2294,Raw_Data!A:L,12,FALSE)</f>
        <v>572</v>
      </c>
      <c r="E2294" s="3">
        <f>VLOOKUP(A2294,Raw_Data!A:L,11,FALSE)</f>
        <v>13</v>
      </c>
      <c r="F2294" t="str">
        <f>TEXT(VLOOKUP(A2294,Raw_Data!A:L,5,FALSE),"mmm")</f>
        <v>Jul</v>
      </c>
    </row>
    <row r="2295" spans="1:6" x14ac:dyDescent="0.35">
      <c r="A2295" s="3" t="s">
        <v>2912</v>
      </c>
      <c r="B2295" t="str">
        <f>VLOOKUP(A2295,Raw_Data!A:L,6,FALSE)</f>
        <v>Washing Machine</v>
      </c>
      <c r="C2295" t="str">
        <f>VLOOKUP(A2295,Raw_Data!A:L,3,FALSE)</f>
        <v>India</v>
      </c>
      <c r="D2295" s="3">
        <f>VLOOKUP(A2295,Raw_Data!A:L,12,FALSE)</f>
        <v>5832</v>
      </c>
      <c r="E2295" s="3">
        <f>VLOOKUP(A2295,Raw_Data!A:L,11,FALSE)</f>
        <v>9</v>
      </c>
      <c r="F2295" t="str">
        <f>TEXT(VLOOKUP(A2295,Raw_Data!A:L,5,FALSE),"mmm")</f>
        <v>Jul</v>
      </c>
    </row>
    <row r="2296" spans="1:6" x14ac:dyDescent="0.35">
      <c r="A2296" s="3" t="s">
        <v>2913</v>
      </c>
      <c r="B2296" t="str">
        <f>VLOOKUP(A2296,Raw_Data!A:L,6,FALSE)</f>
        <v>Coffee grinder</v>
      </c>
      <c r="C2296" t="str">
        <f>VLOOKUP(A2296,Raw_Data!A:L,3,FALSE)</f>
        <v>Canada</v>
      </c>
      <c r="D2296" s="3">
        <f>VLOOKUP(A2296,Raw_Data!A:L,12,FALSE)</f>
        <v>2010</v>
      </c>
      <c r="E2296" s="3">
        <f>VLOOKUP(A2296,Raw_Data!A:L,11,FALSE)</f>
        <v>30</v>
      </c>
      <c r="F2296" t="str">
        <f>TEXT(VLOOKUP(A2296,Raw_Data!A:L,5,FALSE),"mmm")</f>
        <v>Aug</v>
      </c>
    </row>
    <row r="2297" spans="1:6" x14ac:dyDescent="0.35">
      <c r="A2297" s="3" t="s">
        <v>2914</v>
      </c>
      <c r="B2297" t="str">
        <f>VLOOKUP(A2297,Raw_Data!A:L,6,FALSE)</f>
        <v>Blender</v>
      </c>
      <c r="C2297" t="str">
        <f>VLOOKUP(A2297,Raw_Data!A:L,3,FALSE)</f>
        <v>Mexico</v>
      </c>
      <c r="D2297" s="3">
        <f>VLOOKUP(A2297,Raw_Data!A:L,12,FALSE)</f>
        <v>3686</v>
      </c>
      <c r="E2297" s="3">
        <f>VLOOKUP(A2297,Raw_Data!A:L,11,FALSE)</f>
        <v>97</v>
      </c>
      <c r="F2297" t="str">
        <f>TEXT(VLOOKUP(A2297,Raw_Data!A:L,5,FALSE),"mmm")</f>
        <v>May</v>
      </c>
    </row>
    <row r="2298" spans="1:6" x14ac:dyDescent="0.35">
      <c r="A2298" s="3" t="s">
        <v>2915</v>
      </c>
      <c r="B2298" t="str">
        <f>VLOOKUP(A2298,Raw_Data!A:L,6,FALSE)</f>
        <v>Refrigerator</v>
      </c>
      <c r="C2298" t="str">
        <f>VLOOKUP(A2298,Raw_Data!A:L,3,FALSE)</f>
        <v>Israel</v>
      </c>
      <c r="D2298" s="3">
        <f>VLOOKUP(A2298,Raw_Data!A:L,12,FALSE)</f>
        <v>1380</v>
      </c>
      <c r="E2298" s="3">
        <f>VLOOKUP(A2298,Raw_Data!A:L,11,FALSE)</f>
        <v>2</v>
      </c>
      <c r="F2298" t="str">
        <f>TEXT(VLOOKUP(A2298,Raw_Data!A:L,5,FALSE),"mmm")</f>
        <v>Jan</v>
      </c>
    </row>
    <row r="2299" spans="1:6" x14ac:dyDescent="0.35">
      <c r="A2299" s="3" t="s">
        <v>2916</v>
      </c>
      <c r="B2299" t="str">
        <f>VLOOKUP(A2299,Raw_Data!A:L,6,FALSE)</f>
        <v>Iron</v>
      </c>
      <c r="C2299" t="str">
        <f>VLOOKUP(A2299,Raw_Data!A:L,3,FALSE)</f>
        <v>Mexico</v>
      </c>
      <c r="D2299" s="3">
        <f>VLOOKUP(A2299,Raw_Data!A:L,12,FALSE)</f>
        <v>162</v>
      </c>
      <c r="E2299" s="3">
        <f>VLOOKUP(A2299,Raw_Data!A:L,11,FALSE)</f>
        <v>6</v>
      </c>
      <c r="F2299" t="str">
        <f>TEXT(VLOOKUP(A2299,Raw_Data!A:L,5,FALSE),"mmm")</f>
        <v>Nov</v>
      </c>
    </row>
    <row r="2300" spans="1:6" x14ac:dyDescent="0.35">
      <c r="A2300" s="3" t="s">
        <v>2917</v>
      </c>
      <c r="B2300" t="str">
        <f>VLOOKUP(A2300,Raw_Data!A:L,6,FALSE)</f>
        <v>Blender</v>
      </c>
      <c r="C2300" t="str">
        <f>VLOOKUP(A2300,Raw_Data!A:L,3,FALSE)</f>
        <v>Netherlands</v>
      </c>
      <c r="D2300" s="3">
        <f>VLOOKUP(A2300,Raw_Data!A:L,12,FALSE)</f>
        <v>1786</v>
      </c>
      <c r="E2300" s="3">
        <f>VLOOKUP(A2300,Raw_Data!A:L,11,FALSE)</f>
        <v>47</v>
      </c>
      <c r="F2300" t="str">
        <f>TEXT(VLOOKUP(A2300,Raw_Data!A:L,5,FALSE),"mmm")</f>
        <v>Dec</v>
      </c>
    </row>
    <row r="2301" spans="1:6" x14ac:dyDescent="0.35">
      <c r="A2301" s="3" t="s">
        <v>2918</v>
      </c>
      <c r="B2301" t="str">
        <f>VLOOKUP(A2301,Raw_Data!A:L,6,FALSE)</f>
        <v>Dishwasher</v>
      </c>
      <c r="C2301" t="str">
        <f>VLOOKUP(A2301,Raw_Data!A:L,3,FALSE)</f>
        <v>Poland</v>
      </c>
      <c r="D2301" s="3">
        <f>VLOOKUP(A2301,Raw_Data!A:L,12,FALSE)</f>
        <v>7055</v>
      </c>
      <c r="E2301" s="3">
        <f>VLOOKUP(A2301,Raw_Data!A:L,11,FALSE)</f>
        <v>17</v>
      </c>
      <c r="F2301" t="str">
        <f>TEXT(VLOOKUP(A2301,Raw_Data!A:L,5,FALSE),"mmm")</f>
        <v>Jun</v>
      </c>
    </row>
    <row r="2302" spans="1:6" x14ac:dyDescent="0.35">
      <c r="A2302" s="3" t="s">
        <v>2919</v>
      </c>
      <c r="B2302" t="str">
        <f>VLOOKUP(A2302,Raw_Data!A:L,6,FALSE)</f>
        <v>Toaster</v>
      </c>
      <c r="C2302" t="str">
        <f>VLOOKUP(A2302,Raw_Data!A:L,3,FALSE)</f>
        <v>Ireland</v>
      </c>
      <c r="D2302" s="3">
        <f>VLOOKUP(A2302,Raw_Data!A:L,12,FALSE)</f>
        <v>3870</v>
      </c>
      <c r="E2302" s="3">
        <f>VLOOKUP(A2302,Raw_Data!A:L,11,FALSE)</f>
        <v>90</v>
      </c>
      <c r="F2302" t="str">
        <f>TEXT(VLOOKUP(A2302,Raw_Data!A:L,5,FALSE),"mmm")</f>
        <v>Feb</v>
      </c>
    </row>
    <row r="2303" spans="1:6" x14ac:dyDescent="0.35">
      <c r="A2303" s="3" t="s">
        <v>2920</v>
      </c>
      <c r="B2303" t="str">
        <f>VLOOKUP(A2303,Raw_Data!A:L,6,FALSE)</f>
        <v>Dishwasher</v>
      </c>
      <c r="C2303" t="str">
        <f>VLOOKUP(A2303,Raw_Data!A:L,3,FALSE)</f>
        <v>China</v>
      </c>
      <c r="D2303" s="3">
        <f>VLOOKUP(A2303,Raw_Data!A:L,12,FALSE)</f>
        <v>22620</v>
      </c>
      <c r="E2303" s="3">
        <f>VLOOKUP(A2303,Raw_Data!A:L,11,FALSE)</f>
        <v>52</v>
      </c>
      <c r="F2303" t="str">
        <f>TEXT(VLOOKUP(A2303,Raw_Data!A:L,5,FALSE),"mmm")</f>
        <v>Mar</v>
      </c>
    </row>
    <row r="2304" spans="1:6" x14ac:dyDescent="0.35">
      <c r="A2304" s="3" t="s">
        <v>2921</v>
      </c>
      <c r="B2304" t="str">
        <f>VLOOKUP(A2304,Raw_Data!A:L,6,FALSE)</f>
        <v>Ceiling fan</v>
      </c>
      <c r="C2304" t="str">
        <f>VLOOKUP(A2304,Raw_Data!A:L,3,FALSE)</f>
        <v>UK</v>
      </c>
      <c r="D2304" s="3">
        <f>VLOOKUP(A2304,Raw_Data!A:L,12,FALSE)</f>
        <v>3427</v>
      </c>
      <c r="E2304" s="3">
        <f>VLOOKUP(A2304,Raw_Data!A:L,11,FALSE)</f>
        <v>23</v>
      </c>
      <c r="F2304" t="str">
        <f>TEXT(VLOOKUP(A2304,Raw_Data!A:L,5,FALSE),"mmm")</f>
        <v>May</v>
      </c>
    </row>
    <row r="2305" spans="1:6" x14ac:dyDescent="0.35">
      <c r="A2305" s="3" t="s">
        <v>2922</v>
      </c>
      <c r="B2305" t="str">
        <f>VLOOKUP(A2305,Raw_Data!A:L,6,FALSE)</f>
        <v>Air conditioner</v>
      </c>
      <c r="C2305" t="str">
        <f>VLOOKUP(A2305,Raw_Data!A:L,3,FALSE)</f>
        <v>India</v>
      </c>
      <c r="D2305" s="3">
        <f>VLOOKUP(A2305,Raw_Data!A:L,12,FALSE)</f>
        <v>28336</v>
      </c>
      <c r="E2305" s="3">
        <f>VLOOKUP(A2305,Raw_Data!A:L,11,FALSE)</f>
        <v>44</v>
      </c>
      <c r="F2305" t="str">
        <f>TEXT(VLOOKUP(A2305,Raw_Data!A:L,5,FALSE),"mmm")</f>
        <v>Jun</v>
      </c>
    </row>
    <row r="2306" spans="1:6" x14ac:dyDescent="0.35">
      <c r="A2306" s="3" t="s">
        <v>2923</v>
      </c>
      <c r="B2306" t="str">
        <f>VLOOKUP(A2306,Raw_Data!A:L,6,FALSE)</f>
        <v>Coffee grinder</v>
      </c>
      <c r="C2306" t="str">
        <f>VLOOKUP(A2306,Raw_Data!A:L,3,FALSE)</f>
        <v>UAE</v>
      </c>
      <c r="D2306" s="3">
        <f>VLOOKUP(A2306,Raw_Data!A:L,12,FALSE)</f>
        <v>5427</v>
      </c>
      <c r="E2306" s="3">
        <f>VLOOKUP(A2306,Raw_Data!A:L,11,FALSE)</f>
        <v>81</v>
      </c>
      <c r="F2306" t="str">
        <f>TEXT(VLOOKUP(A2306,Raw_Data!A:L,5,FALSE),"mmm")</f>
        <v>Jul</v>
      </c>
    </row>
    <row r="2307" spans="1:6" x14ac:dyDescent="0.35">
      <c r="A2307" s="3" t="s">
        <v>2924</v>
      </c>
      <c r="B2307" t="str">
        <f>VLOOKUP(A2307,Raw_Data!A:L,6,FALSE)</f>
        <v>Vacuum Cleaner</v>
      </c>
      <c r="C2307" t="str">
        <f>VLOOKUP(A2307,Raw_Data!A:L,3,FALSE)</f>
        <v>Canada</v>
      </c>
      <c r="D2307" s="3">
        <f>VLOOKUP(A2307,Raw_Data!A:L,12,FALSE)</f>
        <v>9702</v>
      </c>
      <c r="E2307" s="3">
        <f>VLOOKUP(A2307,Raw_Data!A:L,11,FALSE)</f>
        <v>49</v>
      </c>
      <c r="F2307" t="str">
        <f>TEXT(VLOOKUP(A2307,Raw_Data!A:L,5,FALSE),"mmm")</f>
        <v>Sep</v>
      </c>
    </row>
    <row r="2308" spans="1:6" x14ac:dyDescent="0.35">
      <c r="A2308" s="3" t="s">
        <v>2926</v>
      </c>
      <c r="B2308" t="str">
        <f>VLOOKUP(A2308,Raw_Data!A:L,6,FALSE)</f>
        <v>Iron</v>
      </c>
      <c r="C2308" t="str">
        <f>VLOOKUP(A2308,Raw_Data!A:L,3,FALSE)</f>
        <v>Saudi Arabia</v>
      </c>
      <c r="D2308" s="3">
        <f>VLOOKUP(A2308,Raw_Data!A:L,12,FALSE)</f>
        <v>2100</v>
      </c>
      <c r="E2308" s="3">
        <f>VLOOKUP(A2308,Raw_Data!A:L,11,FALSE)</f>
        <v>70</v>
      </c>
      <c r="F2308" t="str">
        <f>TEXT(VLOOKUP(A2308,Raw_Data!A:L,5,FALSE),"mmm")</f>
        <v>Dec</v>
      </c>
    </row>
    <row r="2309" spans="1:6" x14ac:dyDescent="0.35">
      <c r="A2309" s="3" t="s">
        <v>2927</v>
      </c>
      <c r="B2309" t="str">
        <f>VLOOKUP(A2309,Raw_Data!A:L,6,FALSE)</f>
        <v>Dishwasher</v>
      </c>
      <c r="C2309" t="str">
        <f>VLOOKUP(A2309,Raw_Data!A:L,3,FALSE)</f>
        <v>USA</v>
      </c>
      <c r="D2309" s="3">
        <f>VLOOKUP(A2309,Raw_Data!A:L,12,FALSE)</f>
        <v>20520</v>
      </c>
      <c r="E2309" s="3">
        <f>VLOOKUP(A2309,Raw_Data!A:L,11,FALSE)</f>
        <v>57</v>
      </c>
      <c r="F2309" t="str">
        <f>TEXT(VLOOKUP(A2309,Raw_Data!A:L,5,FALSE),"mmm")</f>
        <v>Jan</v>
      </c>
    </row>
    <row r="2310" spans="1:6" x14ac:dyDescent="0.35">
      <c r="A2310" s="3" t="s">
        <v>2929</v>
      </c>
      <c r="B2310" t="str">
        <f>VLOOKUP(A2310,Raw_Data!A:L,6,FALSE)</f>
        <v>Blender</v>
      </c>
      <c r="C2310" t="str">
        <f>VLOOKUP(A2310,Raw_Data!A:L,3,FALSE)</f>
        <v>Ireland</v>
      </c>
      <c r="D2310" s="3">
        <f>VLOOKUP(A2310,Raw_Data!A:L,12,FALSE)</f>
        <v>4092</v>
      </c>
      <c r="E2310" s="3">
        <f>VLOOKUP(A2310,Raw_Data!A:L,11,FALSE)</f>
        <v>93</v>
      </c>
      <c r="F2310" t="str">
        <f>TEXT(VLOOKUP(A2310,Raw_Data!A:L,5,FALSE),"mmm")</f>
        <v>Jul</v>
      </c>
    </row>
    <row r="2311" spans="1:6" x14ac:dyDescent="0.35">
      <c r="A2311" s="3" t="s">
        <v>2930</v>
      </c>
      <c r="B2311" t="str">
        <f>VLOOKUP(A2311,Raw_Data!A:L,6,FALSE)</f>
        <v>Washing Machine</v>
      </c>
      <c r="C2311" t="str">
        <f>VLOOKUP(A2311,Raw_Data!A:L,3,FALSE)</f>
        <v>Japan</v>
      </c>
      <c r="D2311" s="3">
        <f>VLOOKUP(A2311,Raw_Data!A:L,12,FALSE)</f>
        <v>49104</v>
      </c>
      <c r="E2311" s="3">
        <f>VLOOKUP(A2311,Raw_Data!A:L,11,FALSE)</f>
        <v>66</v>
      </c>
      <c r="F2311" t="str">
        <f>TEXT(VLOOKUP(A2311,Raw_Data!A:L,5,FALSE),"mmm")</f>
        <v>Jun</v>
      </c>
    </row>
    <row r="2312" spans="1:6" x14ac:dyDescent="0.35">
      <c r="A2312" s="3" t="s">
        <v>2931</v>
      </c>
      <c r="B2312" t="str">
        <f>VLOOKUP(A2312,Raw_Data!A:L,6,FALSE)</f>
        <v>Refrigerator</v>
      </c>
      <c r="C2312" t="str">
        <f>VLOOKUP(A2312,Raw_Data!A:L,3,FALSE)</f>
        <v>Poland</v>
      </c>
      <c r="D2312" s="3">
        <f>VLOOKUP(A2312,Raw_Data!A:L,12,FALSE)</f>
        <v>57510</v>
      </c>
      <c r="E2312" s="3">
        <f>VLOOKUP(A2312,Raw_Data!A:L,11,FALSE)</f>
        <v>71</v>
      </c>
      <c r="F2312" t="str">
        <f>TEXT(VLOOKUP(A2312,Raw_Data!A:L,5,FALSE),"mmm")</f>
        <v>Jul</v>
      </c>
    </row>
    <row r="2313" spans="1:6" x14ac:dyDescent="0.35">
      <c r="A2313" s="3" t="s">
        <v>2932</v>
      </c>
      <c r="B2313" t="str">
        <f>VLOOKUP(A2313,Raw_Data!A:L,6,FALSE)</f>
        <v>Iron</v>
      </c>
      <c r="C2313" t="str">
        <f>VLOOKUP(A2313,Raw_Data!A:L,3,FALSE)</f>
        <v>Canada</v>
      </c>
      <c r="D2313" s="3">
        <f>VLOOKUP(A2313,Raw_Data!A:L,12,FALSE)</f>
        <v>980</v>
      </c>
      <c r="E2313" s="3">
        <f>VLOOKUP(A2313,Raw_Data!A:L,11,FALSE)</f>
        <v>35</v>
      </c>
      <c r="F2313" t="str">
        <f>TEXT(VLOOKUP(A2313,Raw_Data!A:L,5,FALSE),"mmm")</f>
        <v>Apr</v>
      </c>
    </row>
    <row r="2314" spans="1:6" x14ac:dyDescent="0.35">
      <c r="A2314" s="3" t="s">
        <v>2933</v>
      </c>
      <c r="B2314" t="str">
        <f>VLOOKUP(A2314,Raw_Data!A:L,6,FALSE)</f>
        <v>Microwave</v>
      </c>
      <c r="C2314" t="str">
        <f>VLOOKUP(A2314,Raw_Data!A:L,3,FALSE)</f>
        <v>Greece</v>
      </c>
      <c r="D2314" s="3">
        <f>VLOOKUP(A2314,Raw_Data!A:L,12,FALSE)</f>
        <v>3080</v>
      </c>
      <c r="E2314" s="3">
        <f>VLOOKUP(A2314,Raw_Data!A:L,11,FALSE)</f>
        <v>44</v>
      </c>
      <c r="F2314" t="str">
        <f>TEXT(VLOOKUP(A2314,Raw_Data!A:L,5,FALSE),"mmm")</f>
        <v>Jul</v>
      </c>
    </row>
    <row r="2315" spans="1:6" x14ac:dyDescent="0.35">
      <c r="A2315" s="3" t="s">
        <v>2934</v>
      </c>
      <c r="B2315" t="str">
        <f>VLOOKUP(A2315,Raw_Data!A:L,6,FALSE)</f>
        <v>Oven</v>
      </c>
      <c r="C2315" t="str">
        <f>VLOOKUP(A2315,Raw_Data!A:L,3,FALSE)</f>
        <v>USA</v>
      </c>
      <c r="D2315" s="3">
        <f>VLOOKUP(A2315,Raw_Data!A:L,12,FALSE)</f>
        <v>28215</v>
      </c>
      <c r="E2315" s="3">
        <f>VLOOKUP(A2315,Raw_Data!A:L,11,FALSE)</f>
        <v>57</v>
      </c>
      <c r="F2315" t="str">
        <f>TEXT(VLOOKUP(A2315,Raw_Data!A:L,5,FALSE),"mmm")</f>
        <v>Mar</v>
      </c>
    </row>
    <row r="2316" spans="1:6" x14ac:dyDescent="0.35">
      <c r="A2316" s="3" t="s">
        <v>2935</v>
      </c>
      <c r="B2316" t="str">
        <f>VLOOKUP(A2316,Raw_Data!A:L,6,FALSE)</f>
        <v>Microwave</v>
      </c>
      <c r="C2316" t="str">
        <f>VLOOKUP(A2316,Raw_Data!A:L,3,FALSE)</f>
        <v>Malaysia</v>
      </c>
      <c r="D2316" s="3">
        <f>VLOOKUP(A2316,Raw_Data!A:L,12,FALSE)</f>
        <v>2409</v>
      </c>
      <c r="E2316" s="3">
        <f>VLOOKUP(A2316,Raw_Data!A:L,11,FALSE)</f>
        <v>33</v>
      </c>
      <c r="F2316" t="str">
        <f>TEXT(VLOOKUP(A2316,Raw_Data!A:L,5,FALSE),"mmm")</f>
        <v>Feb</v>
      </c>
    </row>
    <row r="2317" spans="1:6" x14ac:dyDescent="0.35">
      <c r="A2317" s="3" t="s">
        <v>2936</v>
      </c>
      <c r="B2317" t="str">
        <f>VLOOKUP(A2317,Raw_Data!A:L,6,FALSE)</f>
        <v>Air conditioner</v>
      </c>
      <c r="C2317" t="str">
        <f>VLOOKUP(A2317,Raw_Data!A:L,3,FALSE)</f>
        <v>USA</v>
      </c>
      <c r="D2317" s="3">
        <f>VLOOKUP(A2317,Raw_Data!A:L,12,FALSE)</f>
        <v>602</v>
      </c>
      <c r="E2317" s="3">
        <f>VLOOKUP(A2317,Raw_Data!A:L,11,FALSE)</f>
        <v>1</v>
      </c>
      <c r="F2317" t="str">
        <f>TEXT(VLOOKUP(A2317,Raw_Data!A:L,5,FALSE),"mmm")</f>
        <v>Feb</v>
      </c>
    </row>
    <row r="2318" spans="1:6" x14ac:dyDescent="0.35">
      <c r="A2318" s="3" t="s">
        <v>2938</v>
      </c>
      <c r="B2318" t="str">
        <f>VLOOKUP(A2318,Raw_Data!A:L,6,FALSE)</f>
        <v>Vacuum Cleaner</v>
      </c>
      <c r="C2318" t="str">
        <f>VLOOKUP(A2318,Raw_Data!A:L,3,FALSE)</f>
        <v>Poland</v>
      </c>
      <c r="D2318" s="3">
        <f>VLOOKUP(A2318,Raw_Data!A:L,12,FALSE)</f>
        <v>1700</v>
      </c>
      <c r="E2318" s="3">
        <f>VLOOKUP(A2318,Raw_Data!A:L,11,FALSE)</f>
        <v>34</v>
      </c>
      <c r="F2318" t="str">
        <f>TEXT(VLOOKUP(A2318,Raw_Data!A:L,5,FALSE),"mmm")</f>
        <v>May</v>
      </c>
    </row>
    <row r="2319" spans="1:6" x14ac:dyDescent="0.35">
      <c r="A2319" s="3" t="s">
        <v>2939</v>
      </c>
      <c r="B2319" t="str">
        <f>VLOOKUP(A2319,Raw_Data!A:L,6,FALSE)</f>
        <v>Air conditioner</v>
      </c>
      <c r="C2319" t="str">
        <f>VLOOKUP(A2319,Raw_Data!A:L,3,FALSE)</f>
        <v>USA</v>
      </c>
      <c r="D2319" s="3">
        <f>VLOOKUP(A2319,Raw_Data!A:L,12,FALSE)</f>
        <v>21000</v>
      </c>
      <c r="E2319" s="3">
        <f>VLOOKUP(A2319,Raw_Data!A:L,11,FALSE)</f>
        <v>30</v>
      </c>
      <c r="F2319" t="str">
        <f>TEXT(VLOOKUP(A2319,Raw_Data!A:L,5,FALSE),"mmm")</f>
        <v>Oct</v>
      </c>
    </row>
    <row r="2320" spans="1:6" x14ac:dyDescent="0.35">
      <c r="A2320" s="3" t="s">
        <v>2940</v>
      </c>
      <c r="B2320" t="str">
        <f>VLOOKUP(A2320,Raw_Data!A:L,6,FALSE)</f>
        <v>Microwave</v>
      </c>
      <c r="C2320" t="str">
        <f>VLOOKUP(A2320,Raw_Data!A:L,3,FALSE)</f>
        <v>Chile</v>
      </c>
      <c r="D2320" s="3">
        <f>VLOOKUP(A2320,Raw_Data!A:L,12,FALSE)</f>
        <v>1450</v>
      </c>
      <c r="E2320" s="3">
        <f>VLOOKUP(A2320,Raw_Data!A:L,11,FALSE)</f>
        <v>25</v>
      </c>
      <c r="F2320" t="str">
        <f>TEXT(VLOOKUP(A2320,Raw_Data!A:L,5,FALSE),"mmm")</f>
        <v>Apr</v>
      </c>
    </row>
    <row r="2321" spans="1:6" x14ac:dyDescent="0.35">
      <c r="A2321" s="3" t="s">
        <v>2941</v>
      </c>
      <c r="B2321" t="str">
        <f>VLOOKUP(A2321,Raw_Data!A:L,6,FALSE)</f>
        <v>Iron</v>
      </c>
      <c r="C2321" t="str">
        <f>VLOOKUP(A2321,Raw_Data!A:L,3,FALSE)</f>
        <v>Israel</v>
      </c>
      <c r="D2321" s="3">
        <f>VLOOKUP(A2321,Raw_Data!A:L,12,FALSE)</f>
        <v>638</v>
      </c>
      <c r="E2321" s="3">
        <f>VLOOKUP(A2321,Raw_Data!A:L,11,FALSE)</f>
        <v>29</v>
      </c>
      <c r="F2321" t="str">
        <f>TEXT(VLOOKUP(A2321,Raw_Data!A:L,5,FALSE),"mmm")</f>
        <v>Feb</v>
      </c>
    </row>
    <row r="2322" spans="1:6" x14ac:dyDescent="0.35">
      <c r="A2322" s="3" t="s">
        <v>2942</v>
      </c>
      <c r="B2322" t="str">
        <f>VLOOKUP(A2322,Raw_Data!A:L,6,FALSE)</f>
        <v>Oven</v>
      </c>
      <c r="C2322" t="str">
        <f>VLOOKUP(A2322,Raw_Data!A:L,3,FALSE)</f>
        <v>Germany</v>
      </c>
      <c r="D2322" s="3">
        <f>VLOOKUP(A2322,Raw_Data!A:L,12,FALSE)</f>
        <v>27720</v>
      </c>
      <c r="E2322" s="3">
        <f>VLOOKUP(A2322,Raw_Data!A:L,11,FALSE)</f>
        <v>56</v>
      </c>
      <c r="F2322" t="str">
        <f>TEXT(VLOOKUP(A2322,Raw_Data!A:L,5,FALSE),"mmm")</f>
        <v>Dec</v>
      </c>
    </row>
    <row r="2323" spans="1:6" x14ac:dyDescent="0.35">
      <c r="A2323" s="3" t="s">
        <v>2943</v>
      </c>
      <c r="B2323" t="str">
        <f>VLOOKUP(A2323,Raw_Data!A:L,6,FALSE)</f>
        <v>Toaster</v>
      </c>
      <c r="C2323" t="str">
        <f>VLOOKUP(A2323,Raw_Data!A:L,3,FALSE)</f>
        <v>UK</v>
      </c>
      <c r="D2323" s="3">
        <f>VLOOKUP(A2323,Raw_Data!A:L,12,FALSE)</f>
        <v>1617</v>
      </c>
      <c r="E2323" s="3">
        <f>VLOOKUP(A2323,Raw_Data!A:L,11,FALSE)</f>
        <v>33</v>
      </c>
      <c r="F2323" t="str">
        <f>TEXT(VLOOKUP(A2323,Raw_Data!A:L,5,FALSE),"mmm")</f>
        <v>Aug</v>
      </c>
    </row>
    <row r="2324" spans="1:6" x14ac:dyDescent="0.35">
      <c r="A2324" s="3" t="s">
        <v>2944</v>
      </c>
      <c r="B2324" t="str">
        <f>VLOOKUP(A2324,Raw_Data!A:L,6,FALSE)</f>
        <v>Vacuum Cleaner</v>
      </c>
      <c r="C2324" t="str">
        <f>VLOOKUP(A2324,Raw_Data!A:L,3,FALSE)</f>
        <v>Japan</v>
      </c>
      <c r="D2324" s="3">
        <f>VLOOKUP(A2324,Raw_Data!A:L,12,FALSE)</f>
        <v>10580</v>
      </c>
      <c r="E2324" s="3">
        <f>VLOOKUP(A2324,Raw_Data!A:L,11,FALSE)</f>
        <v>46</v>
      </c>
      <c r="F2324" t="str">
        <f>TEXT(VLOOKUP(A2324,Raw_Data!A:L,5,FALSE),"mmm")</f>
        <v>Jan</v>
      </c>
    </row>
    <row r="2325" spans="1:6" x14ac:dyDescent="0.35">
      <c r="A2325" s="3" t="s">
        <v>2945</v>
      </c>
      <c r="B2325" t="str">
        <f>VLOOKUP(A2325,Raw_Data!A:L,6,FALSE)</f>
        <v>Microwave</v>
      </c>
      <c r="C2325" t="str">
        <f>VLOOKUP(A2325,Raw_Data!A:L,3,FALSE)</f>
        <v>Germany</v>
      </c>
      <c r="D2325" s="3">
        <f>VLOOKUP(A2325,Raw_Data!A:L,12,FALSE)</f>
        <v>730</v>
      </c>
      <c r="E2325" s="3">
        <f>VLOOKUP(A2325,Raw_Data!A:L,11,FALSE)</f>
        <v>10</v>
      </c>
      <c r="F2325" t="str">
        <f>TEXT(VLOOKUP(A2325,Raw_Data!A:L,5,FALSE),"mmm")</f>
        <v>Jul</v>
      </c>
    </row>
    <row r="2326" spans="1:6" x14ac:dyDescent="0.35">
      <c r="A2326" s="3" t="s">
        <v>2946</v>
      </c>
      <c r="B2326" t="str">
        <f>VLOOKUP(A2326,Raw_Data!A:L,6,FALSE)</f>
        <v>Dishwasher</v>
      </c>
      <c r="C2326" t="str">
        <f>VLOOKUP(A2326,Raw_Data!A:L,3,FALSE)</f>
        <v>China</v>
      </c>
      <c r="D2326" s="3">
        <f>VLOOKUP(A2326,Raw_Data!A:L,12,FALSE)</f>
        <v>26600</v>
      </c>
      <c r="E2326" s="3">
        <f>VLOOKUP(A2326,Raw_Data!A:L,11,FALSE)</f>
        <v>56</v>
      </c>
      <c r="F2326" t="str">
        <f>TEXT(VLOOKUP(A2326,Raw_Data!A:L,5,FALSE),"mmm")</f>
        <v>Jan</v>
      </c>
    </row>
    <row r="2327" spans="1:6" x14ac:dyDescent="0.35">
      <c r="A2327" s="3" t="s">
        <v>2947</v>
      </c>
      <c r="B2327" t="str">
        <f>VLOOKUP(A2327,Raw_Data!A:L,6,FALSE)</f>
        <v>Toaster</v>
      </c>
      <c r="C2327" t="str">
        <f>VLOOKUP(A2327,Raw_Data!A:L,3,FALSE)</f>
        <v>USA</v>
      </c>
      <c r="D2327" s="3">
        <f>VLOOKUP(A2327,Raw_Data!A:L,12,FALSE)</f>
        <v>200</v>
      </c>
      <c r="E2327" s="3">
        <f>VLOOKUP(A2327,Raw_Data!A:L,11,FALSE)</f>
        <v>4</v>
      </c>
      <c r="F2327" t="str">
        <f>TEXT(VLOOKUP(A2327,Raw_Data!A:L,5,FALSE),"mmm")</f>
        <v>Feb</v>
      </c>
    </row>
    <row r="2328" spans="1:6" x14ac:dyDescent="0.35">
      <c r="A2328" s="3" t="s">
        <v>2948</v>
      </c>
      <c r="B2328" t="str">
        <f>VLOOKUP(A2328,Raw_Data!A:L,6,FALSE)</f>
        <v>Vacuum Cleaner</v>
      </c>
      <c r="C2328" t="str">
        <f>VLOOKUP(A2328,Raw_Data!A:L,3,FALSE)</f>
        <v>USA</v>
      </c>
      <c r="D2328" s="3">
        <f>VLOOKUP(A2328,Raw_Data!A:L,12,FALSE)</f>
        <v>21182</v>
      </c>
      <c r="E2328" s="3">
        <f>VLOOKUP(A2328,Raw_Data!A:L,11,FALSE)</f>
        <v>89</v>
      </c>
      <c r="F2328" t="str">
        <f>TEXT(VLOOKUP(A2328,Raw_Data!A:L,5,FALSE),"mmm")</f>
        <v>May</v>
      </c>
    </row>
    <row r="2329" spans="1:6" x14ac:dyDescent="0.35">
      <c r="A2329" s="3" t="s">
        <v>2949</v>
      </c>
      <c r="B2329" t="str">
        <f>VLOOKUP(A2329,Raw_Data!A:L,6,FALSE)</f>
        <v>Microwave</v>
      </c>
      <c r="C2329" t="str">
        <f>VLOOKUP(A2329,Raw_Data!A:L,3,FALSE)</f>
        <v>Mexico</v>
      </c>
      <c r="D2329" s="3">
        <f>VLOOKUP(A2329,Raw_Data!A:L,12,FALSE)</f>
        <v>5159</v>
      </c>
      <c r="E2329" s="3">
        <f>VLOOKUP(A2329,Raw_Data!A:L,11,FALSE)</f>
        <v>67</v>
      </c>
      <c r="F2329" t="str">
        <f>TEXT(VLOOKUP(A2329,Raw_Data!A:L,5,FALSE),"mmm")</f>
        <v>May</v>
      </c>
    </row>
    <row r="2330" spans="1:6" x14ac:dyDescent="0.35">
      <c r="A2330" s="3" t="s">
        <v>2950</v>
      </c>
      <c r="B2330" t="str">
        <f>VLOOKUP(A2330,Raw_Data!A:L,6,FALSE)</f>
        <v>Toaster</v>
      </c>
      <c r="C2330" t="str">
        <f>VLOOKUP(A2330,Raw_Data!A:L,3,FALSE)</f>
        <v>Israel</v>
      </c>
      <c r="D2330" s="3">
        <f>VLOOKUP(A2330,Raw_Data!A:L,12,FALSE)</f>
        <v>798</v>
      </c>
      <c r="E2330" s="3">
        <f>VLOOKUP(A2330,Raw_Data!A:L,11,FALSE)</f>
        <v>21</v>
      </c>
      <c r="F2330" t="str">
        <f>TEXT(VLOOKUP(A2330,Raw_Data!A:L,5,FALSE),"mmm")</f>
        <v>Jan</v>
      </c>
    </row>
    <row r="2331" spans="1:6" x14ac:dyDescent="0.35">
      <c r="A2331" s="3" t="s">
        <v>2951</v>
      </c>
      <c r="B2331" t="str">
        <f>VLOOKUP(A2331,Raw_Data!A:L,6,FALSE)</f>
        <v>Refrigerator</v>
      </c>
      <c r="C2331" t="str">
        <f>VLOOKUP(A2331,Raw_Data!A:L,3,FALSE)</f>
        <v>Italy</v>
      </c>
      <c r="D2331" s="3">
        <f>VLOOKUP(A2331,Raw_Data!A:L,12,FALSE)</f>
        <v>46800</v>
      </c>
      <c r="E2331" s="3">
        <f>VLOOKUP(A2331,Raw_Data!A:L,11,FALSE)</f>
        <v>72</v>
      </c>
      <c r="F2331" t="str">
        <f>TEXT(VLOOKUP(A2331,Raw_Data!A:L,5,FALSE),"mmm")</f>
        <v>Mar</v>
      </c>
    </row>
    <row r="2332" spans="1:6" x14ac:dyDescent="0.35">
      <c r="A2332" s="3" t="s">
        <v>2952</v>
      </c>
      <c r="B2332" t="str">
        <f>VLOOKUP(A2332,Raw_Data!A:L,6,FALSE)</f>
        <v>Microwave</v>
      </c>
      <c r="C2332" t="str">
        <f>VLOOKUP(A2332,Raw_Data!A:L,3,FALSE)</f>
        <v>Israel</v>
      </c>
      <c r="D2332" s="3">
        <f>VLOOKUP(A2332,Raw_Data!A:L,12,FALSE)</f>
        <v>1817</v>
      </c>
      <c r="E2332" s="3">
        <f>VLOOKUP(A2332,Raw_Data!A:L,11,FALSE)</f>
        <v>23</v>
      </c>
      <c r="F2332" t="str">
        <f>TEXT(VLOOKUP(A2332,Raw_Data!A:L,5,FALSE),"mmm")</f>
        <v>Apr</v>
      </c>
    </row>
    <row r="2333" spans="1:6" x14ac:dyDescent="0.35">
      <c r="A2333" s="3" t="s">
        <v>2953</v>
      </c>
      <c r="B2333" t="str">
        <f>VLOOKUP(A2333,Raw_Data!A:L,6,FALSE)</f>
        <v>Toaster</v>
      </c>
      <c r="C2333" t="str">
        <f>VLOOKUP(A2333,Raw_Data!A:L,3,FALSE)</f>
        <v>UAE</v>
      </c>
      <c r="D2333" s="3">
        <f>VLOOKUP(A2333,Raw_Data!A:L,12,FALSE)</f>
        <v>3312</v>
      </c>
      <c r="E2333" s="3">
        <f>VLOOKUP(A2333,Raw_Data!A:L,11,FALSE)</f>
        <v>72</v>
      </c>
      <c r="F2333" t="str">
        <f>TEXT(VLOOKUP(A2333,Raw_Data!A:L,5,FALSE),"mmm")</f>
        <v>Feb</v>
      </c>
    </row>
    <row r="2334" spans="1:6" x14ac:dyDescent="0.35">
      <c r="A2334" s="3" t="s">
        <v>2954</v>
      </c>
      <c r="B2334" t="str">
        <f>VLOOKUP(A2334,Raw_Data!A:L,6,FALSE)</f>
        <v>Air conditioner</v>
      </c>
      <c r="C2334" t="str">
        <f>VLOOKUP(A2334,Raw_Data!A:L,3,FALSE)</f>
        <v>Netherlands</v>
      </c>
      <c r="D2334" s="3">
        <f>VLOOKUP(A2334,Raw_Data!A:L,12,FALSE)</f>
        <v>32200</v>
      </c>
      <c r="E2334" s="3">
        <f>VLOOKUP(A2334,Raw_Data!A:L,11,FALSE)</f>
        <v>50</v>
      </c>
      <c r="F2334" t="str">
        <f>TEXT(VLOOKUP(A2334,Raw_Data!A:L,5,FALSE),"mmm")</f>
        <v>Sep</v>
      </c>
    </row>
    <row r="2335" spans="1:6" x14ac:dyDescent="0.35">
      <c r="A2335" s="3" t="s">
        <v>2955</v>
      </c>
      <c r="B2335" t="str">
        <f>VLOOKUP(A2335,Raw_Data!A:L,6,FALSE)</f>
        <v>Air conditioner</v>
      </c>
      <c r="C2335" t="str">
        <f>VLOOKUP(A2335,Raw_Data!A:L,3,FALSE)</f>
        <v>Turkey</v>
      </c>
      <c r="D2335" s="3">
        <f>VLOOKUP(A2335,Raw_Data!A:L,12,FALSE)</f>
        <v>6860</v>
      </c>
      <c r="E2335" s="3">
        <f>VLOOKUP(A2335,Raw_Data!A:L,11,FALSE)</f>
        <v>10</v>
      </c>
      <c r="F2335" t="str">
        <f>TEXT(VLOOKUP(A2335,Raw_Data!A:L,5,FALSE),"mmm")</f>
        <v>Jun</v>
      </c>
    </row>
    <row r="2336" spans="1:6" x14ac:dyDescent="0.35">
      <c r="A2336" s="3" t="s">
        <v>2956</v>
      </c>
      <c r="B2336" t="str">
        <f>VLOOKUP(A2336,Raw_Data!A:L,6,FALSE)</f>
        <v>Microwave</v>
      </c>
      <c r="C2336" t="str">
        <f>VLOOKUP(A2336,Raw_Data!A:L,3,FALSE)</f>
        <v>Austria</v>
      </c>
      <c r="D2336" s="3">
        <f>VLOOKUP(A2336,Raw_Data!A:L,12,FALSE)</f>
        <v>4836</v>
      </c>
      <c r="E2336" s="3">
        <f>VLOOKUP(A2336,Raw_Data!A:L,11,FALSE)</f>
        <v>62</v>
      </c>
      <c r="F2336" t="str">
        <f>TEXT(VLOOKUP(A2336,Raw_Data!A:L,5,FALSE),"mmm")</f>
        <v>Dec</v>
      </c>
    </row>
    <row r="2337" spans="1:6" x14ac:dyDescent="0.35">
      <c r="A2337" s="3" t="s">
        <v>2957</v>
      </c>
      <c r="B2337" t="str">
        <f>VLOOKUP(A2337,Raw_Data!A:L,6,FALSE)</f>
        <v>Microwave</v>
      </c>
      <c r="C2337" t="str">
        <f>VLOOKUP(A2337,Raw_Data!A:L,3,FALSE)</f>
        <v>China</v>
      </c>
      <c r="D2337" s="3">
        <f>VLOOKUP(A2337,Raw_Data!A:L,12,FALSE)</f>
        <v>5460</v>
      </c>
      <c r="E2337" s="3">
        <f>VLOOKUP(A2337,Raw_Data!A:L,11,FALSE)</f>
        <v>70</v>
      </c>
      <c r="F2337" t="str">
        <f>TEXT(VLOOKUP(A2337,Raw_Data!A:L,5,FALSE),"mmm")</f>
        <v>Feb</v>
      </c>
    </row>
    <row r="2338" spans="1:6" x14ac:dyDescent="0.35">
      <c r="A2338" s="3" t="s">
        <v>2958</v>
      </c>
      <c r="B2338" t="str">
        <f>VLOOKUP(A2338,Raw_Data!A:L,6,FALSE)</f>
        <v>Washing Machine</v>
      </c>
      <c r="C2338" t="str">
        <f>VLOOKUP(A2338,Raw_Data!A:L,3,FALSE)</f>
        <v>Turkey</v>
      </c>
      <c r="D2338" s="3">
        <f>VLOOKUP(A2338,Raw_Data!A:L,12,FALSE)</f>
        <v>46080</v>
      </c>
      <c r="E2338" s="3">
        <f>VLOOKUP(A2338,Raw_Data!A:L,11,FALSE)</f>
        <v>96</v>
      </c>
      <c r="F2338" t="str">
        <f>TEXT(VLOOKUP(A2338,Raw_Data!A:L,5,FALSE),"mmm")</f>
        <v>May</v>
      </c>
    </row>
    <row r="2339" spans="1:6" x14ac:dyDescent="0.35">
      <c r="A2339" s="3" t="s">
        <v>2959</v>
      </c>
      <c r="B2339" t="str">
        <f>VLOOKUP(A2339,Raw_Data!A:L,6,FALSE)</f>
        <v>Coffee grinder</v>
      </c>
      <c r="C2339" t="str">
        <f>VLOOKUP(A2339,Raw_Data!A:L,3,FALSE)</f>
        <v>Greece</v>
      </c>
      <c r="D2339" s="3">
        <f>VLOOKUP(A2339,Raw_Data!A:L,12,FALSE)</f>
        <v>6080</v>
      </c>
      <c r="E2339" s="3">
        <f>VLOOKUP(A2339,Raw_Data!A:L,11,FALSE)</f>
        <v>95</v>
      </c>
      <c r="F2339" t="str">
        <f>TEXT(VLOOKUP(A2339,Raw_Data!A:L,5,FALSE),"mmm")</f>
        <v>Oct</v>
      </c>
    </row>
    <row r="2340" spans="1:6" x14ac:dyDescent="0.35">
      <c r="A2340" s="3" t="s">
        <v>2960</v>
      </c>
      <c r="B2340" t="str">
        <f>VLOOKUP(A2340,Raw_Data!A:L,6,FALSE)</f>
        <v>Microwave</v>
      </c>
      <c r="C2340" t="str">
        <f>VLOOKUP(A2340,Raw_Data!A:L,3,FALSE)</f>
        <v>China</v>
      </c>
      <c r="D2340" s="3">
        <f>VLOOKUP(A2340,Raw_Data!A:L,12,FALSE)</f>
        <v>1771</v>
      </c>
      <c r="E2340" s="3">
        <f>VLOOKUP(A2340,Raw_Data!A:L,11,FALSE)</f>
        <v>23</v>
      </c>
      <c r="F2340" t="str">
        <f>TEXT(VLOOKUP(A2340,Raw_Data!A:L,5,FALSE),"mmm")</f>
        <v>Sep</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5FFB-A8D4-4FF2-9B25-6487BF8A2101}">
  <dimension ref="A1:H2340"/>
  <sheetViews>
    <sheetView workbookViewId="0">
      <selection activeCell="J14" sqref="J14"/>
    </sheetView>
  </sheetViews>
  <sheetFormatPr defaultRowHeight="14.5" x14ac:dyDescent="0.35"/>
  <cols>
    <col min="1" max="1" width="13.25" customWidth="1"/>
    <col min="2" max="2" width="8.6640625" style="26"/>
    <col min="3" max="3" width="15.1640625" hidden="1" customWidth="1"/>
    <col min="4" max="4" width="15.6640625" customWidth="1"/>
    <col min="5" max="6" width="10.4140625" style="3" customWidth="1"/>
    <col min="7" max="7" width="10.25" style="3" customWidth="1"/>
    <col min="8" max="8" width="14.1640625" style="3" customWidth="1"/>
  </cols>
  <sheetData>
    <row r="1" spans="1:8" x14ac:dyDescent="0.35">
      <c r="A1" t="s">
        <v>2</v>
      </c>
      <c r="B1" s="26" t="s">
        <v>3</v>
      </c>
      <c r="C1" t="s">
        <v>4</v>
      </c>
      <c r="D1" t="s">
        <v>5</v>
      </c>
      <c r="E1" s="3" t="s">
        <v>7</v>
      </c>
      <c r="F1" s="3" t="s">
        <v>10</v>
      </c>
      <c r="G1" s="3" t="s">
        <v>2961</v>
      </c>
      <c r="H1" s="3" t="s">
        <v>2984</v>
      </c>
    </row>
    <row r="2" spans="1:8" x14ac:dyDescent="0.35">
      <c r="A2" t="s">
        <v>13</v>
      </c>
      <c r="B2" s="26" t="s">
        <v>14</v>
      </c>
      <c r="C2" s="20">
        <v>43261</v>
      </c>
      <c r="D2" t="s">
        <v>15</v>
      </c>
      <c r="E2" s="3">
        <v>80</v>
      </c>
      <c r="F2" s="3">
        <v>83</v>
      </c>
      <c r="G2" s="3">
        <v>6557</v>
      </c>
      <c r="H2" s="3" t="s">
        <v>2970</v>
      </c>
    </row>
    <row r="3" spans="1:8" x14ac:dyDescent="0.35">
      <c r="A3" t="s">
        <v>19</v>
      </c>
      <c r="B3" s="26" t="s">
        <v>20</v>
      </c>
      <c r="C3" s="20">
        <v>42117</v>
      </c>
      <c r="D3" t="s">
        <v>15</v>
      </c>
      <c r="E3" s="3">
        <v>80</v>
      </c>
      <c r="F3" s="3">
        <v>8</v>
      </c>
      <c r="G3" s="3">
        <v>432</v>
      </c>
      <c r="H3" s="3" t="s">
        <v>2969</v>
      </c>
    </row>
    <row r="4" spans="1:8" x14ac:dyDescent="0.35">
      <c r="A4" t="s">
        <v>24</v>
      </c>
      <c r="B4" s="26" t="s">
        <v>25</v>
      </c>
      <c r="C4" s="20">
        <v>42798</v>
      </c>
      <c r="D4" t="s">
        <v>26</v>
      </c>
      <c r="E4" s="3">
        <v>700</v>
      </c>
      <c r="F4" s="3">
        <v>91</v>
      </c>
      <c r="G4" s="3">
        <v>62426</v>
      </c>
      <c r="H4" s="3" t="s">
        <v>2968</v>
      </c>
    </row>
    <row r="5" spans="1:8" x14ac:dyDescent="0.35">
      <c r="A5" t="s">
        <v>30</v>
      </c>
      <c r="B5" s="26" t="s">
        <v>14</v>
      </c>
      <c r="C5" s="20">
        <v>43326</v>
      </c>
      <c r="D5" t="s">
        <v>31</v>
      </c>
      <c r="E5" s="3">
        <v>150</v>
      </c>
      <c r="F5" s="3">
        <v>2</v>
      </c>
      <c r="G5" s="3">
        <v>274</v>
      </c>
      <c r="H5" s="3" t="s">
        <v>2972</v>
      </c>
    </row>
    <row r="6" spans="1:8" x14ac:dyDescent="0.35">
      <c r="A6" t="s">
        <v>35</v>
      </c>
      <c r="B6" s="26" t="s">
        <v>36</v>
      </c>
      <c r="C6" s="20">
        <v>42066</v>
      </c>
      <c r="D6" t="s">
        <v>37</v>
      </c>
      <c r="E6" s="3">
        <v>50</v>
      </c>
      <c r="F6" s="3">
        <v>40</v>
      </c>
      <c r="G6" s="3">
        <v>1480</v>
      </c>
      <c r="H6" s="3" t="s">
        <v>2968</v>
      </c>
    </row>
    <row r="7" spans="1:8" x14ac:dyDescent="0.35">
      <c r="A7" t="s">
        <v>41</v>
      </c>
      <c r="B7" s="26" t="s">
        <v>36</v>
      </c>
      <c r="C7" s="20">
        <v>42485</v>
      </c>
      <c r="D7" t="s">
        <v>42</v>
      </c>
      <c r="E7" s="3">
        <v>30</v>
      </c>
      <c r="F7" s="3">
        <v>27</v>
      </c>
      <c r="G7" s="3">
        <v>783</v>
      </c>
      <c r="H7" s="3" t="s">
        <v>2969</v>
      </c>
    </row>
    <row r="8" spans="1:8" x14ac:dyDescent="0.35">
      <c r="A8" t="s">
        <v>46</v>
      </c>
      <c r="B8" s="26" t="s">
        <v>25</v>
      </c>
      <c r="C8" s="20">
        <v>42527</v>
      </c>
      <c r="D8" t="s">
        <v>47</v>
      </c>
      <c r="E8" s="3">
        <v>500</v>
      </c>
      <c r="F8" s="3">
        <v>70</v>
      </c>
      <c r="H8" s="3" t="s">
        <v>2970</v>
      </c>
    </row>
    <row r="9" spans="1:8" x14ac:dyDescent="0.35">
      <c r="A9" t="s">
        <v>51</v>
      </c>
      <c r="B9" s="26" t="s">
        <v>25</v>
      </c>
      <c r="C9" s="20">
        <v>42557</v>
      </c>
      <c r="D9" t="s">
        <v>42</v>
      </c>
      <c r="E9" s="3">
        <v>30</v>
      </c>
      <c r="F9" s="3">
        <v>42</v>
      </c>
      <c r="G9" s="3">
        <v>1176</v>
      </c>
      <c r="H9" s="3" t="s">
        <v>2971</v>
      </c>
    </row>
    <row r="10" spans="1:8" x14ac:dyDescent="0.35">
      <c r="A10" t="s">
        <v>55</v>
      </c>
      <c r="B10" s="26" t="s">
        <v>14</v>
      </c>
      <c r="C10" s="20">
        <v>42320</v>
      </c>
      <c r="D10" t="s">
        <v>56</v>
      </c>
      <c r="E10" s="3">
        <v>800</v>
      </c>
      <c r="F10" s="3">
        <v>76</v>
      </c>
      <c r="G10" s="3">
        <v>57760</v>
      </c>
      <c r="H10" s="3" t="s">
        <v>2975</v>
      </c>
    </row>
    <row r="11" spans="1:8" x14ac:dyDescent="0.35">
      <c r="A11" t="s">
        <v>46</v>
      </c>
      <c r="B11" s="26" t="s">
        <v>25</v>
      </c>
      <c r="C11" s="20">
        <v>41829</v>
      </c>
      <c r="D11" t="s">
        <v>42</v>
      </c>
      <c r="E11" s="3">
        <v>30</v>
      </c>
      <c r="F11" s="3">
        <v>68</v>
      </c>
      <c r="G11" s="3">
        <v>1904</v>
      </c>
      <c r="H11" s="3" t="s">
        <v>2971</v>
      </c>
    </row>
    <row r="12" spans="1:8" x14ac:dyDescent="0.35">
      <c r="A12" t="s">
        <v>61</v>
      </c>
      <c r="B12" s="26" t="s">
        <v>14</v>
      </c>
      <c r="C12" s="20">
        <v>42926</v>
      </c>
      <c r="D12" t="s">
        <v>62</v>
      </c>
      <c r="E12" s="3">
        <v>1000</v>
      </c>
      <c r="F12" s="3">
        <v>52</v>
      </c>
      <c r="G12" s="3">
        <v>26000</v>
      </c>
      <c r="H12" s="3" t="s">
        <v>2971</v>
      </c>
    </row>
    <row r="13" spans="1:8" x14ac:dyDescent="0.35">
      <c r="A13" t="s">
        <v>66</v>
      </c>
      <c r="B13" s="26" t="s">
        <v>36</v>
      </c>
      <c r="C13" s="20">
        <v>41872</v>
      </c>
      <c r="D13" t="s">
        <v>26</v>
      </c>
      <c r="E13" s="3">
        <v>700</v>
      </c>
      <c r="F13" s="3">
        <v>71</v>
      </c>
      <c r="G13" s="3">
        <v>48209</v>
      </c>
      <c r="H13" s="3" t="s">
        <v>2972</v>
      </c>
    </row>
    <row r="14" spans="1:8" x14ac:dyDescent="0.35">
      <c r="A14" t="s">
        <v>51</v>
      </c>
      <c r="B14" s="26" t="s">
        <v>25</v>
      </c>
      <c r="C14" s="20">
        <v>42250</v>
      </c>
      <c r="D14" t="s">
        <v>42</v>
      </c>
      <c r="E14" s="3">
        <v>30</v>
      </c>
      <c r="F14" s="3">
        <v>5</v>
      </c>
      <c r="G14" s="3">
        <v>140</v>
      </c>
      <c r="H14" s="3" t="s">
        <v>2973</v>
      </c>
    </row>
    <row r="15" spans="1:8" x14ac:dyDescent="0.35">
      <c r="A15" t="s">
        <v>72</v>
      </c>
      <c r="B15" s="26" t="s">
        <v>36</v>
      </c>
      <c r="C15" s="20">
        <v>41789</v>
      </c>
      <c r="D15" t="s">
        <v>73</v>
      </c>
      <c r="E15" s="3">
        <v>500</v>
      </c>
      <c r="F15" s="3">
        <v>57</v>
      </c>
      <c r="G15" s="3">
        <v>27930</v>
      </c>
      <c r="H15" s="3" t="s">
        <v>2965</v>
      </c>
    </row>
    <row r="16" spans="1:8" x14ac:dyDescent="0.35">
      <c r="A16" t="s">
        <v>35</v>
      </c>
      <c r="B16" s="26" t="s">
        <v>36</v>
      </c>
      <c r="C16" s="20">
        <v>43445</v>
      </c>
      <c r="D16" t="s">
        <v>56</v>
      </c>
      <c r="E16" s="3">
        <v>800</v>
      </c>
      <c r="F16" s="3">
        <v>1</v>
      </c>
      <c r="G16" s="3">
        <v>672</v>
      </c>
      <c r="H16" s="3" t="s">
        <v>2976</v>
      </c>
    </row>
    <row r="17" spans="1:8" x14ac:dyDescent="0.35">
      <c r="A17" t="s">
        <v>79</v>
      </c>
      <c r="B17" s="26" t="s">
        <v>36</v>
      </c>
      <c r="C17" s="20">
        <v>42148</v>
      </c>
      <c r="D17" t="s">
        <v>15</v>
      </c>
      <c r="E17" s="3">
        <v>80</v>
      </c>
      <c r="F17" s="3">
        <v>11</v>
      </c>
      <c r="G17" s="3">
        <v>858</v>
      </c>
      <c r="H17" s="3" t="s">
        <v>2965</v>
      </c>
    </row>
    <row r="18" spans="1:8" x14ac:dyDescent="0.35">
      <c r="A18" t="s">
        <v>83</v>
      </c>
      <c r="B18" s="26" t="s">
        <v>14</v>
      </c>
      <c r="C18" s="20">
        <v>41802</v>
      </c>
      <c r="D18" t="s">
        <v>62</v>
      </c>
      <c r="E18" s="3">
        <v>1000</v>
      </c>
      <c r="F18" s="3">
        <v>45</v>
      </c>
      <c r="G18" s="3">
        <v>27900</v>
      </c>
      <c r="H18" s="3" t="s">
        <v>2970</v>
      </c>
    </row>
    <row r="19" spans="1:8" x14ac:dyDescent="0.35">
      <c r="A19" t="s">
        <v>87</v>
      </c>
      <c r="B19" s="26" t="s">
        <v>14</v>
      </c>
      <c r="C19" s="20">
        <v>43046</v>
      </c>
      <c r="D19" t="s">
        <v>73</v>
      </c>
      <c r="E19" s="3">
        <v>500</v>
      </c>
      <c r="F19" s="3">
        <v>59</v>
      </c>
      <c r="G19" s="3">
        <v>29500</v>
      </c>
      <c r="H19" s="3" t="s">
        <v>2975</v>
      </c>
    </row>
    <row r="20" spans="1:8" x14ac:dyDescent="0.35">
      <c r="A20" t="s">
        <v>19</v>
      </c>
      <c r="B20" s="26" t="s">
        <v>20</v>
      </c>
      <c r="C20" s="20">
        <v>41946</v>
      </c>
      <c r="D20" t="s">
        <v>31</v>
      </c>
      <c r="E20" s="3">
        <v>150</v>
      </c>
      <c r="F20" s="3">
        <v>5</v>
      </c>
      <c r="G20" s="3">
        <v>750</v>
      </c>
      <c r="H20" s="3" t="s">
        <v>2975</v>
      </c>
    </row>
    <row r="21" spans="1:8" x14ac:dyDescent="0.35">
      <c r="A21" t="s">
        <v>93</v>
      </c>
      <c r="B21" s="26" t="s">
        <v>36</v>
      </c>
      <c r="C21" s="20">
        <v>42574</v>
      </c>
      <c r="D21" t="s">
        <v>62</v>
      </c>
      <c r="E21" s="3">
        <v>1000</v>
      </c>
      <c r="F21" s="3">
        <v>89</v>
      </c>
      <c r="G21" s="3">
        <v>84550</v>
      </c>
      <c r="H21" s="3" t="s">
        <v>2971</v>
      </c>
    </row>
    <row r="22" spans="1:8" x14ac:dyDescent="0.35">
      <c r="A22" t="s">
        <v>97</v>
      </c>
      <c r="B22" s="26" t="s">
        <v>14</v>
      </c>
      <c r="C22" s="20">
        <v>43006</v>
      </c>
      <c r="D22" t="s">
        <v>56</v>
      </c>
      <c r="E22" s="3">
        <v>800</v>
      </c>
      <c r="F22" s="3">
        <v>34</v>
      </c>
      <c r="G22" s="3">
        <v>25024</v>
      </c>
      <c r="H22" s="3" t="s">
        <v>2973</v>
      </c>
    </row>
    <row r="23" spans="1:8" x14ac:dyDescent="0.35">
      <c r="A23" t="s">
        <v>101</v>
      </c>
      <c r="B23" s="26" t="s">
        <v>14</v>
      </c>
      <c r="C23" s="20">
        <v>42111</v>
      </c>
      <c r="D23" t="s">
        <v>42</v>
      </c>
      <c r="E23" s="3">
        <v>30</v>
      </c>
      <c r="F23" s="3">
        <v>50</v>
      </c>
      <c r="G23" s="3">
        <v>1100</v>
      </c>
      <c r="H23" s="3" t="s">
        <v>2969</v>
      </c>
    </row>
    <row r="24" spans="1:8" x14ac:dyDescent="0.35">
      <c r="A24" t="s">
        <v>72</v>
      </c>
      <c r="B24" s="26" t="s">
        <v>36</v>
      </c>
      <c r="C24" s="20">
        <v>43417</v>
      </c>
      <c r="D24" t="s">
        <v>105</v>
      </c>
      <c r="E24" s="3">
        <v>70</v>
      </c>
      <c r="F24" s="3">
        <v>31</v>
      </c>
      <c r="G24" s="3">
        <v>2077</v>
      </c>
      <c r="H24" s="3" t="s">
        <v>2975</v>
      </c>
    </row>
    <row r="25" spans="1:8" x14ac:dyDescent="0.35">
      <c r="A25" t="s">
        <v>109</v>
      </c>
      <c r="B25" s="26" t="s">
        <v>20</v>
      </c>
      <c r="C25" s="20">
        <v>43144</v>
      </c>
      <c r="D25" t="s">
        <v>42</v>
      </c>
      <c r="E25" s="3">
        <v>30</v>
      </c>
      <c r="F25" s="3">
        <v>12</v>
      </c>
      <c r="G25" s="3">
        <v>324</v>
      </c>
      <c r="H25" s="3" t="s">
        <v>2967</v>
      </c>
    </row>
    <row r="26" spans="1:8" x14ac:dyDescent="0.35">
      <c r="A26" t="s">
        <v>83</v>
      </c>
      <c r="B26" s="26" t="s">
        <v>14</v>
      </c>
      <c r="C26" s="20">
        <v>43151</v>
      </c>
      <c r="D26" t="s">
        <v>73</v>
      </c>
      <c r="E26" s="3">
        <v>500</v>
      </c>
      <c r="F26" s="3">
        <v>26</v>
      </c>
      <c r="G26" s="3">
        <v>12870</v>
      </c>
      <c r="H26" s="3" t="s">
        <v>2967</v>
      </c>
    </row>
    <row r="27" spans="1:8" x14ac:dyDescent="0.35">
      <c r="A27" t="s">
        <v>55</v>
      </c>
      <c r="B27" s="26" t="s">
        <v>14</v>
      </c>
      <c r="C27" s="20">
        <v>42451</v>
      </c>
      <c r="D27" t="s">
        <v>116</v>
      </c>
      <c r="E27" s="3">
        <v>250</v>
      </c>
      <c r="F27" s="3">
        <v>83</v>
      </c>
      <c r="G27" s="3">
        <v>19754</v>
      </c>
      <c r="H27" s="3" t="s">
        <v>2968</v>
      </c>
    </row>
    <row r="28" spans="1:8" x14ac:dyDescent="0.35">
      <c r="A28" t="s">
        <v>120</v>
      </c>
      <c r="B28" s="26" t="s">
        <v>36</v>
      </c>
      <c r="C28" s="20">
        <v>42773</v>
      </c>
      <c r="D28" t="s">
        <v>116</v>
      </c>
      <c r="E28" s="3">
        <v>250</v>
      </c>
      <c r="F28" s="3">
        <v>68</v>
      </c>
      <c r="G28" s="3">
        <v>16320</v>
      </c>
      <c r="H28" s="3" t="s">
        <v>2967</v>
      </c>
    </row>
    <row r="29" spans="1:8" x14ac:dyDescent="0.35">
      <c r="A29" t="s">
        <v>19</v>
      </c>
      <c r="B29" s="26" t="s">
        <v>20</v>
      </c>
      <c r="C29" s="20">
        <v>42392</v>
      </c>
      <c r="D29" t="s">
        <v>123</v>
      </c>
      <c r="E29" s="3">
        <v>50</v>
      </c>
      <c r="F29" s="3">
        <v>87</v>
      </c>
      <c r="G29" s="3">
        <v>3741</v>
      </c>
      <c r="H29" s="3" t="s">
        <v>2966</v>
      </c>
    </row>
    <row r="30" spans="1:8" x14ac:dyDescent="0.35">
      <c r="A30" t="s">
        <v>41</v>
      </c>
      <c r="B30" s="26" t="s">
        <v>36</v>
      </c>
      <c r="C30" s="20">
        <v>42305</v>
      </c>
      <c r="D30" t="s">
        <v>73</v>
      </c>
      <c r="E30" s="3">
        <v>500</v>
      </c>
      <c r="F30" s="3">
        <v>58</v>
      </c>
      <c r="G30" s="3">
        <v>28710</v>
      </c>
      <c r="H30" s="3" t="s">
        <v>2974</v>
      </c>
    </row>
    <row r="31" spans="1:8" x14ac:dyDescent="0.35">
      <c r="A31" t="s">
        <v>129</v>
      </c>
      <c r="B31" s="26" t="s">
        <v>14</v>
      </c>
      <c r="C31" s="20">
        <v>43083</v>
      </c>
      <c r="D31" t="s">
        <v>105</v>
      </c>
      <c r="E31" s="3">
        <v>70</v>
      </c>
      <c r="F31" s="3">
        <v>92</v>
      </c>
      <c r="G31" s="3">
        <v>5888</v>
      </c>
      <c r="H31" s="3" t="s">
        <v>2976</v>
      </c>
    </row>
    <row r="32" spans="1:8" x14ac:dyDescent="0.35">
      <c r="A32" t="s">
        <v>109</v>
      </c>
      <c r="B32" s="26" t="s">
        <v>20</v>
      </c>
      <c r="C32" s="20">
        <v>41830</v>
      </c>
      <c r="D32" t="s">
        <v>31</v>
      </c>
      <c r="E32" s="3">
        <v>150</v>
      </c>
      <c r="F32" s="3">
        <v>81</v>
      </c>
      <c r="G32" s="3">
        <v>11178</v>
      </c>
      <c r="H32" s="3" t="s">
        <v>2971</v>
      </c>
    </row>
    <row r="33" spans="1:8" x14ac:dyDescent="0.35">
      <c r="A33" t="s">
        <v>93</v>
      </c>
      <c r="B33" s="26" t="s">
        <v>36</v>
      </c>
      <c r="C33" s="20">
        <v>41931</v>
      </c>
      <c r="D33" t="s">
        <v>31</v>
      </c>
      <c r="E33" s="3">
        <v>150</v>
      </c>
      <c r="F33" s="3">
        <v>18</v>
      </c>
      <c r="G33" s="3">
        <v>2106</v>
      </c>
      <c r="H33" s="3" t="s">
        <v>2974</v>
      </c>
    </row>
    <row r="34" spans="1:8" x14ac:dyDescent="0.35">
      <c r="A34" t="s">
        <v>13</v>
      </c>
      <c r="B34" s="26" t="s">
        <v>14</v>
      </c>
      <c r="C34" s="20">
        <v>41931</v>
      </c>
      <c r="D34" t="s">
        <v>62</v>
      </c>
      <c r="E34" s="3">
        <v>1000</v>
      </c>
      <c r="F34" s="3">
        <v>68</v>
      </c>
      <c r="G34" s="3">
        <v>61880</v>
      </c>
      <c r="H34" s="3" t="s">
        <v>2974</v>
      </c>
    </row>
    <row r="35" spans="1:8" x14ac:dyDescent="0.35">
      <c r="A35" t="s">
        <v>101</v>
      </c>
      <c r="B35" s="26" t="s">
        <v>14</v>
      </c>
      <c r="C35" s="20">
        <v>43447</v>
      </c>
      <c r="D35" t="s">
        <v>56</v>
      </c>
      <c r="E35" s="3">
        <v>800</v>
      </c>
      <c r="F35" s="3">
        <v>21</v>
      </c>
      <c r="G35" s="3">
        <v>12264</v>
      </c>
      <c r="H35" s="3" t="s">
        <v>2976</v>
      </c>
    </row>
    <row r="36" spans="1:8" x14ac:dyDescent="0.35">
      <c r="A36" t="s">
        <v>66</v>
      </c>
      <c r="B36" s="26" t="s">
        <v>36</v>
      </c>
      <c r="C36" s="20">
        <v>42290</v>
      </c>
      <c r="D36" t="s">
        <v>15</v>
      </c>
      <c r="E36" s="3">
        <v>80</v>
      </c>
      <c r="F36" s="3">
        <v>72</v>
      </c>
      <c r="G36" s="3">
        <v>5544</v>
      </c>
      <c r="H36" s="3" t="s">
        <v>2974</v>
      </c>
    </row>
    <row r="37" spans="1:8" x14ac:dyDescent="0.35">
      <c r="A37" t="s">
        <v>72</v>
      </c>
      <c r="B37" s="26" t="s">
        <v>36</v>
      </c>
      <c r="C37" s="20">
        <v>43427</v>
      </c>
      <c r="D37" t="s">
        <v>73</v>
      </c>
      <c r="E37" s="3">
        <v>500</v>
      </c>
      <c r="F37" s="3">
        <v>90</v>
      </c>
      <c r="G37" s="3">
        <v>45000</v>
      </c>
      <c r="H37" s="3" t="s">
        <v>2975</v>
      </c>
    </row>
    <row r="38" spans="1:8" x14ac:dyDescent="0.35">
      <c r="A38" t="s">
        <v>24</v>
      </c>
      <c r="B38" s="26" t="s">
        <v>25</v>
      </c>
      <c r="C38" s="20">
        <v>42582</v>
      </c>
      <c r="D38" t="s">
        <v>31</v>
      </c>
      <c r="E38" s="3">
        <v>150</v>
      </c>
      <c r="F38" s="3">
        <v>26</v>
      </c>
      <c r="G38" s="3">
        <v>3796</v>
      </c>
      <c r="H38" s="3" t="s">
        <v>2971</v>
      </c>
    </row>
    <row r="39" spans="1:8" x14ac:dyDescent="0.35">
      <c r="A39" t="s">
        <v>148</v>
      </c>
      <c r="B39" s="26" t="s">
        <v>14</v>
      </c>
      <c r="C39" s="20">
        <v>42338</v>
      </c>
      <c r="D39" t="s">
        <v>47</v>
      </c>
      <c r="E39" s="3">
        <v>500</v>
      </c>
      <c r="F39" s="3">
        <v>54</v>
      </c>
      <c r="G39" s="3">
        <v>24840</v>
      </c>
      <c r="H39" s="3" t="s">
        <v>2975</v>
      </c>
    </row>
    <row r="40" spans="1:8" x14ac:dyDescent="0.35">
      <c r="A40" t="s">
        <v>152</v>
      </c>
      <c r="B40" s="26" t="s">
        <v>14</v>
      </c>
      <c r="C40" s="20">
        <v>43327</v>
      </c>
      <c r="D40" t="s">
        <v>123</v>
      </c>
      <c r="E40" s="3">
        <v>50</v>
      </c>
      <c r="F40" s="3">
        <v>74</v>
      </c>
      <c r="G40" s="3">
        <v>3182</v>
      </c>
      <c r="H40" s="3" t="s">
        <v>2972</v>
      </c>
    </row>
    <row r="41" spans="1:8" x14ac:dyDescent="0.35">
      <c r="A41" t="s">
        <v>109</v>
      </c>
      <c r="B41" s="26" t="s">
        <v>20</v>
      </c>
      <c r="C41" s="20">
        <v>42993</v>
      </c>
      <c r="D41" t="s">
        <v>15</v>
      </c>
      <c r="E41" s="3">
        <v>80</v>
      </c>
      <c r="F41" s="3">
        <v>63</v>
      </c>
      <c r="G41" s="3">
        <v>4536</v>
      </c>
      <c r="H41" s="3" t="s">
        <v>2973</v>
      </c>
    </row>
    <row r="42" spans="1:8" x14ac:dyDescent="0.35">
      <c r="A42" t="s">
        <v>109</v>
      </c>
      <c r="B42" s="26" t="s">
        <v>20</v>
      </c>
      <c r="C42" s="20">
        <v>42936</v>
      </c>
      <c r="D42" t="s">
        <v>15</v>
      </c>
      <c r="E42" s="3">
        <v>80</v>
      </c>
      <c r="F42" s="3">
        <v>85</v>
      </c>
      <c r="G42" s="3">
        <v>6375</v>
      </c>
      <c r="H42" s="3" t="s">
        <v>2971</v>
      </c>
    </row>
    <row r="43" spans="1:8" x14ac:dyDescent="0.35">
      <c r="A43" t="s">
        <v>35</v>
      </c>
      <c r="B43" s="26" t="s">
        <v>36</v>
      </c>
      <c r="C43" s="20">
        <v>42673</v>
      </c>
      <c r="D43" t="s">
        <v>42</v>
      </c>
      <c r="E43" s="3">
        <v>30</v>
      </c>
      <c r="F43" s="3">
        <v>54</v>
      </c>
      <c r="G43" s="3">
        <v>1404</v>
      </c>
      <c r="H43" s="3" t="s">
        <v>2974</v>
      </c>
    </row>
    <row r="44" spans="1:8" x14ac:dyDescent="0.35">
      <c r="A44" t="s">
        <v>79</v>
      </c>
      <c r="B44" s="26" t="s">
        <v>36</v>
      </c>
      <c r="C44" s="20">
        <v>43184</v>
      </c>
      <c r="D44" t="s">
        <v>42</v>
      </c>
      <c r="E44" s="3">
        <v>30</v>
      </c>
      <c r="F44" s="3">
        <v>75</v>
      </c>
      <c r="G44" s="3">
        <v>1950</v>
      </c>
      <c r="H44" s="3" t="s">
        <v>2968</v>
      </c>
    </row>
    <row r="45" spans="1:8" x14ac:dyDescent="0.35">
      <c r="A45" t="s">
        <v>41</v>
      </c>
      <c r="B45" s="26" t="s">
        <v>36</v>
      </c>
      <c r="C45" s="20">
        <v>42943</v>
      </c>
      <c r="D45" t="s">
        <v>56</v>
      </c>
      <c r="E45" s="3">
        <v>800</v>
      </c>
      <c r="F45" s="3">
        <v>85</v>
      </c>
      <c r="G45" s="3">
        <v>54400</v>
      </c>
      <c r="H45" s="3" t="s">
        <v>2971</v>
      </c>
    </row>
    <row r="46" spans="1:8" x14ac:dyDescent="0.35">
      <c r="A46" t="s">
        <v>87</v>
      </c>
      <c r="B46" s="26" t="s">
        <v>14</v>
      </c>
      <c r="C46" s="20">
        <v>42690</v>
      </c>
      <c r="D46" t="s">
        <v>56</v>
      </c>
      <c r="E46" s="3">
        <v>800</v>
      </c>
      <c r="F46" s="3">
        <v>83</v>
      </c>
      <c r="G46" s="3">
        <v>43160</v>
      </c>
      <c r="H46" s="3" t="s">
        <v>2975</v>
      </c>
    </row>
    <row r="47" spans="1:8" x14ac:dyDescent="0.35">
      <c r="A47" t="s">
        <v>55</v>
      </c>
      <c r="B47" s="26" t="s">
        <v>14</v>
      </c>
      <c r="C47" s="20">
        <v>43120</v>
      </c>
      <c r="D47" t="s">
        <v>116</v>
      </c>
      <c r="E47" s="3">
        <v>250</v>
      </c>
      <c r="F47" s="3">
        <v>86</v>
      </c>
      <c r="G47" s="3">
        <v>18920</v>
      </c>
      <c r="H47" s="3" t="s">
        <v>2966</v>
      </c>
    </row>
    <row r="48" spans="1:8" x14ac:dyDescent="0.35">
      <c r="A48" t="s">
        <v>172</v>
      </c>
      <c r="B48" s="26" t="s">
        <v>14</v>
      </c>
      <c r="C48" s="20">
        <v>42065</v>
      </c>
      <c r="D48" t="s">
        <v>26</v>
      </c>
      <c r="E48" s="3">
        <v>700</v>
      </c>
      <c r="F48" s="3">
        <v>73</v>
      </c>
      <c r="G48" s="3">
        <v>31682</v>
      </c>
      <c r="H48" s="3" t="s">
        <v>2968</v>
      </c>
    </row>
    <row r="49" spans="1:8" x14ac:dyDescent="0.35">
      <c r="A49" t="s">
        <v>176</v>
      </c>
      <c r="B49" s="26" t="s">
        <v>14</v>
      </c>
      <c r="C49" s="20">
        <v>42046</v>
      </c>
      <c r="D49" t="s">
        <v>15</v>
      </c>
      <c r="E49" s="3">
        <v>80</v>
      </c>
      <c r="F49" s="3">
        <v>26</v>
      </c>
      <c r="G49" s="3">
        <v>1300</v>
      </c>
      <c r="H49" s="3" t="s">
        <v>2967</v>
      </c>
    </row>
    <row r="50" spans="1:8" x14ac:dyDescent="0.35">
      <c r="A50" t="s">
        <v>19</v>
      </c>
      <c r="B50" s="26" t="s">
        <v>20</v>
      </c>
      <c r="C50" s="20">
        <v>42984</v>
      </c>
      <c r="D50" t="s">
        <v>116</v>
      </c>
      <c r="E50" s="3">
        <v>250</v>
      </c>
      <c r="F50" s="3">
        <v>23</v>
      </c>
      <c r="G50" s="3">
        <v>5474</v>
      </c>
      <c r="H50" s="3" t="s">
        <v>2973</v>
      </c>
    </row>
    <row r="51" spans="1:8" x14ac:dyDescent="0.35">
      <c r="A51" t="s">
        <v>97</v>
      </c>
      <c r="B51" s="26" t="s">
        <v>14</v>
      </c>
      <c r="C51" s="20">
        <v>43032</v>
      </c>
      <c r="D51" t="s">
        <v>31</v>
      </c>
      <c r="E51" s="3">
        <v>150</v>
      </c>
      <c r="F51" s="3">
        <v>14</v>
      </c>
      <c r="G51" s="3">
        <v>1960</v>
      </c>
      <c r="H51" s="3" t="s">
        <v>2974</v>
      </c>
    </row>
    <row r="52" spans="1:8" x14ac:dyDescent="0.35">
      <c r="A52" t="s">
        <v>109</v>
      </c>
      <c r="B52" s="26" t="s">
        <v>20</v>
      </c>
      <c r="C52" s="20">
        <v>42329</v>
      </c>
      <c r="D52" t="s">
        <v>62</v>
      </c>
      <c r="E52" s="3">
        <v>1000</v>
      </c>
      <c r="F52" s="3">
        <v>66</v>
      </c>
      <c r="G52" s="3">
        <v>48840</v>
      </c>
      <c r="H52" s="3" t="s">
        <v>2975</v>
      </c>
    </row>
    <row r="53" spans="1:8" x14ac:dyDescent="0.35">
      <c r="A53" t="s">
        <v>152</v>
      </c>
      <c r="B53" s="26" t="s">
        <v>14</v>
      </c>
      <c r="C53" s="20">
        <v>41799</v>
      </c>
      <c r="D53" t="s">
        <v>42</v>
      </c>
      <c r="E53" s="3">
        <v>30</v>
      </c>
      <c r="F53" s="3">
        <v>60</v>
      </c>
      <c r="G53" s="3">
        <v>1500</v>
      </c>
      <c r="H53" s="3" t="s">
        <v>2970</v>
      </c>
    </row>
    <row r="54" spans="1:8" x14ac:dyDescent="0.35">
      <c r="A54" t="s">
        <v>189</v>
      </c>
      <c r="B54" s="26" t="s">
        <v>14</v>
      </c>
      <c r="C54" s="20">
        <v>43031</v>
      </c>
      <c r="D54" t="s">
        <v>26</v>
      </c>
      <c r="E54" s="3">
        <v>700</v>
      </c>
      <c r="F54" s="3">
        <v>89</v>
      </c>
      <c r="G54" s="3">
        <v>59185</v>
      </c>
      <c r="H54" s="3" t="s">
        <v>2974</v>
      </c>
    </row>
    <row r="55" spans="1:8" x14ac:dyDescent="0.35">
      <c r="A55" t="s">
        <v>72</v>
      </c>
      <c r="B55" s="26" t="s">
        <v>36</v>
      </c>
      <c r="C55" s="20">
        <v>41835</v>
      </c>
      <c r="D55" t="s">
        <v>47</v>
      </c>
      <c r="E55" s="3">
        <v>500</v>
      </c>
      <c r="F55" s="3">
        <v>11</v>
      </c>
      <c r="G55" s="3">
        <v>4675</v>
      </c>
      <c r="H55" s="3" t="s">
        <v>2971</v>
      </c>
    </row>
    <row r="56" spans="1:8" x14ac:dyDescent="0.35">
      <c r="A56" t="s">
        <v>13</v>
      </c>
      <c r="B56" s="26" t="s">
        <v>14</v>
      </c>
      <c r="C56" s="20">
        <v>41898</v>
      </c>
      <c r="D56" t="s">
        <v>15</v>
      </c>
      <c r="E56" s="3">
        <v>80</v>
      </c>
      <c r="F56" s="3">
        <v>6</v>
      </c>
      <c r="G56" s="3">
        <v>468</v>
      </c>
      <c r="H56" s="3" t="s">
        <v>2973</v>
      </c>
    </row>
    <row r="57" spans="1:8" x14ac:dyDescent="0.35">
      <c r="A57" t="s">
        <v>83</v>
      </c>
      <c r="B57" s="26" t="s">
        <v>14</v>
      </c>
      <c r="C57" s="20">
        <v>42134</v>
      </c>
      <c r="D57" t="s">
        <v>123</v>
      </c>
      <c r="E57" s="3">
        <v>50</v>
      </c>
      <c r="F57" s="3">
        <v>75</v>
      </c>
      <c r="G57" s="3">
        <v>2925</v>
      </c>
      <c r="H57" s="3" t="s">
        <v>2965</v>
      </c>
    </row>
    <row r="58" spans="1:8" x14ac:dyDescent="0.35">
      <c r="A58" t="s">
        <v>35</v>
      </c>
      <c r="B58" s="26" t="s">
        <v>36</v>
      </c>
      <c r="C58" s="20">
        <v>42571</v>
      </c>
      <c r="D58" t="s">
        <v>42</v>
      </c>
      <c r="E58" s="3">
        <v>30</v>
      </c>
      <c r="F58" s="3">
        <v>50</v>
      </c>
      <c r="G58" s="3">
        <v>1350</v>
      </c>
      <c r="H58" s="3" t="s">
        <v>2971</v>
      </c>
    </row>
    <row r="59" spans="1:8" x14ac:dyDescent="0.35">
      <c r="A59" t="s">
        <v>93</v>
      </c>
      <c r="B59" s="26" t="s">
        <v>36</v>
      </c>
      <c r="C59" s="20">
        <v>43185</v>
      </c>
      <c r="D59" t="s">
        <v>105</v>
      </c>
      <c r="E59" s="3">
        <v>70</v>
      </c>
      <c r="F59" s="3">
        <v>39</v>
      </c>
      <c r="G59" s="3">
        <v>2496</v>
      </c>
      <c r="H59" s="3" t="s">
        <v>2968</v>
      </c>
    </row>
    <row r="60" spans="1:8" x14ac:dyDescent="0.35">
      <c r="A60" t="s">
        <v>46</v>
      </c>
      <c r="B60" s="26" t="s">
        <v>25</v>
      </c>
      <c r="C60" s="20">
        <v>41813</v>
      </c>
      <c r="D60" t="s">
        <v>37</v>
      </c>
      <c r="E60" s="3">
        <v>50</v>
      </c>
      <c r="F60" s="3">
        <v>26</v>
      </c>
      <c r="G60" s="3">
        <v>936</v>
      </c>
      <c r="H60" s="3" t="s">
        <v>2970</v>
      </c>
    </row>
    <row r="61" spans="1:8" x14ac:dyDescent="0.35">
      <c r="A61" t="s">
        <v>109</v>
      </c>
      <c r="B61" s="26" t="s">
        <v>20</v>
      </c>
      <c r="C61" s="20">
        <v>43342</v>
      </c>
      <c r="D61" t="s">
        <v>123</v>
      </c>
      <c r="E61" s="3">
        <v>50</v>
      </c>
      <c r="F61" s="3">
        <v>27</v>
      </c>
      <c r="G61" s="3">
        <v>1161</v>
      </c>
      <c r="H61" s="3" t="s">
        <v>2972</v>
      </c>
    </row>
    <row r="62" spans="1:8" x14ac:dyDescent="0.35">
      <c r="A62" t="s">
        <v>207</v>
      </c>
      <c r="B62" s="26" t="s">
        <v>25</v>
      </c>
      <c r="C62" s="20">
        <v>43191</v>
      </c>
      <c r="D62" t="s">
        <v>26</v>
      </c>
      <c r="E62" s="3">
        <v>700</v>
      </c>
      <c r="F62" s="3">
        <v>75</v>
      </c>
      <c r="G62" s="3">
        <v>51975</v>
      </c>
      <c r="H62" s="3" t="s">
        <v>2969</v>
      </c>
    </row>
    <row r="63" spans="1:8" x14ac:dyDescent="0.35">
      <c r="A63" t="s">
        <v>172</v>
      </c>
      <c r="B63" s="26" t="s">
        <v>14</v>
      </c>
      <c r="C63" s="20">
        <v>41783</v>
      </c>
      <c r="D63" t="s">
        <v>62</v>
      </c>
      <c r="E63" s="3">
        <v>1000</v>
      </c>
      <c r="F63" s="3">
        <v>12</v>
      </c>
      <c r="G63" s="3">
        <v>9720</v>
      </c>
      <c r="H63" s="3" t="s">
        <v>2965</v>
      </c>
    </row>
    <row r="64" spans="1:8" x14ac:dyDescent="0.35">
      <c r="A64" t="s">
        <v>129</v>
      </c>
      <c r="B64" s="26" t="s">
        <v>14</v>
      </c>
      <c r="C64" s="20">
        <v>42188</v>
      </c>
      <c r="D64" t="s">
        <v>42</v>
      </c>
      <c r="E64" s="3">
        <v>30</v>
      </c>
      <c r="F64" s="3">
        <v>28</v>
      </c>
      <c r="G64" s="3">
        <v>672</v>
      </c>
      <c r="H64" s="3" t="s">
        <v>2971</v>
      </c>
    </row>
    <row r="65" spans="1:8" x14ac:dyDescent="0.35">
      <c r="A65" t="s">
        <v>109</v>
      </c>
      <c r="B65" s="26" t="s">
        <v>20</v>
      </c>
      <c r="C65" s="20">
        <v>42783</v>
      </c>
      <c r="D65" t="s">
        <v>56</v>
      </c>
      <c r="E65" s="3">
        <v>800</v>
      </c>
      <c r="F65" s="3">
        <v>100</v>
      </c>
      <c r="G65" s="3">
        <v>64800</v>
      </c>
      <c r="H65" s="3" t="s">
        <v>2967</v>
      </c>
    </row>
    <row r="66" spans="1:8" x14ac:dyDescent="0.35">
      <c r="A66" t="s">
        <v>41</v>
      </c>
      <c r="B66" s="26" t="s">
        <v>36</v>
      </c>
      <c r="C66" s="20">
        <v>41714</v>
      </c>
      <c r="D66" t="s">
        <v>62</v>
      </c>
      <c r="E66" s="3">
        <v>1000</v>
      </c>
      <c r="F66" s="3">
        <v>29</v>
      </c>
      <c r="G66" s="3">
        <v>28710</v>
      </c>
      <c r="H66" s="3" t="s">
        <v>2968</v>
      </c>
    </row>
    <row r="67" spans="1:8" x14ac:dyDescent="0.35">
      <c r="A67" t="s">
        <v>97</v>
      </c>
      <c r="B67" s="26" t="s">
        <v>14</v>
      </c>
      <c r="C67" s="20">
        <v>42848</v>
      </c>
      <c r="D67" t="s">
        <v>56</v>
      </c>
      <c r="E67" s="3">
        <v>800</v>
      </c>
      <c r="F67" s="3">
        <v>23</v>
      </c>
      <c r="G67" s="3">
        <v>16560</v>
      </c>
      <c r="H67" s="3" t="s">
        <v>2969</v>
      </c>
    </row>
    <row r="68" spans="1:8" x14ac:dyDescent="0.35">
      <c r="A68" t="s">
        <v>41</v>
      </c>
      <c r="B68" s="26" t="s">
        <v>36</v>
      </c>
      <c r="C68" s="20">
        <v>41977</v>
      </c>
      <c r="D68" t="s">
        <v>37</v>
      </c>
      <c r="E68" s="3">
        <v>50</v>
      </c>
      <c r="F68" s="3">
        <v>53</v>
      </c>
      <c r="G68" s="3">
        <v>2067</v>
      </c>
      <c r="H68" s="3" t="s">
        <v>2976</v>
      </c>
    </row>
    <row r="69" spans="1:8" x14ac:dyDescent="0.35">
      <c r="A69" t="s">
        <v>176</v>
      </c>
      <c r="B69" s="26" t="s">
        <v>14</v>
      </c>
      <c r="C69" s="20">
        <v>42714</v>
      </c>
      <c r="D69" t="s">
        <v>31</v>
      </c>
      <c r="E69" s="3">
        <v>150</v>
      </c>
      <c r="F69" s="3">
        <v>97</v>
      </c>
      <c r="G69" s="3">
        <v>13968</v>
      </c>
      <c r="H69" s="3" t="s">
        <v>2976</v>
      </c>
    </row>
    <row r="70" spans="1:8" x14ac:dyDescent="0.35">
      <c r="A70" t="s">
        <v>41</v>
      </c>
      <c r="B70" s="26" t="s">
        <v>36</v>
      </c>
      <c r="C70" s="20">
        <v>42628</v>
      </c>
      <c r="D70" t="s">
        <v>26</v>
      </c>
      <c r="E70" s="3">
        <v>700</v>
      </c>
      <c r="F70" s="3">
        <v>66</v>
      </c>
      <c r="G70" s="3">
        <v>45738</v>
      </c>
      <c r="H70" s="3" t="s">
        <v>2973</v>
      </c>
    </row>
    <row r="71" spans="1:8" x14ac:dyDescent="0.35">
      <c r="A71" t="s">
        <v>51</v>
      </c>
      <c r="B71" s="26" t="s">
        <v>25</v>
      </c>
      <c r="C71" s="20">
        <v>43307</v>
      </c>
      <c r="D71" t="s">
        <v>37</v>
      </c>
      <c r="E71" s="3">
        <v>50</v>
      </c>
      <c r="F71" s="3">
        <v>77</v>
      </c>
      <c r="G71" s="3">
        <v>3465</v>
      </c>
      <c r="H71" s="3" t="s">
        <v>2971</v>
      </c>
    </row>
    <row r="72" spans="1:8" x14ac:dyDescent="0.35">
      <c r="A72" t="s">
        <v>229</v>
      </c>
      <c r="B72" s="26" t="s">
        <v>25</v>
      </c>
      <c r="C72" s="20">
        <v>43374</v>
      </c>
      <c r="D72" t="s">
        <v>62</v>
      </c>
      <c r="E72" s="3">
        <v>1000</v>
      </c>
      <c r="F72" s="3">
        <v>89</v>
      </c>
      <c r="G72" s="3">
        <v>50730</v>
      </c>
      <c r="H72" s="3" t="s">
        <v>2974</v>
      </c>
    </row>
    <row r="73" spans="1:8" x14ac:dyDescent="0.35">
      <c r="A73" t="s">
        <v>41</v>
      </c>
      <c r="B73" s="26" t="s">
        <v>36</v>
      </c>
      <c r="C73" s="20">
        <v>41689</v>
      </c>
      <c r="D73" t="s">
        <v>123</v>
      </c>
      <c r="E73" s="3">
        <v>50</v>
      </c>
      <c r="F73" s="3">
        <v>57</v>
      </c>
      <c r="G73" s="3">
        <v>2280</v>
      </c>
      <c r="H73" s="3" t="s">
        <v>2967</v>
      </c>
    </row>
    <row r="74" spans="1:8" x14ac:dyDescent="0.35">
      <c r="A74" t="s">
        <v>129</v>
      </c>
      <c r="B74" s="26" t="s">
        <v>14</v>
      </c>
      <c r="C74" s="20">
        <v>43056</v>
      </c>
      <c r="D74" t="s">
        <v>56</v>
      </c>
      <c r="E74" s="3">
        <v>800</v>
      </c>
      <c r="F74" s="3">
        <v>64</v>
      </c>
      <c r="G74" s="3">
        <v>38912</v>
      </c>
      <c r="H74" s="3" t="s">
        <v>2975</v>
      </c>
    </row>
    <row r="75" spans="1:8" x14ac:dyDescent="0.35">
      <c r="A75" t="s">
        <v>55</v>
      </c>
      <c r="B75" s="26" t="s">
        <v>14</v>
      </c>
      <c r="C75" s="20">
        <v>42568</v>
      </c>
      <c r="D75" t="s">
        <v>15</v>
      </c>
      <c r="E75" s="3">
        <v>80</v>
      </c>
      <c r="F75" s="3">
        <v>35</v>
      </c>
      <c r="G75" s="3">
        <v>2660</v>
      </c>
      <c r="H75" s="3" t="s">
        <v>2971</v>
      </c>
    </row>
    <row r="76" spans="1:8" x14ac:dyDescent="0.35">
      <c r="A76" t="s">
        <v>189</v>
      </c>
      <c r="B76" s="26" t="s">
        <v>14</v>
      </c>
      <c r="C76" s="20">
        <v>42854</v>
      </c>
      <c r="D76" t="s">
        <v>26</v>
      </c>
      <c r="E76" s="3">
        <v>700</v>
      </c>
      <c r="F76" s="3">
        <v>43</v>
      </c>
      <c r="G76" s="3">
        <v>29197</v>
      </c>
      <c r="H76" s="3" t="s">
        <v>2969</v>
      </c>
    </row>
    <row r="77" spans="1:8" x14ac:dyDescent="0.35">
      <c r="A77" t="s">
        <v>109</v>
      </c>
      <c r="B77" s="26" t="s">
        <v>20</v>
      </c>
      <c r="C77" s="20">
        <v>41866</v>
      </c>
      <c r="D77" t="s">
        <v>15</v>
      </c>
      <c r="E77" s="3">
        <v>80</v>
      </c>
      <c r="F77" s="3">
        <v>51</v>
      </c>
      <c r="G77" s="3">
        <v>2958</v>
      </c>
      <c r="H77" s="3" t="s">
        <v>2972</v>
      </c>
    </row>
    <row r="78" spans="1:8" x14ac:dyDescent="0.35">
      <c r="A78" t="s">
        <v>243</v>
      </c>
      <c r="B78" s="26" t="s">
        <v>14</v>
      </c>
      <c r="C78" s="20">
        <v>43173</v>
      </c>
      <c r="D78" t="s">
        <v>42</v>
      </c>
      <c r="E78" s="3">
        <v>30</v>
      </c>
      <c r="F78" s="3">
        <v>27</v>
      </c>
      <c r="G78" s="3">
        <v>702</v>
      </c>
      <c r="H78" s="3" t="s">
        <v>2968</v>
      </c>
    </row>
    <row r="79" spans="1:8" x14ac:dyDescent="0.35">
      <c r="A79" t="s">
        <v>41</v>
      </c>
      <c r="B79" s="26" t="s">
        <v>36</v>
      </c>
      <c r="C79" s="20">
        <v>43014</v>
      </c>
      <c r="D79" t="s">
        <v>31</v>
      </c>
      <c r="E79" s="3">
        <v>150</v>
      </c>
      <c r="F79" s="3">
        <v>43</v>
      </c>
      <c r="G79" s="3">
        <v>6020</v>
      </c>
      <c r="H79" s="3" t="s">
        <v>2974</v>
      </c>
    </row>
    <row r="80" spans="1:8" x14ac:dyDescent="0.35">
      <c r="A80" t="s">
        <v>72</v>
      </c>
      <c r="B80" s="26" t="s">
        <v>36</v>
      </c>
      <c r="C80" s="20">
        <v>42613</v>
      </c>
      <c r="D80" t="s">
        <v>73</v>
      </c>
      <c r="E80" s="3">
        <v>500</v>
      </c>
      <c r="F80" s="3">
        <v>42</v>
      </c>
      <c r="G80" s="3">
        <v>20580</v>
      </c>
      <c r="H80" s="3" t="s">
        <v>2972</v>
      </c>
    </row>
    <row r="81" spans="1:8" x14ac:dyDescent="0.35">
      <c r="A81" t="s">
        <v>30</v>
      </c>
      <c r="B81" s="26" t="s">
        <v>14</v>
      </c>
      <c r="C81" s="20">
        <v>42239</v>
      </c>
      <c r="D81" t="s">
        <v>116</v>
      </c>
      <c r="E81" s="3">
        <v>250</v>
      </c>
      <c r="F81" s="3">
        <v>35</v>
      </c>
      <c r="G81" s="3">
        <v>5425</v>
      </c>
      <c r="H81" s="3" t="s">
        <v>2972</v>
      </c>
    </row>
    <row r="82" spans="1:8" x14ac:dyDescent="0.35">
      <c r="A82" t="s">
        <v>207</v>
      </c>
      <c r="B82" s="26" t="s">
        <v>25</v>
      </c>
      <c r="C82" s="20">
        <v>42240</v>
      </c>
      <c r="D82" t="s">
        <v>105</v>
      </c>
      <c r="E82" s="3">
        <v>70</v>
      </c>
      <c r="F82" s="3">
        <v>55</v>
      </c>
      <c r="G82" s="3">
        <v>2640</v>
      </c>
      <c r="H82" s="3" t="s">
        <v>2972</v>
      </c>
    </row>
    <row r="83" spans="1:8" x14ac:dyDescent="0.35">
      <c r="A83" t="s">
        <v>46</v>
      </c>
      <c r="B83" s="26" t="s">
        <v>25</v>
      </c>
      <c r="C83" s="20">
        <v>43201</v>
      </c>
      <c r="D83" t="s">
        <v>105</v>
      </c>
      <c r="E83" s="3">
        <v>70</v>
      </c>
      <c r="F83" s="3">
        <v>84</v>
      </c>
      <c r="G83" s="3">
        <v>5796</v>
      </c>
      <c r="H83" s="3" t="s">
        <v>2969</v>
      </c>
    </row>
    <row r="84" spans="1:8" x14ac:dyDescent="0.35">
      <c r="A84" t="s">
        <v>257</v>
      </c>
      <c r="B84" s="26" t="s">
        <v>14</v>
      </c>
      <c r="C84" s="20">
        <v>43085</v>
      </c>
      <c r="D84" t="s">
        <v>37</v>
      </c>
      <c r="E84" s="3">
        <v>50</v>
      </c>
      <c r="F84" s="3">
        <v>98</v>
      </c>
      <c r="G84" s="3">
        <v>4606</v>
      </c>
      <c r="H84" s="3" t="s">
        <v>2976</v>
      </c>
    </row>
    <row r="85" spans="1:8" x14ac:dyDescent="0.35">
      <c r="A85" t="s">
        <v>24</v>
      </c>
      <c r="B85" s="26" t="s">
        <v>25</v>
      </c>
      <c r="C85" s="20">
        <v>41968</v>
      </c>
      <c r="D85" t="s">
        <v>116</v>
      </c>
      <c r="E85" s="3">
        <v>250</v>
      </c>
      <c r="F85" s="3">
        <v>30</v>
      </c>
      <c r="G85" s="3">
        <v>5850</v>
      </c>
      <c r="H85" s="3" t="s">
        <v>2975</v>
      </c>
    </row>
    <row r="86" spans="1:8" x14ac:dyDescent="0.35">
      <c r="A86" t="s">
        <v>41</v>
      </c>
      <c r="B86" s="26" t="s">
        <v>36</v>
      </c>
      <c r="C86" s="20">
        <v>43441</v>
      </c>
      <c r="D86" t="s">
        <v>56</v>
      </c>
      <c r="E86" s="3">
        <v>800</v>
      </c>
      <c r="F86" s="3">
        <v>20</v>
      </c>
      <c r="G86" s="3">
        <v>10240</v>
      </c>
      <c r="H86" s="3" t="s">
        <v>2976</v>
      </c>
    </row>
    <row r="87" spans="1:8" x14ac:dyDescent="0.35">
      <c r="A87" t="s">
        <v>41</v>
      </c>
      <c r="B87" s="26" t="s">
        <v>36</v>
      </c>
      <c r="C87" s="20">
        <v>43175</v>
      </c>
      <c r="D87" t="s">
        <v>15</v>
      </c>
      <c r="E87" s="3">
        <v>80</v>
      </c>
      <c r="F87" s="3">
        <v>52</v>
      </c>
      <c r="G87" s="3">
        <v>4108</v>
      </c>
      <c r="H87" s="3" t="s">
        <v>2968</v>
      </c>
    </row>
    <row r="88" spans="1:8" x14ac:dyDescent="0.35">
      <c r="A88" t="s">
        <v>266</v>
      </c>
      <c r="B88" s="26" t="s">
        <v>14</v>
      </c>
      <c r="C88" s="20">
        <v>42169</v>
      </c>
      <c r="D88" t="s">
        <v>105</v>
      </c>
      <c r="E88" s="3">
        <v>70</v>
      </c>
      <c r="F88" s="3">
        <v>62</v>
      </c>
      <c r="G88" s="3">
        <v>3100</v>
      </c>
      <c r="H88" s="3" t="s">
        <v>2970</v>
      </c>
    </row>
    <row r="89" spans="1:8" x14ac:dyDescent="0.35">
      <c r="A89" t="s">
        <v>109</v>
      </c>
      <c r="B89" s="26" t="s">
        <v>20</v>
      </c>
      <c r="C89" s="20">
        <v>41835</v>
      </c>
      <c r="D89" t="s">
        <v>31</v>
      </c>
      <c r="E89" s="3">
        <v>150</v>
      </c>
      <c r="F89" s="3">
        <v>97</v>
      </c>
      <c r="G89" s="3">
        <v>14550</v>
      </c>
      <c r="H89" s="3" t="s">
        <v>2971</v>
      </c>
    </row>
    <row r="90" spans="1:8" x14ac:dyDescent="0.35">
      <c r="A90" t="s">
        <v>272</v>
      </c>
      <c r="B90" s="26" t="s">
        <v>36</v>
      </c>
      <c r="C90" s="20">
        <v>42482</v>
      </c>
      <c r="D90" t="s">
        <v>105</v>
      </c>
      <c r="E90" s="3">
        <v>70</v>
      </c>
      <c r="F90" s="3">
        <v>85</v>
      </c>
      <c r="G90" s="3">
        <v>5440</v>
      </c>
      <c r="H90" s="3" t="s">
        <v>2969</v>
      </c>
    </row>
    <row r="91" spans="1:8" x14ac:dyDescent="0.35">
      <c r="A91" t="s">
        <v>172</v>
      </c>
      <c r="B91" s="26" t="s">
        <v>14</v>
      </c>
      <c r="C91" s="20">
        <v>42066</v>
      </c>
      <c r="D91" t="s">
        <v>37</v>
      </c>
      <c r="E91" s="3">
        <v>50</v>
      </c>
      <c r="F91" s="3">
        <v>79</v>
      </c>
      <c r="G91" s="3">
        <v>3634</v>
      </c>
      <c r="H91" s="3" t="s">
        <v>2968</v>
      </c>
    </row>
    <row r="92" spans="1:8" x14ac:dyDescent="0.35">
      <c r="A92" t="s">
        <v>13</v>
      </c>
      <c r="B92" s="26" t="s">
        <v>14</v>
      </c>
      <c r="C92" s="20">
        <v>41963</v>
      </c>
      <c r="D92" t="s">
        <v>62</v>
      </c>
      <c r="E92" s="3">
        <v>1000</v>
      </c>
      <c r="F92" s="3">
        <v>95</v>
      </c>
      <c r="G92" s="3">
        <v>83600</v>
      </c>
      <c r="H92" s="3" t="s">
        <v>2975</v>
      </c>
    </row>
    <row r="93" spans="1:8" x14ac:dyDescent="0.35">
      <c r="A93" t="s">
        <v>229</v>
      </c>
      <c r="B93" s="26" t="s">
        <v>25</v>
      </c>
      <c r="C93" s="20">
        <v>41699</v>
      </c>
      <c r="D93" t="s">
        <v>56</v>
      </c>
      <c r="E93" s="3">
        <v>800</v>
      </c>
      <c r="F93" s="3">
        <v>79</v>
      </c>
      <c r="G93" s="3">
        <v>56248</v>
      </c>
      <c r="H93" s="3" t="s">
        <v>2968</v>
      </c>
    </row>
    <row r="94" spans="1:8" x14ac:dyDescent="0.35">
      <c r="A94" t="s">
        <v>66</v>
      </c>
      <c r="B94" s="26" t="s">
        <v>36</v>
      </c>
      <c r="C94" s="20">
        <v>42931</v>
      </c>
      <c r="D94" t="s">
        <v>62</v>
      </c>
      <c r="E94" s="3">
        <v>1000</v>
      </c>
      <c r="F94" s="3">
        <v>83</v>
      </c>
      <c r="G94" s="3">
        <v>61420</v>
      </c>
      <c r="H94" s="3" t="s">
        <v>2971</v>
      </c>
    </row>
    <row r="95" spans="1:8" x14ac:dyDescent="0.35">
      <c r="A95" t="s">
        <v>83</v>
      </c>
      <c r="B95" s="26" t="s">
        <v>14</v>
      </c>
      <c r="C95" s="20">
        <v>42050</v>
      </c>
      <c r="D95" t="s">
        <v>123</v>
      </c>
      <c r="E95" s="3">
        <v>50</v>
      </c>
      <c r="F95" s="3">
        <v>73</v>
      </c>
      <c r="G95" s="3">
        <v>2555</v>
      </c>
      <c r="H95" s="3" t="s">
        <v>2967</v>
      </c>
    </row>
    <row r="96" spans="1:8" x14ac:dyDescent="0.35">
      <c r="A96" t="s">
        <v>97</v>
      </c>
      <c r="B96" s="26" t="s">
        <v>14</v>
      </c>
      <c r="C96" s="20">
        <v>43066</v>
      </c>
      <c r="D96" t="s">
        <v>56</v>
      </c>
      <c r="E96" s="3">
        <v>800</v>
      </c>
      <c r="F96" s="3">
        <v>40</v>
      </c>
      <c r="G96" s="3">
        <v>28160</v>
      </c>
      <c r="H96" s="3" t="s">
        <v>2975</v>
      </c>
    </row>
    <row r="97" spans="1:8" x14ac:dyDescent="0.35">
      <c r="A97" t="s">
        <v>93</v>
      </c>
      <c r="B97" s="26" t="s">
        <v>36</v>
      </c>
      <c r="C97" s="20">
        <v>43198</v>
      </c>
      <c r="D97" t="s">
        <v>62</v>
      </c>
      <c r="E97" s="3">
        <v>1000</v>
      </c>
      <c r="F97" s="3">
        <v>94</v>
      </c>
      <c r="G97" s="3">
        <v>87420</v>
      </c>
      <c r="H97" s="3" t="s">
        <v>2969</v>
      </c>
    </row>
    <row r="98" spans="1:8" x14ac:dyDescent="0.35">
      <c r="A98" t="s">
        <v>243</v>
      </c>
      <c r="B98" s="26" t="s">
        <v>14</v>
      </c>
      <c r="C98" s="20">
        <v>42916</v>
      </c>
      <c r="D98" t="s">
        <v>47</v>
      </c>
      <c r="E98" s="3">
        <v>500</v>
      </c>
      <c r="F98" s="3">
        <v>1</v>
      </c>
      <c r="G98" s="3">
        <v>455</v>
      </c>
      <c r="H98" s="3" t="s">
        <v>2970</v>
      </c>
    </row>
    <row r="99" spans="1:8" x14ac:dyDescent="0.35">
      <c r="A99" t="s">
        <v>109</v>
      </c>
      <c r="B99" s="26" t="s">
        <v>20</v>
      </c>
      <c r="C99" s="20">
        <v>41941</v>
      </c>
      <c r="D99" t="s">
        <v>26</v>
      </c>
      <c r="E99" s="3">
        <v>700</v>
      </c>
      <c r="F99" s="3">
        <v>97</v>
      </c>
      <c r="G99" s="3">
        <v>67900</v>
      </c>
      <c r="H99" s="3" t="s">
        <v>2974</v>
      </c>
    </row>
    <row r="100" spans="1:8" x14ac:dyDescent="0.35">
      <c r="A100" t="s">
        <v>272</v>
      </c>
      <c r="B100" s="26" t="s">
        <v>36</v>
      </c>
      <c r="C100" s="20">
        <v>42715</v>
      </c>
      <c r="D100" t="s">
        <v>15</v>
      </c>
      <c r="E100" s="3">
        <v>80</v>
      </c>
      <c r="F100" s="3">
        <v>94</v>
      </c>
      <c r="G100" s="3">
        <v>7238</v>
      </c>
      <c r="H100" s="3" t="s">
        <v>2976</v>
      </c>
    </row>
    <row r="101" spans="1:8" x14ac:dyDescent="0.35">
      <c r="A101" t="s">
        <v>13</v>
      </c>
      <c r="B101" s="26" t="s">
        <v>14</v>
      </c>
      <c r="C101" s="20">
        <v>43217</v>
      </c>
      <c r="D101" t="s">
        <v>42</v>
      </c>
      <c r="E101" s="3">
        <v>30</v>
      </c>
      <c r="F101" s="3">
        <v>66</v>
      </c>
      <c r="G101" s="3">
        <v>1914</v>
      </c>
      <c r="H101" s="3" t="s">
        <v>2969</v>
      </c>
    </row>
    <row r="102" spans="1:8" x14ac:dyDescent="0.35">
      <c r="A102" t="s">
        <v>83</v>
      </c>
      <c r="B102" s="26" t="s">
        <v>14</v>
      </c>
      <c r="C102" s="20">
        <v>42830</v>
      </c>
      <c r="D102" t="s">
        <v>123</v>
      </c>
      <c r="E102" s="3">
        <v>50</v>
      </c>
      <c r="F102" s="3">
        <v>90</v>
      </c>
      <c r="G102" s="3">
        <v>4500</v>
      </c>
      <c r="H102" s="3" t="s">
        <v>2969</v>
      </c>
    </row>
    <row r="103" spans="1:8" x14ac:dyDescent="0.35">
      <c r="A103" t="s">
        <v>13</v>
      </c>
      <c r="B103" s="26" t="s">
        <v>14</v>
      </c>
      <c r="C103" s="20">
        <v>43207</v>
      </c>
      <c r="D103" t="s">
        <v>26</v>
      </c>
      <c r="E103" s="3">
        <v>700</v>
      </c>
      <c r="F103" s="3">
        <v>53</v>
      </c>
      <c r="G103" s="3">
        <v>35987</v>
      </c>
      <c r="H103" s="3" t="s">
        <v>2969</v>
      </c>
    </row>
    <row r="104" spans="1:8" x14ac:dyDescent="0.35">
      <c r="A104" t="s">
        <v>41</v>
      </c>
      <c r="B104" s="26" t="s">
        <v>36</v>
      </c>
      <c r="C104" s="20">
        <v>41833</v>
      </c>
      <c r="D104" t="s">
        <v>123</v>
      </c>
      <c r="E104" s="3">
        <v>50</v>
      </c>
      <c r="F104" s="3">
        <v>65</v>
      </c>
      <c r="G104" s="3">
        <v>2925</v>
      </c>
      <c r="H104" s="3" t="s">
        <v>2971</v>
      </c>
    </row>
    <row r="105" spans="1:8" x14ac:dyDescent="0.35">
      <c r="A105" t="s">
        <v>66</v>
      </c>
      <c r="B105" s="26" t="s">
        <v>36</v>
      </c>
      <c r="C105" s="20">
        <v>42446</v>
      </c>
      <c r="D105" t="s">
        <v>42</v>
      </c>
      <c r="E105" s="3">
        <v>30</v>
      </c>
      <c r="F105" s="3">
        <v>41</v>
      </c>
      <c r="G105" s="3">
        <v>1230</v>
      </c>
      <c r="H105" s="3" t="s">
        <v>2968</v>
      </c>
    </row>
    <row r="106" spans="1:8" x14ac:dyDescent="0.35">
      <c r="A106" t="s">
        <v>46</v>
      </c>
      <c r="B106" s="26" t="s">
        <v>25</v>
      </c>
      <c r="C106" s="20">
        <v>43305</v>
      </c>
      <c r="D106" t="s">
        <v>42</v>
      </c>
      <c r="E106" s="3">
        <v>30</v>
      </c>
      <c r="F106" s="3">
        <v>20</v>
      </c>
      <c r="G106" s="3">
        <v>600</v>
      </c>
      <c r="H106" s="3" t="s">
        <v>2971</v>
      </c>
    </row>
    <row r="107" spans="1:8" x14ac:dyDescent="0.35">
      <c r="A107" t="s">
        <v>129</v>
      </c>
      <c r="B107" s="26" t="s">
        <v>14</v>
      </c>
      <c r="C107" s="20">
        <v>42326</v>
      </c>
      <c r="D107" t="s">
        <v>15</v>
      </c>
      <c r="E107" s="3">
        <v>80</v>
      </c>
      <c r="F107" s="3">
        <v>17</v>
      </c>
      <c r="G107" s="3">
        <v>1054</v>
      </c>
      <c r="H107" s="3" t="s">
        <v>2975</v>
      </c>
    </row>
    <row r="108" spans="1:8" x14ac:dyDescent="0.35">
      <c r="A108" t="s">
        <v>109</v>
      </c>
      <c r="B108" s="26" t="s">
        <v>20</v>
      </c>
      <c r="C108" s="20">
        <v>41904</v>
      </c>
      <c r="D108" t="s">
        <v>15</v>
      </c>
      <c r="E108" s="3">
        <v>80</v>
      </c>
      <c r="F108" s="3">
        <v>69</v>
      </c>
      <c r="G108" s="3">
        <v>5244</v>
      </c>
      <c r="H108" s="3" t="s">
        <v>2973</v>
      </c>
    </row>
    <row r="109" spans="1:8" x14ac:dyDescent="0.35">
      <c r="A109" t="s">
        <v>152</v>
      </c>
      <c r="B109" s="26" t="s">
        <v>14</v>
      </c>
      <c r="C109" s="20">
        <v>42765</v>
      </c>
      <c r="D109" t="s">
        <v>37</v>
      </c>
      <c r="E109" s="3">
        <v>50</v>
      </c>
      <c r="F109" s="3">
        <v>94</v>
      </c>
      <c r="G109" s="3">
        <v>4230</v>
      </c>
      <c r="H109" s="3" t="s">
        <v>2966</v>
      </c>
    </row>
    <row r="110" spans="1:8" x14ac:dyDescent="0.35">
      <c r="A110" t="s">
        <v>266</v>
      </c>
      <c r="B110" s="26" t="s">
        <v>14</v>
      </c>
      <c r="C110" s="20">
        <v>42133</v>
      </c>
      <c r="D110" t="s">
        <v>62</v>
      </c>
      <c r="E110" s="3">
        <v>1000</v>
      </c>
      <c r="F110" s="3">
        <v>44</v>
      </c>
      <c r="G110" s="3">
        <v>26840</v>
      </c>
      <c r="H110" s="3" t="s">
        <v>2965</v>
      </c>
    </row>
    <row r="111" spans="1:8" x14ac:dyDescent="0.35">
      <c r="A111" t="s">
        <v>24</v>
      </c>
      <c r="B111" s="26" t="s">
        <v>25</v>
      </c>
      <c r="C111" s="20">
        <v>42294</v>
      </c>
      <c r="D111" t="s">
        <v>105</v>
      </c>
      <c r="E111" s="3">
        <v>70</v>
      </c>
      <c r="F111" s="3">
        <v>91</v>
      </c>
      <c r="G111" s="3">
        <v>6097</v>
      </c>
      <c r="H111" s="3" t="s">
        <v>2974</v>
      </c>
    </row>
    <row r="112" spans="1:8" x14ac:dyDescent="0.35">
      <c r="A112" t="s">
        <v>61</v>
      </c>
      <c r="B112" s="26" t="s">
        <v>14</v>
      </c>
      <c r="C112" s="20">
        <v>42835</v>
      </c>
      <c r="D112" t="s">
        <v>105</v>
      </c>
      <c r="E112" s="3">
        <v>70</v>
      </c>
      <c r="F112" s="3">
        <v>93</v>
      </c>
      <c r="G112" s="3">
        <v>6324</v>
      </c>
      <c r="H112" s="3" t="s">
        <v>2969</v>
      </c>
    </row>
    <row r="113" spans="1:8" x14ac:dyDescent="0.35">
      <c r="A113" t="s">
        <v>266</v>
      </c>
      <c r="B113" s="26" t="s">
        <v>14</v>
      </c>
      <c r="C113" s="20">
        <v>43024</v>
      </c>
      <c r="D113" t="s">
        <v>37</v>
      </c>
      <c r="E113" s="3">
        <v>50</v>
      </c>
      <c r="F113" s="3">
        <v>55</v>
      </c>
      <c r="G113" s="3">
        <v>2750</v>
      </c>
      <c r="H113" s="3" t="s">
        <v>2974</v>
      </c>
    </row>
    <row r="114" spans="1:8" x14ac:dyDescent="0.35">
      <c r="A114" t="s">
        <v>129</v>
      </c>
      <c r="B114" s="26" t="s">
        <v>14</v>
      </c>
      <c r="C114" s="20">
        <v>41841</v>
      </c>
      <c r="D114" t="s">
        <v>73</v>
      </c>
      <c r="E114" s="3">
        <v>500</v>
      </c>
      <c r="F114" s="3">
        <v>5</v>
      </c>
      <c r="G114" s="3">
        <v>2475</v>
      </c>
      <c r="H114" s="3" t="s">
        <v>2971</v>
      </c>
    </row>
    <row r="115" spans="1:8" x14ac:dyDescent="0.35">
      <c r="A115" t="s">
        <v>79</v>
      </c>
      <c r="B115" s="26" t="s">
        <v>36</v>
      </c>
      <c r="C115" s="20">
        <v>41889</v>
      </c>
      <c r="D115" t="s">
        <v>105</v>
      </c>
      <c r="E115" s="3">
        <v>70</v>
      </c>
      <c r="F115" s="3">
        <v>93</v>
      </c>
      <c r="G115" s="3">
        <v>5766</v>
      </c>
      <c r="H115" s="3" t="s">
        <v>2973</v>
      </c>
    </row>
    <row r="116" spans="1:8" x14ac:dyDescent="0.35">
      <c r="A116" t="s">
        <v>176</v>
      </c>
      <c r="B116" s="26" t="s">
        <v>14</v>
      </c>
      <c r="C116" s="20">
        <v>43043</v>
      </c>
      <c r="D116" t="s">
        <v>73</v>
      </c>
      <c r="E116" s="3">
        <v>500</v>
      </c>
      <c r="F116" s="3">
        <v>99</v>
      </c>
      <c r="G116" s="3">
        <v>48510</v>
      </c>
      <c r="H116" s="3" t="s">
        <v>2975</v>
      </c>
    </row>
    <row r="117" spans="1:8" x14ac:dyDescent="0.35">
      <c r="A117" t="s">
        <v>46</v>
      </c>
      <c r="B117" s="26" t="s">
        <v>25</v>
      </c>
      <c r="C117" s="20">
        <v>42805</v>
      </c>
      <c r="D117" t="s">
        <v>15</v>
      </c>
      <c r="E117" s="3">
        <v>80</v>
      </c>
      <c r="F117" s="3">
        <v>20</v>
      </c>
      <c r="G117" s="3">
        <v>1460</v>
      </c>
      <c r="H117" s="3" t="s">
        <v>2968</v>
      </c>
    </row>
    <row r="118" spans="1:8" x14ac:dyDescent="0.35">
      <c r="A118" t="s">
        <v>30</v>
      </c>
      <c r="B118" s="26" t="s">
        <v>14</v>
      </c>
      <c r="C118" s="20">
        <v>42380</v>
      </c>
      <c r="D118" t="s">
        <v>26</v>
      </c>
      <c r="E118" s="3">
        <v>700</v>
      </c>
      <c r="F118" s="3">
        <v>74</v>
      </c>
      <c r="G118" s="3">
        <v>45584</v>
      </c>
      <c r="H118" s="3" t="s">
        <v>2966</v>
      </c>
    </row>
    <row r="119" spans="1:8" x14ac:dyDescent="0.35">
      <c r="A119" t="s">
        <v>326</v>
      </c>
      <c r="B119" s="26" t="s">
        <v>14</v>
      </c>
      <c r="C119" s="20">
        <v>42716</v>
      </c>
      <c r="D119" t="s">
        <v>42</v>
      </c>
      <c r="E119" s="3">
        <v>30</v>
      </c>
      <c r="F119" s="3">
        <v>35</v>
      </c>
      <c r="G119" s="3">
        <v>1050</v>
      </c>
      <c r="H119" s="3" t="s">
        <v>2976</v>
      </c>
    </row>
    <row r="120" spans="1:8" x14ac:dyDescent="0.35">
      <c r="A120" t="s">
        <v>72</v>
      </c>
      <c r="B120" s="26" t="s">
        <v>36</v>
      </c>
      <c r="C120" s="20">
        <v>42324</v>
      </c>
      <c r="D120" t="s">
        <v>42</v>
      </c>
      <c r="E120" s="3">
        <v>30</v>
      </c>
      <c r="F120" s="3">
        <v>71</v>
      </c>
      <c r="G120" s="3">
        <v>1633</v>
      </c>
      <c r="H120" s="3" t="s">
        <v>2975</v>
      </c>
    </row>
    <row r="121" spans="1:8" x14ac:dyDescent="0.35">
      <c r="A121" t="s">
        <v>109</v>
      </c>
      <c r="B121" s="26" t="s">
        <v>20</v>
      </c>
      <c r="C121" s="20">
        <v>42266</v>
      </c>
      <c r="D121" t="s">
        <v>37</v>
      </c>
      <c r="E121" s="3">
        <v>50</v>
      </c>
      <c r="F121" s="3">
        <v>51</v>
      </c>
      <c r="G121" s="3">
        <v>1836</v>
      </c>
      <c r="H121" s="3" t="s">
        <v>2973</v>
      </c>
    </row>
    <row r="122" spans="1:8" x14ac:dyDescent="0.35">
      <c r="A122" t="s">
        <v>243</v>
      </c>
      <c r="B122" s="26" t="s">
        <v>14</v>
      </c>
      <c r="C122" s="20">
        <v>41746</v>
      </c>
      <c r="D122" t="s">
        <v>73</v>
      </c>
      <c r="E122" s="3">
        <v>500</v>
      </c>
      <c r="F122" s="3">
        <v>99</v>
      </c>
      <c r="G122" s="3">
        <v>48510</v>
      </c>
      <c r="H122" s="3" t="s">
        <v>2969</v>
      </c>
    </row>
    <row r="123" spans="1:8" x14ac:dyDescent="0.35">
      <c r="A123" t="s">
        <v>97</v>
      </c>
      <c r="B123" s="26" t="s">
        <v>14</v>
      </c>
      <c r="C123" s="20">
        <v>41892</v>
      </c>
      <c r="D123" t="s">
        <v>56</v>
      </c>
      <c r="E123" s="3">
        <v>800</v>
      </c>
      <c r="F123" s="3">
        <v>50</v>
      </c>
      <c r="G123" s="3">
        <v>33600</v>
      </c>
      <c r="H123" s="3" t="s">
        <v>2973</v>
      </c>
    </row>
    <row r="124" spans="1:8" x14ac:dyDescent="0.35">
      <c r="A124" t="s">
        <v>30</v>
      </c>
      <c r="B124" s="26" t="s">
        <v>14</v>
      </c>
      <c r="C124" s="20">
        <v>43041</v>
      </c>
      <c r="D124" t="s">
        <v>73</v>
      </c>
      <c r="E124" s="3">
        <v>500</v>
      </c>
      <c r="F124" s="3">
        <v>94</v>
      </c>
      <c r="G124" s="3">
        <v>46060</v>
      </c>
      <c r="H124" s="3" t="s">
        <v>2975</v>
      </c>
    </row>
    <row r="125" spans="1:8" x14ac:dyDescent="0.35">
      <c r="A125" t="s">
        <v>272</v>
      </c>
      <c r="B125" s="26" t="s">
        <v>36</v>
      </c>
      <c r="C125" s="20">
        <v>42444</v>
      </c>
      <c r="D125" t="s">
        <v>31</v>
      </c>
      <c r="E125" s="3">
        <v>150</v>
      </c>
      <c r="F125" s="3">
        <v>75</v>
      </c>
      <c r="G125" s="3">
        <v>10500</v>
      </c>
      <c r="H125" s="3" t="s">
        <v>2968</v>
      </c>
    </row>
    <row r="126" spans="1:8" x14ac:dyDescent="0.35">
      <c r="A126" t="s">
        <v>109</v>
      </c>
      <c r="B126" s="26" t="s">
        <v>20</v>
      </c>
      <c r="C126" s="20">
        <v>43119</v>
      </c>
      <c r="D126" t="s">
        <v>73</v>
      </c>
      <c r="E126" s="3">
        <v>500</v>
      </c>
      <c r="F126" s="3">
        <v>96</v>
      </c>
      <c r="G126" s="3">
        <v>47520</v>
      </c>
      <c r="H126" s="3" t="s">
        <v>2966</v>
      </c>
    </row>
    <row r="127" spans="1:8" x14ac:dyDescent="0.35">
      <c r="A127" t="s">
        <v>87</v>
      </c>
      <c r="B127" s="26" t="s">
        <v>14</v>
      </c>
      <c r="C127" s="20">
        <v>43218</v>
      </c>
      <c r="D127" t="s">
        <v>31</v>
      </c>
      <c r="E127" s="3">
        <v>150</v>
      </c>
      <c r="F127" s="3">
        <v>79</v>
      </c>
      <c r="G127" s="3">
        <v>11850</v>
      </c>
      <c r="H127" s="3" t="s">
        <v>2969</v>
      </c>
    </row>
    <row r="128" spans="1:8" x14ac:dyDescent="0.35">
      <c r="A128" t="s">
        <v>55</v>
      </c>
      <c r="B128" s="26" t="s">
        <v>14</v>
      </c>
      <c r="C128" s="20">
        <v>41711</v>
      </c>
      <c r="D128" t="s">
        <v>42</v>
      </c>
      <c r="E128" s="3">
        <v>30</v>
      </c>
      <c r="F128" s="3">
        <v>61</v>
      </c>
      <c r="G128" s="3">
        <v>1769</v>
      </c>
      <c r="H128" s="3" t="s">
        <v>2968</v>
      </c>
    </row>
    <row r="129" spans="1:8" x14ac:dyDescent="0.35">
      <c r="A129" t="s">
        <v>109</v>
      </c>
      <c r="B129" s="26" t="s">
        <v>20</v>
      </c>
      <c r="C129" s="20">
        <v>42244</v>
      </c>
      <c r="D129" t="s">
        <v>73</v>
      </c>
      <c r="E129" s="3">
        <v>500</v>
      </c>
      <c r="F129" s="3">
        <v>47</v>
      </c>
      <c r="G129" s="3">
        <v>23500</v>
      </c>
      <c r="H129" s="3" t="s">
        <v>2972</v>
      </c>
    </row>
    <row r="130" spans="1:8" x14ac:dyDescent="0.35">
      <c r="A130" t="s">
        <v>93</v>
      </c>
      <c r="B130" s="26" t="s">
        <v>36</v>
      </c>
      <c r="C130" s="20">
        <v>41827</v>
      </c>
      <c r="D130" t="s">
        <v>62</v>
      </c>
      <c r="E130" s="3">
        <v>1000</v>
      </c>
      <c r="F130" s="3">
        <v>18</v>
      </c>
      <c r="G130" s="3">
        <v>9180</v>
      </c>
      <c r="H130" s="3" t="s">
        <v>2971</v>
      </c>
    </row>
    <row r="131" spans="1:8" x14ac:dyDescent="0.35">
      <c r="A131" t="s">
        <v>109</v>
      </c>
      <c r="B131" s="26" t="s">
        <v>20</v>
      </c>
      <c r="C131" s="20">
        <v>42422</v>
      </c>
      <c r="D131" t="s">
        <v>73</v>
      </c>
      <c r="E131" s="3">
        <v>500</v>
      </c>
      <c r="F131" s="3">
        <v>11</v>
      </c>
      <c r="G131" s="3">
        <v>5390</v>
      </c>
      <c r="H131" s="3" t="s">
        <v>2967</v>
      </c>
    </row>
    <row r="132" spans="1:8" x14ac:dyDescent="0.35">
      <c r="A132" t="s">
        <v>13</v>
      </c>
      <c r="B132" s="26" t="s">
        <v>14</v>
      </c>
      <c r="C132" s="20">
        <v>43080</v>
      </c>
      <c r="D132" t="s">
        <v>37</v>
      </c>
      <c r="E132" s="3">
        <v>50</v>
      </c>
      <c r="F132" s="3">
        <v>53</v>
      </c>
      <c r="G132" s="3">
        <v>2650</v>
      </c>
      <c r="H132" s="3" t="s">
        <v>2976</v>
      </c>
    </row>
    <row r="133" spans="1:8" x14ac:dyDescent="0.35">
      <c r="A133" t="s">
        <v>243</v>
      </c>
      <c r="B133" s="26" t="s">
        <v>14</v>
      </c>
      <c r="C133" s="20">
        <v>42557</v>
      </c>
      <c r="D133" t="s">
        <v>26</v>
      </c>
      <c r="E133" s="3">
        <v>700</v>
      </c>
      <c r="F133" s="3">
        <v>20</v>
      </c>
      <c r="G133" s="3">
        <v>13300</v>
      </c>
      <c r="H133" s="3" t="s">
        <v>2971</v>
      </c>
    </row>
    <row r="134" spans="1:8" x14ac:dyDescent="0.35">
      <c r="A134" t="s">
        <v>109</v>
      </c>
      <c r="B134" s="26" t="s">
        <v>20</v>
      </c>
      <c r="C134" s="20">
        <v>41853</v>
      </c>
      <c r="D134" t="s">
        <v>116</v>
      </c>
      <c r="E134" s="3">
        <v>250</v>
      </c>
      <c r="F134" s="3">
        <v>73</v>
      </c>
      <c r="G134" s="3">
        <v>12775</v>
      </c>
      <c r="H134" s="3" t="s">
        <v>2972</v>
      </c>
    </row>
    <row r="135" spans="1:8" x14ac:dyDescent="0.35">
      <c r="A135" t="s">
        <v>109</v>
      </c>
      <c r="B135" s="26" t="s">
        <v>20</v>
      </c>
      <c r="C135" s="20">
        <v>42673</v>
      </c>
      <c r="D135" t="s">
        <v>123</v>
      </c>
      <c r="E135" s="3">
        <v>50</v>
      </c>
      <c r="F135" s="3">
        <v>68</v>
      </c>
      <c r="G135" s="3">
        <v>3264</v>
      </c>
      <c r="H135" s="3" t="s">
        <v>2974</v>
      </c>
    </row>
    <row r="136" spans="1:8" x14ac:dyDescent="0.35">
      <c r="A136" t="s">
        <v>243</v>
      </c>
      <c r="B136" s="26" t="s">
        <v>14</v>
      </c>
      <c r="C136" s="20">
        <v>42479</v>
      </c>
      <c r="D136" t="s">
        <v>31</v>
      </c>
      <c r="E136" s="3">
        <v>150</v>
      </c>
      <c r="F136" s="3">
        <v>5</v>
      </c>
      <c r="G136" s="3">
        <v>730</v>
      </c>
      <c r="H136" s="3" t="s">
        <v>2969</v>
      </c>
    </row>
    <row r="137" spans="1:8" x14ac:dyDescent="0.35">
      <c r="A137" t="s">
        <v>66</v>
      </c>
      <c r="B137" s="26" t="s">
        <v>36</v>
      </c>
      <c r="C137" s="20">
        <v>42149</v>
      </c>
      <c r="D137" t="s">
        <v>31</v>
      </c>
      <c r="E137" s="3">
        <v>150</v>
      </c>
      <c r="F137" s="3">
        <v>3</v>
      </c>
      <c r="G137" s="3">
        <v>429</v>
      </c>
      <c r="H137" s="3" t="s">
        <v>2965</v>
      </c>
    </row>
    <row r="138" spans="1:8" x14ac:dyDescent="0.35">
      <c r="A138" t="s">
        <v>148</v>
      </c>
      <c r="B138" s="26" t="s">
        <v>14</v>
      </c>
      <c r="C138" s="20">
        <v>42282</v>
      </c>
      <c r="D138" t="s">
        <v>105</v>
      </c>
      <c r="E138" s="3">
        <v>70</v>
      </c>
      <c r="F138" s="3">
        <v>73</v>
      </c>
      <c r="G138" s="3">
        <v>4161</v>
      </c>
      <c r="H138" s="3" t="s">
        <v>2974</v>
      </c>
    </row>
    <row r="139" spans="1:8" x14ac:dyDescent="0.35">
      <c r="A139" t="s">
        <v>61</v>
      </c>
      <c r="B139" s="26" t="s">
        <v>14</v>
      </c>
      <c r="C139" s="20">
        <v>43046</v>
      </c>
      <c r="D139" t="s">
        <v>123</v>
      </c>
      <c r="E139" s="3">
        <v>50</v>
      </c>
      <c r="F139" s="3">
        <v>80</v>
      </c>
      <c r="G139" s="3">
        <v>3680</v>
      </c>
      <c r="H139" s="3" t="s">
        <v>2975</v>
      </c>
    </row>
    <row r="140" spans="1:8" x14ac:dyDescent="0.35">
      <c r="A140" t="s">
        <v>207</v>
      </c>
      <c r="B140" s="26" t="s">
        <v>25</v>
      </c>
      <c r="C140" s="20">
        <v>43094</v>
      </c>
      <c r="D140" t="s">
        <v>42</v>
      </c>
      <c r="E140" s="3">
        <v>30</v>
      </c>
      <c r="F140" s="3">
        <v>49</v>
      </c>
      <c r="G140" s="3">
        <v>1323</v>
      </c>
      <c r="H140" s="3" t="s">
        <v>2976</v>
      </c>
    </row>
    <row r="141" spans="1:8" x14ac:dyDescent="0.35">
      <c r="A141" t="s">
        <v>87</v>
      </c>
      <c r="B141" s="26" t="s">
        <v>14</v>
      </c>
      <c r="C141" s="20">
        <v>41734</v>
      </c>
      <c r="D141" t="s">
        <v>47</v>
      </c>
      <c r="E141" s="3">
        <v>500</v>
      </c>
      <c r="F141" s="3">
        <v>71</v>
      </c>
      <c r="G141" s="3">
        <v>35500</v>
      </c>
      <c r="H141" s="3" t="s">
        <v>2969</v>
      </c>
    </row>
    <row r="142" spans="1:8" x14ac:dyDescent="0.35">
      <c r="A142" t="s">
        <v>326</v>
      </c>
      <c r="B142" s="26" t="s">
        <v>14</v>
      </c>
      <c r="C142" s="20">
        <v>43288</v>
      </c>
      <c r="D142" t="s">
        <v>47</v>
      </c>
      <c r="E142" s="3">
        <v>500</v>
      </c>
      <c r="F142" s="3">
        <v>88</v>
      </c>
      <c r="G142" s="3">
        <v>44000</v>
      </c>
      <c r="H142" s="3" t="s">
        <v>2971</v>
      </c>
    </row>
    <row r="143" spans="1:8" x14ac:dyDescent="0.35">
      <c r="A143" t="s">
        <v>55</v>
      </c>
      <c r="B143" s="26" t="s">
        <v>14</v>
      </c>
      <c r="C143" s="20">
        <v>43407</v>
      </c>
      <c r="D143" t="s">
        <v>116</v>
      </c>
      <c r="E143" s="3">
        <v>250</v>
      </c>
      <c r="F143" s="3">
        <v>36</v>
      </c>
      <c r="G143" s="3">
        <v>8100</v>
      </c>
      <c r="H143" s="3" t="s">
        <v>2975</v>
      </c>
    </row>
    <row r="144" spans="1:8" x14ac:dyDescent="0.35">
      <c r="A144" t="s">
        <v>266</v>
      </c>
      <c r="B144" s="26" t="s">
        <v>14</v>
      </c>
      <c r="C144" s="20">
        <v>42282</v>
      </c>
      <c r="D144" t="s">
        <v>42</v>
      </c>
      <c r="E144" s="3">
        <v>30</v>
      </c>
      <c r="F144" s="3">
        <v>77</v>
      </c>
      <c r="G144" s="3">
        <v>2002</v>
      </c>
      <c r="H144" s="3" t="s">
        <v>2974</v>
      </c>
    </row>
    <row r="145" spans="1:8" x14ac:dyDescent="0.35">
      <c r="A145" t="s">
        <v>207</v>
      </c>
      <c r="B145" s="26" t="s">
        <v>25</v>
      </c>
      <c r="C145" s="20">
        <v>42397</v>
      </c>
      <c r="D145" t="s">
        <v>42</v>
      </c>
      <c r="E145" s="3">
        <v>30</v>
      </c>
      <c r="F145" s="3">
        <v>35</v>
      </c>
      <c r="G145" s="3">
        <v>945</v>
      </c>
      <c r="H145" s="3" t="s">
        <v>2966</v>
      </c>
    </row>
    <row r="146" spans="1:8" x14ac:dyDescent="0.35">
      <c r="A146" t="s">
        <v>83</v>
      </c>
      <c r="B146" s="26" t="s">
        <v>14</v>
      </c>
      <c r="C146" s="20">
        <v>42347</v>
      </c>
      <c r="D146" t="s">
        <v>123</v>
      </c>
      <c r="E146" s="3">
        <v>50</v>
      </c>
      <c r="F146" s="3">
        <v>41</v>
      </c>
      <c r="G146" s="3">
        <v>1394</v>
      </c>
      <c r="H146" s="3" t="s">
        <v>2976</v>
      </c>
    </row>
    <row r="147" spans="1:8" x14ac:dyDescent="0.35">
      <c r="A147" t="s">
        <v>93</v>
      </c>
      <c r="B147" s="26" t="s">
        <v>36</v>
      </c>
      <c r="C147" s="20">
        <v>43412</v>
      </c>
      <c r="D147" t="s">
        <v>73</v>
      </c>
      <c r="E147" s="3">
        <v>500</v>
      </c>
      <c r="F147" s="3">
        <v>24</v>
      </c>
      <c r="G147" s="3">
        <v>12000</v>
      </c>
      <c r="H147" s="3" t="s">
        <v>2975</v>
      </c>
    </row>
    <row r="148" spans="1:8" x14ac:dyDescent="0.35">
      <c r="A148" t="s">
        <v>257</v>
      </c>
      <c r="B148" s="26" t="s">
        <v>14</v>
      </c>
      <c r="C148" s="20">
        <v>42855</v>
      </c>
      <c r="D148" t="s">
        <v>62</v>
      </c>
      <c r="E148" s="3">
        <v>1000</v>
      </c>
      <c r="F148" s="3">
        <v>68</v>
      </c>
      <c r="G148" s="3">
        <v>53040</v>
      </c>
      <c r="H148" s="3" t="s">
        <v>2969</v>
      </c>
    </row>
    <row r="149" spans="1:8" x14ac:dyDescent="0.35">
      <c r="A149" t="s">
        <v>51</v>
      </c>
      <c r="B149" s="26" t="s">
        <v>25</v>
      </c>
      <c r="C149" s="20">
        <v>42799</v>
      </c>
      <c r="D149" t="s">
        <v>116</v>
      </c>
      <c r="E149" s="3">
        <v>250</v>
      </c>
      <c r="F149" s="3">
        <v>10</v>
      </c>
      <c r="G149" s="3">
        <v>2450</v>
      </c>
      <c r="H149" s="3" t="s">
        <v>2968</v>
      </c>
    </row>
    <row r="150" spans="1:8" x14ac:dyDescent="0.35">
      <c r="A150" t="s">
        <v>243</v>
      </c>
      <c r="B150" s="26" t="s">
        <v>14</v>
      </c>
      <c r="C150" s="20">
        <v>42755</v>
      </c>
      <c r="D150" t="s">
        <v>56</v>
      </c>
      <c r="E150" s="3">
        <v>800</v>
      </c>
      <c r="F150" s="3">
        <v>92</v>
      </c>
      <c r="G150" s="3">
        <v>72128</v>
      </c>
      <c r="H150" s="3" t="s">
        <v>2966</v>
      </c>
    </row>
    <row r="151" spans="1:8" x14ac:dyDescent="0.35">
      <c r="A151" t="s">
        <v>109</v>
      </c>
      <c r="B151" s="26" t="s">
        <v>20</v>
      </c>
      <c r="C151" s="20">
        <v>43227</v>
      </c>
      <c r="D151" t="s">
        <v>105</v>
      </c>
      <c r="E151" s="3">
        <v>70</v>
      </c>
      <c r="F151" s="3">
        <v>69</v>
      </c>
      <c r="G151" s="3">
        <v>4140</v>
      </c>
      <c r="H151" s="3" t="s">
        <v>2965</v>
      </c>
    </row>
    <row r="152" spans="1:8" x14ac:dyDescent="0.35">
      <c r="A152" t="s">
        <v>19</v>
      </c>
      <c r="B152" s="26" t="s">
        <v>20</v>
      </c>
      <c r="C152" s="20">
        <v>43388</v>
      </c>
      <c r="D152" t="s">
        <v>73</v>
      </c>
      <c r="E152" s="3">
        <v>500</v>
      </c>
      <c r="F152" s="3">
        <v>58</v>
      </c>
      <c r="G152" s="3">
        <v>29000</v>
      </c>
      <c r="H152" s="3" t="s">
        <v>2974</v>
      </c>
    </row>
    <row r="153" spans="1:8" x14ac:dyDescent="0.35">
      <c r="A153" t="s">
        <v>129</v>
      </c>
      <c r="B153" s="26" t="s">
        <v>14</v>
      </c>
      <c r="C153" s="20">
        <v>43347</v>
      </c>
      <c r="D153" t="s">
        <v>56</v>
      </c>
      <c r="E153" s="3">
        <v>800</v>
      </c>
      <c r="F153" s="3">
        <v>99</v>
      </c>
      <c r="G153" s="3">
        <v>49104</v>
      </c>
      <c r="H153" s="3" t="s">
        <v>2973</v>
      </c>
    </row>
    <row r="154" spans="1:8" x14ac:dyDescent="0.35">
      <c r="A154" t="s">
        <v>83</v>
      </c>
      <c r="B154" s="26" t="s">
        <v>14</v>
      </c>
      <c r="C154" s="20">
        <v>43343</v>
      </c>
      <c r="D154" t="s">
        <v>105</v>
      </c>
      <c r="E154" s="3">
        <v>70</v>
      </c>
      <c r="F154" s="3">
        <v>84</v>
      </c>
      <c r="G154" s="3">
        <v>5796</v>
      </c>
      <c r="H154" s="3" t="s">
        <v>2972</v>
      </c>
    </row>
    <row r="155" spans="1:8" x14ac:dyDescent="0.35">
      <c r="A155" t="s">
        <v>72</v>
      </c>
      <c r="B155" s="26" t="s">
        <v>36</v>
      </c>
      <c r="C155" s="20">
        <v>43330</v>
      </c>
      <c r="D155" t="s">
        <v>42</v>
      </c>
      <c r="E155" s="3">
        <v>30</v>
      </c>
      <c r="F155" s="3">
        <v>44</v>
      </c>
      <c r="G155" s="3">
        <v>1276</v>
      </c>
      <c r="H155" s="3" t="s">
        <v>2972</v>
      </c>
    </row>
    <row r="156" spans="1:8" x14ac:dyDescent="0.35">
      <c r="A156" t="s">
        <v>152</v>
      </c>
      <c r="B156" s="26" t="s">
        <v>14</v>
      </c>
      <c r="C156" s="20">
        <v>42536</v>
      </c>
      <c r="D156" t="s">
        <v>105</v>
      </c>
      <c r="E156" s="3">
        <v>70</v>
      </c>
      <c r="F156" s="3">
        <v>13</v>
      </c>
      <c r="G156" s="3">
        <v>845</v>
      </c>
      <c r="H156" s="3" t="s">
        <v>2970</v>
      </c>
    </row>
    <row r="157" spans="1:8" x14ac:dyDescent="0.35">
      <c r="A157" t="s">
        <v>72</v>
      </c>
      <c r="B157" s="26" t="s">
        <v>36</v>
      </c>
      <c r="C157" s="20">
        <v>42465</v>
      </c>
      <c r="D157" t="s">
        <v>15</v>
      </c>
      <c r="E157" s="3">
        <v>80</v>
      </c>
      <c r="F157" s="3">
        <v>83</v>
      </c>
      <c r="G157" s="3">
        <v>6474</v>
      </c>
      <c r="H157" s="3" t="s">
        <v>2969</v>
      </c>
    </row>
    <row r="158" spans="1:8" x14ac:dyDescent="0.35">
      <c r="A158" t="s">
        <v>41</v>
      </c>
      <c r="B158" s="26" t="s">
        <v>36</v>
      </c>
      <c r="C158" s="20">
        <v>42171</v>
      </c>
      <c r="D158" t="s">
        <v>123</v>
      </c>
      <c r="E158" s="3">
        <v>50</v>
      </c>
      <c r="F158" s="3">
        <v>20</v>
      </c>
      <c r="G158" s="3">
        <v>780</v>
      </c>
      <c r="H158" s="3" t="s">
        <v>2970</v>
      </c>
    </row>
    <row r="159" spans="1:8" x14ac:dyDescent="0.35">
      <c r="A159" t="s">
        <v>79</v>
      </c>
      <c r="B159" s="26" t="s">
        <v>36</v>
      </c>
      <c r="C159" s="20">
        <v>42840</v>
      </c>
      <c r="D159" t="s">
        <v>42</v>
      </c>
      <c r="E159" s="3">
        <v>30</v>
      </c>
      <c r="F159" s="3">
        <v>59</v>
      </c>
      <c r="G159" s="3">
        <v>1652</v>
      </c>
      <c r="H159" s="3" t="s">
        <v>2969</v>
      </c>
    </row>
    <row r="160" spans="1:8" x14ac:dyDescent="0.35">
      <c r="A160" t="s">
        <v>30</v>
      </c>
      <c r="B160" s="26" t="s">
        <v>14</v>
      </c>
      <c r="C160" s="20">
        <v>42180</v>
      </c>
      <c r="D160" t="s">
        <v>47</v>
      </c>
      <c r="E160" s="3">
        <v>500</v>
      </c>
      <c r="F160" s="3">
        <v>63</v>
      </c>
      <c r="G160" s="3">
        <v>19845</v>
      </c>
      <c r="H160" s="3" t="s">
        <v>2970</v>
      </c>
    </row>
    <row r="161" spans="1:8" x14ac:dyDescent="0.35">
      <c r="A161" t="s">
        <v>51</v>
      </c>
      <c r="B161" s="26" t="s">
        <v>25</v>
      </c>
      <c r="C161" s="20">
        <v>42495</v>
      </c>
      <c r="D161" t="s">
        <v>42</v>
      </c>
      <c r="E161" s="3">
        <v>30</v>
      </c>
      <c r="F161" s="3">
        <v>47</v>
      </c>
      <c r="G161" s="3">
        <v>1363</v>
      </c>
      <c r="H161" s="3" t="s">
        <v>2965</v>
      </c>
    </row>
    <row r="162" spans="1:8" x14ac:dyDescent="0.35">
      <c r="A162" t="s">
        <v>402</v>
      </c>
      <c r="B162" s="26" t="s">
        <v>14</v>
      </c>
      <c r="C162" s="20">
        <v>42509</v>
      </c>
      <c r="D162" t="s">
        <v>26</v>
      </c>
      <c r="E162" s="3">
        <v>700</v>
      </c>
      <c r="F162" s="3">
        <v>5</v>
      </c>
      <c r="G162" s="3">
        <v>2975</v>
      </c>
      <c r="H162" s="3" t="s">
        <v>2965</v>
      </c>
    </row>
    <row r="163" spans="1:8" x14ac:dyDescent="0.35">
      <c r="A163" t="s">
        <v>55</v>
      </c>
      <c r="B163" s="26" t="s">
        <v>14</v>
      </c>
      <c r="C163" s="20">
        <v>41696</v>
      </c>
      <c r="D163" t="s">
        <v>73</v>
      </c>
      <c r="E163" s="3">
        <v>500</v>
      </c>
      <c r="F163" s="3">
        <v>27</v>
      </c>
      <c r="G163" s="3">
        <v>13500</v>
      </c>
      <c r="H163" s="3" t="s">
        <v>2967</v>
      </c>
    </row>
    <row r="164" spans="1:8" x14ac:dyDescent="0.35">
      <c r="A164" t="s">
        <v>51</v>
      </c>
      <c r="B164" s="26" t="s">
        <v>25</v>
      </c>
      <c r="C164" s="20">
        <v>41969</v>
      </c>
      <c r="D164" t="s">
        <v>116</v>
      </c>
      <c r="E164" s="3">
        <v>250</v>
      </c>
      <c r="F164" s="3">
        <v>62</v>
      </c>
      <c r="G164" s="3">
        <v>15066</v>
      </c>
      <c r="H164" s="3" t="s">
        <v>2975</v>
      </c>
    </row>
    <row r="165" spans="1:8" x14ac:dyDescent="0.35">
      <c r="A165" t="s">
        <v>109</v>
      </c>
      <c r="B165" s="26" t="s">
        <v>20</v>
      </c>
      <c r="C165" s="20">
        <v>41665</v>
      </c>
      <c r="D165" t="s">
        <v>37</v>
      </c>
      <c r="E165" s="3">
        <v>50</v>
      </c>
      <c r="F165" s="3">
        <v>24</v>
      </c>
      <c r="G165" s="3">
        <v>960</v>
      </c>
      <c r="H165" s="3" t="s">
        <v>2966</v>
      </c>
    </row>
    <row r="166" spans="1:8" x14ac:dyDescent="0.35">
      <c r="A166" t="s">
        <v>93</v>
      </c>
      <c r="B166" s="26" t="s">
        <v>36</v>
      </c>
      <c r="C166" s="20">
        <v>42120</v>
      </c>
      <c r="D166" t="s">
        <v>105</v>
      </c>
      <c r="E166" s="3">
        <v>70</v>
      </c>
      <c r="F166" s="3">
        <v>10</v>
      </c>
      <c r="G166" s="3">
        <v>470</v>
      </c>
      <c r="H166" s="3" t="s">
        <v>2969</v>
      </c>
    </row>
    <row r="167" spans="1:8" x14ac:dyDescent="0.35">
      <c r="A167" t="s">
        <v>152</v>
      </c>
      <c r="B167" s="26" t="s">
        <v>14</v>
      </c>
      <c r="C167" s="20">
        <v>42100</v>
      </c>
      <c r="D167" t="s">
        <v>123</v>
      </c>
      <c r="E167" s="3">
        <v>50</v>
      </c>
      <c r="F167" s="3">
        <v>76</v>
      </c>
      <c r="G167" s="3">
        <v>3496</v>
      </c>
      <c r="H167" s="3" t="s">
        <v>2969</v>
      </c>
    </row>
    <row r="168" spans="1:8" x14ac:dyDescent="0.35">
      <c r="A168" t="s">
        <v>172</v>
      </c>
      <c r="B168" s="26" t="s">
        <v>14</v>
      </c>
      <c r="C168" s="20">
        <v>42158</v>
      </c>
      <c r="D168" t="s">
        <v>73</v>
      </c>
      <c r="E168" s="3">
        <v>500</v>
      </c>
      <c r="F168" s="3">
        <v>21</v>
      </c>
      <c r="G168" s="3">
        <v>10500</v>
      </c>
      <c r="H168" s="3" t="s">
        <v>2970</v>
      </c>
    </row>
    <row r="169" spans="1:8" x14ac:dyDescent="0.35">
      <c r="A169" t="s">
        <v>51</v>
      </c>
      <c r="B169" s="26" t="s">
        <v>25</v>
      </c>
      <c r="C169" s="20">
        <v>42819</v>
      </c>
      <c r="D169" t="s">
        <v>15</v>
      </c>
      <c r="E169" s="3">
        <v>80</v>
      </c>
      <c r="F169" s="3">
        <v>33</v>
      </c>
      <c r="G169" s="3">
        <v>2541</v>
      </c>
      <c r="H169" s="3" t="s">
        <v>2968</v>
      </c>
    </row>
    <row r="170" spans="1:8" x14ac:dyDescent="0.35">
      <c r="A170" t="s">
        <v>189</v>
      </c>
      <c r="B170" s="26" t="s">
        <v>14</v>
      </c>
      <c r="C170" s="20">
        <v>43116</v>
      </c>
      <c r="D170" t="s">
        <v>123</v>
      </c>
      <c r="E170" s="3">
        <v>50</v>
      </c>
      <c r="F170" s="3">
        <v>3</v>
      </c>
      <c r="G170" s="3">
        <v>129</v>
      </c>
      <c r="H170" s="3" t="s">
        <v>2966</v>
      </c>
    </row>
    <row r="171" spans="1:8" x14ac:dyDescent="0.35">
      <c r="A171" t="s">
        <v>72</v>
      </c>
      <c r="B171" s="26" t="s">
        <v>36</v>
      </c>
      <c r="C171" s="20">
        <v>43319</v>
      </c>
      <c r="D171" t="s">
        <v>31</v>
      </c>
      <c r="E171" s="3">
        <v>150</v>
      </c>
      <c r="F171" s="3">
        <v>95</v>
      </c>
      <c r="G171" s="3">
        <v>13585</v>
      </c>
      <c r="H171" s="3" t="s">
        <v>2972</v>
      </c>
    </row>
    <row r="172" spans="1:8" x14ac:dyDescent="0.35">
      <c r="A172" t="s">
        <v>66</v>
      </c>
      <c r="B172" s="26" t="s">
        <v>36</v>
      </c>
      <c r="C172" s="20">
        <v>42164</v>
      </c>
      <c r="D172" t="s">
        <v>62</v>
      </c>
      <c r="E172" s="3">
        <v>1000</v>
      </c>
      <c r="F172" s="3">
        <v>53</v>
      </c>
      <c r="G172" s="3">
        <v>32330</v>
      </c>
      <c r="H172" s="3" t="s">
        <v>2970</v>
      </c>
    </row>
    <row r="173" spans="1:8" x14ac:dyDescent="0.35">
      <c r="A173" t="s">
        <v>83</v>
      </c>
      <c r="B173" s="26" t="s">
        <v>14</v>
      </c>
      <c r="C173" s="20">
        <v>41795</v>
      </c>
      <c r="D173" t="s">
        <v>37</v>
      </c>
      <c r="E173" s="3">
        <v>50</v>
      </c>
      <c r="F173" s="3">
        <v>69</v>
      </c>
      <c r="G173" s="3">
        <v>2829</v>
      </c>
      <c r="H173" s="3" t="s">
        <v>2970</v>
      </c>
    </row>
    <row r="174" spans="1:8" x14ac:dyDescent="0.35">
      <c r="A174" t="s">
        <v>109</v>
      </c>
      <c r="B174" s="26" t="s">
        <v>20</v>
      </c>
      <c r="C174" s="20">
        <v>42175</v>
      </c>
      <c r="D174" t="s">
        <v>42</v>
      </c>
      <c r="E174" s="3">
        <v>30</v>
      </c>
      <c r="F174" s="3">
        <v>36</v>
      </c>
      <c r="G174" s="3">
        <v>1044</v>
      </c>
      <c r="H174" s="3" t="s">
        <v>2970</v>
      </c>
    </row>
    <row r="175" spans="1:8" x14ac:dyDescent="0.35">
      <c r="A175" t="s">
        <v>129</v>
      </c>
      <c r="B175" s="26" t="s">
        <v>14</v>
      </c>
      <c r="C175" s="20">
        <v>41941</v>
      </c>
      <c r="D175" t="s">
        <v>15</v>
      </c>
      <c r="E175" s="3">
        <v>80</v>
      </c>
      <c r="F175" s="3">
        <v>46</v>
      </c>
      <c r="G175" s="3">
        <v>3220</v>
      </c>
      <c r="H175" s="3" t="s">
        <v>2974</v>
      </c>
    </row>
    <row r="176" spans="1:8" x14ac:dyDescent="0.35">
      <c r="A176" t="s">
        <v>30</v>
      </c>
      <c r="B176" s="26" t="s">
        <v>14</v>
      </c>
      <c r="C176" s="20">
        <v>43444</v>
      </c>
      <c r="D176" t="s">
        <v>116</v>
      </c>
      <c r="E176" s="3">
        <v>250</v>
      </c>
      <c r="F176" s="3">
        <v>73</v>
      </c>
      <c r="G176" s="3">
        <v>17520</v>
      </c>
      <c r="H176" s="3" t="s">
        <v>2976</v>
      </c>
    </row>
    <row r="177" spans="1:8" x14ac:dyDescent="0.35">
      <c r="A177" t="s">
        <v>243</v>
      </c>
      <c r="B177" s="26" t="s">
        <v>14</v>
      </c>
      <c r="C177" s="20">
        <v>43240</v>
      </c>
      <c r="D177" t="s">
        <v>42</v>
      </c>
      <c r="E177" s="3">
        <v>30</v>
      </c>
      <c r="F177" s="3">
        <v>86</v>
      </c>
      <c r="G177" s="3">
        <v>2408</v>
      </c>
      <c r="H177" s="3" t="s">
        <v>2965</v>
      </c>
    </row>
    <row r="178" spans="1:8" x14ac:dyDescent="0.35">
      <c r="A178" t="s">
        <v>72</v>
      </c>
      <c r="B178" s="26" t="s">
        <v>36</v>
      </c>
      <c r="C178" s="20">
        <v>43121</v>
      </c>
      <c r="D178" t="s">
        <v>105</v>
      </c>
      <c r="E178" s="3">
        <v>70</v>
      </c>
      <c r="F178" s="3">
        <v>15</v>
      </c>
      <c r="G178" s="3">
        <v>960</v>
      </c>
      <c r="H178" s="3" t="s">
        <v>2966</v>
      </c>
    </row>
    <row r="179" spans="1:8" x14ac:dyDescent="0.35">
      <c r="A179" t="s">
        <v>109</v>
      </c>
      <c r="B179" s="26" t="s">
        <v>20</v>
      </c>
      <c r="C179" s="20">
        <v>42200</v>
      </c>
      <c r="D179" t="s">
        <v>105</v>
      </c>
      <c r="E179" s="3">
        <v>70</v>
      </c>
      <c r="F179" s="3">
        <v>34</v>
      </c>
      <c r="G179" s="3">
        <v>1734</v>
      </c>
      <c r="H179" s="3" t="s">
        <v>2971</v>
      </c>
    </row>
    <row r="180" spans="1:8" x14ac:dyDescent="0.35">
      <c r="A180" t="s">
        <v>24</v>
      </c>
      <c r="B180" s="26" t="s">
        <v>25</v>
      </c>
      <c r="C180" s="20">
        <v>42196</v>
      </c>
      <c r="D180" t="s">
        <v>37</v>
      </c>
      <c r="E180" s="3">
        <v>50</v>
      </c>
      <c r="F180" s="3">
        <v>64</v>
      </c>
      <c r="G180" s="3">
        <v>2624</v>
      </c>
      <c r="H180" s="3" t="s">
        <v>2971</v>
      </c>
    </row>
    <row r="181" spans="1:8" x14ac:dyDescent="0.35">
      <c r="A181" t="s">
        <v>46</v>
      </c>
      <c r="B181" s="26" t="s">
        <v>25</v>
      </c>
      <c r="C181" s="20">
        <v>43307</v>
      </c>
      <c r="D181" t="s">
        <v>73</v>
      </c>
      <c r="E181" s="3">
        <v>500</v>
      </c>
      <c r="F181" s="3">
        <v>16</v>
      </c>
      <c r="G181" s="3">
        <v>7840</v>
      </c>
      <c r="H181" s="3" t="s">
        <v>2971</v>
      </c>
    </row>
    <row r="182" spans="1:8" x14ac:dyDescent="0.35">
      <c r="A182" t="s">
        <v>46</v>
      </c>
      <c r="B182" s="26" t="s">
        <v>25</v>
      </c>
      <c r="C182" s="20">
        <v>41806</v>
      </c>
      <c r="D182" t="s">
        <v>73</v>
      </c>
      <c r="E182" s="3">
        <v>500</v>
      </c>
      <c r="F182" s="3">
        <v>77</v>
      </c>
      <c r="G182" s="3">
        <v>37730</v>
      </c>
      <c r="H182" s="3" t="s">
        <v>2970</v>
      </c>
    </row>
    <row r="183" spans="1:8" x14ac:dyDescent="0.35">
      <c r="A183" t="s">
        <v>436</v>
      </c>
      <c r="B183" s="26" t="s">
        <v>25</v>
      </c>
      <c r="C183" s="20">
        <v>42194</v>
      </c>
      <c r="D183" t="s">
        <v>62</v>
      </c>
      <c r="E183" s="3">
        <v>1000</v>
      </c>
      <c r="F183" s="3">
        <v>17</v>
      </c>
      <c r="G183" s="3">
        <v>15470</v>
      </c>
      <c r="H183" s="3" t="s">
        <v>2971</v>
      </c>
    </row>
    <row r="184" spans="1:8" x14ac:dyDescent="0.35">
      <c r="A184" t="s">
        <v>229</v>
      </c>
      <c r="B184" s="26" t="s">
        <v>25</v>
      </c>
      <c r="C184" s="20">
        <v>42601</v>
      </c>
      <c r="D184" t="s">
        <v>42</v>
      </c>
      <c r="E184" s="3">
        <v>30</v>
      </c>
      <c r="F184" s="3">
        <v>24</v>
      </c>
      <c r="G184" s="3">
        <v>672</v>
      </c>
      <c r="H184" s="3" t="s">
        <v>2972</v>
      </c>
    </row>
    <row r="185" spans="1:8" x14ac:dyDescent="0.35">
      <c r="A185" t="s">
        <v>172</v>
      </c>
      <c r="B185" s="26" t="s">
        <v>14</v>
      </c>
      <c r="C185" s="20">
        <v>41671</v>
      </c>
      <c r="D185" t="s">
        <v>37</v>
      </c>
      <c r="E185" s="3">
        <v>50</v>
      </c>
      <c r="F185" s="3">
        <v>75</v>
      </c>
      <c r="G185" s="3">
        <v>3300</v>
      </c>
      <c r="H185" s="3" t="s">
        <v>2967</v>
      </c>
    </row>
    <row r="186" spans="1:8" x14ac:dyDescent="0.35">
      <c r="A186" t="s">
        <v>243</v>
      </c>
      <c r="B186" s="26" t="s">
        <v>14</v>
      </c>
      <c r="C186" s="20">
        <v>42515</v>
      </c>
      <c r="D186" t="s">
        <v>15</v>
      </c>
      <c r="E186" s="3">
        <v>80</v>
      </c>
      <c r="F186" s="3">
        <v>6</v>
      </c>
      <c r="G186" s="3">
        <v>450</v>
      </c>
      <c r="H186" s="3" t="s">
        <v>2965</v>
      </c>
    </row>
    <row r="187" spans="1:8" x14ac:dyDescent="0.35">
      <c r="A187" t="s">
        <v>402</v>
      </c>
      <c r="B187" s="26" t="s">
        <v>14</v>
      </c>
      <c r="C187" s="20">
        <v>42177</v>
      </c>
      <c r="D187" t="s">
        <v>116</v>
      </c>
      <c r="E187" s="3">
        <v>250</v>
      </c>
      <c r="F187" s="3">
        <v>7</v>
      </c>
      <c r="G187" s="3">
        <v>1575</v>
      </c>
      <c r="H187" s="3" t="s">
        <v>2970</v>
      </c>
    </row>
    <row r="188" spans="1:8" x14ac:dyDescent="0.35">
      <c r="A188" t="s">
        <v>30</v>
      </c>
      <c r="B188" s="26" t="s">
        <v>14</v>
      </c>
      <c r="C188" s="20">
        <v>42637</v>
      </c>
      <c r="D188" t="s">
        <v>42</v>
      </c>
      <c r="E188" s="3">
        <v>30</v>
      </c>
      <c r="F188" s="3">
        <v>59</v>
      </c>
      <c r="G188" s="3">
        <v>1770</v>
      </c>
      <c r="H188" s="3" t="s">
        <v>2973</v>
      </c>
    </row>
    <row r="189" spans="1:8" x14ac:dyDescent="0.35">
      <c r="A189" t="s">
        <v>229</v>
      </c>
      <c r="B189" s="26" t="s">
        <v>25</v>
      </c>
      <c r="C189" s="20">
        <v>41903</v>
      </c>
      <c r="D189" t="s">
        <v>116</v>
      </c>
      <c r="E189" s="3">
        <v>250</v>
      </c>
      <c r="F189" s="3">
        <v>78</v>
      </c>
      <c r="G189" s="3">
        <v>16380</v>
      </c>
      <c r="H189" s="3" t="s">
        <v>2973</v>
      </c>
    </row>
    <row r="190" spans="1:8" x14ac:dyDescent="0.35">
      <c r="A190" t="s">
        <v>13</v>
      </c>
      <c r="B190" s="26" t="s">
        <v>14</v>
      </c>
      <c r="C190" s="20">
        <v>42851</v>
      </c>
      <c r="D190" t="s">
        <v>116</v>
      </c>
      <c r="E190" s="3">
        <v>250</v>
      </c>
      <c r="F190" s="3">
        <v>14</v>
      </c>
      <c r="G190" s="3">
        <v>3500</v>
      </c>
      <c r="H190" s="3" t="s">
        <v>2969</v>
      </c>
    </row>
    <row r="191" spans="1:8" x14ac:dyDescent="0.35">
      <c r="A191" t="s">
        <v>172</v>
      </c>
      <c r="B191" s="26" t="s">
        <v>14</v>
      </c>
      <c r="C191" s="20">
        <v>43096</v>
      </c>
      <c r="D191" t="s">
        <v>47</v>
      </c>
      <c r="E191" s="3">
        <v>500</v>
      </c>
      <c r="F191" s="3">
        <v>38</v>
      </c>
      <c r="G191" s="3">
        <v>18240</v>
      </c>
      <c r="H191" s="3" t="s">
        <v>2976</v>
      </c>
    </row>
    <row r="192" spans="1:8" x14ac:dyDescent="0.35">
      <c r="A192" t="s">
        <v>35</v>
      </c>
      <c r="B192" s="26" t="s">
        <v>36</v>
      </c>
      <c r="C192" s="20">
        <v>42433</v>
      </c>
      <c r="D192" t="s">
        <v>62</v>
      </c>
      <c r="E192" s="3">
        <v>1000</v>
      </c>
      <c r="F192" s="3">
        <v>32</v>
      </c>
      <c r="G192" s="3">
        <v>31040</v>
      </c>
      <c r="H192" s="3" t="s">
        <v>2968</v>
      </c>
    </row>
    <row r="193" spans="1:8" x14ac:dyDescent="0.35">
      <c r="A193" t="s">
        <v>326</v>
      </c>
      <c r="B193" s="26" t="s">
        <v>14</v>
      </c>
      <c r="C193" s="20">
        <v>41841</v>
      </c>
      <c r="D193" t="s">
        <v>31</v>
      </c>
      <c r="E193" s="3">
        <v>150</v>
      </c>
      <c r="F193" s="3">
        <v>81</v>
      </c>
      <c r="G193" s="3">
        <v>11664</v>
      </c>
      <c r="H193" s="3" t="s">
        <v>2971</v>
      </c>
    </row>
    <row r="194" spans="1:8" x14ac:dyDescent="0.35">
      <c r="A194" t="s">
        <v>109</v>
      </c>
      <c r="B194" s="26" t="s">
        <v>20</v>
      </c>
      <c r="C194" s="20">
        <v>42820</v>
      </c>
      <c r="D194" t="s">
        <v>26</v>
      </c>
      <c r="E194" s="3">
        <v>700</v>
      </c>
      <c r="F194" s="3">
        <v>15</v>
      </c>
      <c r="G194" s="3">
        <v>9555</v>
      </c>
      <c r="H194" s="3" t="s">
        <v>2968</v>
      </c>
    </row>
    <row r="195" spans="1:8" x14ac:dyDescent="0.35">
      <c r="A195" t="s">
        <v>83</v>
      </c>
      <c r="B195" s="26" t="s">
        <v>14</v>
      </c>
      <c r="C195" s="20">
        <v>42473</v>
      </c>
      <c r="D195" t="s">
        <v>105</v>
      </c>
      <c r="E195" s="3">
        <v>70</v>
      </c>
      <c r="F195" s="3">
        <v>99</v>
      </c>
      <c r="G195" s="3">
        <v>6237</v>
      </c>
      <c r="H195" s="3" t="s">
        <v>2969</v>
      </c>
    </row>
    <row r="196" spans="1:8" x14ac:dyDescent="0.35">
      <c r="A196" t="s">
        <v>83</v>
      </c>
      <c r="B196" s="26" t="s">
        <v>14</v>
      </c>
      <c r="C196" s="20">
        <v>43286</v>
      </c>
      <c r="D196" t="s">
        <v>26</v>
      </c>
      <c r="E196" s="3">
        <v>700</v>
      </c>
      <c r="F196" s="3">
        <v>11</v>
      </c>
      <c r="G196" s="3">
        <v>7392</v>
      </c>
      <c r="H196" s="3" t="s">
        <v>2971</v>
      </c>
    </row>
    <row r="197" spans="1:8" x14ac:dyDescent="0.35">
      <c r="A197" t="s">
        <v>41</v>
      </c>
      <c r="B197" s="26" t="s">
        <v>36</v>
      </c>
      <c r="C197" s="20">
        <v>42031</v>
      </c>
      <c r="D197" t="s">
        <v>123</v>
      </c>
      <c r="E197" s="3">
        <v>50</v>
      </c>
      <c r="F197" s="3">
        <v>75</v>
      </c>
      <c r="G197" s="3">
        <v>3150</v>
      </c>
      <c r="H197" s="3" t="s">
        <v>2966</v>
      </c>
    </row>
    <row r="198" spans="1:8" x14ac:dyDescent="0.35">
      <c r="A198" t="s">
        <v>97</v>
      </c>
      <c r="B198" s="26" t="s">
        <v>14</v>
      </c>
      <c r="C198" s="20">
        <v>43434</v>
      </c>
      <c r="D198" t="s">
        <v>15</v>
      </c>
      <c r="E198" s="3">
        <v>80</v>
      </c>
      <c r="F198" s="3">
        <v>93</v>
      </c>
      <c r="G198" s="3">
        <v>7254</v>
      </c>
      <c r="H198" s="3" t="s">
        <v>2975</v>
      </c>
    </row>
    <row r="199" spans="1:8" x14ac:dyDescent="0.35">
      <c r="A199" t="s">
        <v>436</v>
      </c>
      <c r="B199" s="26" t="s">
        <v>25</v>
      </c>
      <c r="C199" s="20">
        <v>43064</v>
      </c>
      <c r="D199" t="s">
        <v>37</v>
      </c>
      <c r="E199" s="3">
        <v>50</v>
      </c>
      <c r="F199" s="3">
        <v>84</v>
      </c>
      <c r="G199" s="3">
        <v>4116</v>
      </c>
      <c r="H199" s="3" t="s">
        <v>2975</v>
      </c>
    </row>
    <row r="200" spans="1:8" x14ac:dyDescent="0.35">
      <c r="A200" t="s">
        <v>109</v>
      </c>
      <c r="B200" s="26" t="s">
        <v>20</v>
      </c>
      <c r="C200" s="20">
        <v>41644</v>
      </c>
      <c r="D200" t="s">
        <v>116</v>
      </c>
      <c r="E200" s="3">
        <v>250</v>
      </c>
      <c r="F200" s="3">
        <v>53</v>
      </c>
      <c r="G200" s="3">
        <v>10229</v>
      </c>
      <c r="H200" s="3" t="s">
        <v>2966</v>
      </c>
    </row>
    <row r="201" spans="1:8" x14ac:dyDescent="0.35">
      <c r="A201" t="s">
        <v>13</v>
      </c>
      <c r="B201" s="26" t="s">
        <v>14</v>
      </c>
      <c r="C201" s="20">
        <v>42782</v>
      </c>
      <c r="D201" t="s">
        <v>15</v>
      </c>
      <c r="E201" s="3">
        <v>80</v>
      </c>
      <c r="F201" s="3">
        <v>57</v>
      </c>
      <c r="G201" s="3">
        <v>4332</v>
      </c>
      <c r="H201" s="3" t="s">
        <v>2967</v>
      </c>
    </row>
    <row r="202" spans="1:8" x14ac:dyDescent="0.35">
      <c r="A202" t="s">
        <v>109</v>
      </c>
      <c r="B202" s="26" t="s">
        <v>20</v>
      </c>
      <c r="C202" s="20">
        <v>42300</v>
      </c>
      <c r="D202" t="s">
        <v>26</v>
      </c>
      <c r="E202" s="3">
        <v>700</v>
      </c>
      <c r="F202" s="3">
        <v>66</v>
      </c>
      <c r="G202" s="3">
        <v>44352</v>
      </c>
      <c r="H202" s="3" t="s">
        <v>2974</v>
      </c>
    </row>
    <row r="203" spans="1:8" x14ac:dyDescent="0.35">
      <c r="A203" t="s">
        <v>176</v>
      </c>
      <c r="B203" s="26" t="s">
        <v>14</v>
      </c>
      <c r="C203" s="20">
        <v>42364</v>
      </c>
      <c r="D203" t="s">
        <v>42</v>
      </c>
      <c r="E203" s="3">
        <v>30</v>
      </c>
      <c r="F203" s="3">
        <v>79</v>
      </c>
      <c r="G203" s="3">
        <v>2212</v>
      </c>
      <c r="H203" s="3" t="s">
        <v>2976</v>
      </c>
    </row>
    <row r="204" spans="1:8" x14ac:dyDescent="0.35">
      <c r="A204" t="s">
        <v>30</v>
      </c>
      <c r="B204" s="26" t="s">
        <v>14</v>
      </c>
      <c r="C204" s="20">
        <v>41951</v>
      </c>
      <c r="D204" t="s">
        <v>15</v>
      </c>
      <c r="E204" s="3">
        <v>80</v>
      </c>
      <c r="F204" s="3">
        <v>20</v>
      </c>
      <c r="G204" s="3">
        <v>1320</v>
      </c>
      <c r="H204" s="3" t="s">
        <v>2975</v>
      </c>
    </row>
    <row r="205" spans="1:8" x14ac:dyDescent="0.35">
      <c r="A205" t="s">
        <v>402</v>
      </c>
      <c r="B205" s="26" t="s">
        <v>14</v>
      </c>
      <c r="C205" s="20">
        <v>42163</v>
      </c>
      <c r="D205" t="s">
        <v>123</v>
      </c>
      <c r="E205" s="3">
        <v>50</v>
      </c>
      <c r="F205" s="3">
        <v>89</v>
      </c>
      <c r="G205" s="3">
        <v>4272</v>
      </c>
      <c r="H205" s="3" t="s">
        <v>2970</v>
      </c>
    </row>
    <row r="206" spans="1:8" x14ac:dyDescent="0.35">
      <c r="A206" t="s">
        <v>176</v>
      </c>
      <c r="B206" s="26" t="s">
        <v>14</v>
      </c>
      <c r="C206" s="20">
        <v>41682</v>
      </c>
      <c r="D206" t="s">
        <v>47</v>
      </c>
      <c r="E206" s="3">
        <v>500</v>
      </c>
      <c r="F206" s="3">
        <v>98</v>
      </c>
      <c r="G206" s="3">
        <v>36260</v>
      </c>
      <c r="H206" s="3" t="s">
        <v>2967</v>
      </c>
    </row>
    <row r="207" spans="1:8" x14ac:dyDescent="0.35">
      <c r="A207" t="s">
        <v>109</v>
      </c>
      <c r="B207" s="26" t="s">
        <v>20</v>
      </c>
      <c r="C207" s="20">
        <v>42394</v>
      </c>
      <c r="D207" t="s">
        <v>15</v>
      </c>
      <c r="E207" s="3">
        <v>80</v>
      </c>
      <c r="F207" s="3">
        <v>40</v>
      </c>
      <c r="G207" s="3">
        <v>2880</v>
      </c>
      <c r="H207" s="3" t="s">
        <v>2966</v>
      </c>
    </row>
    <row r="208" spans="1:8" x14ac:dyDescent="0.35">
      <c r="A208" t="s">
        <v>55</v>
      </c>
      <c r="B208" s="26" t="s">
        <v>14</v>
      </c>
      <c r="C208" s="20">
        <v>42030</v>
      </c>
      <c r="D208" t="s">
        <v>15</v>
      </c>
      <c r="E208" s="3">
        <v>80</v>
      </c>
      <c r="F208" s="3">
        <v>42</v>
      </c>
      <c r="G208" s="3">
        <v>2436</v>
      </c>
      <c r="H208" s="3" t="s">
        <v>2966</v>
      </c>
    </row>
    <row r="209" spans="1:8" x14ac:dyDescent="0.35">
      <c r="A209" t="s">
        <v>19</v>
      </c>
      <c r="B209" s="26" t="s">
        <v>20</v>
      </c>
      <c r="C209" s="20">
        <v>43376</v>
      </c>
      <c r="D209" t="s">
        <v>15</v>
      </c>
      <c r="E209" s="3">
        <v>80</v>
      </c>
      <c r="F209" s="3">
        <v>53</v>
      </c>
      <c r="G209" s="3">
        <v>3869</v>
      </c>
      <c r="H209" s="3" t="s">
        <v>2974</v>
      </c>
    </row>
    <row r="210" spans="1:8" x14ac:dyDescent="0.35">
      <c r="A210" t="s">
        <v>109</v>
      </c>
      <c r="B210" s="26" t="s">
        <v>20</v>
      </c>
      <c r="C210" s="20">
        <v>42069</v>
      </c>
      <c r="D210" t="s">
        <v>56</v>
      </c>
      <c r="E210" s="3">
        <v>800</v>
      </c>
      <c r="F210" s="3">
        <v>76</v>
      </c>
      <c r="G210" s="3">
        <v>58976</v>
      </c>
      <c r="H210" s="3" t="s">
        <v>2968</v>
      </c>
    </row>
    <row r="211" spans="1:8" x14ac:dyDescent="0.35">
      <c r="A211" t="s">
        <v>109</v>
      </c>
      <c r="B211" s="26" t="s">
        <v>20</v>
      </c>
      <c r="C211" s="20">
        <v>43338</v>
      </c>
      <c r="D211" t="s">
        <v>31</v>
      </c>
      <c r="E211" s="3">
        <v>150</v>
      </c>
      <c r="F211" s="3">
        <v>47</v>
      </c>
      <c r="G211" s="3">
        <v>6909</v>
      </c>
      <c r="H211" s="3" t="s">
        <v>2972</v>
      </c>
    </row>
    <row r="212" spans="1:8" x14ac:dyDescent="0.35">
      <c r="A212" t="s">
        <v>24</v>
      </c>
      <c r="B212" s="26" t="s">
        <v>25</v>
      </c>
      <c r="C212" s="20">
        <v>42378</v>
      </c>
      <c r="D212" t="s">
        <v>31</v>
      </c>
      <c r="E212" s="3">
        <v>150</v>
      </c>
      <c r="F212" s="3">
        <v>19</v>
      </c>
      <c r="G212" s="3">
        <v>2546</v>
      </c>
      <c r="H212" s="3" t="s">
        <v>2966</v>
      </c>
    </row>
    <row r="213" spans="1:8" x14ac:dyDescent="0.35">
      <c r="A213" t="s">
        <v>172</v>
      </c>
      <c r="B213" s="26" t="s">
        <v>14</v>
      </c>
      <c r="C213" s="20">
        <v>42566</v>
      </c>
      <c r="D213" t="s">
        <v>42</v>
      </c>
      <c r="E213" s="3">
        <v>30</v>
      </c>
      <c r="F213" s="3">
        <v>64</v>
      </c>
      <c r="G213" s="3">
        <v>512</v>
      </c>
      <c r="H213" s="3" t="s">
        <v>2971</v>
      </c>
    </row>
    <row r="214" spans="1:8" x14ac:dyDescent="0.35">
      <c r="A214" t="s">
        <v>402</v>
      </c>
      <c r="B214" s="26" t="s">
        <v>14</v>
      </c>
      <c r="C214" s="20">
        <v>41972</v>
      </c>
      <c r="D214" t="s">
        <v>31</v>
      </c>
      <c r="E214" s="3">
        <v>150</v>
      </c>
      <c r="F214" s="3">
        <v>66</v>
      </c>
      <c r="G214" s="3">
        <v>8910</v>
      </c>
      <c r="H214" s="3" t="s">
        <v>2975</v>
      </c>
    </row>
    <row r="215" spans="1:8" x14ac:dyDescent="0.35">
      <c r="A215" t="s">
        <v>436</v>
      </c>
      <c r="B215" s="26" t="s">
        <v>25</v>
      </c>
      <c r="C215" s="20">
        <v>41904</v>
      </c>
      <c r="D215" t="s">
        <v>105</v>
      </c>
      <c r="E215" s="3">
        <v>70</v>
      </c>
      <c r="F215" s="3">
        <v>69</v>
      </c>
      <c r="G215" s="3">
        <v>4071</v>
      </c>
      <c r="H215" s="3" t="s">
        <v>2973</v>
      </c>
    </row>
    <row r="216" spans="1:8" x14ac:dyDescent="0.35">
      <c r="A216" t="s">
        <v>72</v>
      </c>
      <c r="B216" s="26" t="s">
        <v>36</v>
      </c>
      <c r="C216" s="20">
        <v>43089</v>
      </c>
      <c r="D216" t="s">
        <v>62</v>
      </c>
      <c r="E216" s="3">
        <v>1000</v>
      </c>
      <c r="F216" s="3">
        <v>83</v>
      </c>
      <c r="G216" s="3">
        <v>41500</v>
      </c>
      <c r="H216" s="3" t="s">
        <v>2976</v>
      </c>
    </row>
    <row r="217" spans="1:8" x14ac:dyDescent="0.35">
      <c r="A217" t="s">
        <v>109</v>
      </c>
      <c r="B217" s="26" t="s">
        <v>20</v>
      </c>
      <c r="C217" s="20">
        <v>42785</v>
      </c>
      <c r="D217" t="s">
        <v>47</v>
      </c>
      <c r="E217" s="3">
        <v>500</v>
      </c>
      <c r="F217" s="3">
        <v>71</v>
      </c>
      <c r="G217" s="3">
        <v>35145</v>
      </c>
      <c r="H217" s="3" t="s">
        <v>2967</v>
      </c>
    </row>
    <row r="218" spans="1:8" x14ac:dyDescent="0.35">
      <c r="A218" t="s">
        <v>326</v>
      </c>
      <c r="B218" s="26" t="s">
        <v>14</v>
      </c>
      <c r="C218" s="20">
        <v>43147</v>
      </c>
      <c r="D218" t="s">
        <v>37</v>
      </c>
      <c r="E218" s="3">
        <v>50</v>
      </c>
      <c r="F218" s="3">
        <v>22</v>
      </c>
      <c r="G218" s="3">
        <v>1078</v>
      </c>
      <c r="H218" s="3" t="s">
        <v>2967</v>
      </c>
    </row>
    <row r="219" spans="1:8" x14ac:dyDescent="0.35">
      <c r="A219" t="s">
        <v>19</v>
      </c>
      <c r="B219" s="26" t="s">
        <v>20</v>
      </c>
      <c r="C219" s="20">
        <v>41649</v>
      </c>
      <c r="D219" t="s">
        <v>123</v>
      </c>
      <c r="E219" s="3">
        <v>50</v>
      </c>
      <c r="F219" s="3">
        <v>14</v>
      </c>
      <c r="G219" s="3">
        <v>672</v>
      </c>
      <c r="H219" s="3" t="s">
        <v>2966</v>
      </c>
    </row>
    <row r="220" spans="1:8" x14ac:dyDescent="0.35">
      <c r="A220" t="s">
        <v>93</v>
      </c>
      <c r="B220" s="26" t="s">
        <v>36</v>
      </c>
      <c r="C220" s="20">
        <v>42251</v>
      </c>
      <c r="D220" t="s">
        <v>26</v>
      </c>
      <c r="E220" s="3">
        <v>700</v>
      </c>
      <c r="F220" s="3">
        <v>97</v>
      </c>
      <c r="G220" s="3">
        <v>54320</v>
      </c>
      <c r="H220" s="3" t="s">
        <v>2973</v>
      </c>
    </row>
    <row r="221" spans="1:8" x14ac:dyDescent="0.35">
      <c r="A221" t="s">
        <v>72</v>
      </c>
      <c r="B221" s="26" t="s">
        <v>36</v>
      </c>
      <c r="C221" s="20">
        <v>41855</v>
      </c>
      <c r="D221" t="s">
        <v>62</v>
      </c>
      <c r="E221" s="3">
        <v>1000</v>
      </c>
      <c r="F221" s="3">
        <v>35</v>
      </c>
      <c r="G221" s="3">
        <v>17500</v>
      </c>
      <c r="H221" s="3" t="s">
        <v>2972</v>
      </c>
    </row>
    <row r="222" spans="1:8" x14ac:dyDescent="0.35">
      <c r="A222" t="s">
        <v>109</v>
      </c>
      <c r="B222" s="26" t="s">
        <v>20</v>
      </c>
      <c r="C222" s="20">
        <v>43325</v>
      </c>
      <c r="D222" t="s">
        <v>73</v>
      </c>
      <c r="E222" s="3">
        <v>500</v>
      </c>
      <c r="F222" s="3">
        <v>64</v>
      </c>
      <c r="G222" s="3">
        <v>31680</v>
      </c>
      <c r="H222" s="3" t="s">
        <v>2972</v>
      </c>
    </row>
    <row r="223" spans="1:8" x14ac:dyDescent="0.35">
      <c r="A223" t="s">
        <v>109</v>
      </c>
      <c r="B223" s="26" t="s">
        <v>20</v>
      </c>
      <c r="C223" s="20">
        <v>42647</v>
      </c>
      <c r="D223" t="s">
        <v>42</v>
      </c>
      <c r="E223" s="3">
        <v>30</v>
      </c>
      <c r="F223" s="3">
        <v>84</v>
      </c>
      <c r="G223" s="3">
        <v>2436</v>
      </c>
      <c r="H223" s="3" t="s">
        <v>2974</v>
      </c>
    </row>
    <row r="224" spans="1:8" x14ac:dyDescent="0.35">
      <c r="A224" t="s">
        <v>109</v>
      </c>
      <c r="B224" s="26" t="s">
        <v>20</v>
      </c>
      <c r="C224" s="20">
        <v>41826</v>
      </c>
      <c r="D224" t="s">
        <v>123</v>
      </c>
      <c r="E224" s="3">
        <v>50</v>
      </c>
      <c r="F224" s="3">
        <v>68</v>
      </c>
      <c r="G224" s="3">
        <v>2992</v>
      </c>
      <c r="H224" s="3" t="s">
        <v>2971</v>
      </c>
    </row>
    <row r="225" spans="1:8" x14ac:dyDescent="0.35">
      <c r="A225" t="s">
        <v>83</v>
      </c>
      <c r="B225" s="26" t="s">
        <v>14</v>
      </c>
      <c r="C225" s="20">
        <v>41885</v>
      </c>
      <c r="D225" t="s">
        <v>62</v>
      </c>
      <c r="E225" s="3">
        <v>1000</v>
      </c>
      <c r="F225" s="3">
        <v>26</v>
      </c>
      <c r="G225" s="3">
        <v>18460</v>
      </c>
      <c r="H225" s="3" t="s">
        <v>2973</v>
      </c>
    </row>
    <row r="226" spans="1:8" x14ac:dyDescent="0.35">
      <c r="A226" t="s">
        <v>109</v>
      </c>
      <c r="B226" s="26" t="s">
        <v>20</v>
      </c>
      <c r="C226" s="20">
        <v>42476</v>
      </c>
      <c r="D226" t="s">
        <v>31</v>
      </c>
      <c r="E226" s="3">
        <v>150</v>
      </c>
      <c r="F226" s="3">
        <v>56</v>
      </c>
      <c r="G226" s="3">
        <v>8400</v>
      </c>
      <c r="H226" s="3" t="s">
        <v>2969</v>
      </c>
    </row>
    <row r="227" spans="1:8" x14ac:dyDescent="0.35">
      <c r="A227" t="s">
        <v>93</v>
      </c>
      <c r="B227" s="26" t="s">
        <v>36</v>
      </c>
      <c r="C227" s="20">
        <v>42666</v>
      </c>
      <c r="D227" t="s">
        <v>37</v>
      </c>
      <c r="E227" s="3">
        <v>50</v>
      </c>
      <c r="F227" s="3">
        <v>81</v>
      </c>
      <c r="G227" s="3">
        <v>3564</v>
      </c>
      <c r="H227" s="3" t="s">
        <v>2974</v>
      </c>
    </row>
    <row r="228" spans="1:8" x14ac:dyDescent="0.35">
      <c r="A228" t="s">
        <v>51</v>
      </c>
      <c r="B228" s="26" t="s">
        <v>25</v>
      </c>
      <c r="C228" s="20">
        <v>42068</v>
      </c>
      <c r="D228" t="s">
        <v>42</v>
      </c>
      <c r="E228" s="3">
        <v>30</v>
      </c>
      <c r="F228" s="3">
        <v>71</v>
      </c>
      <c r="G228" s="3">
        <v>1704</v>
      </c>
      <c r="H228" s="3" t="s">
        <v>2968</v>
      </c>
    </row>
    <row r="229" spans="1:8" x14ac:dyDescent="0.35">
      <c r="A229" t="s">
        <v>436</v>
      </c>
      <c r="B229" s="26" t="s">
        <v>25</v>
      </c>
      <c r="C229" s="20">
        <v>42216</v>
      </c>
      <c r="D229" t="s">
        <v>116</v>
      </c>
      <c r="E229" s="3">
        <v>250</v>
      </c>
      <c r="F229" s="3">
        <v>32</v>
      </c>
      <c r="G229" s="3">
        <v>5216</v>
      </c>
      <c r="H229" s="3" t="s">
        <v>2971</v>
      </c>
    </row>
    <row r="230" spans="1:8" x14ac:dyDescent="0.35">
      <c r="A230" t="s">
        <v>66</v>
      </c>
      <c r="B230" s="26" t="s">
        <v>36</v>
      </c>
      <c r="C230" s="20">
        <v>43381</v>
      </c>
      <c r="D230" t="s">
        <v>15</v>
      </c>
      <c r="E230" s="3">
        <v>80</v>
      </c>
      <c r="F230" s="3">
        <v>93</v>
      </c>
      <c r="G230" s="3">
        <v>7254</v>
      </c>
      <c r="H230" s="3" t="s">
        <v>2974</v>
      </c>
    </row>
    <row r="231" spans="1:8" x14ac:dyDescent="0.35">
      <c r="A231" t="s">
        <v>189</v>
      </c>
      <c r="B231" s="26" t="s">
        <v>14</v>
      </c>
      <c r="C231" s="20">
        <v>43303</v>
      </c>
      <c r="D231" t="s">
        <v>15</v>
      </c>
      <c r="E231" s="3">
        <v>80</v>
      </c>
      <c r="F231" s="3">
        <v>54</v>
      </c>
      <c r="G231" s="3">
        <v>4212</v>
      </c>
      <c r="H231" s="3" t="s">
        <v>2971</v>
      </c>
    </row>
    <row r="232" spans="1:8" x14ac:dyDescent="0.35">
      <c r="A232" t="s">
        <v>41</v>
      </c>
      <c r="B232" s="26" t="s">
        <v>36</v>
      </c>
      <c r="C232" s="20">
        <v>42892</v>
      </c>
      <c r="D232" t="s">
        <v>26</v>
      </c>
      <c r="E232" s="3">
        <v>700</v>
      </c>
      <c r="F232" s="3">
        <v>9</v>
      </c>
      <c r="G232" s="3">
        <v>5859</v>
      </c>
      <c r="H232" s="3" t="s">
        <v>2970</v>
      </c>
    </row>
    <row r="233" spans="1:8" x14ac:dyDescent="0.35">
      <c r="A233" t="s">
        <v>87</v>
      </c>
      <c r="B233" s="26" t="s">
        <v>14</v>
      </c>
      <c r="C233" s="20">
        <v>42199</v>
      </c>
      <c r="D233" t="s">
        <v>37</v>
      </c>
      <c r="E233" s="3">
        <v>50</v>
      </c>
      <c r="F233" s="3">
        <v>9</v>
      </c>
      <c r="G233" s="3">
        <v>324</v>
      </c>
      <c r="H233" s="3" t="s">
        <v>2971</v>
      </c>
    </row>
    <row r="234" spans="1:8" x14ac:dyDescent="0.35">
      <c r="A234" t="s">
        <v>172</v>
      </c>
      <c r="B234" s="26" t="s">
        <v>14</v>
      </c>
      <c r="C234" s="20">
        <v>41750</v>
      </c>
      <c r="D234" t="s">
        <v>73</v>
      </c>
      <c r="E234" s="3">
        <v>500</v>
      </c>
      <c r="F234" s="3">
        <v>41</v>
      </c>
      <c r="G234" s="3">
        <v>20500</v>
      </c>
      <c r="H234" s="3" t="s">
        <v>2969</v>
      </c>
    </row>
    <row r="235" spans="1:8" x14ac:dyDescent="0.35">
      <c r="A235" t="s">
        <v>243</v>
      </c>
      <c r="B235" s="26" t="s">
        <v>14</v>
      </c>
      <c r="C235" s="20">
        <v>42211</v>
      </c>
      <c r="D235" t="s">
        <v>31</v>
      </c>
      <c r="E235" s="3">
        <v>150</v>
      </c>
      <c r="F235" s="3">
        <v>36</v>
      </c>
      <c r="G235" s="3">
        <v>5040</v>
      </c>
      <c r="H235" s="3" t="s">
        <v>2971</v>
      </c>
    </row>
    <row r="236" spans="1:8" x14ac:dyDescent="0.35">
      <c r="A236" t="s">
        <v>257</v>
      </c>
      <c r="B236" s="26" t="s">
        <v>14</v>
      </c>
      <c r="C236" s="20">
        <v>43073</v>
      </c>
      <c r="D236" t="s">
        <v>26</v>
      </c>
      <c r="E236" s="3">
        <v>700</v>
      </c>
      <c r="F236" s="3">
        <v>63</v>
      </c>
      <c r="G236" s="3">
        <v>44100</v>
      </c>
      <c r="H236" s="3" t="s">
        <v>2976</v>
      </c>
    </row>
    <row r="237" spans="1:8" x14ac:dyDescent="0.35">
      <c r="A237" t="s">
        <v>79</v>
      </c>
      <c r="B237" s="26" t="s">
        <v>36</v>
      </c>
      <c r="C237" s="20">
        <v>42837</v>
      </c>
      <c r="D237" t="s">
        <v>31</v>
      </c>
      <c r="E237" s="3">
        <v>150</v>
      </c>
      <c r="F237" s="3">
        <v>11</v>
      </c>
      <c r="G237" s="3">
        <v>1584</v>
      </c>
      <c r="H237" s="3" t="s">
        <v>2969</v>
      </c>
    </row>
    <row r="238" spans="1:8" x14ac:dyDescent="0.35">
      <c r="A238" t="s">
        <v>129</v>
      </c>
      <c r="B238" s="26" t="s">
        <v>14</v>
      </c>
      <c r="C238" s="20">
        <v>43001</v>
      </c>
      <c r="D238" t="s">
        <v>47</v>
      </c>
      <c r="E238" s="3">
        <v>500</v>
      </c>
      <c r="F238" s="3">
        <v>62</v>
      </c>
      <c r="G238" s="3">
        <v>28830</v>
      </c>
      <c r="H238" s="3" t="s">
        <v>2973</v>
      </c>
    </row>
    <row r="239" spans="1:8" x14ac:dyDescent="0.35">
      <c r="A239" t="s">
        <v>272</v>
      </c>
      <c r="B239" s="26" t="s">
        <v>36</v>
      </c>
      <c r="C239" s="20">
        <v>42434</v>
      </c>
      <c r="D239" t="s">
        <v>37</v>
      </c>
      <c r="E239" s="3">
        <v>50</v>
      </c>
      <c r="F239" s="3">
        <v>36</v>
      </c>
      <c r="G239" s="3">
        <v>1800</v>
      </c>
      <c r="H239" s="3" t="s">
        <v>2968</v>
      </c>
    </row>
    <row r="240" spans="1:8" x14ac:dyDescent="0.35">
      <c r="A240" t="s">
        <v>66</v>
      </c>
      <c r="B240" s="26" t="s">
        <v>36</v>
      </c>
      <c r="C240" s="20">
        <v>42074</v>
      </c>
      <c r="D240" t="s">
        <v>123</v>
      </c>
      <c r="E240" s="3">
        <v>50</v>
      </c>
      <c r="F240" s="3">
        <v>64</v>
      </c>
      <c r="G240" s="3">
        <v>3136</v>
      </c>
      <c r="H240" s="3" t="s">
        <v>2968</v>
      </c>
    </row>
    <row r="241" spans="1:8" x14ac:dyDescent="0.35">
      <c r="A241" t="s">
        <v>109</v>
      </c>
      <c r="B241" s="26" t="s">
        <v>20</v>
      </c>
      <c r="C241" s="20">
        <v>41868</v>
      </c>
      <c r="D241" t="s">
        <v>37</v>
      </c>
      <c r="E241" s="3">
        <v>50</v>
      </c>
      <c r="F241" s="3">
        <v>75</v>
      </c>
      <c r="G241" s="3">
        <v>3300</v>
      </c>
      <c r="H241" s="3" t="s">
        <v>2972</v>
      </c>
    </row>
    <row r="242" spans="1:8" x14ac:dyDescent="0.35">
      <c r="A242" t="s">
        <v>129</v>
      </c>
      <c r="B242" s="26" t="s">
        <v>14</v>
      </c>
      <c r="C242" s="20">
        <v>42664</v>
      </c>
      <c r="D242" t="s">
        <v>73</v>
      </c>
      <c r="E242" s="3">
        <v>500</v>
      </c>
      <c r="F242" s="3">
        <v>45</v>
      </c>
      <c r="G242" s="3">
        <v>22050</v>
      </c>
      <c r="H242" s="3" t="s">
        <v>2974</v>
      </c>
    </row>
    <row r="243" spans="1:8" x14ac:dyDescent="0.35">
      <c r="A243" t="s">
        <v>129</v>
      </c>
      <c r="B243" s="26" t="s">
        <v>14</v>
      </c>
      <c r="C243" s="20">
        <v>43282</v>
      </c>
      <c r="D243" t="s">
        <v>26</v>
      </c>
      <c r="E243" s="3">
        <v>700</v>
      </c>
      <c r="F243" s="3">
        <v>18</v>
      </c>
      <c r="G243" s="3">
        <v>11214</v>
      </c>
      <c r="H243" s="3" t="s">
        <v>2971</v>
      </c>
    </row>
    <row r="244" spans="1:8" x14ac:dyDescent="0.35">
      <c r="A244" t="s">
        <v>109</v>
      </c>
      <c r="B244" s="26" t="s">
        <v>20</v>
      </c>
      <c r="C244" s="20">
        <v>41801</v>
      </c>
      <c r="D244" t="s">
        <v>26</v>
      </c>
      <c r="E244" s="3">
        <v>700</v>
      </c>
      <c r="F244" s="3">
        <v>59</v>
      </c>
      <c r="G244" s="3">
        <v>33866</v>
      </c>
      <c r="H244" s="3" t="s">
        <v>2970</v>
      </c>
    </row>
    <row r="245" spans="1:8" x14ac:dyDescent="0.35">
      <c r="A245" t="s">
        <v>93</v>
      </c>
      <c r="B245" s="26" t="s">
        <v>36</v>
      </c>
      <c r="C245" s="20">
        <v>42396</v>
      </c>
      <c r="D245" t="s">
        <v>105</v>
      </c>
      <c r="E245" s="3">
        <v>70</v>
      </c>
      <c r="F245" s="3">
        <v>22</v>
      </c>
      <c r="G245" s="3">
        <v>1496</v>
      </c>
      <c r="H245" s="3" t="s">
        <v>2966</v>
      </c>
    </row>
    <row r="246" spans="1:8" x14ac:dyDescent="0.35">
      <c r="A246" t="s">
        <v>120</v>
      </c>
      <c r="B246" s="26" t="s">
        <v>36</v>
      </c>
      <c r="C246" s="20">
        <v>43369</v>
      </c>
      <c r="D246" t="s">
        <v>105</v>
      </c>
      <c r="E246" s="3">
        <v>70</v>
      </c>
      <c r="F246" s="3">
        <v>48</v>
      </c>
      <c r="G246" s="3">
        <v>3312</v>
      </c>
      <c r="H246" s="3" t="s">
        <v>2973</v>
      </c>
    </row>
    <row r="247" spans="1:8" x14ac:dyDescent="0.35">
      <c r="A247" t="s">
        <v>436</v>
      </c>
      <c r="B247" s="26" t="s">
        <v>25</v>
      </c>
      <c r="C247" s="20">
        <v>42440</v>
      </c>
      <c r="D247" t="s">
        <v>42</v>
      </c>
      <c r="E247" s="3">
        <v>30</v>
      </c>
      <c r="F247" s="3">
        <v>87</v>
      </c>
      <c r="G247" s="3">
        <v>2523</v>
      </c>
      <c r="H247" s="3" t="s">
        <v>2968</v>
      </c>
    </row>
    <row r="248" spans="1:8" x14ac:dyDescent="0.35">
      <c r="A248" t="s">
        <v>19</v>
      </c>
      <c r="B248" s="26" t="s">
        <v>20</v>
      </c>
      <c r="C248" s="20">
        <v>43359</v>
      </c>
      <c r="D248" t="s">
        <v>56</v>
      </c>
      <c r="E248" s="3">
        <v>800</v>
      </c>
      <c r="F248" s="3">
        <v>97</v>
      </c>
      <c r="G248" s="3">
        <v>67512</v>
      </c>
      <c r="H248" s="3" t="s">
        <v>2973</v>
      </c>
    </row>
    <row r="249" spans="1:8" x14ac:dyDescent="0.35">
      <c r="A249" t="s">
        <v>30</v>
      </c>
      <c r="B249" s="26" t="s">
        <v>14</v>
      </c>
      <c r="C249" s="20">
        <v>42474</v>
      </c>
      <c r="D249" t="s">
        <v>26</v>
      </c>
      <c r="E249" s="3">
        <v>700</v>
      </c>
      <c r="F249" s="3">
        <v>53</v>
      </c>
      <c r="G249" s="3">
        <v>31906</v>
      </c>
      <c r="H249" s="3" t="s">
        <v>2969</v>
      </c>
    </row>
    <row r="250" spans="1:8" x14ac:dyDescent="0.35">
      <c r="A250" t="s">
        <v>109</v>
      </c>
      <c r="B250" s="26" t="s">
        <v>20</v>
      </c>
      <c r="C250" s="20">
        <v>41737</v>
      </c>
      <c r="D250" t="s">
        <v>37</v>
      </c>
      <c r="E250" s="3">
        <v>50</v>
      </c>
      <c r="F250" s="3">
        <v>58</v>
      </c>
      <c r="G250" s="3">
        <v>2320</v>
      </c>
      <c r="H250" s="3" t="s">
        <v>2969</v>
      </c>
    </row>
    <row r="251" spans="1:8" x14ac:dyDescent="0.35">
      <c r="A251" t="s">
        <v>79</v>
      </c>
      <c r="B251" s="26" t="s">
        <v>36</v>
      </c>
      <c r="C251" s="20">
        <v>42830</v>
      </c>
      <c r="D251" t="s">
        <v>123</v>
      </c>
      <c r="E251" s="3">
        <v>50</v>
      </c>
      <c r="F251" s="3">
        <v>67</v>
      </c>
      <c r="G251" s="3">
        <v>3350</v>
      </c>
      <c r="H251" s="3" t="s">
        <v>2969</v>
      </c>
    </row>
    <row r="252" spans="1:8" x14ac:dyDescent="0.35">
      <c r="A252" t="s">
        <v>436</v>
      </c>
      <c r="B252" s="26" t="s">
        <v>25</v>
      </c>
      <c r="C252" s="20">
        <v>43061</v>
      </c>
      <c r="D252" t="s">
        <v>37</v>
      </c>
      <c r="E252" s="3">
        <v>50</v>
      </c>
      <c r="F252" s="3">
        <v>63</v>
      </c>
      <c r="G252" s="3">
        <v>3087</v>
      </c>
      <c r="H252" s="3" t="s">
        <v>2975</v>
      </c>
    </row>
    <row r="253" spans="1:8" x14ac:dyDescent="0.35">
      <c r="A253" t="s">
        <v>61</v>
      </c>
      <c r="B253" s="26" t="s">
        <v>14</v>
      </c>
      <c r="C253" s="20">
        <v>41839</v>
      </c>
      <c r="D253" t="s">
        <v>47</v>
      </c>
      <c r="E253" s="3">
        <v>500</v>
      </c>
      <c r="F253" s="3">
        <v>79</v>
      </c>
      <c r="G253" s="3">
        <v>33575</v>
      </c>
      <c r="H253" s="3" t="s">
        <v>2971</v>
      </c>
    </row>
    <row r="254" spans="1:8" x14ac:dyDescent="0.35">
      <c r="A254" t="s">
        <v>172</v>
      </c>
      <c r="B254" s="26" t="s">
        <v>14</v>
      </c>
      <c r="C254" s="20">
        <v>43364</v>
      </c>
      <c r="D254" t="s">
        <v>73</v>
      </c>
      <c r="E254" s="3">
        <v>500</v>
      </c>
      <c r="F254" s="3">
        <v>79</v>
      </c>
      <c r="G254" s="3">
        <v>39500</v>
      </c>
      <c r="H254" s="3" t="s">
        <v>2973</v>
      </c>
    </row>
    <row r="255" spans="1:8" x14ac:dyDescent="0.35">
      <c r="A255" t="s">
        <v>30</v>
      </c>
      <c r="B255" s="26" t="s">
        <v>14</v>
      </c>
      <c r="C255" s="20">
        <v>42277</v>
      </c>
      <c r="D255" t="s">
        <v>56</v>
      </c>
      <c r="E255" s="3">
        <v>800</v>
      </c>
      <c r="F255" s="3">
        <v>11</v>
      </c>
      <c r="G255" s="3">
        <v>7480</v>
      </c>
      <c r="H255" s="3" t="s">
        <v>2973</v>
      </c>
    </row>
    <row r="256" spans="1:8" x14ac:dyDescent="0.35">
      <c r="A256" t="s">
        <v>83</v>
      </c>
      <c r="B256" s="26" t="s">
        <v>14</v>
      </c>
      <c r="C256" s="20">
        <v>43081</v>
      </c>
      <c r="D256" t="s">
        <v>31</v>
      </c>
      <c r="E256" s="3">
        <v>150</v>
      </c>
      <c r="F256" s="3">
        <v>49</v>
      </c>
      <c r="G256" s="3">
        <v>7056</v>
      </c>
      <c r="H256" s="3" t="s">
        <v>2976</v>
      </c>
    </row>
    <row r="257" spans="1:8" x14ac:dyDescent="0.35">
      <c r="A257" t="s">
        <v>257</v>
      </c>
      <c r="B257" s="26" t="s">
        <v>14</v>
      </c>
      <c r="C257" s="20">
        <v>42406</v>
      </c>
      <c r="D257" t="s">
        <v>62</v>
      </c>
      <c r="E257" s="3">
        <v>1000</v>
      </c>
      <c r="F257" s="3">
        <v>13</v>
      </c>
      <c r="G257" s="3">
        <v>8840</v>
      </c>
      <c r="H257" s="3" t="s">
        <v>2967</v>
      </c>
    </row>
    <row r="258" spans="1:8" x14ac:dyDescent="0.35">
      <c r="A258" t="s">
        <v>24</v>
      </c>
      <c r="B258" s="26" t="s">
        <v>25</v>
      </c>
      <c r="C258" s="20">
        <v>43099</v>
      </c>
      <c r="D258" t="s">
        <v>31</v>
      </c>
      <c r="E258" s="3">
        <v>150</v>
      </c>
      <c r="F258" s="3">
        <v>17</v>
      </c>
      <c r="G258" s="3">
        <v>2380</v>
      </c>
      <c r="H258" s="3" t="s">
        <v>2976</v>
      </c>
    </row>
    <row r="259" spans="1:8" x14ac:dyDescent="0.35">
      <c r="A259" t="s">
        <v>83</v>
      </c>
      <c r="B259" s="26" t="s">
        <v>14</v>
      </c>
      <c r="C259" s="20">
        <v>42875</v>
      </c>
      <c r="D259" t="s">
        <v>42</v>
      </c>
      <c r="E259" s="3">
        <v>30</v>
      </c>
      <c r="F259" s="3">
        <v>90</v>
      </c>
      <c r="G259" s="3">
        <v>2520</v>
      </c>
      <c r="H259" s="3" t="s">
        <v>2965</v>
      </c>
    </row>
    <row r="260" spans="1:8" x14ac:dyDescent="0.35">
      <c r="A260" t="s">
        <v>207</v>
      </c>
      <c r="B260" s="26" t="s">
        <v>25</v>
      </c>
      <c r="C260" s="20">
        <v>41662</v>
      </c>
      <c r="D260" t="s">
        <v>56</v>
      </c>
      <c r="E260" s="3">
        <v>800</v>
      </c>
      <c r="F260" s="3">
        <v>91</v>
      </c>
      <c r="G260" s="3">
        <v>49504</v>
      </c>
      <c r="H260" s="3" t="s">
        <v>2966</v>
      </c>
    </row>
    <row r="261" spans="1:8" x14ac:dyDescent="0.35">
      <c r="A261" t="s">
        <v>19</v>
      </c>
      <c r="B261" s="26" t="s">
        <v>20</v>
      </c>
      <c r="C261" s="20">
        <v>42447</v>
      </c>
      <c r="D261" t="s">
        <v>37</v>
      </c>
      <c r="E261" s="3">
        <v>50</v>
      </c>
      <c r="F261" s="3">
        <v>44</v>
      </c>
      <c r="G261" s="3">
        <v>2068</v>
      </c>
      <c r="H261" s="3" t="s">
        <v>2968</v>
      </c>
    </row>
    <row r="262" spans="1:8" x14ac:dyDescent="0.35">
      <c r="A262" t="s">
        <v>83</v>
      </c>
      <c r="B262" s="26" t="s">
        <v>14</v>
      </c>
      <c r="C262" s="20">
        <v>41840</v>
      </c>
      <c r="D262" t="s">
        <v>15</v>
      </c>
      <c r="E262" s="3">
        <v>80</v>
      </c>
      <c r="F262" s="3">
        <v>77</v>
      </c>
      <c r="G262" s="3">
        <v>4620</v>
      </c>
      <c r="H262" s="3" t="s">
        <v>2971</v>
      </c>
    </row>
    <row r="263" spans="1:8" x14ac:dyDescent="0.35">
      <c r="A263" t="s">
        <v>272</v>
      </c>
      <c r="B263" s="26" t="s">
        <v>36</v>
      </c>
      <c r="C263" s="20">
        <v>43268</v>
      </c>
      <c r="D263" t="s">
        <v>42</v>
      </c>
      <c r="E263" s="3">
        <v>30</v>
      </c>
      <c r="F263" s="3">
        <v>98</v>
      </c>
      <c r="G263" s="3">
        <v>2548</v>
      </c>
      <c r="H263" s="3" t="s">
        <v>2970</v>
      </c>
    </row>
    <row r="264" spans="1:8" x14ac:dyDescent="0.35">
      <c r="A264" t="s">
        <v>109</v>
      </c>
      <c r="B264" s="26" t="s">
        <v>20</v>
      </c>
      <c r="C264" s="20">
        <v>42636</v>
      </c>
      <c r="D264" t="s">
        <v>73</v>
      </c>
      <c r="E264" s="3">
        <v>500</v>
      </c>
      <c r="F264" s="3">
        <v>60</v>
      </c>
      <c r="G264" s="3">
        <v>29700</v>
      </c>
      <c r="H264" s="3" t="s">
        <v>2973</v>
      </c>
    </row>
    <row r="265" spans="1:8" x14ac:dyDescent="0.35">
      <c r="A265" t="s">
        <v>41</v>
      </c>
      <c r="B265" s="26" t="s">
        <v>36</v>
      </c>
      <c r="C265" s="20">
        <v>41768</v>
      </c>
      <c r="D265" t="s">
        <v>62</v>
      </c>
      <c r="E265" s="3">
        <v>1000</v>
      </c>
      <c r="F265" s="3">
        <v>70</v>
      </c>
      <c r="G265" s="3">
        <v>43400</v>
      </c>
      <c r="H265" s="3" t="s">
        <v>2965</v>
      </c>
    </row>
    <row r="266" spans="1:8" x14ac:dyDescent="0.35">
      <c r="A266" t="s">
        <v>109</v>
      </c>
      <c r="B266" s="26" t="s">
        <v>20</v>
      </c>
      <c r="C266" s="20">
        <v>43173</v>
      </c>
      <c r="D266" t="s">
        <v>73</v>
      </c>
      <c r="E266" s="3">
        <v>500</v>
      </c>
      <c r="F266" s="3">
        <v>42</v>
      </c>
      <c r="G266" s="3">
        <v>20580</v>
      </c>
      <c r="H266" s="3" t="s">
        <v>2968</v>
      </c>
    </row>
    <row r="267" spans="1:8" x14ac:dyDescent="0.35">
      <c r="A267" t="s">
        <v>87</v>
      </c>
      <c r="B267" s="26" t="s">
        <v>14</v>
      </c>
      <c r="C267" s="20">
        <v>41862</v>
      </c>
      <c r="D267" t="s">
        <v>42</v>
      </c>
      <c r="E267" s="3">
        <v>30</v>
      </c>
      <c r="F267" s="3">
        <v>57</v>
      </c>
      <c r="G267" s="3">
        <v>1197</v>
      </c>
      <c r="H267" s="3" t="s">
        <v>2972</v>
      </c>
    </row>
    <row r="268" spans="1:8" x14ac:dyDescent="0.35">
      <c r="A268" t="s">
        <v>41</v>
      </c>
      <c r="B268" s="26" t="s">
        <v>36</v>
      </c>
      <c r="C268" s="20">
        <v>42152</v>
      </c>
      <c r="D268" t="s">
        <v>42</v>
      </c>
      <c r="E268" s="3">
        <v>30</v>
      </c>
      <c r="F268" s="3">
        <v>86</v>
      </c>
      <c r="G268" s="3">
        <v>1720</v>
      </c>
      <c r="H268" s="3" t="s">
        <v>2965</v>
      </c>
    </row>
    <row r="269" spans="1:8" x14ac:dyDescent="0.35">
      <c r="A269" t="s">
        <v>41</v>
      </c>
      <c r="B269" s="26" t="s">
        <v>36</v>
      </c>
      <c r="C269" s="20">
        <v>42174</v>
      </c>
      <c r="D269" t="s">
        <v>62</v>
      </c>
      <c r="E269" s="3">
        <v>1000</v>
      </c>
      <c r="F269" s="3">
        <v>25</v>
      </c>
      <c r="G269" s="3">
        <v>22750</v>
      </c>
      <c r="H269" s="3" t="s">
        <v>2970</v>
      </c>
    </row>
    <row r="270" spans="1:8" x14ac:dyDescent="0.35">
      <c r="A270" t="s">
        <v>66</v>
      </c>
      <c r="B270" s="26" t="s">
        <v>36</v>
      </c>
      <c r="C270" s="20">
        <v>42666</v>
      </c>
      <c r="D270" t="s">
        <v>105</v>
      </c>
      <c r="E270" s="3">
        <v>70</v>
      </c>
      <c r="F270" s="3">
        <v>97</v>
      </c>
      <c r="G270" s="3">
        <v>6596</v>
      </c>
      <c r="H270" s="3" t="s">
        <v>2974</v>
      </c>
    </row>
    <row r="271" spans="1:8" x14ac:dyDescent="0.35">
      <c r="A271" t="s">
        <v>207</v>
      </c>
      <c r="B271" s="26" t="s">
        <v>25</v>
      </c>
      <c r="C271" s="20">
        <v>42456</v>
      </c>
      <c r="D271" t="s">
        <v>26</v>
      </c>
      <c r="E271" s="3">
        <v>700</v>
      </c>
      <c r="F271" s="3">
        <v>100</v>
      </c>
      <c r="G271" s="3">
        <v>62300</v>
      </c>
      <c r="H271" s="3" t="s">
        <v>2968</v>
      </c>
    </row>
    <row r="272" spans="1:8" x14ac:dyDescent="0.35">
      <c r="A272" t="s">
        <v>87</v>
      </c>
      <c r="B272" s="26" t="s">
        <v>14</v>
      </c>
      <c r="C272" s="20">
        <v>41698</v>
      </c>
      <c r="D272" t="s">
        <v>73</v>
      </c>
      <c r="E272" s="3">
        <v>500</v>
      </c>
      <c r="F272" s="3">
        <v>12</v>
      </c>
      <c r="G272" s="3">
        <v>5880</v>
      </c>
      <c r="H272" s="3" t="s">
        <v>2967</v>
      </c>
    </row>
    <row r="273" spans="1:8" x14ac:dyDescent="0.35">
      <c r="A273" t="s">
        <v>120</v>
      </c>
      <c r="B273" s="26" t="s">
        <v>36</v>
      </c>
      <c r="C273" s="20">
        <v>42678</v>
      </c>
      <c r="D273" t="s">
        <v>37</v>
      </c>
      <c r="E273" s="3">
        <v>50</v>
      </c>
      <c r="F273" s="3">
        <v>81</v>
      </c>
      <c r="G273" s="3">
        <v>4050</v>
      </c>
      <c r="H273" s="3" t="s">
        <v>2975</v>
      </c>
    </row>
    <row r="274" spans="1:8" x14ac:dyDescent="0.35">
      <c r="A274" t="s">
        <v>436</v>
      </c>
      <c r="B274" s="26" t="s">
        <v>25</v>
      </c>
      <c r="C274" s="20">
        <v>42181</v>
      </c>
      <c r="D274" t="s">
        <v>62</v>
      </c>
      <c r="E274" s="3">
        <v>1000</v>
      </c>
      <c r="F274" s="3">
        <v>58</v>
      </c>
      <c r="G274" s="3">
        <v>45820</v>
      </c>
      <c r="H274" s="3" t="s">
        <v>2970</v>
      </c>
    </row>
    <row r="275" spans="1:8" x14ac:dyDescent="0.35">
      <c r="A275" t="s">
        <v>35</v>
      </c>
      <c r="B275" s="26" t="s">
        <v>36</v>
      </c>
      <c r="C275" s="20">
        <v>41901</v>
      </c>
      <c r="D275" t="s">
        <v>31</v>
      </c>
      <c r="E275" s="3">
        <v>150</v>
      </c>
      <c r="F275" s="3">
        <v>20</v>
      </c>
      <c r="G275" s="3">
        <v>2880</v>
      </c>
      <c r="H275" s="3" t="s">
        <v>2973</v>
      </c>
    </row>
    <row r="276" spans="1:8" x14ac:dyDescent="0.35">
      <c r="A276" t="s">
        <v>326</v>
      </c>
      <c r="B276" s="26" t="s">
        <v>14</v>
      </c>
      <c r="C276" s="20">
        <v>42199</v>
      </c>
      <c r="D276" t="s">
        <v>62</v>
      </c>
      <c r="E276" s="3">
        <v>1000</v>
      </c>
      <c r="F276" s="3">
        <v>100</v>
      </c>
      <c r="G276" s="3">
        <v>96000</v>
      </c>
      <c r="H276" s="3" t="s">
        <v>2971</v>
      </c>
    </row>
    <row r="277" spans="1:8" x14ac:dyDescent="0.35">
      <c r="A277" t="s">
        <v>257</v>
      </c>
      <c r="B277" s="26" t="s">
        <v>14</v>
      </c>
      <c r="C277" s="20">
        <v>43117</v>
      </c>
      <c r="D277" t="s">
        <v>47</v>
      </c>
      <c r="E277" s="3">
        <v>500</v>
      </c>
      <c r="F277" s="3">
        <v>32</v>
      </c>
      <c r="G277" s="3">
        <v>14240</v>
      </c>
      <c r="H277" s="3" t="s">
        <v>2966</v>
      </c>
    </row>
    <row r="278" spans="1:8" x14ac:dyDescent="0.35">
      <c r="A278" t="s">
        <v>72</v>
      </c>
      <c r="B278" s="26" t="s">
        <v>36</v>
      </c>
      <c r="C278" s="20">
        <v>43396</v>
      </c>
      <c r="D278" t="s">
        <v>47</v>
      </c>
      <c r="E278" s="3">
        <v>500</v>
      </c>
      <c r="F278" s="3">
        <v>9</v>
      </c>
      <c r="G278" s="3">
        <v>3915</v>
      </c>
      <c r="H278" s="3" t="s">
        <v>2974</v>
      </c>
    </row>
    <row r="279" spans="1:8" x14ac:dyDescent="0.35">
      <c r="A279" t="s">
        <v>101</v>
      </c>
      <c r="B279" s="26" t="s">
        <v>14</v>
      </c>
      <c r="C279" s="20">
        <v>41878</v>
      </c>
      <c r="D279" t="s">
        <v>73</v>
      </c>
      <c r="E279" s="3">
        <v>500</v>
      </c>
      <c r="F279" s="3">
        <v>78</v>
      </c>
      <c r="G279" s="3">
        <v>38220</v>
      </c>
      <c r="H279" s="3" t="s">
        <v>2972</v>
      </c>
    </row>
    <row r="280" spans="1:8" x14ac:dyDescent="0.35">
      <c r="A280" t="s">
        <v>207</v>
      </c>
      <c r="B280" s="26" t="s">
        <v>25</v>
      </c>
      <c r="C280" s="20">
        <v>43022</v>
      </c>
      <c r="D280" t="s">
        <v>116</v>
      </c>
      <c r="E280" s="3">
        <v>250</v>
      </c>
      <c r="F280" s="3">
        <v>4</v>
      </c>
      <c r="G280" s="3">
        <v>920</v>
      </c>
      <c r="H280" s="3" t="s">
        <v>2974</v>
      </c>
    </row>
    <row r="281" spans="1:8" x14ac:dyDescent="0.35">
      <c r="A281" t="s">
        <v>436</v>
      </c>
      <c r="B281" s="26" t="s">
        <v>25</v>
      </c>
      <c r="C281" s="20">
        <v>42350</v>
      </c>
      <c r="D281" t="s">
        <v>56</v>
      </c>
      <c r="E281" s="3">
        <v>800</v>
      </c>
      <c r="F281" s="3">
        <v>35</v>
      </c>
      <c r="G281" s="3">
        <v>16520</v>
      </c>
      <c r="H281" s="3" t="s">
        <v>2976</v>
      </c>
    </row>
    <row r="282" spans="1:8" x14ac:dyDescent="0.35">
      <c r="A282" t="s">
        <v>266</v>
      </c>
      <c r="B282" s="26" t="s">
        <v>14</v>
      </c>
      <c r="C282" s="20">
        <v>42411</v>
      </c>
      <c r="D282" t="s">
        <v>62</v>
      </c>
      <c r="E282" s="3">
        <v>1000</v>
      </c>
      <c r="F282" s="3">
        <v>67</v>
      </c>
      <c r="G282" s="3">
        <v>34170</v>
      </c>
      <c r="H282" s="3" t="s">
        <v>2967</v>
      </c>
    </row>
    <row r="283" spans="1:8" x14ac:dyDescent="0.35">
      <c r="A283" t="s">
        <v>61</v>
      </c>
      <c r="B283" s="26" t="s">
        <v>14</v>
      </c>
      <c r="C283" s="20">
        <v>42635</v>
      </c>
      <c r="D283" t="s">
        <v>116</v>
      </c>
      <c r="E283" s="3">
        <v>250</v>
      </c>
      <c r="F283" s="3">
        <v>54</v>
      </c>
      <c r="G283" s="3">
        <v>12420</v>
      </c>
      <c r="H283" s="3" t="s">
        <v>2973</v>
      </c>
    </row>
    <row r="284" spans="1:8" x14ac:dyDescent="0.35">
      <c r="A284" t="s">
        <v>266</v>
      </c>
      <c r="B284" s="26" t="s">
        <v>14</v>
      </c>
      <c r="C284" s="20">
        <v>43191</v>
      </c>
      <c r="D284" t="s">
        <v>123</v>
      </c>
      <c r="E284" s="3">
        <v>50</v>
      </c>
      <c r="F284" s="3">
        <v>39</v>
      </c>
      <c r="G284" s="3">
        <v>1872</v>
      </c>
      <c r="H284" s="3" t="s">
        <v>2969</v>
      </c>
    </row>
    <row r="285" spans="1:8" x14ac:dyDescent="0.35">
      <c r="A285" t="s">
        <v>72</v>
      </c>
      <c r="B285" s="26" t="s">
        <v>36</v>
      </c>
      <c r="C285" s="20">
        <v>42065</v>
      </c>
      <c r="D285" t="s">
        <v>15</v>
      </c>
      <c r="E285" s="3">
        <v>80</v>
      </c>
      <c r="F285" s="3">
        <v>7</v>
      </c>
      <c r="G285" s="3">
        <v>343</v>
      </c>
      <c r="H285" s="3" t="s">
        <v>2968</v>
      </c>
    </row>
    <row r="286" spans="1:8" x14ac:dyDescent="0.35">
      <c r="A286" t="s">
        <v>266</v>
      </c>
      <c r="B286" s="26" t="s">
        <v>14</v>
      </c>
      <c r="C286" s="20">
        <v>42326</v>
      </c>
      <c r="D286" t="s">
        <v>73</v>
      </c>
      <c r="E286" s="3">
        <v>500</v>
      </c>
      <c r="F286" s="3">
        <v>86</v>
      </c>
      <c r="G286" s="3">
        <v>42140</v>
      </c>
      <c r="H286" s="3" t="s">
        <v>2975</v>
      </c>
    </row>
    <row r="287" spans="1:8" x14ac:dyDescent="0.35">
      <c r="A287" t="s">
        <v>229</v>
      </c>
      <c r="B287" s="26" t="s">
        <v>25</v>
      </c>
      <c r="C287" s="20">
        <v>43164</v>
      </c>
      <c r="D287" t="s">
        <v>116</v>
      </c>
      <c r="E287" s="3">
        <v>250</v>
      </c>
      <c r="F287" s="3">
        <v>2</v>
      </c>
      <c r="G287" s="3">
        <v>496</v>
      </c>
      <c r="H287" s="3" t="s">
        <v>2968</v>
      </c>
    </row>
    <row r="288" spans="1:8" x14ac:dyDescent="0.35">
      <c r="A288" t="s">
        <v>176</v>
      </c>
      <c r="B288" s="26" t="s">
        <v>14</v>
      </c>
      <c r="C288" s="20">
        <v>42365</v>
      </c>
      <c r="D288" t="s">
        <v>62</v>
      </c>
      <c r="E288" s="3">
        <v>1000</v>
      </c>
      <c r="F288" s="3">
        <v>68</v>
      </c>
      <c r="G288" s="3">
        <v>61200</v>
      </c>
      <c r="H288" s="3" t="s">
        <v>2976</v>
      </c>
    </row>
    <row r="289" spans="1:8" x14ac:dyDescent="0.35">
      <c r="A289" t="s">
        <v>61</v>
      </c>
      <c r="B289" s="26" t="s">
        <v>14</v>
      </c>
      <c r="C289" s="20">
        <v>43110</v>
      </c>
      <c r="D289" t="s">
        <v>123</v>
      </c>
      <c r="E289" s="3">
        <v>50</v>
      </c>
      <c r="F289" s="3">
        <v>3</v>
      </c>
      <c r="G289" s="3">
        <v>135</v>
      </c>
      <c r="H289" s="3" t="s">
        <v>2966</v>
      </c>
    </row>
    <row r="290" spans="1:8" x14ac:dyDescent="0.35">
      <c r="A290" t="s">
        <v>83</v>
      </c>
      <c r="B290" s="26" t="s">
        <v>14</v>
      </c>
      <c r="C290" s="20">
        <v>42772</v>
      </c>
      <c r="D290" t="s">
        <v>31</v>
      </c>
      <c r="E290" s="3">
        <v>150</v>
      </c>
      <c r="F290" s="3">
        <v>94</v>
      </c>
      <c r="G290" s="3">
        <v>13536</v>
      </c>
      <c r="H290" s="3" t="s">
        <v>2967</v>
      </c>
    </row>
    <row r="291" spans="1:8" x14ac:dyDescent="0.35">
      <c r="A291" t="s">
        <v>93</v>
      </c>
      <c r="B291" s="26" t="s">
        <v>36</v>
      </c>
      <c r="C291" s="20">
        <v>43111</v>
      </c>
      <c r="D291" t="s">
        <v>73</v>
      </c>
      <c r="E291" s="3">
        <v>500</v>
      </c>
      <c r="F291" s="3">
        <v>49</v>
      </c>
      <c r="G291" s="3">
        <v>24255</v>
      </c>
      <c r="H291" s="3" t="s">
        <v>2966</v>
      </c>
    </row>
    <row r="292" spans="1:8" x14ac:dyDescent="0.35">
      <c r="A292" t="s">
        <v>97</v>
      </c>
      <c r="B292" s="26" t="s">
        <v>14</v>
      </c>
      <c r="C292" s="20">
        <v>41902</v>
      </c>
      <c r="D292" t="s">
        <v>47</v>
      </c>
      <c r="E292" s="3">
        <v>500</v>
      </c>
      <c r="F292" s="3">
        <v>68</v>
      </c>
      <c r="G292" s="3">
        <v>28900</v>
      </c>
      <c r="H292" s="3" t="s">
        <v>2973</v>
      </c>
    </row>
    <row r="293" spans="1:8" x14ac:dyDescent="0.35">
      <c r="A293" t="s">
        <v>61</v>
      </c>
      <c r="B293" s="26" t="s">
        <v>14</v>
      </c>
      <c r="C293" s="20">
        <v>43279</v>
      </c>
      <c r="D293" t="s">
        <v>105</v>
      </c>
      <c r="E293" s="3">
        <v>70</v>
      </c>
      <c r="F293" s="3">
        <v>92</v>
      </c>
      <c r="G293" s="3">
        <v>5520</v>
      </c>
      <c r="H293" s="3" t="s">
        <v>2970</v>
      </c>
    </row>
    <row r="294" spans="1:8" x14ac:dyDescent="0.35">
      <c r="A294" t="s">
        <v>19</v>
      </c>
      <c r="B294" s="26" t="s">
        <v>20</v>
      </c>
      <c r="C294" s="20">
        <v>41970</v>
      </c>
      <c r="D294" t="s">
        <v>56</v>
      </c>
      <c r="E294" s="3">
        <v>800</v>
      </c>
      <c r="F294" s="3">
        <v>85</v>
      </c>
      <c r="G294" s="3">
        <v>53040</v>
      </c>
      <c r="H294" s="3" t="s">
        <v>2975</v>
      </c>
    </row>
    <row r="295" spans="1:8" x14ac:dyDescent="0.35">
      <c r="A295" t="s">
        <v>402</v>
      </c>
      <c r="B295" s="26" t="s">
        <v>14</v>
      </c>
      <c r="C295" s="20">
        <v>43313</v>
      </c>
      <c r="D295" t="s">
        <v>37</v>
      </c>
      <c r="E295" s="3">
        <v>50</v>
      </c>
      <c r="F295" s="3">
        <v>58</v>
      </c>
      <c r="G295" s="3">
        <v>2726</v>
      </c>
      <c r="H295" s="3" t="s">
        <v>2972</v>
      </c>
    </row>
    <row r="296" spans="1:8" x14ac:dyDescent="0.35">
      <c r="A296" t="s">
        <v>72</v>
      </c>
      <c r="B296" s="26" t="s">
        <v>36</v>
      </c>
      <c r="C296" s="20">
        <v>43045</v>
      </c>
      <c r="D296" t="s">
        <v>42</v>
      </c>
      <c r="E296" s="3">
        <v>30</v>
      </c>
      <c r="F296" s="3">
        <v>17</v>
      </c>
      <c r="G296" s="3">
        <v>493</v>
      </c>
      <c r="H296" s="3" t="s">
        <v>2975</v>
      </c>
    </row>
    <row r="297" spans="1:8" x14ac:dyDescent="0.35">
      <c r="A297" t="s">
        <v>229</v>
      </c>
      <c r="B297" s="26" t="s">
        <v>25</v>
      </c>
      <c r="C297" s="20">
        <v>42715</v>
      </c>
      <c r="D297" t="s">
        <v>123</v>
      </c>
      <c r="E297" s="3">
        <v>50</v>
      </c>
      <c r="F297" s="3">
        <v>43</v>
      </c>
      <c r="G297" s="3">
        <v>2150</v>
      </c>
      <c r="H297" s="3" t="s">
        <v>2976</v>
      </c>
    </row>
    <row r="298" spans="1:8" x14ac:dyDescent="0.35">
      <c r="A298" t="s">
        <v>189</v>
      </c>
      <c r="B298" s="26" t="s">
        <v>14</v>
      </c>
      <c r="C298" s="20">
        <v>42994</v>
      </c>
      <c r="D298" t="s">
        <v>15</v>
      </c>
      <c r="E298" s="3">
        <v>80</v>
      </c>
      <c r="F298" s="3">
        <v>76</v>
      </c>
      <c r="G298" s="3">
        <v>5472</v>
      </c>
      <c r="H298" s="3" t="s">
        <v>2973</v>
      </c>
    </row>
    <row r="299" spans="1:8" x14ac:dyDescent="0.35">
      <c r="A299" t="s">
        <v>24</v>
      </c>
      <c r="B299" s="26" t="s">
        <v>25</v>
      </c>
      <c r="C299" s="20">
        <v>42036</v>
      </c>
      <c r="D299" t="s">
        <v>62</v>
      </c>
      <c r="E299" s="3">
        <v>1000</v>
      </c>
      <c r="F299" s="3">
        <v>45</v>
      </c>
      <c r="G299" s="3">
        <v>26100</v>
      </c>
      <c r="H299" s="3" t="s">
        <v>2967</v>
      </c>
    </row>
    <row r="300" spans="1:8" x14ac:dyDescent="0.35">
      <c r="A300" t="s">
        <v>243</v>
      </c>
      <c r="B300" s="26" t="s">
        <v>14</v>
      </c>
      <c r="C300" s="20">
        <v>42502</v>
      </c>
      <c r="D300" t="s">
        <v>56</v>
      </c>
      <c r="E300" s="3">
        <v>800</v>
      </c>
      <c r="F300" s="3">
        <v>68</v>
      </c>
      <c r="G300" s="3">
        <v>37536</v>
      </c>
      <c r="H300" s="3" t="s">
        <v>2965</v>
      </c>
    </row>
    <row r="301" spans="1:8" x14ac:dyDescent="0.35">
      <c r="A301" t="s">
        <v>87</v>
      </c>
      <c r="B301" s="26" t="s">
        <v>14</v>
      </c>
      <c r="C301" s="20">
        <v>42136</v>
      </c>
      <c r="D301" t="s">
        <v>105</v>
      </c>
      <c r="E301" s="3">
        <v>70</v>
      </c>
      <c r="F301" s="3">
        <v>12</v>
      </c>
      <c r="G301" s="3">
        <v>804</v>
      </c>
      <c r="H301" s="3" t="s">
        <v>2965</v>
      </c>
    </row>
    <row r="302" spans="1:8" x14ac:dyDescent="0.35">
      <c r="A302" t="s">
        <v>51</v>
      </c>
      <c r="B302" s="26" t="s">
        <v>25</v>
      </c>
      <c r="C302" s="20">
        <v>43275</v>
      </c>
      <c r="D302" t="s">
        <v>56</v>
      </c>
      <c r="E302" s="3">
        <v>800</v>
      </c>
      <c r="F302" s="3">
        <v>30</v>
      </c>
      <c r="G302" s="3">
        <v>21120</v>
      </c>
      <c r="H302" s="3" t="s">
        <v>2970</v>
      </c>
    </row>
    <row r="303" spans="1:8" x14ac:dyDescent="0.35">
      <c r="A303" t="s">
        <v>51</v>
      </c>
      <c r="B303" s="26" t="s">
        <v>25</v>
      </c>
      <c r="C303" s="20">
        <v>42144</v>
      </c>
      <c r="D303" t="s">
        <v>62</v>
      </c>
      <c r="E303" s="3">
        <v>1000</v>
      </c>
      <c r="F303" s="3">
        <v>32</v>
      </c>
      <c r="G303" s="3">
        <v>18880</v>
      </c>
      <c r="H303" s="3" t="s">
        <v>2965</v>
      </c>
    </row>
    <row r="304" spans="1:8" x14ac:dyDescent="0.35">
      <c r="A304" t="s">
        <v>109</v>
      </c>
      <c r="B304" s="26" t="s">
        <v>20</v>
      </c>
      <c r="C304" s="20">
        <v>41775</v>
      </c>
      <c r="D304" t="s">
        <v>42</v>
      </c>
      <c r="E304" s="3">
        <v>30</v>
      </c>
      <c r="F304" s="3">
        <v>9</v>
      </c>
      <c r="G304" s="3">
        <v>252</v>
      </c>
      <c r="H304" s="3" t="s">
        <v>2965</v>
      </c>
    </row>
    <row r="305" spans="1:8" x14ac:dyDescent="0.35">
      <c r="A305" t="s">
        <v>207</v>
      </c>
      <c r="B305" s="26" t="s">
        <v>25</v>
      </c>
      <c r="C305" s="20">
        <v>43099</v>
      </c>
      <c r="D305" t="s">
        <v>56</v>
      </c>
      <c r="E305" s="3">
        <v>800</v>
      </c>
      <c r="F305" s="3">
        <v>65</v>
      </c>
      <c r="G305" s="3">
        <v>31720</v>
      </c>
      <c r="H305" s="3" t="s">
        <v>2976</v>
      </c>
    </row>
    <row r="306" spans="1:8" x14ac:dyDescent="0.35">
      <c r="A306" t="s">
        <v>19</v>
      </c>
      <c r="B306" s="26" t="s">
        <v>20</v>
      </c>
      <c r="C306" s="20">
        <v>42109</v>
      </c>
      <c r="D306" t="s">
        <v>31</v>
      </c>
      <c r="E306" s="3">
        <v>150</v>
      </c>
      <c r="F306" s="3">
        <v>23</v>
      </c>
      <c r="G306" s="3">
        <v>3082</v>
      </c>
      <c r="H306" s="3" t="s">
        <v>2969</v>
      </c>
    </row>
    <row r="307" spans="1:8" x14ac:dyDescent="0.35">
      <c r="A307" t="s">
        <v>79</v>
      </c>
      <c r="B307" s="26" t="s">
        <v>36</v>
      </c>
      <c r="C307" s="20">
        <v>42883</v>
      </c>
      <c r="D307" t="s">
        <v>123</v>
      </c>
      <c r="E307" s="3">
        <v>50</v>
      </c>
      <c r="F307" s="3">
        <v>87</v>
      </c>
      <c r="G307" s="3">
        <v>4350</v>
      </c>
      <c r="H307" s="3" t="s">
        <v>2965</v>
      </c>
    </row>
    <row r="308" spans="1:8" x14ac:dyDescent="0.35">
      <c r="A308" t="s">
        <v>109</v>
      </c>
      <c r="B308" s="26" t="s">
        <v>20</v>
      </c>
      <c r="C308" s="20">
        <v>42825</v>
      </c>
      <c r="D308" t="s">
        <v>62</v>
      </c>
      <c r="E308" s="3">
        <v>1000</v>
      </c>
      <c r="F308" s="3">
        <v>5</v>
      </c>
      <c r="G308" s="3">
        <v>3350</v>
      </c>
      <c r="H308" s="3" t="s">
        <v>2968</v>
      </c>
    </row>
    <row r="309" spans="1:8" x14ac:dyDescent="0.35">
      <c r="A309" t="s">
        <v>72</v>
      </c>
      <c r="B309" s="26" t="s">
        <v>36</v>
      </c>
      <c r="C309" s="20">
        <v>41714</v>
      </c>
      <c r="D309" t="s">
        <v>31</v>
      </c>
      <c r="E309" s="3">
        <v>150</v>
      </c>
      <c r="F309" s="3">
        <v>18</v>
      </c>
      <c r="G309" s="3">
        <v>2682</v>
      </c>
      <c r="H309" s="3" t="s">
        <v>2968</v>
      </c>
    </row>
    <row r="310" spans="1:8" x14ac:dyDescent="0.35">
      <c r="A310" t="s">
        <v>83</v>
      </c>
      <c r="B310" s="26" t="s">
        <v>14</v>
      </c>
      <c r="C310" s="20">
        <v>43360</v>
      </c>
      <c r="D310" t="s">
        <v>73</v>
      </c>
      <c r="E310" s="3">
        <v>500</v>
      </c>
      <c r="F310" s="3">
        <v>3</v>
      </c>
      <c r="G310" s="3">
        <v>1500</v>
      </c>
      <c r="H310" s="3" t="s">
        <v>2973</v>
      </c>
    </row>
    <row r="311" spans="1:8" x14ac:dyDescent="0.35">
      <c r="A311" t="s">
        <v>83</v>
      </c>
      <c r="B311" s="26" t="s">
        <v>14</v>
      </c>
      <c r="C311" s="20">
        <v>42938</v>
      </c>
      <c r="D311" t="s">
        <v>31</v>
      </c>
      <c r="E311" s="3">
        <v>150</v>
      </c>
      <c r="F311" s="3">
        <v>13</v>
      </c>
      <c r="G311" s="3">
        <v>1898</v>
      </c>
      <c r="H311" s="3" t="s">
        <v>2971</v>
      </c>
    </row>
    <row r="312" spans="1:8" x14ac:dyDescent="0.35">
      <c r="A312" t="s">
        <v>55</v>
      </c>
      <c r="B312" s="26" t="s">
        <v>14</v>
      </c>
      <c r="C312" s="20">
        <v>43440</v>
      </c>
      <c r="D312" t="s">
        <v>62</v>
      </c>
      <c r="E312" s="3">
        <v>1000</v>
      </c>
      <c r="F312" s="3">
        <v>68</v>
      </c>
      <c r="G312" s="3">
        <v>55080</v>
      </c>
      <c r="H312" s="3" t="s">
        <v>2976</v>
      </c>
    </row>
    <row r="313" spans="1:8" x14ac:dyDescent="0.35">
      <c r="A313" t="s">
        <v>97</v>
      </c>
      <c r="B313" s="26" t="s">
        <v>14</v>
      </c>
      <c r="C313" s="20">
        <v>42179</v>
      </c>
      <c r="D313" t="s">
        <v>31</v>
      </c>
      <c r="E313" s="3">
        <v>150</v>
      </c>
      <c r="F313" s="3">
        <v>82</v>
      </c>
      <c r="G313" s="3">
        <v>12054</v>
      </c>
      <c r="H313" s="3" t="s">
        <v>2970</v>
      </c>
    </row>
    <row r="314" spans="1:8" x14ac:dyDescent="0.35">
      <c r="A314" t="s">
        <v>55</v>
      </c>
      <c r="B314" s="26" t="s">
        <v>14</v>
      </c>
      <c r="C314" s="20">
        <v>43447</v>
      </c>
      <c r="D314" t="s">
        <v>62</v>
      </c>
      <c r="E314" s="3">
        <v>1000</v>
      </c>
      <c r="F314" s="3">
        <v>60</v>
      </c>
      <c r="G314" s="3">
        <v>43800</v>
      </c>
      <c r="H314" s="3" t="s">
        <v>2976</v>
      </c>
    </row>
    <row r="315" spans="1:8" x14ac:dyDescent="0.35">
      <c r="A315" t="s">
        <v>66</v>
      </c>
      <c r="B315" s="26" t="s">
        <v>36</v>
      </c>
      <c r="C315" s="20">
        <v>42556</v>
      </c>
      <c r="D315" t="s">
        <v>116</v>
      </c>
      <c r="E315" s="3">
        <v>250</v>
      </c>
      <c r="F315" s="3">
        <v>73</v>
      </c>
      <c r="G315" s="3">
        <v>18104</v>
      </c>
      <c r="H315" s="3" t="s">
        <v>2971</v>
      </c>
    </row>
    <row r="316" spans="1:8" x14ac:dyDescent="0.35">
      <c r="A316" t="s">
        <v>189</v>
      </c>
      <c r="B316" s="26" t="s">
        <v>14</v>
      </c>
      <c r="C316" s="20">
        <v>43445</v>
      </c>
      <c r="D316" t="s">
        <v>26</v>
      </c>
      <c r="E316" s="3">
        <v>700</v>
      </c>
      <c r="F316" s="3">
        <v>44</v>
      </c>
      <c r="G316" s="3">
        <v>26796</v>
      </c>
      <c r="H316" s="3" t="s">
        <v>2976</v>
      </c>
    </row>
    <row r="317" spans="1:8" x14ac:dyDescent="0.35">
      <c r="A317" t="s">
        <v>30</v>
      </c>
      <c r="B317" s="26" t="s">
        <v>14</v>
      </c>
      <c r="C317" s="20">
        <v>42699</v>
      </c>
      <c r="D317" t="s">
        <v>31</v>
      </c>
      <c r="E317" s="3">
        <v>150</v>
      </c>
      <c r="F317" s="3">
        <v>25</v>
      </c>
      <c r="G317" s="3">
        <v>3500</v>
      </c>
      <c r="H317" s="3" t="s">
        <v>2975</v>
      </c>
    </row>
    <row r="318" spans="1:8" x14ac:dyDescent="0.35">
      <c r="A318" t="s">
        <v>72</v>
      </c>
      <c r="B318" s="26" t="s">
        <v>36</v>
      </c>
      <c r="C318" s="20">
        <v>41690</v>
      </c>
      <c r="D318" t="s">
        <v>73</v>
      </c>
      <c r="E318" s="3">
        <v>500</v>
      </c>
      <c r="F318" s="3">
        <v>40</v>
      </c>
      <c r="G318" s="3">
        <v>20000</v>
      </c>
      <c r="H318" s="3" t="s">
        <v>2967</v>
      </c>
    </row>
    <row r="319" spans="1:8" x14ac:dyDescent="0.35">
      <c r="A319" t="s">
        <v>266</v>
      </c>
      <c r="B319" s="26" t="s">
        <v>14</v>
      </c>
      <c r="C319" s="20">
        <v>43346</v>
      </c>
      <c r="D319" t="s">
        <v>62</v>
      </c>
      <c r="E319" s="3">
        <v>1000</v>
      </c>
      <c r="F319" s="3">
        <v>45</v>
      </c>
      <c r="G319" s="3">
        <v>43200</v>
      </c>
      <c r="H319" s="3" t="s">
        <v>2973</v>
      </c>
    </row>
    <row r="320" spans="1:8" x14ac:dyDescent="0.35">
      <c r="A320" t="s">
        <v>51</v>
      </c>
      <c r="B320" s="26" t="s">
        <v>25</v>
      </c>
      <c r="C320" s="20">
        <v>41830</v>
      </c>
      <c r="D320" t="s">
        <v>15</v>
      </c>
      <c r="E320" s="3">
        <v>80</v>
      </c>
      <c r="F320" s="3">
        <v>96</v>
      </c>
      <c r="G320" s="3">
        <v>7008</v>
      </c>
      <c r="H320" s="3" t="s">
        <v>2971</v>
      </c>
    </row>
    <row r="321" spans="1:8" x14ac:dyDescent="0.35">
      <c r="A321" t="s">
        <v>66</v>
      </c>
      <c r="B321" s="26" t="s">
        <v>36</v>
      </c>
      <c r="C321" s="20">
        <v>42623</v>
      </c>
      <c r="D321" t="s">
        <v>26</v>
      </c>
      <c r="E321" s="3">
        <v>700</v>
      </c>
      <c r="F321" s="3">
        <v>14</v>
      </c>
      <c r="G321" s="3">
        <v>9800</v>
      </c>
      <c r="H321" s="3" t="s">
        <v>2973</v>
      </c>
    </row>
    <row r="322" spans="1:8" x14ac:dyDescent="0.35">
      <c r="A322" t="s">
        <v>129</v>
      </c>
      <c r="B322" s="26" t="s">
        <v>14</v>
      </c>
      <c r="C322" s="20">
        <v>42793</v>
      </c>
      <c r="D322" t="s">
        <v>26</v>
      </c>
      <c r="E322" s="3">
        <v>700</v>
      </c>
      <c r="F322" s="3">
        <v>73</v>
      </c>
      <c r="G322" s="3">
        <v>49056</v>
      </c>
      <c r="H322" s="3" t="s">
        <v>2967</v>
      </c>
    </row>
    <row r="323" spans="1:8" x14ac:dyDescent="0.35">
      <c r="A323" t="s">
        <v>272</v>
      </c>
      <c r="B323" s="26" t="s">
        <v>36</v>
      </c>
      <c r="C323" s="20">
        <v>42877</v>
      </c>
      <c r="D323" t="s">
        <v>26</v>
      </c>
      <c r="E323" s="3">
        <v>700</v>
      </c>
      <c r="F323" s="3">
        <v>23</v>
      </c>
      <c r="G323" s="3">
        <v>14973</v>
      </c>
      <c r="H323" s="3" t="s">
        <v>2965</v>
      </c>
    </row>
    <row r="324" spans="1:8" x14ac:dyDescent="0.35">
      <c r="A324" t="s">
        <v>51</v>
      </c>
      <c r="B324" s="26" t="s">
        <v>25</v>
      </c>
      <c r="C324" s="20">
        <v>41896</v>
      </c>
      <c r="D324" t="s">
        <v>31</v>
      </c>
      <c r="E324" s="3">
        <v>150</v>
      </c>
      <c r="F324" s="3">
        <v>57</v>
      </c>
      <c r="G324" s="3">
        <v>7809</v>
      </c>
      <c r="H324" s="3" t="s">
        <v>2973</v>
      </c>
    </row>
    <row r="325" spans="1:8" x14ac:dyDescent="0.35">
      <c r="A325" t="s">
        <v>207</v>
      </c>
      <c r="B325" s="26" t="s">
        <v>25</v>
      </c>
      <c r="C325" s="20">
        <v>43264</v>
      </c>
      <c r="D325" t="s">
        <v>26</v>
      </c>
      <c r="E325" s="3">
        <v>700</v>
      </c>
      <c r="F325" s="3">
        <v>17</v>
      </c>
      <c r="G325" s="3">
        <v>11067</v>
      </c>
      <c r="H325" s="3" t="s">
        <v>2970</v>
      </c>
    </row>
    <row r="326" spans="1:8" x14ac:dyDescent="0.35">
      <c r="A326" t="s">
        <v>41</v>
      </c>
      <c r="B326" s="26" t="s">
        <v>36</v>
      </c>
      <c r="C326" s="20">
        <v>43194</v>
      </c>
      <c r="D326" t="s">
        <v>116</v>
      </c>
      <c r="E326" s="3">
        <v>250</v>
      </c>
      <c r="F326" s="3">
        <v>82</v>
      </c>
      <c r="G326" s="3">
        <v>19516</v>
      </c>
      <c r="H326" s="3" t="s">
        <v>2969</v>
      </c>
    </row>
    <row r="327" spans="1:8" x14ac:dyDescent="0.35">
      <c r="A327" t="s">
        <v>24</v>
      </c>
      <c r="B327" s="26" t="s">
        <v>25</v>
      </c>
      <c r="C327" s="20">
        <v>41897</v>
      </c>
      <c r="D327" t="s">
        <v>56</v>
      </c>
      <c r="E327" s="3">
        <v>800</v>
      </c>
      <c r="F327" s="3">
        <v>89</v>
      </c>
      <c r="G327" s="3">
        <v>61944</v>
      </c>
      <c r="H327" s="3" t="s">
        <v>2973</v>
      </c>
    </row>
    <row r="328" spans="1:8" x14ac:dyDescent="0.35">
      <c r="A328" t="s">
        <v>51</v>
      </c>
      <c r="B328" s="26" t="s">
        <v>25</v>
      </c>
      <c r="C328" s="20">
        <v>41802</v>
      </c>
      <c r="D328" t="s">
        <v>42</v>
      </c>
      <c r="E328" s="3">
        <v>30</v>
      </c>
      <c r="F328" s="3">
        <v>59</v>
      </c>
      <c r="G328" s="3">
        <v>1239</v>
      </c>
      <c r="H328" s="3" t="s">
        <v>2970</v>
      </c>
    </row>
    <row r="329" spans="1:8" x14ac:dyDescent="0.35">
      <c r="A329" t="s">
        <v>129</v>
      </c>
      <c r="B329" s="26" t="s">
        <v>14</v>
      </c>
      <c r="C329" s="20">
        <v>43065</v>
      </c>
      <c r="D329" t="s">
        <v>15</v>
      </c>
      <c r="E329" s="3">
        <v>80</v>
      </c>
      <c r="F329" s="3">
        <v>45</v>
      </c>
      <c r="G329" s="3">
        <v>3330</v>
      </c>
      <c r="H329" s="3" t="s">
        <v>2975</v>
      </c>
    </row>
    <row r="330" spans="1:8" x14ac:dyDescent="0.35">
      <c r="A330" t="s">
        <v>24</v>
      </c>
      <c r="B330" s="26" t="s">
        <v>25</v>
      </c>
      <c r="C330" s="20">
        <v>42830</v>
      </c>
      <c r="D330" t="s">
        <v>116</v>
      </c>
      <c r="E330" s="3">
        <v>250</v>
      </c>
      <c r="F330" s="3">
        <v>50</v>
      </c>
      <c r="G330" s="3">
        <v>11400</v>
      </c>
      <c r="H330" s="3" t="s">
        <v>2969</v>
      </c>
    </row>
    <row r="331" spans="1:8" x14ac:dyDescent="0.35">
      <c r="A331" t="s">
        <v>176</v>
      </c>
      <c r="B331" s="26" t="s">
        <v>14</v>
      </c>
      <c r="C331" s="20">
        <v>42567</v>
      </c>
      <c r="D331" t="s">
        <v>26</v>
      </c>
      <c r="E331" s="3">
        <v>700</v>
      </c>
      <c r="F331" s="3">
        <v>26</v>
      </c>
      <c r="G331" s="3">
        <v>16744</v>
      </c>
      <c r="H331" s="3" t="s">
        <v>2971</v>
      </c>
    </row>
    <row r="332" spans="1:8" x14ac:dyDescent="0.35">
      <c r="A332" t="s">
        <v>79</v>
      </c>
      <c r="B332" s="26" t="s">
        <v>36</v>
      </c>
      <c r="C332" s="20">
        <v>41666</v>
      </c>
      <c r="D332" t="s">
        <v>42</v>
      </c>
      <c r="E332" s="3">
        <v>30</v>
      </c>
      <c r="F332" s="3">
        <v>28</v>
      </c>
      <c r="G332" s="3">
        <v>812</v>
      </c>
      <c r="H332" s="3" t="s">
        <v>2966</v>
      </c>
    </row>
    <row r="333" spans="1:8" x14ac:dyDescent="0.35">
      <c r="A333" t="s">
        <v>72</v>
      </c>
      <c r="B333" s="26" t="s">
        <v>36</v>
      </c>
      <c r="C333" s="20">
        <v>41826</v>
      </c>
      <c r="D333" t="s">
        <v>56</v>
      </c>
      <c r="E333" s="3">
        <v>800</v>
      </c>
      <c r="F333" s="3">
        <v>61</v>
      </c>
      <c r="G333" s="3">
        <v>40016</v>
      </c>
      <c r="H333" s="3" t="s">
        <v>2971</v>
      </c>
    </row>
    <row r="334" spans="1:8" x14ac:dyDescent="0.35">
      <c r="A334" t="s">
        <v>152</v>
      </c>
      <c r="B334" s="26" t="s">
        <v>14</v>
      </c>
      <c r="C334" s="20">
        <v>43015</v>
      </c>
      <c r="D334" t="s">
        <v>31</v>
      </c>
      <c r="E334" s="3">
        <v>150</v>
      </c>
      <c r="F334" s="3">
        <v>6</v>
      </c>
      <c r="G334" s="3">
        <v>894</v>
      </c>
      <c r="H334" s="3" t="s">
        <v>2974</v>
      </c>
    </row>
    <row r="335" spans="1:8" x14ac:dyDescent="0.35">
      <c r="A335" t="s">
        <v>109</v>
      </c>
      <c r="B335" s="26" t="s">
        <v>20</v>
      </c>
      <c r="C335" s="20">
        <v>43291</v>
      </c>
      <c r="D335" t="s">
        <v>31</v>
      </c>
      <c r="E335" s="3">
        <v>150</v>
      </c>
      <c r="F335" s="3">
        <v>12</v>
      </c>
      <c r="G335" s="3">
        <v>1764</v>
      </c>
      <c r="H335" s="3" t="s">
        <v>2971</v>
      </c>
    </row>
    <row r="336" spans="1:8" x14ac:dyDescent="0.35">
      <c r="A336" t="s">
        <v>83</v>
      </c>
      <c r="B336" s="26" t="s">
        <v>14</v>
      </c>
      <c r="C336" s="20">
        <v>42348</v>
      </c>
      <c r="D336" t="s">
        <v>15</v>
      </c>
      <c r="E336" s="3">
        <v>80</v>
      </c>
      <c r="F336" s="3">
        <v>99</v>
      </c>
      <c r="G336" s="3">
        <v>7722</v>
      </c>
      <c r="H336" s="3" t="s">
        <v>2976</v>
      </c>
    </row>
    <row r="337" spans="1:8" x14ac:dyDescent="0.35">
      <c r="A337" t="s">
        <v>326</v>
      </c>
      <c r="B337" s="26" t="s">
        <v>14</v>
      </c>
      <c r="C337" s="20">
        <v>42245</v>
      </c>
      <c r="D337" t="s">
        <v>31</v>
      </c>
      <c r="E337" s="3">
        <v>150</v>
      </c>
      <c r="F337" s="3">
        <v>53</v>
      </c>
      <c r="G337" s="3">
        <v>7791</v>
      </c>
      <c r="H337" s="3" t="s">
        <v>2972</v>
      </c>
    </row>
    <row r="338" spans="1:8" x14ac:dyDescent="0.35">
      <c r="A338" t="s">
        <v>79</v>
      </c>
      <c r="B338" s="26" t="s">
        <v>36</v>
      </c>
      <c r="C338" s="20">
        <v>42189</v>
      </c>
      <c r="D338" t="s">
        <v>47</v>
      </c>
      <c r="E338" s="3">
        <v>500</v>
      </c>
      <c r="F338" s="3">
        <v>52</v>
      </c>
      <c r="G338" s="3">
        <v>18720</v>
      </c>
      <c r="H338" s="3" t="s">
        <v>2971</v>
      </c>
    </row>
    <row r="339" spans="1:8" x14ac:dyDescent="0.35">
      <c r="A339" t="s">
        <v>93</v>
      </c>
      <c r="B339" s="26" t="s">
        <v>36</v>
      </c>
      <c r="C339" s="20">
        <v>43338</v>
      </c>
      <c r="D339" t="s">
        <v>123</v>
      </c>
      <c r="E339" s="3">
        <v>50</v>
      </c>
      <c r="F339" s="3">
        <v>91</v>
      </c>
      <c r="G339" s="3">
        <v>4095</v>
      </c>
      <c r="H339" s="3" t="s">
        <v>2972</v>
      </c>
    </row>
    <row r="340" spans="1:8" x14ac:dyDescent="0.35">
      <c r="A340" t="s">
        <v>72</v>
      </c>
      <c r="B340" s="26" t="s">
        <v>36</v>
      </c>
      <c r="C340" s="20">
        <v>43180</v>
      </c>
      <c r="D340" t="s">
        <v>123</v>
      </c>
      <c r="E340" s="3">
        <v>50</v>
      </c>
      <c r="F340" s="3">
        <v>10</v>
      </c>
      <c r="G340" s="3">
        <v>430</v>
      </c>
      <c r="H340" s="3" t="s">
        <v>2968</v>
      </c>
    </row>
    <row r="341" spans="1:8" x14ac:dyDescent="0.35">
      <c r="A341" t="s">
        <v>207</v>
      </c>
      <c r="B341" s="26" t="s">
        <v>25</v>
      </c>
      <c r="C341" s="20">
        <v>41964</v>
      </c>
      <c r="D341" t="s">
        <v>15</v>
      </c>
      <c r="E341" s="3">
        <v>80</v>
      </c>
      <c r="F341" s="3">
        <v>92</v>
      </c>
      <c r="G341" s="3">
        <v>6900</v>
      </c>
      <c r="H341" s="3" t="s">
        <v>2975</v>
      </c>
    </row>
    <row r="342" spans="1:8" x14ac:dyDescent="0.35">
      <c r="A342" t="s">
        <v>189</v>
      </c>
      <c r="B342" s="26" t="s">
        <v>14</v>
      </c>
      <c r="C342" s="20">
        <v>42219</v>
      </c>
      <c r="D342" t="s">
        <v>123</v>
      </c>
      <c r="E342" s="3">
        <v>50</v>
      </c>
      <c r="F342" s="3">
        <v>68</v>
      </c>
      <c r="G342" s="3">
        <v>2448</v>
      </c>
      <c r="H342" s="3" t="s">
        <v>2972</v>
      </c>
    </row>
    <row r="343" spans="1:8" x14ac:dyDescent="0.35">
      <c r="A343" t="s">
        <v>229</v>
      </c>
      <c r="B343" s="26" t="s">
        <v>25</v>
      </c>
      <c r="C343" s="20">
        <v>42487</v>
      </c>
      <c r="D343" t="s">
        <v>56</v>
      </c>
      <c r="E343" s="3">
        <v>800</v>
      </c>
      <c r="F343" s="3">
        <v>46</v>
      </c>
      <c r="G343" s="3">
        <v>20608</v>
      </c>
      <c r="H343" s="3" t="s">
        <v>2969</v>
      </c>
    </row>
    <row r="344" spans="1:8" x14ac:dyDescent="0.35">
      <c r="A344" t="s">
        <v>243</v>
      </c>
      <c r="B344" s="26" t="s">
        <v>14</v>
      </c>
      <c r="C344" s="20">
        <v>42739</v>
      </c>
      <c r="D344" t="s">
        <v>31</v>
      </c>
      <c r="E344" s="3">
        <v>150</v>
      </c>
      <c r="F344" s="3">
        <v>68</v>
      </c>
      <c r="G344" s="3">
        <v>9384</v>
      </c>
      <c r="H344" s="3" t="s">
        <v>2966</v>
      </c>
    </row>
    <row r="345" spans="1:8" x14ac:dyDescent="0.35">
      <c r="A345" t="s">
        <v>109</v>
      </c>
      <c r="B345" s="26" t="s">
        <v>20</v>
      </c>
      <c r="C345" s="20">
        <v>42875</v>
      </c>
      <c r="D345" t="s">
        <v>73</v>
      </c>
      <c r="E345" s="3">
        <v>500</v>
      </c>
      <c r="F345" s="3">
        <v>51</v>
      </c>
      <c r="G345" s="3">
        <v>25500</v>
      </c>
      <c r="H345" s="3" t="s">
        <v>2965</v>
      </c>
    </row>
    <row r="346" spans="1:8" x14ac:dyDescent="0.35">
      <c r="A346" t="s">
        <v>30</v>
      </c>
      <c r="B346" s="26" t="s">
        <v>14</v>
      </c>
      <c r="C346" s="20">
        <v>42026</v>
      </c>
      <c r="D346" t="s">
        <v>73</v>
      </c>
      <c r="E346" s="3">
        <v>500</v>
      </c>
      <c r="F346" s="3">
        <v>63</v>
      </c>
      <c r="G346" s="3">
        <v>31185</v>
      </c>
      <c r="H346" s="3" t="s">
        <v>2966</v>
      </c>
    </row>
    <row r="347" spans="1:8" x14ac:dyDescent="0.35">
      <c r="A347" t="s">
        <v>176</v>
      </c>
      <c r="B347" s="26" t="s">
        <v>14</v>
      </c>
      <c r="C347" s="20">
        <v>41673</v>
      </c>
      <c r="D347" t="s">
        <v>31</v>
      </c>
      <c r="E347" s="3">
        <v>150</v>
      </c>
      <c r="F347" s="3">
        <v>51</v>
      </c>
      <c r="G347" s="3">
        <v>6528</v>
      </c>
      <c r="H347" s="3" t="s">
        <v>2967</v>
      </c>
    </row>
    <row r="348" spans="1:8" x14ac:dyDescent="0.35">
      <c r="A348" t="s">
        <v>72</v>
      </c>
      <c r="B348" s="26" t="s">
        <v>36</v>
      </c>
      <c r="C348" s="20">
        <v>41817</v>
      </c>
      <c r="D348" t="s">
        <v>123</v>
      </c>
      <c r="E348" s="3">
        <v>50</v>
      </c>
      <c r="F348" s="3">
        <v>1</v>
      </c>
      <c r="G348" s="3">
        <v>42</v>
      </c>
      <c r="H348" s="3" t="s">
        <v>2970</v>
      </c>
    </row>
    <row r="349" spans="1:8" x14ac:dyDescent="0.35">
      <c r="A349" t="s">
        <v>402</v>
      </c>
      <c r="B349" s="26" t="s">
        <v>14</v>
      </c>
      <c r="C349" s="20">
        <v>41699</v>
      </c>
      <c r="D349" t="s">
        <v>15</v>
      </c>
      <c r="E349" s="3">
        <v>80</v>
      </c>
      <c r="F349" s="3">
        <v>1</v>
      </c>
      <c r="G349" s="3">
        <v>80</v>
      </c>
      <c r="H349" s="3" t="s">
        <v>2968</v>
      </c>
    </row>
    <row r="350" spans="1:8" x14ac:dyDescent="0.35">
      <c r="A350" t="s">
        <v>120</v>
      </c>
      <c r="B350" s="26" t="s">
        <v>36</v>
      </c>
      <c r="C350" s="20">
        <v>43211</v>
      </c>
      <c r="D350" t="s">
        <v>31</v>
      </c>
      <c r="E350" s="3">
        <v>150</v>
      </c>
      <c r="F350" s="3">
        <v>5</v>
      </c>
      <c r="G350" s="3">
        <v>735</v>
      </c>
      <c r="H350" s="3" t="s">
        <v>2969</v>
      </c>
    </row>
    <row r="351" spans="1:8" x14ac:dyDescent="0.35">
      <c r="A351" t="s">
        <v>61</v>
      </c>
      <c r="B351" s="26" t="s">
        <v>14</v>
      </c>
      <c r="C351" s="20">
        <v>41692</v>
      </c>
      <c r="D351" t="s">
        <v>37</v>
      </c>
      <c r="E351" s="3">
        <v>50</v>
      </c>
      <c r="F351" s="3">
        <v>82</v>
      </c>
      <c r="G351" s="3">
        <v>3608</v>
      </c>
      <c r="H351" s="3" t="s">
        <v>2967</v>
      </c>
    </row>
    <row r="352" spans="1:8" x14ac:dyDescent="0.35">
      <c r="A352" t="s">
        <v>51</v>
      </c>
      <c r="B352" s="26" t="s">
        <v>25</v>
      </c>
      <c r="C352" s="20">
        <v>43233</v>
      </c>
      <c r="D352" t="s">
        <v>105</v>
      </c>
      <c r="E352" s="3">
        <v>70</v>
      </c>
      <c r="F352" s="3">
        <v>52</v>
      </c>
      <c r="G352" s="3">
        <v>3484</v>
      </c>
      <c r="H352" s="3" t="s">
        <v>2965</v>
      </c>
    </row>
    <row r="353" spans="1:8" x14ac:dyDescent="0.35">
      <c r="A353" t="s">
        <v>109</v>
      </c>
      <c r="B353" s="26" t="s">
        <v>20</v>
      </c>
      <c r="C353" s="20">
        <v>43213</v>
      </c>
      <c r="D353" t="s">
        <v>105</v>
      </c>
      <c r="E353" s="3">
        <v>70</v>
      </c>
      <c r="F353" s="3">
        <v>12</v>
      </c>
      <c r="G353" s="3">
        <v>804</v>
      </c>
      <c r="H353" s="3" t="s">
        <v>2969</v>
      </c>
    </row>
    <row r="354" spans="1:8" x14ac:dyDescent="0.35">
      <c r="A354" t="s">
        <v>93</v>
      </c>
      <c r="B354" s="26" t="s">
        <v>36</v>
      </c>
      <c r="C354" s="20">
        <v>42671</v>
      </c>
      <c r="D354" t="s">
        <v>47</v>
      </c>
      <c r="E354" s="3">
        <v>500</v>
      </c>
      <c r="F354" s="3">
        <v>52</v>
      </c>
      <c r="G354" s="3">
        <v>23920</v>
      </c>
      <c r="H354" s="3" t="s">
        <v>2974</v>
      </c>
    </row>
    <row r="355" spans="1:8" x14ac:dyDescent="0.35">
      <c r="A355" t="s">
        <v>13</v>
      </c>
      <c r="B355" s="26" t="s">
        <v>14</v>
      </c>
      <c r="C355" s="20">
        <v>42266</v>
      </c>
      <c r="D355" t="s">
        <v>73</v>
      </c>
      <c r="E355" s="3">
        <v>500</v>
      </c>
      <c r="F355" s="3">
        <v>15</v>
      </c>
      <c r="G355" s="3">
        <v>7425</v>
      </c>
      <c r="H355" s="3" t="s">
        <v>2973</v>
      </c>
    </row>
    <row r="356" spans="1:8" x14ac:dyDescent="0.35">
      <c r="A356" t="s">
        <v>97</v>
      </c>
      <c r="B356" s="26" t="s">
        <v>14</v>
      </c>
      <c r="C356" s="20">
        <v>42588</v>
      </c>
      <c r="D356" t="s">
        <v>56</v>
      </c>
      <c r="E356" s="3">
        <v>800</v>
      </c>
      <c r="F356" s="3">
        <v>49</v>
      </c>
      <c r="G356" s="3">
        <v>34496</v>
      </c>
      <c r="H356" s="3" t="s">
        <v>2972</v>
      </c>
    </row>
    <row r="357" spans="1:8" x14ac:dyDescent="0.35">
      <c r="A357" t="s">
        <v>87</v>
      </c>
      <c r="B357" s="26" t="s">
        <v>14</v>
      </c>
      <c r="C357" s="20">
        <v>41738</v>
      </c>
      <c r="D357" t="s">
        <v>15</v>
      </c>
      <c r="E357" s="3">
        <v>80</v>
      </c>
      <c r="F357" s="3">
        <v>12</v>
      </c>
      <c r="G357" s="3">
        <v>720</v>
      </c>
      <c r="H357" s="3" t="s">
        <v>2969</v>
      </c>
    </row>
    <row r="358" spans="1:8" x14ac:dyDescent="0.35">
      <c r="A358" t="s">
        <v>272</v>
      </c>
      <c r="B358" s="26" t="s">
        <v>36</v>
      </c>
      <c r="C358" s="20">
        <v>43319</v>
      </c>
      <c r="D358" t="s">
        <v>73</v>
      </c>
      <c r="E358" s="3">
        <v>500</v>
      </c>
      <c r="F358" s="3">
        <v>33</v>
      </c>
      <c r="G358" s="3">
        <v>16500</v>
      </c>
      <c r="H358" s="3" t="s">
        <v>2972</v>
      </c>
    </row>
    <row r="359" spans="1:8" x14ac:dyDescent="0.35">
      <c r="A359" t="s">
        <v>109</v>
      </c>
      <c r="B359" s="26" t="s">
        <v>20</v>
      </c>
      <c r="C359" s="20">
        <v>42391</v>
      </c>
      <c r="D359" t="s">
        <v>31</v>
      </c>
      <c r="E359" s="3">
        <v>150</v>
      </c>
      <c r="F359" s="3">
        <v>54</v>
      </c>
      <c r="G359" s="3">
        <v>8100</v>
      </c>
      <c r="H359" s="3" t="s">
        <v>2966</v>
      </c>
    </row>
    <row r="360" spans="1:8" x14ac:dyDescent="0.35">
      <c r="A360" t="s">
        <v>120</v>
      </c>
      <c r="B360" s="26" t="s">
        <v>36</v>
      </c>
      <c r="C360" s="20">
        <v>42348</v>
      </c>
      <c r="D360" t="s">
        <v>105</v>
      </c>
      <c r="E360" s="3">
        <v>70</v>
      </c>
      <c r="F360" s="3">
        <v>28</v>
      </c>
      <c r="G360" s="3">
        <v>1904</v>
      </c>
      <c r="H360" s="3" t="s">
        <v>2976</v>
      </c>
    </row>
    <row r="361" spans="1:8" x14ac:dyDescent="0.35">
      <c r="A361" t="s">
        <v>402</v>
      </c>
      <c r="B361" s="26" t="s">
        <v>14</v>
      </c>
      <c r="C361" s="20">
        <v>42300</v>
      </c>
      <c r="D361" t="s">
        <v>105</v>
      </c>
      <c r="E361" s="3">
        <v>70</v>
      </c>
      <c r="F361" s="3">
        <v>60</v>
      </c>
      <c r="G361" s="3">
        <v>4200</v>
      </c>
      <c r="H361" s="3" t="s">
        <v>2974</v>
      </c>
    </row>
    <row r="362" spans="1:8" x14ac:dyDescent="0.35">
      <c r="A362" t="s">
        <v>272</v>
      </c>
      <c r="B362" s="26" t="s">
        <v>36</v>
      </c>
      <c r="C362" s="20">
        <v>43410</v>
      </c>
      <c r="D362" t="s">
        <v>42</v>
      </c>
      <c r="E362" s="3">
        <v>30</v>
      </c>
      <c r="F362" s="3">
        <v>90</v>
      </c>
      <c r="G362" s="3">
        <v>2520</v>
      </c>
      <c r="H362" s="3" t="s">
        <v>2975</v>
      </c>
    </row>
    <row r="363" spans="1:8" x14ac:dyDescent="0.35">
      <c r="A363" t="s">
        <v>272</v>
      </c>
      <c r="B363" s="26" t="s">
        <v>36</v>
      </c>
      <c r="C363" s="20">
        <v>42889</v>
      </c>
      <c r="D363" t="s">
        <v>105</v>
      </c>
      <c r="E363" s="3">
        <v>70</v>
      </c>
      <c r="F363" s="3">
        <v>96</v>
      </c>
      <c r="G363" s="3">
        <v>6144</v>
      </c>
      <c r="H363" s="3" t="s">
        <v>2970</v>
      </c>
    </row>
    <row r="364" spans="1:8" x14ac:dyDescent="0.35">
      <c r="A364" t="s">
        <v>24</v>
      </c>
      <c r="B364" s="26" t="s">
        <v>25</v>
      </c>
      <c r="C364" s="20">
        <v>42240</v>
      </c>
      <c r="D364" t="s">
        <v>123</v>
      </c>
      <c r="E364" s="3">
        <v>50</v>
      </c>
      <c r="F364" s="3">
        <v>12</v>
      </c>
      <c r="G364" s="3">
        <v>456</v>
      </c>
      <c r="H364" s="3" t="s">
        <v>2972</v>
      </c>
    </row>
    <row r="365" spans="1:8" x14ac:dyDescent="0.35">
      <c r="A365" t="s">
        <v>19</v>
      </c>
      <c r="B365" s="26" t="s">
        <v>20</v>
      </c>
      <c r="C365" s="20">
        <v>43089</v>
      </c>
      <c r="D365" t="s">
        <v>123</v>
      </c>
      <c r="E365" s="3">
        <v>50</v>
      </c>
      <c r="F365" s="3">
        <v>29</v>
      </c>
      <c r="G365" s="3">
        <v>1450</v>
      </c>
      <c r="H365" s="3" t="s">
        <v>2976</v>
      </c>
    </row>
    <row r="366" spans="1:8" x14ac:dyDescent="0.35">
      <c r="A366" t="s">
        <v>72</v>
      </c>
      <c r="B366" s="26" t="s">
        <v>36</v>
      </c>
      <c r="C366" s="20">
        <v>42056</v>
      </c>
      <c r="D366" t="s">
        <v>47</v>
      </c>
      <c r="E366" s="3">
        <v>500</v>
      </c>
      <c r="F366" s="3">
        <v>54</v>
      </c>
      <c r="G366" s="3">
        <v>25110</v>
      </c>
      <c r="H366" s="3" t="s">
        <v>2967</v>
      </c>
    </row>
    <row r="367" spans="1:8" x14ac:dyDescent="0.35">
      <c r="A367" t="s">
        <v>109</v>
      </c>
      <c r="B367" s="26" t="s">
        <v>20</v>
      </c>
      <c r="C367" s="20">
        <v>41957</v>
      </c>
      <c r="D367" t="s">
        <v>37</v>
      </c>
      <c r="E367" s="3">
        <v>50</v>
      </c>
      <c r="F367" s="3">
        <v>51</v>
      </c>
      <c r="G367" s="3">
        <v>2244</v>
      </c>
      <c r="H367" s="3" t="s">
        <v>2975</v>
      </c>
    </row>
    <row r="368" spans="1:8" x14ac:dyDescent="0.35">
      <c r="A368" t="s">
        <v>207</v>
      </c>
      <c r="B368" s="26" t="s">
        <v>25</v>
      </c>
      <c r="C368" s="20">
        <v>41698</v>
      </c>
      <c r="D368" t="s">
        <v>37</v>
      </c>
      <c r="E368" s="3">
        <v>50</v>
      </c>
      <c r="F368" s="3">
        <v>58</v>
      </c>
      <c r="G368" s="3">
        <v>2726</v>
      </c>
      <c r="H368" s="3" t="s">
        <v>2967</v>
      </c>
    </row>
    <row r="369" spans="1:8" x14ac:dyDescent="0.35">
      <c r="A369" t="s">
        <v>172</v>
      </c>
      <c r="B369" s="26" t="s">
        <v>14</v>
      </c>
      <c r="C369" s="20">
        <v>42032</v>
      </c>
      <c r="D369" t="s">
        <v>31</v>
      </c>
      <c r="E369" s="3">
        <v>150</v>
      </c>
      <c r="F369" s="3">
        <v>29</v>
      </c>
      <c r="G369" s="3">
        <v>2929</v>
      </c>
      <c r="H369" s="3" t="s">
        <v>2966</v>
      </c>
    </row>
    <row r="370" spans="1:8" x14ac:dyDescent="0.35">
      <c r="A370" t="s">
        <v>148</v>
      </c>
      <c r="B370" s="26" t="s">
        <v>14</v>
      </c>
      <c r="C370" s="20">
        <v>41950</v>
      </c>
      <c r="D370" t="s">
        <v>15</v>
      </c>
      <c r="E370" s="3">
        <v>80</v>
      </c>
      <c r="F370" s="3">
        <v>19</v>
      </c>
      <c r="G370" s="3">
        <v>1482</v>
      </c>
      <c r="H370" s="3" t="s">
        <v>2975</v>
      </c>
    </row>
    <row r="371" spans="1:8" x14ac:dyDescent="0.35">
      <c r="A371" t="s">
        <v>72</v>
      </c>
      <c r="B371" s="26" t="s">
        <v>36</v>
      </c>
      <c r="C371" s="20">
        <v>42056</v>
      </c>
      <c r="D371" t="s">
        <v>73</v>
      </c>
      <c r="E371" s="3">
        <v>500</v>
      </c>
      <c r="F371" s="3">
        <v>86</v>
      </c>
      <c r="G371" s="3">
        <v>43000</v>
      </c>
      <c r="H371" s="3" t="s">
        <v>2967</v>
      </c>
    </row>
    <row r="372" spans="1:8" x14ac:dyDescent="0.35">
      <c r="A372" t="s">
        <v>51</v>
      </c>
      <c r="B372" s="26" t="s">
        <v>25</v>
      </c>
      <c r="C372" s="20">
        <v>42063</v>
      </c>
      <c r="D372" t="s">
        <v>15</v>
      </c>
      <c r="E372" s="3">
        <v>80</v>
      </c>
      <c r="F372" s="3">
        <v>23</v>
      </c>
      <c r="G372" s="3">
        <v>1702</v>
      </c>
      <c r="H372" s="3" t="s">
        <v>2967</v>
      </c>
    </row>
    <row r="373" spans="1:8" x14ac:dyDescent="0.35">
      <c r="A373" t="s">
        <v>97</v>
      </c>
      <c r="B373" s="26" t="s">
        <v>14</v>
      </c>
      <c r="C373" s="20">
        <v>43066</v>
      </c>
      <c r="D373" t="s">
        <v>105</v>
      </c>
      <c r="E373" s="3">
        <v>70</v>
      </c>
      <c r="F373" s="3">
        <v>55</v>
      </c>
      <c r="G373" s="3">
        <v>3740</v>
      </c>
      <c r="H373" s="3" t="s">
        <v>2975</v>
      </c>
    </row>
    <row r="374" spans="1:8" x14ac:dyDescent="0.35">
      <c r="A374" t="s">
        <v>266</v>
      </c>
      <c r="B374" s="26" t="s">
        <v>14</v>
      </c>
      <c r="C374" s="20">
        <v>41681</v>
      </c>
      <c r="D374" t="s">
        <v>47</v>
      </c>
      <c r="E374" s="3">
        <v>500</v>
      </c>
      <c r="F374" s="3">
        <v>67</v>
      </c>
      <c r="G374" s="3">
        <v>33500</v>
      </c>
      <c r="H374" s="3" t="s">
        <v>2967</v>
      </c>
    </row>
    <row r="375" spans="1:8" x14ac:dyDescent="0.35">
      <c r="A375" t="s">
        <v>51</v>
      </c>
      <c r="B375" s="26" t="s">
        <v>25</v>
      </c>
      <c r="C375" s="20">
        <v>43194</v>
      </c>
      <c r="D375" t="s">
        <v>62</v>
      </c>
      <c r="E375" s="3">
        <v>1000</v>
      </c>
      <c r="F375" s="3">
        <v>47</v>
      </c>
      <c r="G375" s="3">
        <v>33840</v>
      </c>
      <c r="H375" s="3" t="s">
        <v>2969</v>
      </c>
    </row>
    <row r="376" spans="1:8" x14ac:dyDescent="0.35">
      <c r="A376" t="s">
        <v>19</v>
      </c>
      <c r="B376" s="26" t="s">
        <v>20</v>
      </c>
      <c r="C376" s="20">
        <v>42790</v>
      </c>
      <c r="D376" t="s">
        <v>47</v>
      </c>
      <c r="E376" s="3">
        <v>500</v>
      </c>
      <c r="F376" s="3">
        <v>87</v>
      </c>
      <c r="G376" s="3">
        <v>41760</v>
      </c>
      <c r="H376" s="3" t="s">
        <v>2967</v>
      </c>
    </row>
    <row r="377" spans="1:8" x14ac:dyDescent="0.35">
      <c r="A377" t="s">
        <v>109</v>
      </c>
      <c r="B377" s="26" t="s">
        <v>20</v>
      </c>
      <c r="C377" s="20">
        <v>41686</v>
      </c>
      <c r="D377" t="s">
        <v>37</v>
      </c>
      <c r="E377" s="3">
        <v>50</v>
      </c>
      <c r="F377" s="3">
        <v>32</v>
      </c>
      <c r="G377" s="3">
        <v>1376</v>
      </c>
      <c r="H377" s="3" t="s">
        <v>2967</v>
      </c>
    </row>
    <row r="378" spans="1:8" x14ac:dyDescent="0.35">
      <c r="A378" t="s">
        <v>55</v>
      </c>
      <c r="B378" s="26" t="s">
        <v>14</v>
      </c>
      <c r="C378" s="20">
        <v>43277</v>
      </c>
      <c r="D378" t="s">
        <v>31</v>
      </c>
      <c r="E378" s="3">
        <v>150</v>
      </c>
      <c r="F378" s="3">
        <v>79</v>
      </c>
      <c r="G378" s="3">
        <v>11850</v>
      </c>
      <c r="H378" s="3" t="s">
        <v>2970</v>
      </c>
    </row>
    <row r="379" spans="1:8" x14ac:dyDescent="0.35">
      <c r="A379" t="s">
        <v>13</v>
      </c>
      <c r="B379" s="26" t="s">
        <v>14</v>
      </c>
      <c r="C379" s="20">
        <v>41656</v>
      </c>
      <c r="D379" t="s">
        <v>56</v>
      </c>
      <c r="E379" s="3">
        <v>800</v>
      </c>
      <c r="F379" s="3">
        <v>74</v>
      </c>
      <c r="G379" s="3">
        <v>39072</v>
      </c>
      <c r="H379" s="3" t="s">
        <v>2966</v>
      </c>
    </row>
    <row r="380" spans="1:8" x14ac:dyDescent="0.35">
      <c r="A380" t="s">
        <v>189</v>
      </c>
      <c r="B380" s="26" t="s">
        <v>14</v>
      </c>
      <c r="C380" s="20">
        <v>42069</v>
      </c>
      <c r="D380" t="s">
        <v>37</v>
      </c>
      <c r="E380" s="3">
        <v>50</v>
      </c>
      <c r="F380" s="3">
        <v>69</v>
      </c>
      <c r="G380" s="3">
        <v>2691</v>
      </c>
      <c r="H380" s="3" t="s">
        <v>2968</v>
      </c>
    </row>
    <row r="381" spans="1:8" x14ac:dyDescent="0.35">
      <c r="A381" t="s">
        <v>87</v>
      </c>
      <c r="B381" s="26" t="s">
        <v>14</v>
      </c>
      <c r="C381" s="20">
        <v>43030</v>
      </c>
      <c r="D381" t="s">
        <v>123</v>
      </c>
      <c r="E381" s="3">
        <v>50</v>
      </c>
      <c r="F381" s="3">
        <v>9</v>
      </c>
      <c r="G381" s="3">
        <v>450</v>
      </c>
      <c r="H381" s="3" t="s">
        <v>2974</v>
      </c>
    </row>
    <row r="382" spans="1:8" x14ac:dyDescent="0.35">
      <c r="A382" t="s">
        <v>72</v>
      </c>
      <c r="B382" s="26" t="s">
        <v>36</v>
      </c>
      <c r="C382" s="20">
        <v>42483</v>
      </c>
      <c r="D382" t="s">
        <v>73</v>
      </c>
      <c r="E382" s="3">
        <v>500</v>
      </c>
      <c r="F382" s="3">
        <v>7</v>
      </c>
      <c r="G382" s="3">
        <v>3500</v>
      </c>
      <c r="H382" s="3" t="s">
        <v>2969</v>
      </c>
    </row>
    <row r="383" spans="1:8" x14ac:dyDescent="0.35">
      <c r="A383" t="s">
        <v>97</v>
      </c>
      <c r="B383" s="26" t="s">
        <v>14</v>
      </c>
      <c r="C383" s="20">
        <v>43405</v>
      </c>
      <c r="D383" t="s">
        <v>37</v>
      </c>
      <c r="E383" s="3">
        <v>50</v>
      </c>
      <c r="F383" s="3">
        <v>42</v>
      </c>
      <c r="G383" s="3">
        <v>1848</v>
      </c>
      <c r="H383" s="3" t="s">
        <v>2975</v>
      </c>
    </row>
    <row r="384" spans="1:8" x14ac:dyDescent="0.35">
      <c r="A384" t="s">
        <v>51</v>
      </c>
      <c r="B384" s="26" t="s">
        <v>25</v>
      </c>
      <c r="C384" s="20">
        <v>43037</v>
      </c>
      <c r="D384" t="s">
        <v>123</v>
      </c>
      <c r="E384" s="3">
        <v>50</v>
      </c>
      <c r="F384" s="3">
        <v>38</v>
      </c>
      <c r="G384" s="3">
        <v>1824</v>
      </c>
      <c r="H384" s="3" t="s">
        <v>2974</v>
      </c>
    </row>
    <row r="385" spans="1:8" x14ac:dyDescent="0.35">
      <c r="A385" t="s">
        <v>93</v>
      </c>
      <c r="B385" s="26" t="s">
        <v>36</v>
      </c>
      <c r="C385" s="20">
        <v>42794</v>
      </c>
      <c r="D385" t="s">
        <v>15</v>
      </c>
      <c r="E385" s="3">
        <v>80</v>
      </c>
      <c r="F385" s="3">
        <v>6</v>
      </c>
      <c r="G385" s="3">
        <v>432</v>
      </c>
      <c r="H385" s="3" t="s">
        <v>2967</v>
      </c>
    </row>
    <row r="386" spans="1:8" x14ac:dyDescent="0.35">
      <c r="A386" t="s">
        <v>207</v>
      </c>
      <c r="B386" s="26" t="s">
        <v>25</v>
      </c>
      <c r="C386" s="20">
        <v>42249</v>
      </c>
      <c r="D386" t="s">
        <v>123</v>
      </c>
      <c r="E386" s="3">
        <v>50</v>
      </c>
      <c r="F386" s="3">
        <v>2</v>
      </c>
      <c r="G386" s="3">
        <v>64</v>
      </c>
      <c r="H386" s="3" t="s">
        <v>2973</v>
      </c>
    </row>
    <row r="387" spans="1:8" x14ac:dyDescent="0.35">
      <c r="A387" t="s">
        <v>41</v>
      </c>
      <c r="B387" s="26" t="s">
        <v>36</v>
      </c>
      <c r="C387" s="20">
        <v>42934</v>
      </c>
      <c r="D387" t="s">
        <v>26</v>
      </c>
      <c r="E387" s="3">
        <v>700</v>
      </c>
      <c r="F387" s="3">
        <v>47</v>
      </c>
      <c r="G387" s="3">
        <v>30597</v>
      </c>
      <c r="H387" s="3" t="s">
        <v>2971</v>
      </c>
    </row>
    <row r="388" spans="1:8" x14ac:dyDescent="0.35">
      <c r="A388" t="s">
        <v>129</v>
      </c>
      <c r="B388" s="26" t="s">
        <v>14</v>
      </c>
      <c r="C388" s="20">
        <v>42858</v>
      </c>
      <c r="D388" t="s">
        <v>123</v>
      </c>
      <c r="E388" s="3">
        <v>50</v>
      </c>
      <c r="F388" s="3">
        <v>26</v>
      </c>
      <c r="G388" s="3">
        <v>1274</v>
      </c>
      <c r="H388" s="3" t="s">
        <v>2965</v>
      </c>
    </row>
    <row r="389" spans="1:8" x14ac:dyDescent="0.35">
      <c r="A389" t="s">
        <v>101</v>
      </c>
      <c r="B389" s="26" t="s">
        <v>14</v>
      </c>
      <c r="C389" s="20">
        <v>43441</v>
      </c>
      <c r="D389" t="s">
        <v>47</v>
      </c>
      <c r="E389" s="3">
        <v>500</v>
      </c>
      <c r="F389" s="3">
        <v>55</v>
      </c>
      <c r="G389" s="3">
        <v>24200</v>
      </c>
      <c r="H389" s="3" t="s">
        <v>2976</v>
      </c>
    </row>
    <row r="390" spans="1:8" x14ac:dyDescent="0.35">
      <c r="A390" t="s">
        <v>189</v>
      </c>
      <c r="B390" s="26" t="s">
        <v>14</v>
      </c>
      <c r="C390" s="20">
        <v>43277</v>
      </c>
      <c r="D390" t="s">
        <v>62</v>
      </c>
      <c r="E390" s="3">
        <v>1000</v>
      </c>
      <c r="F390" s="3">
        <v>15</v>
      </c>
      <c r="G390" s="3">
        <v>10200</v>
      </c>
      <c r="H390" s="3" t="s">
        <v>2970</v>
      </c>
    </row>
    <row r="391" spans="1:8" x14ac:dyDescent="0.35">
      <c r="A391" t="s">
        <v>35</v>
      </c>
      <c r="B391" s="26" t="s">
        <v>36</v>
      </c>
      <c r="C391" s="20">
        <v>42283</v>
      </c>
      <c r="D391" t="s">
        <v>26</v>
      </c>
      <c r="E391" s="3">
        <v>700</v>
      </c>
      <c r="F391" s="3">
        <v>30</v>
      </c>
      <c r="G391" s="3">
        <v>19110</v>
      </c>
      <c r="H391" s="3" t="s">
        <v>2974</v>
      </c>
    </row>
    <row r="392" spans="1:8" x14ac:dyDescent="0.35">
      <c r="A392" t="s">
        <v>55</v>
      </c>
      <c r="B392" s="26" t="s">
        <v>14</v>
      </c>
      <c r="C392" s="20">
        <v>41784</v>
      </c>
      <c r="D392" t="s">
        <v>37</v>
      </c>
      <c r="E392" s="3">
        <v>50</v>
      </c>
      <c r="F392" s="3">
        <v>77</v>
      </c>
      <c r="G392" s="3">
        <v>3311</v>
      </c>
      <c r="H392" s="3" t="s">
        <v>2965</v>
      </c>
    </row>
    <row r="393" spans="1:8" x14ac:dyDescent="0.35">
      <c r="A393" t="s">
        <v>72</v>
      </c>
      <c r="B393" s="26" t="s">
        <v>36</v>
      </c>
      <c r="C393" s="20">
        <v>42546</v>
      </c>
      <c r="D393" t="s">
        <v>42</v>
      </c>
      <c r="E393" s="3">
        <v>30</v>
      </c>
      <c r="F393" s="3">
        <v>25</v>
      </c>
      <c r="G393" s="3">
        <v>725</v>
      </c>
      <c r="H393" s="3" t="s">
        <v>2970</v>
      </c>
    </row>
    <row r="394" spans="1:8" x14ac:dyDescent="0.35">
      <c r="A394" t="s">
        <v>61</v>
      </c>
      <c r="B394" s="26" t="s">
        <v>14</v>
      </c>
      <c r="C394" s="20">
        <v>42982</v>
      </c>
      <c r="D394" t="s">
        <v>37</v>
      </c>
      <c r="E394" s="3">
        <v>50</v>
      </c>
      <c r="F394" s="3">
        <v>18</v>
      </c>
      <c r="G394" s="3">
        <v>846</v>
      </c>
      <c r="H394" s="3" t="s">
        <v>2973</v>
      </c>
    </row>
    <row r="395" spans="1:8" x14ac:dyDescent="0.35">
      <c r="A395" t="s">
        <v>207</v>
      </c>
      <c r="B395" s="26" t="s">
        <v>25</v>
      </c>
      <c r="C395" s="20">
        <v>42220</v>
      </c>
      <c r="D395" t="s">
        <v>31</v>
      </c>
      <c r="E395" s="3">
        <v>150</v>
      </c>
      <c r="F395" s="3">
        <v>47</v>
      </c>
      <c r="G395" s="3">
        <v>6768</v>
      </c>
      <c r="H395" s="3" t="s">
        <v>2972</v>
      </c>
    </row>
    <row r="396" spans="1:8" x14ac:dyDescent="0.35">
      <c r="A396" t="s">
        <v>176</v>
      </c>
      <c r="B396" s="26" t="s">
        <v>14</v>
      </c>
      <c r="C396" s="20">
        <v>42239</v>
      </c>
      <c r="D396" t="s">
        <v>116</v>
      </c>
      <c r="E396" s="3">
        <v>250</v>
      </c>
      <c r="F396" s="3">
        <v>86</v>
      </c>
      <c r="G396" s="3">
        <v>16598</v>
      </c>
      <c r="H396" s="3" t="s">
        <v>2972</v>
      </c>
    </row>
    <row r="397" spans="1:8" x14ac:dyDescent="0.35">
      <c r="A397" t="s">
        <v>79</v>
      </c>
      <c r="B397" s="26" t="s">
        <v>36</v>
      </c>
      <c r="C397" s="20">
        <v>42379</v>
      </c>
      <c r="D397" t="s">
        <v>56</v>
      </c>
      <c r="E397" s="3">
        <v>800</v>
      </c>
      <c r="F397" s="3">
        <v>55</v>
      </c>
      <c r="G397" s="3">
        <v>44000</v>
      </c>
      <c r="H397" s="3" t="s">
        <v>2966</v>
      </c>
    </row>
    <row r="398" spans="1:8" x14ac:dyDescent="0.35">
      <c r="A398" t="s">
        <v>436</v>
      </c>
      <c r="B398" s="26" t="s">
        <v>25</v>
      </c>
      <c r="C398" s="20">
        <v>42336</v>
      </c>
      <c r="D398" t="s">
        <v>26</v>
      </c>
      <c r="E398" s="3">
        <v>700</v>
      </c>
      <c r="F398" s="3">
        <v>48</v>
      </c>
      <c r="G398" s="3">
        <v>21168</v>
      </c>
      <c r="H398" s="3" t="s">
        <v>2975</v>
      </c>
    </row>
    <row r="399" spans="1:8" x14ac:dyDescent="0.35">
      <c r="A399" t="s">
        <v>152</v>
      </c>
      <c r="B399" s="26" t="s">
        <v>14</v>
      </c>
      <c r="C399" s="20">
        <v>42570</v>
      </c>
      <c r="D399" t="s">
        <v>105</v>
      </c>
      <c r="E399" s="3">
        <v>70</v>
      </c>
      <c r="F399" s="3">
        <v>94</v>
      </c>
      <c r="G399" s="3">
        <v>5640</v>
      </c>
      <c r="H399" s="3" t="s">
        <v>2971</v>
      </c>
    </row>
    <row r="400" spans="1:8" x14ac:dyDescent="0.35">
      <c r="A400" t="s">
        <v>41</v>
      </c>
      <c r="B400" s="26" t="s">
        <v>36</v>
      </c>
      <c r="C400" s="20">
        <v>42959</v>
      </c>
      <c r="D400" t="s">
        <v>47</v>
      </c>
      <c r="E400" s="3">
        <v>500</v>
      </c>
      <c r="F400" s="3">
        <v>71</v>
      </c>
      <c r="G400" s="3">
        <v>35145</v>
      </c>
      <c r="H400" s="3" t="s">
        <v>2972</v>
      </c>
    </row>
    <row r="401" spans="1:8" x14ac:dyDescent="0.35">
      <c r="A401" t="s">
        <v>189</v>
      </c>
      <c r="B401" s="26" t="s">
        <v>14</v>
      </c>
      <c r="C401" s="20">
        <v>42949</v>
      </c>
      <c r="D401" t="s">
        <v>42</v>
      </c>
      <c r="E401" s="3">
        <v>30</v>
      </c>
      <c r="F401" s="3">
        <v>77</v>
      </c>
      <c r="G401" s="3">
        <v>2233</v>
      </c>
      <c r="H401" s="3" t="s">
        <v>2972</v>
      </c>
    </row>
    <row r="402" spans="1:8" x14ac:dyDescent="0.35">
      <c r="A402" t="s">
        <v>97</v>
      </c>
      <c r="B402" s="26" t="s">
        <v>14</v>
      </c>
      <c r="C402" s="20">
        <v>43371</v>
      </c>
      <c r="D402" t="s">
        <v>42</v>
      </c>
      <c r="E402" s="3">
        <v>30</v>
      </c>
      <c r="F402" s="3">
        <v>94</v>
      </c>
      <c r="G402" s="3">
        <v>2726</v>
      </c>
      <c r="H402" s="3" t="s">
        <v>2973</v>
      </c>
    </row>
    <row r="403" spans="1:8" x14ac:dyDescent="0.35">
      <c r="A403" t="s">
        <v>152</v>
      </c>
      <c r="B403" s="26" t="s">
        <v>14</v>
      </c>
      <c r="C403" s="20">
        <v>42845</v>
      </c>
      <c r="D403" t="s">
        <v>73</v>
      </c>
      <c r="E403" s="3">
        <v>500</v>
      </c>
      <c r="F403" s="3">
        <v>55</v>
      </c>
      <c r="G403" s="3">
        <v>27500</v>
      </c>
      <c r="H403" s="3" t="s">
        <v>2969</v>
      </c>
    </row>
    <row r="404" spans="1:8" x14ac:dyDescent="0.35">
      <c r="A404" t="s">
        <v>176</v>
      </c>
      <c r="B404" s="26" t="s">
        <v>14</v>
      </c>
      <c r="C404" s="20">
        <v>41653</v>
      </c>
      <c r="D404" t="s">
        <v>62</v>
      </c>
      <c r="E404" s="3">
        <v>1000</v>
      </c>
      <c r="F404" s="3">
        <v>60</v>
      </c>
      <c r="G404" s="3">
        <v>30600</v>
      </c>
      <c r="H404" s="3" t="s">
        <v>2966</v>
      </c>
    </row>
    <row r="405" spans="1:8" x14ac:dyDescent="0.35">
      <c r="A405" t="s">
        <v>51</v>
      </c>
      <c r="B405" s="26" t="s">
        <v>25</v>
      </c>
      <c r="C405" s="20">
        <v>42135</v>
      </c>
      <c r="D405" t="s">
        <v>56</v>
      </c>
      <c r="E405" s="3">
        <v>800</v>
      </c>
      <c r="F405" s="3">
        <v>32</v>
      </c>
      <c r="G405" s="3">
        <v>15616</v>
      </c>
      <c r="H405" s="3" t="s">
        <v>2965</v>
      </c>
    </row>
    <row r="406" spans="1:8" x14ac:dyDescent="0.35">
      <c r="A406" t="s">
        <v>19</v>
      </c>
      <c r="B406" s="26" t="s">
        <v>20</v>
      </c>
      <c r="C406" s="20">
        <v>42719</v>
      </c>
      <c r="D406" t="s">
        <v>37</v>
      </c>
      <c r="E406" s="3">
        <v>50</v>
      </c>
      <c r="F406" s="3">
        <v>49</v>
      </c>
      <c r="G406" s="3">
        <v>2401</v>
      </c>
      <c r="H406" s="3" t="s">
        <v>2976</v>
      </c>
    </row>
    <row r="407" spans="1:8" x14ac:dyDescent="0.35">
      <c r="A407" t="s">
        <v>257</v>
      </c>
      <c r="B407" s="26" t="s">
        <v>14</v>
      </c>
      <c r="C407" s="20">
        <v>42893</v>
      </c>
      <c r="D407" t="s">
        <v>15</v>
      </c>
      <c r="E407" s="3">
        <v>80</v>
      </c>
      <c r="F407" s="3">
        <v>59</v>
      </c>
      <c r="G407" s="3">
        <v>4602</v>
      </c>
      <c r="H407" s="3" t="s">
        <v>2970</v>
      </c>
    </row>
    <row r="408" spans="1:8" x14ac:dyDescent="0.35">
      <c r="A408" t="s">
        <v>243</v>
      </c>
      <c r="B408" s="26" t="s">
        <v>14</v>
      </c>
      <c r="C408" s="20">
        <v>43325</v>
      </c>
      <c r="D408" t="s">
        <v>123</v>
      </c>
      <c r="E408" s="3">
        <v>50</v>
      </c>
      <c r="F408" s="3">
        <v>14</v>
      </c>
      <c r="G408" s="3">
        <v>672</v>
      </c>
      <c r="H408" s="3" t="s">
        <v>2972</v>
      </c>
    </row>
    <row r="409" spans="1:8" x14ac:dyDescent="0.35">
      <c r="A409" t="s">
        <v>61</v>
      </c>
      <c r="B409" s="26" t="s">
        <v>14</v>
      </c>
      <c r="C409" s="20">
        <v>43190</v>
      </c>
      <c r="D409" t="s">
        <v>123</v>
      </c>
      <c r="E409" s="3">
        <v>50</v>
      </c>
      <c r="F409" s="3">
        <v>47</v>
      </c>
      <c r="G409" s="3">
        <v>2350</v>
      </c>
      <c r="H409" s="3" t="s">
        <v>2968</v>
      </c>
    </row>
    <row r="410" spans="1:8" x14ac:dyDescent="0.35">
      <c r="A410" t="s">
        <v>66</v>
      </c>
      <c r="B410" s="26" t="s">
        <v>36</v>
      </c>
      <c r="C410" s="20">
        <v>43397</v>
      </c>
      <c r="D410" t="s">
        <v>116</v>
      </c>
      <c r="E410" s="3">
        <v>250</v>
      </c>
      <c r="F410" s="3">
        <v>80</v>
      </c>
      <c r="G410" s="3">
        <v>20000</v>
      </c>
      <c r="H410" s="3" t="s">
        <v>2974</v>
      </c>
    </row>
    <row r="411" spans="1:8" x14ac:dyDescent="0.35">
      <c r="A411" t="s">
        <v>87</v>
      </c>
      <c r="B411" s="26" t="s">
        <v>14</v>
      </c>
      <c r="C411" s="20">
        <v>42558</v>
      </c>
      <c r="D411" t="s">
        <v>105</v>
      </c>
      <c r="E411" s="3">
        <v>70</v>
      </c>
      <c r="F411" s="3">
        <v>92</v>
      </c>
      <c r="G411" s="3">
        <v>6164</v>
      </c>
      <c r="H411" s="3" t="s">
        <v>2971</v>
      </c>
    </row>
    <row r="412" spans="1:8" x14ac:dyDescent="0.35">
      <c r="A412" t="s">
        <v>35</v>
      </c>
      <c r="B412" s="26" t="s">
        <v>36</v>
      </c>
      <c r="C412" s="20">
        <v>43259</v>
      </c>
      <c r="D412" t="s">
        <v>26</v>
      </c>
      <c r="E412" s="3">
        <v>700</v>
      </c>
      <c r="F412" s="3">
        <v>53</v>
      </c>
      <c r="G412" s="3">
        <v>36729</v>
      </c>
      <c r="H412" s="3" t="s">
        <v>2970</v>
      </c>
    </row>
    <row r="413" spans="1:8" x14ac:dyDescent="0.35">
      <c r="A413" t="s">
        <v>41</v>
      </c>
      <c r="B413" s="26" t="s">
        <v>36</v>
      </c>
      <c r="C413" s="20">
        <v>42944</v>
      </c>
      <c r="D413" t="s">
        <v>42</v>
      </c>
      <c r="E413" s="3">
        <v>30</v>
      </c>
      <c r="F413" s="3">
        <v>34</v>
      </c>
      <c r="G413" s="3">
        <v>918</v>
      </c>
      <c r="H413" s="3" t="s">
        <v>2971</v>
      </c>
    </row>
    <row r="414" spans="1:8" x14ac:dyDescent="0.35">
      <c r="A414" t="s">
        <v>176</v>
      </c>
      <c r="B414" s="26" t="s">
        <v>14</v>
      </c>
      <c r="C414" s="20">
        <v>42448</v>
      </c>
      <c r="D414" t="s">
        <v>37</v>
      </c>
      <c r="E414" s="3">
        <v>50</v>
      </c>
      <c r="F414" s="3">
        <v>35</v>
      </c>
      <c r="G414" s="3">
        <v>1715</v>
      </c>
      <c r="H414" s="3" t="s">
        <v>2968</v>
      </c>
    </row>
    <row r="415" spans="1:8" x14ac:dyDescent="0.35">
      <c r="A415" t="s">
        <v>30</v>
      </c>
      <c r="B415" s="26" t="s">
        <v>14</v>
      </c>
      <c r="C415" s="20">
        <v>42158</v>
      </c>
      <c r="D415" t="s">
        <v>56</v>
      </c>
      <c r="E415" s="3">
        <v>800</v>
      </c>
      <c r="F415" s="3">
        <v>89</v>
      </c>
      <c r="G415" s="3">
        <v>59096</v>
      </c>
      <c r="H415" s="3" t="s">
        <v>2970</v>
      </c>
    </row>
    <row r="416" spans="1:8" x14ac:dyDescent="0.35">
      <c r="A416" t="s">
        <v>189</v>
      </c>
      <c r="B416" s="26" t="s">
        <v>14</v>
      </c>
      <c r="C416" s="20">
        <v>42486</v>
      </c>
      <c r="D416" t="s">
        <v>56</v>
      </c>
      <c r="E416" s="3">
        <v>800</v>
      </c>
      <c r="F416" s="3">
        <v>38</v>
      </c>
      <c r="G416" s="3">
        <v>24624</v>
      </c>
      <c r="H416" s="3" t="s">
        <v>2969</v>
      </c>
    </row>
    <row r="417" spans="1:8" x14ac:dyDescent="0.35">
      <c r="A417" t="s">
        <v>109</v>
      </c>
      <c r="B417" s="26" t="s">
        <v>20</v>
      </c>
      <c r="C417" s="20">
        <v>43398</v>
      </c>
      <c r="D417" t="s">
        <v>42</v>
      </c>
      <c r="E417" s="3">
        <v>30</v>
      </c>
      <c r="F417" s="3">
        <v>98</v>
      </c>
      <c r="G417" s="3">
        <v>2842</v>
      </c>
      <c r="H417" s="3" t="s">
        <v>2974</v>
      </c>
    </row>
    <row r="418" spans="1:8" x14ac:dyDescent="0.35">
      <c r="A418" t="s">
        <v>55</v>
      </c>
      <c r="B418" s="26" t="s">
        <v>14</v>
      </c>
      <c r="C418" s="20">
        <v>43065</v>
      </c>
      <c r="D418" t="s">
        <v>47</v>
      </c>
      <c r="E418" s="3">
        <v>500</v>
      </c>
      <c r="F418" s="3">
        <v>4</v>
      </c>
      <c r="G418" s="3">
        <v>1900</v>
      </c>
      <c r="H418" s="3" t="s">
        <v>2975</v>
      </c>
    </row>
    <row r="419" spans="1:8" x14ac:dyDescent="0.35">
      <c r="A419" t="s">
        <v>189</v>
      </c>
      <c r="B419" s="26" t="s">
        <v>14</v>
      </c>
      <c r="C419" s="20">
        <v>42059</v>
      </c>
      <c r="D419" t="s">
        <v>73</v>
      </c>
      <c r="E419" s="3">
        <v>500</v>
      </c>
      <c r="F419" s="3">
        <v>45</v>
      </c>
      <c r="G419" s="3">
        <v>22275</v>
      </c>
      <c r="H419" s="3" t="s">
        <v>2967</v>
      </c>
    </row>
    <row r="420" spans="1:8" x14ac:dyDescent="0.35">
      <c r="A420" t="s">
        <v>13</v>
      </c>
      <c r="B420" s="26" t="s">
        <v>14</v>
      </c>
      <c r="C420" s="20">
        <v>41998</v>
      </c>
      <c r="D420" t="s">
        <v>62</v>
      </c>
      <c r="E420" s="3">
        <v>1000</v>
      </c>
      <c r="F420" s="3">
        <v>99</v>
      </c>
      <c r="G420" s="3">
        <v>57420</v>
      </c>
      <c r="H420" s="3" t="s">
        <v>2976</v>
      </c>
    </row>
    <row r="421" spans="1:8" x14ac:dyDescent="0.35">
      <c r="A421" t="s">
        <v>257</v>
      </c>
      <c r="B421" s="26" t="s">
        <v>14</v>
      </c>
      <c r="C421" s="20">
        <v>43053</v>
      </c>
      <c r="D421" t="s">
        <v>123</v>
      </c>
      <c r="E421" s="3">
        <v>50</v>
      </c>
      <c r="F421" s="3">
        <v>12</v>
      </c>
      <c r="G421" s="3">
        <v>564</v>
      </c>
      <c r="H421" s="3" t="s">
        <v>2975</v>
      </c>
    </row>
    <row r="422" spans="1:8" x14ac:dyDescent="0.35">
      <c r="A422" t="s">
        <v>266</v>
      </c>
      <c r="B422" s="26" t="s">
        <v>14</v>
      </c>
      <c r="C422" s="20">
        <v>42129</v>
      </c>
      <c r="D422" t="s">
        <v>105</v>
      </c>
      <c r="E422" s="3">
        <v>70</v>
      </c>
      <c r="F422" s="3">
        <v>59</v>
      </c>
      <c r="G422" s="3">
        <v>2832</v>
      </c>
      <c r="H422" s="3" t="s">
        <v>2965</v>
      </c>
    </row>
    <row r="423" spans="1:8" x14ac:dyDescent="0.35">
      <c r="A423" t="s">
        <v>189</v>
      </c>
      <c r="B423" s="26" t="s">
        <v>14</v>
      </c>
      <c r="C423" s="20">
        <v>42104</v>
      </c>
      <c r="D423" t="s">
        <v>62</v>
      </c>
      <c r="E423" s="3">
        <v>1000</v>
      </c>
      <c r="F423" s="3">
        <v>31</v>
      </c>
      <c r="G423" s="3">
        <v>23250</v>
      </c>
      <c r="H423" s="3" t="s">
        <v>2969</v>
      </c>
    </row>
    <row r="424" spans="1:8" x14ac:dyDescent="0.35">
      <c r="A424" t="s">
        <v>257</v>
      </c>
      <c r="B424" s="26" t="s">
        <v>14</v>
      </c>
      <c r="C424" s="20">
        <v>41790</v>
      </c>
      <c r="D424" t="s">
        <v>42</v>
      </c>
      <c r="E424" s="3">
        <v>30</v>
      </c>
      <c r="F424" s="3">
        <v>23</v>
      </c>
      <c r="G424" s="3">
        <v>575</v>
      </c>
      <c r="H424" s="3" t="s">
        <v>2965</v>
      </c>
    </row>
    <row r="425" spans="1:8" x14ac:dyDescent="0.35">
      <c r="A425" t="s">
        <v>93</v>
      </c>
      <c r="B425" s="26" t="s">
        <v>36</v>
      </c>
      <c r="C425" s="20">
        <v>43372</v>
      </c>
      <c r="D425" t="s">
        <v>42</v>
      </c>
      <c r="E425" s="3">
        <v>30</v>
      </c>
      <c r="F425" s="3">
        <v>46</v>
      </c>
      <c r="G425" s="3">
        <v>1242</v>
      </c>
      <c r="H425" s="3" t="s">
        <v>2973</v>
      </c>
    </row>
    <row r="426" spans="1:8" x14ac:dyDescent="0.35">
      <c r="A426" t="s">
        <v>272</v>
      </c>
      <c r="B426" s="26" t="s">
        <v>36</v>
      </c>
      <c r="C426" s="20">
        <v>43450</v>
      </c>
      <c r="D426" t="s">
        <v>73</v>
      </c>
      <c r="E426" s="3">
        <v>500</v>
      </c>
      <c r="F426" s="3">
        <v>75</v>
      </c>
      <c r="G426" s="3">
        <v>36750</v>
      </c>
      <c r="H426" s="3" t="s">
        <v>2976</v>
      </c>
    </row>
    <row r="427" spans="1:8" x14ac:dyDescent="0.35">
      <c r="A427" t="s">
        <v>109</v>
      </c>
      <c r="B427" s="26" t="s">
        <v>20</v>
      </c>
      <c r="C427" s="20">
        <v>42019</v>
      </c>
      <c r="D427" t="s">
        <v>73</v>
      </c>
      <c r="E427" s="3">
        <v>500</v>
      </c>
      <c r="F427" s="3">
        <v>5</v>
      </c>
      <c r="G427" s="3">
        <v>2500</v>
      </c>
      <c r="H427" s="3" t="s">
        <v>2966</v>
      </c>
    </row>
    <row r="428" spans="1:8" x14ac:dyDescent="0.35">
      <c r="A428" t="s">
        <v>129</v>
      </c>
      <c r="B428" s="26" t="s">
        <v>14</v>
      </c>
      <c r="C428" s="20">
        <v>41824</v>
      </c>
      <c r="D428" t="s">
        <v>73</v>
      </c>
      <c r="E428" s="3">
        <v>500</v>
      </c>
      <c r="F428" s="3">
        <v>55</v>
      </c>
      <c r="G428" s="3">
        <v>27225</v>
      </c>
      <c r="H428" s="3" t="s">
        <v>2971</v>
      </c>
    </row>
    <row r="429" spans="1:8" x14ac:dyDescent="0.35">
      <c r="A429" t="s">
        <v>436</v>
      </c>
      <c r="B429" s="26" t="s">
        <v>25</v>
      </c>
      <c r="C429" s="20">
        <v>41780</v>
      </c>
      <c r="D429" t="s">
        <v>31</v>
      </c>
      <c r="E429" s="3">
        <v>150</v>
      </c>
      <c r="F429" s="3">
        <v>97</v>
      </c>
      <c r="G429" s="3">
        <v>11543</v>
      </c>
      <c r="H429" s="3" t="s">
        <v>2965</v>
      </c>
    </row>
    <row r="430" spans="1:8" x14ac:dyDescent="0.35">
      <c r="A430" t="s">
        <v>55</v>
      </c>
      <c r="B430" s="26" t="s">
        <v>14</v>
      </c>
      <c r="C430" s="20">
        <v>41684</v>
      </c>
      <c r="D430" t="s">
        <v>15</v>
      </c>
      <c r="E430" s="3">
        <v>80</v>
      </c>
      <c r="F430" s="3">
        <v>54</v>
      </c>
      <c r="G430" s="3">
        <v>4266</v>
      </c>
      <c r="H430" s="3" t="s">
        <v>2967</v>
      </c>
    </row>
    <row r="431" spans="1:8" x14ac:dyDescent="0.35">
      <c r="A431" t="s">
        <v>402</v>
      </c>
      <c r="B431" s="26" t="s">
        <v>14</v>
      </c>
      <c r="C431" s="20">
        <v>43044</v>
      </c>
      <c r="D431" t="s">
        <v>31</v>
      </c>
      <c r="E431" s="3">
        <v>150</v>
      </c>
      <c r="F431" s="3">
        <v>74</v>
      </c>
      <c r="G431" s="3">
        <v>7326</v>
      </c>
      <c r="H431" s="3" t="s">
        <v>2975</v>
      </c>
    </row>
    <row r="432" spans="1:8" x14ac:dyDescent="0.35">
      <c r="A432" t="s">
        <v>109</v>
      </c>
      <c r="B432" s="26" t="s">
        <v>20</v>
      </c>
      <c r="C432" s="20">
        <v>42414</v>
      </c>
      <c r="D432" t="s">
        <v>47</v>
      </c>
      <c r="E432" s="3">
        <v>500</v>
      </c>
      <c r="F432" s="3">
        <v>36</v>
      </c>
      <c r="G432" s="3">
        <v>15300</v>
      </c>
      <c r="H432" s="3" t="s">
        <v>2967</v>
      </c>
    </row>
    <row r="433" spans="1:8" x14ac:dyDescent="0.35">
      <c r="A433" t="s">
        <v>243</v>
      </c>
      <c r="B433" s="26" t="s">
        <v>14</v>
      </c>
      <c r="C433" s="20">
        <v>41716</v>
      </c>
      <c r="D433" t="s">
        <v>62</v>
      </c>
      <c r="E433" s="3">
        <v>1000</v>
      </c>
      <c r="F433" s="3">
        <v>6</v>
      </c>
      <c r="G433" s="3">
        <v>4860</v>
      </c>
      <c r="H433" s="3" t="s">
        <v>2968</v>
      </c>
    </row>
    <row r="434" spans="1:8" x14ac:dyDescent="0.35">
      <c r="A434" t="s">
        <v>83</v>
      </c>
      <c r="B434" s="26" t="s">
        <v>14</v>
      </c>
      <c r="C434" s="20">
        <v>43254</v>
      </c>
      <c r="D434" t="s">
        <v>116</v>
      </c>
      <c r="E434" s="3">
        <v>250</v>
      </c>
      <c r="F434" s="3">
        <v>93</v>
      </c>
      <c r="G434" s="3">
        <v>22785</v>
      </c>
      <c r="H434" s="3" t="s">
        <v>2970</v>
      </c>
    </row>
    <row r="435" spans="1:8" x14ac:dyDescent="0.35">
      <c r="A435" t="s">
        <v>55</v>
      </c>
      <c r="B435" s="26" t="s">
        <v>14</v>
      </c>
      <c r="C435" s="20">
        <v>42821</v>
      </c>
      <c r="D435" t="s">
        <v>123</v>
      </c>
      <c r="E435" s="3">
        <v>50</v>
      </c>
      <c r="F435" s="3">
        <v>10</v>
      </c>
      <c r="G435" s="3">
        <v>500</v>
      </c>
      <c r="H435" s="3" t="s">
        <v>2968</v>
      </c>
    </row>
    <row r="436" spans="1:8" x14ac:dyDescent="0.35">
      <c r="A436" t="s">
        <v>152</v>
      </c>
      <c r="B436" s="26" t="s">
        <v>14</v>
      </c>
      <c r="C436" s="20">
        <v>43275</v>
      </c>
      <c r="D436" t="s">
        <v>116</v>
      </c>
      <c r="E436" s="3">
        <v>250</v>
      </c>
      <c r="F436" s="3">
        <v>60</v>
      </c>
      <c r="G436" s="3">
        <v>14100</v>
      </c>
      <c r="H436" s="3" t="s">
        <v>2970</v>
      </c>
    </row>
    <row r="437" spans="1:8" x14ac:dyDescent="0.35">
      <c r="A437" t="s">
        <v>83</v>
      </c>
      <c r="B437" s="26" t="s">
        <v>14</v>
      </c>
      <c r="C437" s="20">
        <v>42697</v>
      </c>
      <c r="D437" t="s">
        <v>116</v>
      </c>
      <c r="E437" s="3">
        <v>250</v>
      </c>
      <c r="F437" s="3">
        <v>48</v>
      </c>
      <c r="G437" s="3">
        <v>11520</v>
      </c>
      <c r="H437" s="3" t="s">
        <v>2975</v>
      </c>
    </row>
    <row r="438" spans="1:8" x14ac:dyDescent="0.35">
      <c r="A438" t="s">
        <v>436</v>
      </c>
      <c r="B438" s="26" t="s">
        <v>25</v>
      </c>
      <c r="C438" s="20">
        <v>42938</v>
      </c>
      <c r="D438" t="s">
        <v>105</v>
      </c>
      <c r="E438" s="3">
        <v>70</v>
      </c>
      <c r="F438" s="3">
        <v>10</v>
      </c>
      <c r="G438" s="3">
        <v>690</v>
      </c>
      <c r="H438" s="3" t="s">
        <v>2971</v>
      </c>
    </row>
    <row r="439" spans="1:8" x14ac:dyDescent="0.35">
      <c r="A439" t="s">
        <v>148</v>
      </c>
      <c r="B439" s="26" t="s">
        <v>14</v>
      </c>
      <c r="C439" s="20">
        <v>42971</v>
      </c>
      <c r="D439" t="s">
        <v>105</v>
      </c>
      <c r="E439" s="3">
        <v>70</v>
      </c>
      <c r="F439" s="3">
        <v>32</v>
      </c>
      <c r="G439" s="3">
        <v>2144</v>
      </c>
      <c r="H439" s="3" t="s">
        <v>2972</v>
      </c>
    </row>
    <row r="440" spans="1:8" x14ac:dyDescent="0.35">
      <c r="A440" t="s">
        <v>266</v>
      </c>
      <c r="B440" s="26" t="s">
        <v>14</v>
      </c>
      <c r="C440" s="20">
        <v>42790</v>
      </c>
      <c r="D440" t="s">
        <v>37</v>
      </c>
      <c r="E440" s="3">
        <v>50</v>
      </c>
      <c r="F440" s="3">
        <v>10</v>
      </c>
      <c r="G440" s="3">
        <v>490</v>
      </c>
      <c r="H440" s="3" t="s">
        <v>2967</v>
      </c>
    </row>
    <row r="441" spans="1:8" x14ac:dyDescent="0.35">
      <c r="A441" t="s">
        <v>87</v>
      </c>
      <c r="B441" s="26" t="s">
        <v>14</v>
      </c>
      <c r="C441" s="20">
        <v>42248</v>
      </c>
      <c r="D441" t="s">
        <v>31</v>
      </c>
      <c r="E441" s="3">
        <v>150</v>
      </c>
      <c r="F441" s="3">
        <v>70</v>
      </c>
      <c r="G441" s="3">
        <v>6860</v>
      </c>
      <c r="H441" s="3" t="s">
        <v>2973</v>
      </c>
    </row>
    <row r="442" spans="1:8" x14ac:dyDescent="0.35">
      <c r="A442" t="s">
        <v>72</v>
      </c>
      <c r="B442" s="26" t="s">
        <v>36</v>
      </c>
      <c r="C442" s="20">
        <v>43365</v>
      </c>
      <c r="D442" t="s">
        <v>37</v>
      </c>
      <c r="E442" s="3">
        <v>50</v>
      </c>
      <c r="F442" s="3">
        <v>44</v>
      </c>
      <c r="G442" s="3">
        <v>2200</v>
      </c>
      <c r="H442" s="3" t="s">
        <v>2973</v>
      </c>
    </row>
    <row r="443" spans="1:8" x14ac:dyDescent="0.35">
      <c r="A443" t="s">
        <v>51</v>
      </c>
      <c r="B443" s="26" t="s">
        <v>25</v>
      </c>
      <c r="C443" s="20">
        <v>42077</v>
      </c>
      <c r="D443" t="s">
        <v>73</v>
      </c>
      <c r="E443" s="3">
        <v>500</v>
      </c>
      <c r="F443" s="3">
        <v>14</v>
      </c>
      <c r="G443" s="3">
        <v>6930</v>
      </c>
      <c r="H443" s="3" t="s">
        <v>2968</v>
      </c>
    </row>
    <row r="444" spans="1:8" x14ac:dyDescent="0.35">
      <c r="A444" t="s">
        <v>229</v>
      </c>
      <c r="B444" s="26" t="s">
        <v>25</v>
      </c>
      <c r="C444" s="20">
        <v>41993</v>
      </c>
      <c r="D444" t="s">
        <v>105</v>
      </c>
      <c r="E444" s="3">
        <v>70</v>
      </c>
      <c r="F444" s="3">
        <v>19</v>
      </c>
      <c r="G444" s="3">
        <v>1026</v>
      </c>
      <c r="H444" s="3" t="s">
        <v>2976</v>
      </c>
    </row>
    <row r="445" spans="1:8" x14ac:dyDescent="0.35">
      <c r="A445" t="s">
        <v>109</v>
      </c>
      <c r="B445" s="26" t="s">
        <v>20</v>
      </c>
      <c r="C445" s="20">
        <v>43373</v>
      </c>
      <c r="D445" t="s">
        <v>47</v>
      </c>
      <c r="E445" s="3">
        <v>500</v>
      </c>
      <c r="F445" s="3">
        <v>17</v>
      </c>
      <c r="G445" s="3">
        <v>8245</v>
      </c>
      <c r="H445" s="3" t="s">
        <v>2973</v>
      </c>
    </row>
    <row r="446" spans="1:8" x14ac:dyDescent="0.35">
      <c r="A446" t="s">
        <v>109</v>
      </c>
      <c r="B446" s="26" t="s">
        <v>20</v>
      </c>
      <c r="C446" s="20">
        <v>41900</v>
      </c>
      <c r="D446" t="s">
        <v>15</v>
      </c>
      <c r="E446" s="3">
        <v>80</v>
      </c>
      <c r="F446" s="3">
        <v>37</v>
      </c>
      <c r="G446" s="3">
        <v>2886</v>
      </c>
      <c r="H446" s="3" t="s">
        <v>2973</v>
      </c>
    </row>
    <row r="447" spans="1:8" x14ac:dyDescent="0.35">
      <c r="A447" t="s">
        <v>51</v>
      </c>
      <c r="B447" s="26" t="s">
        <v>25</v>
      </c>
      <c r="C447" s="20">
        <v>43317</v>
      </c>
      <c r="D447" t="s">
        <v>56</v>
      </c>
      <c r="E447" s="3">
        <v>800</v>
      </c>
      <c r="F447" s="3">
        <v>94</v>
      </c>
      <c r="G447" s="3">
        <v>66928</v>
      </c>
      <c r="H447" s="3" t="s">
        <v>2972</v>
      </c>
    </row>
    <row r="448" spans="1:8" x14ac:dyDescent="0.35">
      <c r="A448" t="s">
        <v>61</v>
      </c>
      <c r="B448" s="26" t="s">
        <v>14</v>
      </c>
      <c r="C448" s="20">
        <v>42316</v>
      </c>
      <c r="D448" t="s">
        <v>31</v>
      </c>
      <c r="E448" s="3">
        <v>150</v>
      </c>
      <c r="F448" s="3">
        <v>5</v>
      </c>
      <c r="G448" s="3">
        <v>465</v>
      </c>
      <c r="H448" s="3" t="s">
        <v>2975</v>
      </c>
    </row>
    <row r="449" spans="1:8" x14ac:dyDescent="0.35">
      <c r="A449" t="s">
        <v>41</v>
      </c>
      <c r="B449" s="26" t="s">
        <v>36</v>
      </c>
      <c r="C449" s="20">
        <v>43391</v>
      </c>
      <c r="D449" t="s">
        <v>62</v>
      </c>
      <c r="E449" s="3">
        <v>1000</v>
      </c>
      <c r="F449" s="3">
        <v>69</v>
      </c>
      <c r="G449" s="3">
        <v>48990</v>
      </c>
      <c r="H449" s="3" t="s">
        <v>2974</v>
      </c>
    </row>
    <row r="450" spans="1:8" x14ac:dyDescent="0.35">
      <c r="A450" t="s">
        <v>41</v>
      </c>
      <c r="B450" s="26" t="s">
        <v>36</v>
      </c>
      <c r="C450" s="20">
        <v>43321</v>
      </c>
      <c r="D450" t="s">
        <v>73</v>
      </c>
      <c r="E450" s="3">
        <v>500</v>
      </c>
      <c r="F450" s="3">
        <v>51</v>
      </c>
      <c r="G450" s="3">
        <v>25245</v>
      </c>
      <c r="H450" s="3" t="s">
        <v>2972</v>
      </c>
    </row>
    <row r="451" spans="1:8" x14ac:dyDescent="0.35">
      <c r="A451" t="s">
        <v>51</v>
      </c>
      <c r="B451" s="26" t="s">
        <v>25</v>
      </c>
      <c r="C451" s="20">
        <v>42883</v>
      </c>
      <c r="D451" t="s">
        <v>73</v>
      </c>
      <c r="E451" s="3">
        <v>500</v>
      </c>
      <c r="F451" s="3">
        <v>96</v>
      </c>
      <c r="G451" s="3">
        <v>47040</v>
      </c>
      <c r="H451" s="3" t="s">
        <v>2965</v>
      </c>
    </row>
    <row r="452" spans="1:8" x14ac:dyDescent="0.35">
      <c r="A452" t="s">
        <v>120</v>
      </c>
      <c r="B452" s="26" t="s">
        <v>36</v>
      </c>
      <c r="C452" s="20">
        <v>41721</v>
      </c>
      <c r="D452" t="s">
        <v>105</v>
      </c>
      <c r="E452" s="3">
        <v>70</v>
      </c>
      <c r="F452" s="3">
        <v>53</v>
      </c>
      <c r="G452" s="3">
        <v>3551</v>
      </c>
      <c r="H452" s="3" t="s">
        <v>2968</v>
      </c>
    </row>
    <row r="453" spans="1:8" x14ac:dyDescent="0.35">
      <c r="A453" t="s">
        <v>93</v>
      </c>
      <c r="B453" s="26" t="s">
        <v>36</v>
      </c>
      <c r="C453" s="20">
        <v>42278</v>
      </c>
      <c r="D453" t="s">
        <v>116</v>
      </c>
      <c r="E453" s="3">
        <v>250</v>
      </c>
      <c r="F453" s="3">
        <v>16</v>
      </c>
      <c r="G453" s="3">
        <v>3760</v>
      </c>
      <c r="H453" s="3" t="s">
        <v>2974</v>
      </c>
    </row>
    <row r="454" spans="1:8" x14ac:dyDescent="0.35">
      <c r="A454" t="s">
        <v>51</v>
      </c>
      <c r="B454" s="26" t="s">
        <v>25</v>
      </c>
      <c r="C454" s="20">
        <v>43017</v>
      </c>
      <c r="D454" t="s">
        <v>56</v>
      </c>
      <c r="E454" s="3">
        <v>800</v>
      </c>
      <c r="F454" s="3">
        <v>95</v>
      </c>
      <c r="G454" s="3">
        <v>55480</v>
      </c>
      <c r="H454" s="3" t="s">
        <v>2974</v>
      </c>
    </row>
    <row r="455" spans="1:8" x14ac:dyDescent="0.35">
      <c r="A455" t="s">
        <v>109</v>
      </c>
      <c r="B455" s="26" t="s">
        <v>20</v>
      </c>
      <c r="C455" s="20">
        <v>42891</v>
      </c>
      <c r="D455" t="s">
        <v>15</v>
      </c>
      <c r="E455" s="3">
        <v>80</v>
      </c>
      <c r="F455" s="3">
        <v>57</v>
      </c>
      <c r="G455" s="3">
        <v>4104</v>
      </c>
      <c r="H455" s="3" t="s">
        <v>2970</v>
      </c>
    </row>
    <row r="456" spans="1:8" x14ac:dyDescent="0.35">
      <c r="A456" t="s">
        <v>19</v>
      </c>
      <c r="B456" s="26" t="s">
        <v>20</v>
      </c>
      <c r="C456" s="20">
        <v>41672</v>
      </c>
      <c r="D456" t="s">
        <v>62</v>
      </c>
      <c r="E456" s="3">
        <v>1000</v>
      </c>
      <c r="F456" s="3">
        <v>33</v>
      </c>
      <c r="G456" s="3">
        <v>24750</v>
      </c>
      <c r="H456" s="3" t="s">
        <v>2967</v>
      </c>
    </row>
    <row r="457" spans="1:8" x14ac:dyDescent="0.35">
      <c r="A457" t="s">
        <v>109</v>
      </c>
      <c r="B457" s="26" t="s">
        <v>20</v>
      </c>
      <c r="C457" s="20">
        <v>42647</v>
      </c>
      <c r="D457" t="s">
        <v>56</v>
      </c>
      <c r="E457" s="3">
        <v>800</v>
      </c>
      <c r="F457" s="3">
        <v>48</v>
      </c>
      <c r="G457" s="3">
        <v>33408</v>
      </c>
      <c r="H457" s="3" t="s">
        <v>2974</v>
      </c>
    </row>
    <row r="458" spans="1:8" x14ac:dyDescent="0.35">
      <c r="A458" t="s">
        <v>402</v>
      </c>
      <c r="B458" s="26" t="s">
        <v>14</v>
      </c>
      <c r="C458" s="20">
        <v>41750</v>
      </c>
      <c r="D458" t="s">
        <v>31</v>
      </c>
      <c r="E458" s="3">
        <v>150</v>
      </c>
      <c r="F458" s="3">
        <v>13</v>
      </c>
      <c r="G458" s="3">
        <v>1898</v>
      </c>
      <c r="H458" s="3" t="s">
        <v>2969</v>
      </c>
    </row>
    <row r="459" spans="1:8" x14ac:dyDescent="0.35">
      <c r="A459" t="s">
        <v>436</v>
      </c>
      <c r="B459" s="26" t="s">
        <v>25</v>
      </c>
      <c r="C459" s="20">
        <v>42288</v>
      </c>
      <c r="D459" t="s">
        <v>123</v>
      </c>
      <c r="E459" s="3">
        <v>50</v>
      </c>
      <c r="F459" s="3">
        <v>72</v>
      </c>
      <c r="G459" s="3">
        <v>2952</v>
      </c>
      <c r="H459" s="3" t="s">
        <v>2974</v>
      </c>
    </row>
    <row r="460" spans="1:8" x14ac:dyDescent="0.35">
      <c r="A460" t="s">
        <v>97</v>
      </c>
      <c r="B460" s="26" t="s">
        <v>14</v>
      </c>
      <c r="C460" s="20">
        <v>42908</v>
      </c>
      <c r="D460" t="s">
        <v>73</v>
      </c>
      <c r="E460" s="3">
        <v>500</v>
      </c>
      <c r="F460" s="3">
        <v>85</v>
      </c>
      <c r="G460" s="3">
        <v>42075</v>
      </c>
      <c r="H460" s="3" t="s">
        <v>2970</v>
      </c>
    </row>
    <row r="461" spans="1:8" x14ac:dyDescent="0.35">
      <c r="A461" t="s">
        <v>83</v>
      </c>
      <c r="B461" s="26" t="s">
        <v>14</v>
      </c>
      <c r="C461" s="20">
        <v>42939</v>
      </c>
      <c r="D461" t="s">
        <v>37</v>
      </c>
      <c r="E461" s="3">
        <v>50</v>
      </c>
      <c r="F461" s="3">
        <v>84</v>
      </c>
      <c r="G461" s="3">
        <v>3864</v>
      </c>
      <c r="H461" s="3" t="s">
        <v>2971</v>
      </c>
    </row>
    <row r="462" spans="1:8" x14ac:dyDescent="0.35">
      <c r="A462" t="s">
        <v>41</v>
      </c>
      <c r="B462" s="26" t="s">
        <v>36</v>
      </c>
      <c r="C462" s="20">
        <v>42332</v>
      </c>
      <c r="D462" t="s">
        <v>15</v>
      </c>
      <c r="E462" s="3">
        <v>80</v>
      </c>
      <c r="F462" s="3">
        <v>78</v>
      </c>
      <c r="G462" s="3">
        <v>5772</v>
      </c>
      <c r="H462" s="3" t="s">
        <v>2975</v>
      </c>
    </row>
    <row r="463" spans="1:8" x14ac:dyDescent="0.35">
      <c r="A463" t="s">
        <v>266</v>
      </c>
      <c r="B463" s="26" t="s">
        <v>14</v>
      </c>
      <c r="C463" s="20">
        <v>41796</v>
      </c>
      <c r="D463" t="s">
        <v>105</v>
      </c>
      <c r="E463" s="3">
        <v>70</v>
      </c>
      <c r="F463" s="3">
        <v>41</v>
      </c>
      <c r="G463" s="3">
        <v>2419</v>
      </c>
      <c r="H463" s="3" t="s">
        <v>2970</v>
      </c>
    </row>
    <row r="464" spans="1:8" x14ac:dyDescent="0.35">
      <c r="A464" t="s">
        <v>61</v>
      </c>
      <c r="B464" s="26" t="s">
        <v>14</v>
      </c>
      <c r="C464" s="20">
        <v>42946</v>
      </c>
      <c r="D464" t="s">
        <v>105</v>
      </c>
      <c r="E464" s="3">
        <v>70</v>
      </c>
      <c r="F464" s="3">
        <v>93</v>
      </c>
      <c r="G464" s="3">
        <v>6324</v>
      </c>
      <c r="H464" s="3" t="s">
        <v>2971</v>
      </c>
    </row>
    <row r="465" spans="1:8" x14ac:dyDescent="0.35">
      <c r="A465" t="s">
        <v>129</v>
      </c>
      <c r="B465" s="26" t="s">
        <v>14</v>
      </c>
      <c r="C465" s="20">
        <v>43047</v>
      </c>
      <c r="D465" t="s">
        <v>31</v>
      </c>
      <c r="E465" s="3">
        <v>150</v>
      </c>
      <c r="F465" s="3">
        <v>70</v>
      </c>
      <c r="G465" s="3">
        <v>10220</v>
      </c>
      <c r="H465" s="3" t="s">
        <v>2975</v>
      </c>
    </row>
    <row r="466" spans="1:8" x14ac:dyDescent="0.35">
      <c r="A466" t="s">
        <v>13</v>
      </c>
      <c r="B466" s="26" t="s">
        <v>14</v>
      </c>
      <c r="C466" s="20">
        <v>41899</v>
      </c>
      <c r="D466" t="s">
        <v>62</v>
      </c>
      <c r="E466" s="3">
        <v>1000</v>
      </c>
      <c r="F466" s="3">
        <v>26</v>
      </c>
      <c r="G466" s="3">
        <v>16380</v>
      </c>
      <c r="H466" s="3" t="s">
        <v>2973</v>
      </c>
    </row>
    <row r="467" spans="1:8" x14ac:dyDescent="0.35">
      <c r="A467" t="s">
        <v>229</v>
      </c>
      <c r="B467" s="26" t="s">
        <v>25</v>
      </c>
      <c r="C467" s="20">
        <v>43391</v>
      </c>
      <c r="D467" t="s">
        <v>37</v>
      </c>
      <c r="E467" s="3">
        <v>50</v>
      </c>
      <c r="F467" s="3">
        <v>39</v>
      </c>
      <c r="G467" s="3">
        <v>1716</v>
      </c>
      <c r="H467" s="3" t="s">
        <v>2974</v>
      </c>
    </row>
    <row r="468" spans="1:8" x14ac:dyDescent="0.35">
      <c r="A468" t="s">
        <v>66</v>
      </c>
      <c r="B468" s="26" t="s">
        <v>36</v>
      </c>
      <c r="C468" s="20">
        <v>42004</v>
      </c>
      <c r="D468" t="s">
        <v>26</v>
      </c>
      <c r="E468" s="3">
        <v>700</v>
      </c>
      <c r="F468" s="3">
        <v>99</v>
      </c>
      <c r="G468" s="3">
        <v>68607</v>
      </c>
      <c r="H468" s="3" t="s">
        <v>2976</v>
      </c>
    </row>
    <row r="469" spans="1:8" x14ac:dyDescent="0.35">
      <c r="A469" t="s">
        <v>189</v>
      </c>
      <c r="B469" s="26" t="s">
        <v>14</v>
      </c>
      <c r="C469" s="20">
        <v>42937</v>
      </c>
      <c r="D469" t="s">
        <v>26</v>
      </c>
      <c r="E469" s="3">
        <v>700</v>
      </c>
      <c r="F469" s="3">
        <v>39</v>
      </c>
      <c r="G469" s="3">
        <v>24843</v>
      </c>
      <c r="H469" s="3" t="s">
        <v>2971</v>
      </c>
    </row>
    <row r="470" spans="1:8" x14ac:dyDescent="0.35">
      <c r="A470" t="s">
        <v>46</v>
      </c>
      <c r="B470" s="26" t="s">
        <v>25</v>
      </c>
      <c r="C470" s="20">
        <v>42497</v>
      </c>
      <c r="D470" t="s">
        <v>15</v>
      </c>
      <c r="E470" s="3">
        <v>80</v>
      </c>
      <c r="F470" s="3">
        <v>44</v>
      </c>
      <c r="G470" s="3">
        <v>2992</v>
      </c>
      <c r="H470" s="3" t="s">
        <v>2965</v>
      </c>
    </row>
    <row r="471" spans="1:8" x14ac:dyDescent="0.35">
      <c r="A471" t="s">
        <v>79</v>
      </c>
      <c r="B471" s="26" t="s">
        <v>36</v>
      </c>
      <c r="C471" s="20">
        <v>41714</v>
      </c>
      <c r="D471" t="s">
        <v>42</v>
      </c>
      <c r="E471" s="3">
        <v>30</v>
      </c>
      <c r="F471" s="3">
        <v>85</v>
      </c>
      <c r="G471" s="3">
        <v>2210</v>
      </c>
      <c r="H471" s="3" t="s">
        <v>2968</v>
      </c>
    </row>
    <row r="472" spans="1:8" x14ac:dyDescent="0.35">
      <c r="A472" t="s">
        <v>109</v>
      </c>
      <c r="B472" s="26" t="s">
        <v>20</v>
      </c>
      <c r="C472" s="20">
        <v>43005</v>
      </c>
      <c r="D472" t="s">
        <v>116</v>
      </c>
      <c r="E472" s="3">
        <v>250</v>
      </c>
      <c r="F472" s="3">
        <v>51</v>
      </c>
      <c r="G472" s="3">
        <v>12240</v>
      </c>
      <c r="H472" s="3" t="s">
        <v>2973</v>
      </c>
    </row>
    <row r="473" spans="1:8" x14ac:dyDescent="0.35">
      <c r="A473" t="s">
        <v>72</v>
      </c>
      <c r="B473" s="26" t="s">
        <v>36</v>
      </c>
      <c r="C473" s="20">
        <v>43320</v>
      </c>
      <c r="D473" t="s">
        <v>31</v>
      </c>
      <c r="E473" s="3">
        <v>150</v>
      </c>
      <c r="F473" s="3">
        <v>39</v>
      </c>
      <c r="G473" s="3">
        <v>5109</v>
      </c>
      <c r="H473" s="3" t="s">
        <v>2972</v>
      </c>
    </row>
    <row r="474" spans="1:8" x14ac:dyDescent="0.35">
      <c r="A474" t="s">
        <v>148</v>
      </c>
      <c r="B474" s="26" t="s">
        <v>14</v>
      </c>
      <c r="C474" s="20">
        <v>42827</v>
      </c>
      <c r="D474" t="s">
        <v>62</v>
      </c>
      <c r="E474" s="3">
        <v>1000</v>
      </c>
      <c r="F474" s="3">
        <v>20</v>
      </c>
      <c r="G474" s="3">
        <v>16400</v>
      </c>
      <c r="H474" s="3" t="s">
        <v>2969</v>
      </c>
    </row>
    <row r="475" spans="1:8" x14ac:dyDescent="0.35">
      <c r="A475" t="s">
        <v>436</v>
      </c>
      <c r="B475" s="26" t="s">
        <v>25</v>
      </c>
      <c r="C475" s="20">
        <v>43331</v>
      </c>
      <c r="D475" t="s">
        <v>56</v>
      </c>
      <c r="E475" s="3">
        <v>800</v>
      </c>
      <c r="F475" s="3">
        <v>50</v>
      </c>
      <c r="G475" s="3">
        <v>26400</v>
      </c>
      <c r="H475" s="3" t="s">
        <v>2972</v>
      </c>
    </row>
    <row r="476" spans="1:8" x14ac:dyDescent="0.35">
      <c r="A476" t="s">
        <v>326</v>
      </c>
      <c r="B476" s="26" t="s">
        <v>14</v>
      </c>
      <c r="C476" s="20">
        <v>41833</v>
      </c>
      <c r="D476" t="s">
        <v>105</v>
      </c>
      <c r="E476" s="3">
        <v>70</v>
      </c>
      <c r="F476" s="3">
        <v>53</v>
      </c>
      <c r="G476" s="3">
        <v>3657</v>
      </c>
      <c r="H476" s="3" t="s">
        <v>2971</v>
      </c>
    </row>
    <row r="477" spans="1:8" x14ac:dyDescent="0.35">
      <c r="A477" t="s">
        <v>326</v>
      </c>
      <c r="B477" s="26" t="s">
        <v>14</v>
      </c>
      <c r="C477" s="20">
        <v>43259</v>
      </c>
      <c r="D477" t="s">
        <v>47</v>
      </c>
      <c r="E477" s="3">
        <v>500</v>
      </c>
      <c r="F477" s="3">
        <v>36</v>
      </c>
      <c r="G477" s="3">
        <v>17460</v>
      </c>
      <c r="H477" s="3" t="s">
        <v>2970</v>
      </c>
    </row>
    <row r="478" spans="1:8" x14ac:dyDescent="0.35">
      <c r="A478" t="s">
        <v>55</v>
      </c>
      <c r="B478" s="26" t="s">
        <v>14</v>
      </c>
      <c r="C478" s="20">
        <v>42113</v>
      </c>
      <c r="D478" t="s">
        <v>123</v>
      </c>
      <c r="E478" s="3">
        <v>50</v>
      </c>
      <c r="F478" s="3">
        <v>27</v>
      </c>
      <c r="G478" s="3">
        <v>1053</v>
      </c>
      <c r="H478" s="3" t="s">
        <v>2969</v>
      </c>
    </row>
    <row r="479" spans="1:8" x14ac:dyDescent="0.35">
      <c r="A479" t="s">
        <v>55</v>
      </c>
      <c r="B479" s="26" t="s">
        <v>14</v>
      </c>
      <c r="C479" s="20">
        <v>42851</v>
      </c>
      <c r="D479" t="s">
        <v>62</v>
      </c>
      <c r="E479" s="3">
        <v>1000</v>
      </c>
      <c r="F479" s="3">
        <v>81</v>
      </c>
      <c r="G479" s="3">
        <v>67230</v>
      </c>
      <c r="H479" s="3" t="s">
        <v>2969</v>
      </c>
    </row>
    <row r="480" spans="1:8" x14ac:dyDescent="0.35">
      <c r="A480" t="s">
        <v>109</v>
      </c>
      <c r="B480" s="26" t="s">
        <v>20</v>
      </c>
      <c r="C480" s="20">
        <v>42627</v>
      </c>
      <c r="D480" t="s">
        <v>37</v>
      </c>
      <c r="E480" s="3">
        <v>50</v>
      </c>
      <c r="F480" s="3">
        <v>11</v>
      </c>
      <c r="G480" s="3">
        <v>484</v>
      </c>
      <c r="H480" s="3" t="s">
        <v>2973</v>
      </c>
    </row>
    <row r="481" spans="1:8" x14ac:dyDescent="0.35">
      <c r="A481" t="s">
        <v>55</v>
      </c>
      <c r="B481" s="26" t="s">
        <v>14</v>
      </c>
      <c r="C481" s="20">
        <v>41940</v>
      </c>
      <c r="D481" t="s">
        <v>73</v>
      </c>
      <c r="E481" s="3">
        <v>500</v>
      </c>
      <c r="F481" s="3">
        <v>79</v>
      </c>
      <c r="G481" s="3">
        <v>39500</v>
      </c>
      <c r="H481" s="3" t="s">
        <v>2974</v>
      </c>
    </row>
    <row r="482" spans="1:8" x14ac:dyDescent="0.35">
      <c r="A482" t="s">
        <v>19</v>
      </c>
      <c r="B482" s="26" t="s">
        <v>20</v>
      </c>
      <c r="C482" s="20">
        <v>42184</v>
      </c>
      <c r="D482" t="s">
        <v>37</v>
      </c>
      <c r="E482" s="3">
        <v>50</v>
      </c>
      <c r="F482" s="3">
        <v>97</v>
      </c>
      <c r="G482" s="3">
        <v>3589</v>
      </c>
      <c r="H482" s="3" t="s">
        <v>2970</v>
      </c>
    </row>
    <row r="483" spans="1:8" x14ac:dyDescent="0.35">
      <c r="A483" t="s">
        <v>109</v>
      </c>
      <c r="B483" s="26" t="s">
        <v>20</v>
      </c>
      <c r="C483" s="20">
        <v>42812</v>
      </c>
      <c r="D483" t="s">
        <v>15</v>
      </c>
      <c r="E483" s="3">
        <v>80</v>
      </c>
      <c r="F483" s="3">
        <v>76</v>
      </c>
      <c r="G483" s="3">
        <v>5928</v>
      </c>
      <c r="H483" s="3" t="s">
        <v>2968</v>
      </c>
    </row>
    <row r="484" spans="1:8" x14ac:dyDescent="0.35">
      <c r="A484" t="s">
        <v>272</v>
      </c>
      <c r="B484" s="26" t="s">
        <v>36</v>
      </c>
      <c r="C484" s="20">
        <v>43342</v>
      </c>
      <c r="D484" t="s">
        <v>105</v>
      </c>
      <c r="E484" s="3">
        <v>70</v>
      </c>
      <c r="F484" s="3">
        <v>23</v>
      </c>
      <c r="G484" s="3">
        <v>1495</v>
      </c>
      <c r="H484" s="3" t="s">
        <v>2972</v>
      </c>
    </row>
    <row r="485" spans="1:8" x14ac:dyDescent="0.35">
      <c r="A485" t="s">
        <v>109</v>
      </c>
      <c r="B485" s="26" t="s">
        <v>20</v>
      </c>
      <c r="C485" s="20">
        <v>41845</v>
      </c>
      <c r="D485" t="s">
        <v>116</v>
      </c>
      <c r="E485" s="3">
        <v>250</v>
      </c>
      <c r="F485" s="3">
        <v>80</v>
      </c>
      <c r="G485" s="3">
        <v>18240</v>
      </c>
      <c r="H485" s="3" t="s">
        <v>2971</v>
      </c>
    </row>
    <row r="486" spans="1:8" x14ac:dyDescent="0.35">
      <c r="A486" t="s">
        <v>120</v>
      </c>
      <c r="B486" s="26" t="s">
        <v>36</v>
      </c>
      <c r="C486" s="20">
        <v>43078</v>
      </c>
      <c r="D486" t="s">
        <v>116</v>
      </c>
      <c r="E486" s="3">
        <v>250</v>
      </c>
      <c r="F486" s="3">
        <v>38</v>
      </c>
      <c r="G486" s="3">
        <v>9500</v>
      </c>
      <c r="H486" s="3" t="s">
        <v>2976</v>
      </c>
    </row>
    <row r="487" spans="1:8" x14ac:dyDescent="0.35">
      <c r="A487" t="s">
        <v>326</v>
      </c>
      <c r="B487" s="26" t="s">
        <v>14</v>
      </c>
      <c r="C487" s="20">
        <v>42931</v>
      </c>
      <c r="D487" t="s">
        <v>42</v>
      </c>
      <c r="E487" s="3">
        <v>30</v>
      </c>
      <c r="F487" s="3">
        <v>40</v>
      </c>
      <c r="G487" s="3">
        <v>1160</v>
      </c>
      <c r="H487" s="3" t="s">
        <v>2971</v>
      </c>
    </row>
    <row r="488" spans="1:8" x14ac:dyDescent="0.35">
      <c r="A488" t="s">
        <v>207</v>
      </c>
      <c r="B488" s="26" t="s">
        <v>25</v>
      </c>
      <c r="C488" s="20">
        <v>42038</v>
      </c>
      <c r="D488" t="s">
        <v>123</v>
      </c>
      <c r="E488" s="3">
        <v>50</v>
      </c>
      <c r="F488" s="3">
        <v>46</v>
      </c>
      <c r="G488" s="3">
        <v>1472</v>
      </c>
      <c r="H488" s="3" t="s">
        <v>2967</v>
      </c>
    </row>
    <row r="489" spans="1:8" x14ac:dyDescent="0.35">
      <c r="A489" t="s">
        <v>93</v>
      </c>
      <c r="B489" s="26" t="s">
        <v>36</v>
      </c>
      <c r="C489" s="20">
        <v>43331</v>
      </c>
      <c r="D489" t="s">
        <v>26</v>
      </c>
      <c r="E489" s="3">
        <v>700</v>
      </c>
      <c r="F489" s="3">
        <v>74</v>
      </c>
      <c r="G489" s="3">
        <v>50764</v>
      </c>
      <c r="H489" s="3" t="s">
        <v>2972</v>
      </c>
    </row>
    <row r="490" spans="1:8" x14ac:dyDescent="0.35">
      <c r="A490" t="s">
        <v>436</v>
      </c>
      <c r="B490" s="26" t="s">
        <v>25</v>
      </c>
      <c r="C490" s="20">
        <v>42728</v>
      </c>
      <c r="D490" t="s">
        <v>31</v>
      </c>
      <c r="E490" s="3">
        <v>150</v>
      </c>
      <c r="F490" s="3">
        <v>31</v>
      </c>
      <c r="G490" s="3">
        <v>4061</v>
      </c>
      <c r="H490" s="3" t="s">
        <v>2976</v>
      </c>
    </row>
    <row r="491" spans="1:8" x14ac:dyDescent="0.35">
      <c r="A491" t="s">
        <v>109</v>
      </c>
      <c r="B491" s="26" t="s">
        <v>20</v>
      </c>
      <c r="C491" s="20">
        <v>42526</v>
      </c>
      <c r="D491" t="s">
        <v>62</v>
      </c>
      <c r="E491" s="3">
        <v>1000</v>
      </c>
      <c r="F491" s="3">
        <v>50</v>
      </c>
      <c r="G491" s="3">
        <v>47000</v>
      </c>
      <c r="H491" s="3" t="s">
        <v>2970</v>
      </c>
    </row>
    <row r="492" spans="1:8" x14ac:dyDescent="0.35">
      <c r="A492" t="s">
        <v>101</v>
      </c>
      <c r="B492" s="26" t="s">
        <v>14</v>
      </c>
      <c r="C492" s="20">
        <v>42529</v>
      </c>
      <c r="D492" t="s">
        <v>31</v>
      </c>
      <c r="E492" s="3">
        <v>150</v>
      </c>
      <c r="F492" s="3">
        <v>92</v>
      </c>
      <c r="G492" s="3">
        <v>12696</v>
      </c>
      <c r="H492" s="3" t="s">
        <v>2970</v>
      </c>
    </row>
    <row r="493" spans="1:8" x14ac:dyDescent="0.35">
      <c r="A493" t="s">
        <v>51</v>
      </c>
      <c r="B493" s="26" t="s">
        <v>25</v>
      </c>
      <c r="C493" s="20">
        <v>41778</v>
      </c>
      <c r="D493" t="s">
        <v>123</v>
      </c>
      <c r="E493" s="3">
        <v>50</v>
      </c>
      <c r="F493" s="3">
        <v>70</v>
      </c>
      <c r="G493" s="3">
        <v>3080</v>
      </c>
      <c r="H493" s="3" t="s">
        <v>2965</v>
      </c>
    </row>
    <row r="494" spans="1:8" x14ac:dyDescent="0.35">
      <c r="A494" t="s">
        <v>266</v>
      </c>
      <c r="B494" s="26" t="s">
        <v>14</v>
      </c>
      <c r="C494" s="20">
        <v>42408</v>
      </c>
      <c r="D494" t="s">
        <v>116</v>
      </c>
      <c r="E494" s="3">
        <v>250</v>
      </c>
      <c r="F494" s="3">
        <v>23</v>
      </c>
      <c r="G494" s="3">
        <v>5014</v>
      </c>
      <c r="H494" s="3" t="s">
        <v>2967</v>
      </c>
    </row>
    <row r="495" spans="1:8" x14ac:dyDescent="0.35">
      <c r="A495" t="s">
        <v>120</v>
      </c>
      <c r="B495" s="26" t="s">
        <v>36</v>
      </c>
      <c r="C495" s="20">
        <v>42651</v>
      </c>
      <c r="D495" t="s">
        <v>31</v>
      </c>
      <c r="E495" s="3">
        <v>150</v>
      </c>
      <c r="F495" s="3">
        <v>39</v>
      </c>
      <c r="G495" s="3">
        <v>5616</v>
      </c>
      <c r="H495" s="3" t="s">
        <v>2974</v>
      </c>
    </row>
    <row r="496" spans="1:8" x14ac:dyDescent="0.35">
      <c r="A496" t="s">
        <v>101</v>
      </c>
      <c r="B496" s="26" t="s">
        <v>14</v>
      </c>
      <c r="C496" s="20">
        <v>43224</v>
      </c>
      <c r="D496" t="s">
        <v>62</v>
      </c>
      <c r="E496" s="3">
        <v>1000</v>
      </c>
      <c r="F496" s="3">
        <v>42</v>
      </c>
      <c r="G496" s="3">
        <v>37380</v>
      </c>
      <c r="H496" s="3" t="s">
        <v>2965</v>
      </c>
    </row>
    <row r="497" spans="1:8" x14ac:dyDescent="0.35">
      <c r="A497" t="s">
        <v>19</v>
      </c>
      <c r="B497" s="26" t="s">
        <v>20</v>
      </c>
      <c r="C497" s="20">
        <v>42931</v>
      </c>
      <c r="D497" t="s">
        <v>31</v>
      </c>
      <c r="E497" s="3">
        <v>150</v>
      </c>
      <c r="F497" s="3">
        <v>37</v>
      </c>
      <c r="G497" s="3">
        <v>5550</v>
      </c>
      <c r="H497" s="3" t="s">
        <v>2971</v>
      </c>
    </row>
    <row r="498" spans="1:8" x14ac:dyDescent="0.35">
      <c r="A498" t="s">
        <v>109</v>
      </c>
      <c r="B498" s="26" t="s">
        <v>20</v>
      </c>
      <c r="C498" s="20">
        <v>41770</v>
      </c>
      <c r="D498" t="s">
        <v>116</v>
      </c>
      <c r="E498" s="3">
        <v>250</v>
      </c>
      <c r="F498" s="3">
        <v>65</v>
      </c>
      <c r="G498" s="3">
        <v>15470</v>
      </c>
      <c r="H498" s="3" t="s">
        <v>2965</v>
      </c>
    </row>
    <row r="499" spans="1:8" x14ac:dyDescent="0.35">
      <c r="A499" t="s">
        <v>41</v>
      </c>
      <c r="B499" s="26" t="s">
        <v>36</v>
      </c>
      <c r="C499" s="20">
        <v>42527</v>
      </c>
      <c r="D499" t="s">
        <v>123</v>
      </c>
      <c r="E499" s="3">
        <v>50</v>
      </c>
      <c r="F499" s="3">
        <v>29</v>
      </c>
      <c r="G499" s="3">
        <v>1421</v>
      </c>
      <c r="H499" s="3" t="s">
        <v>2970</v>
      </c>
    </row>
    <row r="500" spans="1:8" x14ac:dyDescent="0.35">
      <c r="A500" t="s">
        <v>51</v>
      </c>
      <c r="B500" s="26" t="s">
        <v>25</v>
      </c>
      <c r="C500" s="20">
        <v>43307</v>
      </c>
      <c r="D500" t="s">
        <v>26</v>
      </c>
      <c r="E500" s="3">
        <v>700</v>
      </c>
      <c r="F500" s="3">
        <v>85</v>
      </c>
      <c r="G500" s="3">
        <v>53550</v>
      </c>
      <c r="H500" s="3" t="s">
        <v>2971</v>
      </c>
    </row>
    <row r="501" spans="1:8" x14ac:dyDescent="0.35">
      <c r="A501" t="s">
        <v>129</v>
      </c>
      <c r="B501" s="26" t="s">
        <v>14</v>
      </c>
      <c r="C501" s="20">
        <v>43246</v>
      </c>
      <c r="D501" t="s">
        <v>37</v>
      </c>
      <c r="E501" s="3">
        <v>50</v>
      </c>
      <c r="F501" s="3">
        <v>25</v>
      </c>
      <c r="G501" s="3">
        <v>1200</v>
      </c>
      <c r="H501" s="3" t="s">
        <v>2965</v>
      </c>
    </row>
    <row r="502" spans="1:8" x14ac:dyDescent="0.35">
      <c r="A502" t="s">
        <v>326</v>
      </c>
      <c r="B502" s="26" t="s">
        <v>14</v>
      </c>
      <c r="C502" s="20">
        <v>42333</v>
      </c>
      <c r="D502" t="s">
        <v>47</v>
      </c>
      <c r="E502" s="3">
        <v>500</v>
      </c>
      <c r="F502" s="3">
        <v>4</v>
      </c>
      <c r="G502" s="3">
        <v>2000</v>
      </c>
      <c r="H502" s="3" t="s">
        <v>2975</v>
      </c>
    </row>
    <row r="503" spans="1:8" x14ac:dyDescent="0.35">
      <c r="A503" t="s">
        <v>243</v>
      </c>
      <c r="B503" s="26" t="s">
        <v>14</v>
      </c>
      <c r="C503" s="20">
        <v>43040</v>
      </c>
      <c r="D503" t="s">
        <v>42</v>
      </c>
      <c r="E503" s="3">
        <v>30</v>
      </c>
      <c r="F503" s="3">
        <v>96</v>
      </c>
      <c r="G503" s="3">
        <v>2784</v>
      </c>
      <c r="H503" s="3" t="s">
        <v>2975</v>
      </c>
    </row>
    <row r="504" spans="1:8" x14ac:dyDescent="0.35">
      <c r="A504" t="s">
        <v>109</v>
      </c>
      <c r="B504" s="26" t="s">
        <v>20</v>
      </c>
      <c r="C504" s="20">
        <v>43388</v>
      </c>
      <c r="D504" t="s">
        <v>73</v>
      </c>
      <c r="E504" s="3">
        <v>500</v>
      </c>
      <c r="F504" s="3">
        <v>18</v>
      </c>
      <c r="G504" s="3">
        <v>8910</v>
      </c>
      <c r="H504" s="3" t="s">
        <v>2974</v>
      </c>
    </row>
    <row r="505" spans="1:8" x14ac:dyDescent="0.35">
      <c r="A505" t="s">
        <v>109</v>
      </c>
      <c r="B505" s="26" t="s">
        <v>20</v>
      </c>
      <c r="C505" s="20">
        <v>42572</v>
      </c>
      <c r="D505" t="s">
        <v>31</v>
      </c>
      <c r="E505" s="3">
        <v>150</v>
      </c>
      <c r="F505" s="3">
        <v>54</v>
      </c>
      <c r="G505" s="3">
        <v>8046</v>
      </c>
      <c r="H505" s="3" t="s">
        <v>2971</v>
      </c>
    </row>
    <row r="506" spans="1:8" x14ac:dyDescent="0.35">
      <c r="A506" t="s">
        <v>109</v>
      </c>
      <c r="B506" s="26" t="s">
        <v>20</v>
      </c>
      <c r="C506" s="20">
        <v>42313</v>
      </c>
      <c r="D506" t="s">
        <v>105</v>
      </c>
      <c r="E506" s="3">
        <v>70</v>
      </c>
      <c r="F506" s="3">
        <v>48</v>
      </c>
      <c r="G506" s="3">
        <v>2592</v>
      </c>
      <c r="H506" s="3" t="s">
        <v>2975</v>
      </c>
    </row>
    <row r="507" spans="1:8" x14ac:dyDescent="0.35">
      <c r="A507" t="s">
        <v>66</v>
      </c>
      <c r="B507" s="26" t="s">
        <v>36</v>
      </c>
      <c r="C507" s="20">
        <v>43102</v>
      </c>
      <c r="D507" t="s">
        <v>73</v>
      </c>
      <c r="E507" s="3">
        <v>500</v>
      </c>
      <c r="F507" s="3">
        <v>79</v>
      </c>
      <c r="G507" s="3">
        <v>38710</v>
      </c>
      <c r="H507" s="3" t="s">
        <v>2966</v>
      </c>
    </row>
    <row r="508" spans="1:8" x14ac:dyDescent="0.35">
      <c r="A508" t="s">
        <v>436</v>
      </c>
      <c r="B508" s="26" t="s">
        <v>25</v>
      </c>
      <c r="C508" s="20">
        <v>42096</v>
      </c>
      <c r="D508" t="s">
        <v>123</v>
      </c>
      <c r="E508" s="3">
        <v>50</v>
      </c>
      <c r="F508" s="3">
        <v>7</v>
      </c>
      <c r="G508" s="3">
        <v>322</v>
      </c>
      <c r="H508" s="3" t="s">
        <v>2969</v>
      </c>
    </row>
    <row r="509" spans="1:8" x14ac:dyDescent="0.35">
      <c r="A509" t="s">
        <v>46</v>
      </c>
      <c r="B509" s="26" t="s">
        <v>25</v>
      </c>
      <c r="C509" s="20">
        <v>42769</v>
      </c>
      <c r="D509" t="s">
        <v>56</v>
      </c>
      <c r="E509" s="3">
        <v>800</v>
      </c>
      <c r="F509" s="3">
        <v>74</v>
      </c>
      <c r="G509" s="3">
        <v>44400</v>
      </c>
      <c r="H509" s="3" t="s">
        <v>2967</v>
      </c>
    </row>
    <row r="510" spans="1:8" x14ac:dyDescent="0.35">
      <c r="A510" t="s">
        <v>55</v>
      </c>
      <c r="B510" s="26" t="s">
        <v>14</v>
      </c>
      <c r="C510" s="20">
        <v>43055</v>
      </c>
      <c r="D510" t="s">
        <v>26</v>
      </c>
      <c r="E510" s="3">
        <v>700</v>
      </c>
      <c r="F510" s="3">
        <v>50</v>
      </c>
      <c r="G510" s="3">
        <v>33250</v>
      </c>
      <c r="H510" s="3" t="s">
        <v>2975</v>
      </c>
    </row>
    <row r="511" spans="1:8" x14ac:dyDescent="0.35">
      <c r="A511" t="s">
        <v>243</v>
      </c>
      <c r="B511" s="26" t="s">
        <v>14</v>
      </c>
      <c r="C511" s="20">
        <v>42754</v>
      </c>
      <c r="D511" t="s">
        <v>47</v>
      </c>
      <c r="E511" s="3">
        <v>500</v>
      </c>
      <c r="F511" s="3">
        <v>45</v>
      </c>
      <c r="G511" s="3">
        <v>21600</v>
      </c>
      <c r="H511" s="3" t="s">
        <v>2966</v>
      </c>
    </row>
    <row r="512" spans="1:8" x14ac:dyDescent="0.35">
      <c r="A512" t="s">
        <v>79</v>
      </c>
      <c r="B512" s="26" t="s">
        <v>36</v>
      </c>
      <c r="C512" s="20">
        <v>42489</v>
      </c>
      <c r="D512" t="s">
        <v>56</v>
      </c>
      <c r="E512" s="3">
        <v>800</v>
      </c>
      <c r="F512" s="3">
        <v>5</v>
      </c>
      <c r="G512" s="3">
        <v>2640</v>
      </c>
      <c r="H512" s="3" t="s">
        <v>2969</v>
      </c>
    </row>
    <row r="513" spans="1:8" x14ac:dyDescent="0.35">
      <c r="A513" t="s">
        <v>41</v>
      </c>
      <c r="B513" s="26" t="s">
        <v>36</v>
      </c>
      <c r="C513" s="20">
        <v>43198</v>
      </c>
      <c r="D513" t="s">
        <v>116</v>
      </c>
      <c r="E513" s="3">
        <v>250</v>
      </c>
      <c r="F513" s="3">
        <v>59</v>
      </c>
      <c r="G513" s="3">
        <v>13275</v>
      </c>
      <c r="H513" s="3" t="s">
        <v>2969</v>
      </c>
    </row>
    <row r="514" spans="1:8" x14ac:dyDescent="0.35">
      <c r="A514" t="s">
        <v>109</v>
      </c>
      <c r="B514" s="26" t="s">
        <v>20</v>
      </c>
      <c r="C514" s="20">
        <v>42207</v>
      </c>
      <c r="D514" t="s">
        <v>31</v>
      </c>
      <c r="E514" s="3">
        <v>150</v>
      </c>
      <c r="F514" s="3">
        <v>1</v>
      </c>
      <c r="G514" s="3">
        <v>113</v>
      </c>
      <c r="H514" s="3" t="s">
        <v>2971</v>
      </c>
    </row>
    <row r="515" spans="1:8" x14ac:dyDescent="0.35">
      <c r="A515" t="s">
        <v>229</v>
      </c>
      <c r="B515" s="26" t="s">
        <v>25</v>
      </c>
      <c r="C515" s="20">
        <v>42406</v>
      </c>
      <c r="D515" t="s">
        <v>47</v>
      </c>
      <c r="E515" s="3">
        <v>500</v>
      </c>
      <c r="F515" s="3">
        <v>22</v>
      </c>
      <c r="G515" s="3">
        <v>9680</v>
      </c>
      <c r="H515" s="3" t="s">
        <v>2967</v>
      </c>
    </row>
    <row r="516" spans="1:8" x14ac:dyDescent="0.35">
      <c r="A516" t="s">
        <v>93</v>
      </c>
      <c r="B516" s="26" t="s">
        <v>36</v>
      </c>
      <c r="C516" s="20">
        <v>42039</v>
      </c>
      <c r="D516" t="s">
        <v>105</v>
      </c>
      <c r="E516" s="3">
        <v>70</v>
      </c>
      <c r="F516" s="3">
        <v>45</v>
      </c>
      <c r="G516" s="3">
        <v>1980</v>
      </c>
      <c r="H516" s="3" t="s">
        <v>2967</v>
      </c>
    </row>
    <row r="517" spans="1:8" x14ac:dyDescent="0.35">
      <c r="A517" t="s">
        <v>172</v>
      </c>
      <c r="B517" s="26" t="s">
        <v>14</v>
      </c>
      <c r="C517" s="20">
        <v>41928</v>
      </c>
      <c r="D517" t="s">
        <v>116</v>
      </c>
      <c r="E517" s="3">
        <v>250</v>
      </c>
      <c r="F517" s="3">
        <v>74</v>
      </c>
      <c r="G517" s="3">
        <v>5402</v>
      </c>
      <c r="H517" s="3" t="s">
        <v>2974</v>
      </c>
    </row>
    <row r="518" spans="1:8" x14ac:dyDescent="0.35">
      <c r="A518" t="s">
        <v>41</v>
      </c>
      <c r="B518" s="26" t="s">
        <v>36</v>
      </c>
      <c r="C518" s="20">
        <v>42202</v>
      </c>
      <c r="D518" t="s">
        <v>37</v>
      </c>
      <c r="E518" s="3">
        <v>50</v>
      </c>
      <c r="F518" s="3">
        <v>57</v>
      </c>
      <c r="G518" s="3">
        <v>1938</v>
      </c>
      <c r="H518" s="3" t="s">
        <v>2971</v>
      </c>
    </row>
    <row r="519" spans="1:8" x14ac:dyDescent="0.35">
      <c r="A519" t="s">
        <v>402</v>
      </c>
      <c r="B519" s="26" t="s">
        <v>14</v>
      </c>
      <c r="C519" s="20">
        <v>43066</v>
      </c>
      <c r="D519" t="s">
        <v>15</v>
      </c>
      <c r="E519" s="3">
        <v>80</v>
      </c>
      <c r="F519" s="3">
        <v>86</v>
      </c>
      <c r="G519" s="3">
        <v>6708</v>
      </c>
      <c r="H519" s="3" t="s">
        <v>2975</v>
      </c>
    </row>
    <row r="520" spans="1:8" x14ac:dyDescent="0.35">
      <c r="A520" t="s">
        <v>66</v>
      </c>
      <c r="B520" s="26" t="s">
        <v>36</v>
      </c>
      <c r="C520" s="20">
        <v>42905</v>
      </c>
      <c r="D520" t="s">
        <v>31</v>
      </c>
      <c r="E520" s="3">
        <v>150</v>
      </c>
      <c r="F520" s="3">
        <v>33</v>
      </c>
      <c r="G520" s="3">
        <v>4917</v>
      </c>
      <c r="H520" s="3" t="s">
        <v>2970</v>
      </c>
    </row>
    <row r="521" spans="1:8" x14ac:dyDescent="0.35">
      <c r="A521" t="s">
        <v>109</v>
      </c>
      <c r="B521" s="26" t="s">
        <v>20</v>
      </c>
      <c r="C521" s="20">
        <v>42999</v>
      </c>
      <c r="D521" t="s">
        <v>116</v>
      </c>
      <c r="E521" s="3">
        <v>250</v>
      </c>
      <c r="F521" s="3">
        <v>79</v>
      </c>
      <c r="G521" s="3">
        <v>19750</v>
      </c>
      <c r="H521" s="3" t="s">
        <v>2973</v>
      </c>
    </row>
    <row r="522" spans="1:8" x14ac:dyDescent="0.35">
      <c r="A522" t="s">
        <v>101</v>
      </c>
      <c r="B522" s="26" t="s">
        <v>14</v>
      </c>
      <c r="C522" s="20">
        <v>42831</v>
      </c>
      <c r="D522" t="s">
        <v>26</v>
      </c>
      <c r="E522" s="3">
        <v>700</v>
      </c>
      <c r="F522" s="3">
        <v>67</v>
      </c>
      <c r="G522" s="3">
        <v>44555</v>
      </c>
      <c r="H522" s="3" t="s">
        <v>2969</v>
      </c>
    </row>
    <row r="523" spans="1:8" x14ac:dyDescent="0.35">
      <c r="A523" t="s">
        <v>207</v>
      </c>
      <c r="B523" s="26" t="s">
        <v>25</v>
      </c>
      <c r="C523" s="20">
        <v>42033</v>
      </c>
      <c r="D523" t="s">
        <v>31</v>
      </c>
      <c r="E523" s="3">
        <v>150</v>
      </c>
      <c r="F523" s="3">
        <v>90</v>
      </c>
      <c r="G523" s="3">
        <v>12600</v>
      </c>
      <c r="H523" s="3" t="s">
        <v>2966</v>
      </c>
    </row>
    <row r="524" spans="1:8" x14ac:dyDescent="0.35">
      <c r="A524" t="s">
        <v>243</v>
      </c>
      <c r="B524" s="26" t="s">
        <v>14</v>
      </c>
      <c r="C524" s="20">
        <v>42745</v>
      </c>
      <c r="D524" t="s">
        <v>56</v>
      </c>
      <c r="E524" s="3">
        <v>800</v>
      </c>
      <c r="F524" s="3">
        <v>55</v>
      </c>
      <c r="G524" s="3">
        <v>43560</v>
      </c>
      <c r="H524" s="3" t="s">
        <v>2966</v>
      </c>
    </row>
    <row r="525" spans="1:8" x14ac:dyDescent="0.35">
      <c r="A525" t="s">
        <v>93</v>
      </c>
      <c r="B525" s="26" t="s">
        <v>36</v>
      </c>
      <c r="C525" s="20">
        <v>43086</v>
      </c>
      <c r="D525" t="s">
        <v>31</v>
      </c>
      <c r="E525" s="3">
        <v>150</v>
      </c>
      <c r="F525" s="3">
        <v>28</v>
      </c>
      <c r="G525" s="3">
        <v>3864</v>
      </c>
      <c r="H525" s="3" t="s">
        <v>2976</v>
      </c>
    </row>
    <row r="526" spans="1:8" x14ac:dyDescent="0.35">
      <c r="A526" t="s">
        <v>83</v>
      </c>
      <c r="B526" s="26" t="s">
        <v>14</v>
      </c>
      <c r="C526" s="20">
        <v>42311</v>
      </c>
      <c r="D526" t="s">
        <v>42</v>
      </c>
      <c r="E526" s="3">
        <v>30</v>
      </c>
      <c r="F526" s="3">
        <v>72</v>
      </c>
      <c r="G526" s="3">
        <v>1656</v>
      </c>
      <c r="H526" s="3" t="s">
        <v>2975</v>
      </c>
    </row>
    <row r="527" spans="1:8" x14ac:dyDescent="0.35">
      <c r="A527" t="s">
        <v>51</v>
      </c>
      <c r="B527" s="26" t="s">
        <v>25</v>
      </c>
      <c r="C527" s="20">
        <v>42731</v>
      </c>
      <c r="D527" t="s">
        <v>15</v>
      </c>
      <c r="E527" s="3">
        <v>80</v>
      </c>
      <c r="F527" s="3">
        <v>58</v>
      </c>
      <c r="G527" s="3">
        <v>4524</v>
      </c>
      <c r="H527" s="3" t="s">
        <v>2976</v>
      </c>
    </row>
    <row r="528" spans="1:8" x14ac:dyDescent="0.35">
      <c r="A528" t="s">
        <v>19</v>
      </c>
      <c r="B528" s="26" t="s">
        <v>20</v>
      </c>
      <c r="C528" s="20">
        <v>42481</v>
      </c>
      <c r="D528" t="s">
        <v>37</v>
      </c>
      <c r="E528" s="3">
        <v>50</v>
      </c>
      <c r="F528" s="3">
        <v>73</v>
      </c>
      <c r="G528" s="3">
        <v>3577</v>
      </c>
      <c r="H528" s="3" t="s">
        <v>2969</v>
      </c>
    </row>
    <row r="529" spans="1:8" x14ac:dyDescent="0.35">
      <c r="A529" t="s">
        <v>189</v>
      </c>
      <c r="B529" s="26" t="s">
        <v>14</v>
      </c>
      <c r="C529" s="20">
        <v>43026</v>
      </c>
      <c r="D529" t="s">
        <v>116</v>
      </c>
      <c r="E529" s="3">
        <v>250</v>
      </c>
      <c r="F529" s="3">
        <v>14</v>
      </c>
      <c r="G529" s="3">
        <v>3290</v>
      </c>
      <c r="H529" s="3" t="s">
        <v>2974</v>
      </c>
    </row>
    <row r="530" spans="1:8" x14ac:dyDescent="0.35">
      <c r="A530" t="s">
        <v>109</v>
      </c>
      <c r="B530" s="26" t="s">
        <v>20</v>
      </c>
      <c r="C530" s="20">
        <v>42186</v>
      </c>
      <c r="D530" t="s">
        <v>73</v>
      </c>
      <c r="E530" s="3">
        <v>500</v>
      </c>
      <c r="F530" s="3">
        <v>86</v>
      </c>
      <c r="G530" s="3">
        <v>42140</v>
      </c>
      <c r="H530" s="3" t="s">
        <v>2971</v>
      </c>
    </row>
    <row r="531" spans="1:8" x14ac:dyDescent="0.35">
      <c r="A531" t="s">
        <v>402</v>
      </c>
      <c r="B531" s="26" t="s">
        <v>14</v>
      </c>
      <c r="C531" s="20">
        <v>41853</v>
      </c>
      <c r="D531" t="s">
        <v>26</v>
      </c>
      <c r="E531" s="3">
        <v>700</v>
      </c>
      <c r="F531" s="3">
        <v>46</v>
      </c>
      <c r="G531" s="3">
        <v>24150</v>
      </c>
      <c r="H531" s="3" t="s">
        <v>2972</v>
      </c>
    </row>
    <row r="532" spans="1:8" x14ac:dyDescent="0.35">
      <c r="A532" t="s">
        <v>243</v>
      </c>
      <c r="B532" s="26" t="s">
        <v>14</v>
      </c>
      <c r="C532" s="20">
        <v>42290</v>
      </c>
      <c r="D532" t="s">
        <v>15</v>
      </c>
      <c r="E532" s="3">
        <v>80</v>
      </c>
      <c r="F532" s="3">
        <v>12</v>
      </c>
      <c r="G532" s="3">
        <v>888</v>
      </c>
      <c r="H532" s="3" t="s">
        <v>2974</v>
      </c>
    </row>
    <row r="533" spans="1:8" x14ac:dyDescent="0.35">
      <c r="A533" t="s">
        <v>72</v>
      </c>
      <c r="B533" s="26" t="s">
        <v>36</v>
      </c>
      <c r="C533" s="20">
        <v>41860</v>
      </c>
      <c r="D533" t="s">
        <v>56</v>
      </c>
      <c r="E533" s="3">
        <v>800</v>
      </c>
      <c r="F533" s="3">
        <v>10</v>
      </c>
      <c r="G533" s="3">
        <v>6960</v>
      </c>
      <c r="H533" s="3" t="s">
        <v>2972</v>
      </c>
    </row>
    <row r="534" spans="1:8" x14ac:dyDescent="0.35">
      <c r="A534" t="s">
        <v>326</v>
      </c>
      <c r="B534" s="26" t="s">
        <v>14</v>
      </c>
      <c r="C534" s="20">
        <v>42781</v>
      </c>
      <c r="D534" t="s">
        <v>123</v>
      </c>
      <c r="E534" s="3">
        <v>50</v>
      </c>
      <c r="F534" s="3">
        <v>43</v>
      </c>
      <c r="G534" s="3">
        <v>2150</v>
      </c>
      <c r="H534" s="3" t="s">
        <v>2967</v>
      </c>
    </row>
    <row r="535" spans="1:8" x14ac:dyDescent="0.35">
      <c r="A535" t="s">
        <v>266</v>
      </c>
      <c r="B535" s="26" t="s">
        <v>14</v>
      </c>
      <c r="C535" s="20">
        <v>42845</v>
      </c>
      <c r="D535" t="s">
        <v>37</v>
      </c>
      <c r="E535" s="3">
        <v>50</v>
      </c>
      <c r="F535" s="3">
        <v>33</v>
      </c>
      <c r="G535" s="3">
        <v>1650</v>
      </c>
      <c r="H535" s="3" t="s">
        <v>2969</v>
      </c>
    </row>
    <row r="536" spans="1:8" x14ac:dyDescent="0.35">
      <c r="A536" t="s">
        <v>129</v>
      </c>
      <c r="B536" s="26" t="s">
        <v>14</v>
      </c>
      <c r="C536" s="20">
        <v>42548</v>
      </c>
      <c r="D536" t="s">
        <v>116</v>
      </c>
      <c r="E536" s="3">
        <v>250</v>
      </c>
      <c r="F536" s="3">
        <v>13</v>
      </c>
      <c r="G536" s="3">
        <v>2925</v>
      </c>
      <c r="H536" s="3" t="s">
        <v>2970</v>
      </c>
    </row>
    <row r="537" spans="1:8" x14ac:dyDescent="0.35">
      <c r="A537" t="s">
        <v>97</v>
      </c>
      <c r="B537" s="26" t="s">
        <v>14</v>
      </c>
      <c r="C537" s="20">
        <v>41968</v>
      </c>
      <c r="D537" t="s">
        <v>56</v>
      </c>
      <c r="E537" s="3">
        <v>800</v>
      </c>
      <c r="F537" s="3">
        <v>53</v>
      </c>
      <c r="G537" s="3">
        <v>40280</v>
      </c>
      <c r="H537" s="3" t="s">
        <v>2975</v>
      </c>
    </row>
    <row r="538" spans="1:8" x14ac:dyDescent="0.35">
      <c r="A538" t="s">
        <v>93</v>
      </c>
      <c r="B538" s="26" t="s">
        <v>36</v>
      </c>
      <c r="C538" s="20">
        <v>42551</v>
      </c>
      <c r="D538" t="s">
        <v>123</v>
      </c>
      <c r="E538" s="3">
        <v>50</v>
      </c>
      <c r="F538" s="3">
        <v>77</v>
      </c>
      <c r="G538" s="3">
        <v>3773</v>
      </c>
      <c r="H538" s="3" t="s">
        <v>2970</v>
      </c>
    </row>
    <row r="539" spans="1:8" x14ac:dyDescent="0.35">
      <c r="A539" t="s">
        <v>148</v>
      </c>
      <c r="B539" s="26" t="s">
        <v>14</v>
      </c>
      <c r="C539" s="20">
        <v>42757</v>
      </c>
      <c r="D539" t="s">
        <v>73</v>
      </c>
      <c r="E539" s="3">
        <v>500</v>
      </c>
      <c r="F539" s="3">
        <v>10</v>
      </c>
      <c r="G539" s="3">
        <v>4950</v>
      </c>
      <c r="H539" s="3" t="s">
        <v>2966</v>
      </c>
    </row>
    <row r="540" spans="1:8" x14ac:dyDescent="0.35">
      <c r="A540" t="s">
        <v>41</v>
      </c>
      <c r="B540" s="26" t="s">
        <v>36</v>
      </c>
      <c r="C540" s="20">
        <v>42637</v>
      </c>
      <c r="D540" t="s">
        <v>116</v>
      </c>
      <c r="E540" s="3">
        <v>250</v>
      </c>
      <c r="F540" s="3">
        <v>17</v>
      </c>
      <c r="G540" s="3">
        <v>3621</v>
      </c>
      <c r="H540" s="3" t="s">
        <v>2973</v>
      </c>
    </row>
    <row r="541" spans="1:8" x14ac:dyDescent="0.35">
      <c r="A541" t="s">
        <v>109</v>
      </c>
      <c r="B541" s="26" t="s">
        <v>20</v>
      </c>
      <c r="C541" s="20">
        <v>42662</v>
      </c>
      <c r="D541" t="s">
        <v>26</v>
      </c>
      <c r="E541" s="3">
        <v>700</v>
      </c>
      <c r="F541" s="3">
        <v>88</v>
      </c>
      <c r="G541" s="3">
        <v>60984</v>
      </c>
      <c r="H541" s="3" t="s">
        <v>2974</v>
      </c>
    </row>
    <row r="542" spans="1:8" x14ac:dyDescent="0.35">
      <c r="A542" t="s">
        <v>83</v>
      </c>
      <c r="B542" s="26" t="s">
        <v>14</v>
      </c>
      <c r="C542" s="20">
        <v>42684</v>
      </c>
      <c r="D542" t="s">
        <v>42</v>
      </c>
      <c r="E542" s="3">
        <v>30</v>
      </c>
      <c r="F542" s="3">
        <v>88</v>
      </c>
      <c r="G542" s="3">
        <v>2464</v>
      </c>
      <c r="H542" s="3" t="s">
        <v>2975</v>
      </c>
    </row>
    <row r="543" spans="1:8" x14ac:dyDescent="0.35">
      <c r="A543" t="s">
        <v>257</v>
      </c>
      <c r="B543" s="26" t="s">
        <v>14</v>
      </c>
      <c r="C543" s="20">
        <v>42134</v>
      </c>
      <c r="D543" t="s">
        <v>26</v>
      </c>
      <c r="E543" s="3">
        <v>700</v>
      </c>
      <c r="F543" s="3">
        <v>54</v>
      </c>
      <c r="G543" s="3">
        <v>27972</v>
      </c>
      <c r="H543" s="3" t="s">
        <v>2965</v>
      </c>
    </row>
    <row r="544" spans="1:8" x14ac:dyDescent="0.35">
      <c r="A544" t="s">
        <v>46</v>
      </c>
      <c r="B544" s="26" t="s">
        <v>25</v>
      </c>
      <c r="C544" s="20">
        <v>43252</v>
      </c>
      <c r="D544" t="s">
        <v>73</v>
      </c>
      <c r="E544" s="3">
        <v>500</v>
      </c>
      <c r="F544" s="3">
        <v>7</v>
      </c>
      <c r="G544" s="3">
        <v>3465</v>
      </c>
      <c r="H544" s="3" t="s">
        <v>2970</v>
      </c>
    </row>
    <row r="545" spans="1:8" x14ac:dyDescent="0.35">
      <c r="A545" t="s">
        <v>51</v>
      </c>
      <c r="B545" s="26" t="s">
        <v>25</v>
      </c>
      <c r="C545" s="20">
        <v>42138</v>
      </c>
      <c r="D545" t="s">
        <v>42</v>
      </c>
      <c r="E545" s="3">
        <v>30</v>
      </c>
      <c r="F545" s="3">
        <v>58</v>
      </c>
      <c r="G545" s="3">
        <v>1218</v>
      </c>
      <c r="H545" s="3" t="s">
        <v>2965</v>
      </c>
    </row>
    <row r="546" spans="1:8" x14ac:dyDescent="0.35">
      <c r="A546" t="s">
        <v>109</v>
      </c>
      <c r="B546" s="26" t="s">
        <v>20</v>
      </c>
      <c r="C546" s="20">
        <v>42993</v>
      </c>
      <c r="D546" t="s">
        <v>62</v>
      </c>
      <c r="E546" s="3">
        <v>1000</v>
      </c>
      <c r="F546" s="3">
        <v>77</v>
      </c>
      <c r="G546" s="3">
        <v>53900</v>
      </c>
      <c r="H546" s="3" t="s">
        <v>2973</v>
      </c>
    </row>
    <row r="547" spans="1:8" x14ac:dyDescent="0.35">
      <c r="A547" t="s">
        <v>272</v>
      </c>
      <c r="B547" s="26" t="s">
        <v>36</v>
      </c>
      <c r="C547" s="20">
        <v>42115</v>
      </c>
      <c r="D547" t="s">
        <v>37</v>
      </c>
      <c r="E547" s="3">
        <v>50</v>
      </c>
      <c r="F547" s="3">
        <v>38</v>
      </c>
      <c r="G547" s="3">
        <v>1216</v>
      </c>
      <c r="H547" s="3" t="s">
        <v>2969</v>
      </c>
    </row>
    <row r="548" spans="1:8" x14ac:dyDescent="0.35">
      <c r="A548" t="s">
        <v>87</v>
      </c>
      <c r="B548" s="26" t="s">
        <v>14</v>
      </c>
      <c r="C548" s="20">
        <v>42284</v>
      </c>
      <c r="D548" t="s">
        <v>56</v>
      </c>
      <c r="E548" s="3">
        <v>800</v>
      </c>
      <c r="F548" s="3">
        <v>26</v>
      </c>
      <c r="G548" s="3">
        <v>16432</v>
      </c>
      <c r="H548" s="3" t="s">
        <v>2974</v>
      </c>
    </row>
    <row r="549" spans="1:8" x14ac:dyDescent="0.35">
      <c r="A549" t="s">
        <v>109</v>
      </c>
      <c r="B549" s="26" t="s">
        <v>20</v>
      </c>
      <c r="C549" s="20">
        <v>43453</v>
      </c>
      <c r="D549" t="s">
        <v>47</v>
      </c>
      <c r="E549" s="3">
        <v>500</v>
      </c>
      <c r="F549" s="3">
        <v>49</v>
      </c>
      <c r="G549" s="3">
        <v>22050</v>
      </c>
      <c r="H549" s="3" t="s">
        <v>2976</v>
      </c>
    </row>
    <row r="550" spans="1:8" x14ac:dyDescent="0.35">
      <c r="A550" t="s">
        <v>24</v>
      </c>
      <c r="B550" s="26" t="s">
        <v>25</v>
      </c>
      <c r="C550" s="20">
        <v>42599</v>
      </c>
      <c r="D550" t="s">
        <v>37</v>
      </c>
      <c r="E550" s="3">
        <v>50</v>
      </c>
      <c r="F550" s="3">
        <v>6</v>
      </c>
      <c r="G550" s="3">
        <v>294</v>
      </c>
      <c r="H550" s="3" t="s">
        <v>2972</v>
      </c>
    </row>
    <row r="551" spans="1:8" x14ac:dyDescent="0.35">
      <c r="A551" t="s">
        <v>229</v>
      </c>
      <c r="B551" s="26" t="s">
        <v>25</v>
      </c>
      <c r="C551" s="20">
        <v>42179</v>
      </c>
      <c r="D551" t="s">
        <v>56</v>
      </c>
      <c r="E551" s="3">
        <v>800</v>
      </c>
      <c r="F551" s="3">
        <v>14</v>
      </c>
      <c r="G551" s="3">
        <v>6384</v>
      </c>
      <c r="H551" s="3" t="s">
        <v>2970</v>
      </c>
    </row>
    <row r="552" spans="1:8" x14ac:dyDescent="0.35">
      <c r="A552" t="s">
        <v>266</v>
      </c>
      <c r="B552" s="26" t="s">
        <v>14</v>
      </c>
      <c r="C552" s="20">
        <v>42005</v>
      </c>
      <c r="D552" t="s">
        <v>123</v>
      </c>
      <c r="E552" s="3">
        <v>50</v>
      </c>
      <c r="F552" s="3">
        <v>50</v>
      </c>
      <c r="G552" s="3">
        <v>1550</v>
      </c>
      <c r="H552" s="3" t="s">
        <v>2966</v>
      </c>
    </row>
    <row r="553" spans="1:8" x14ac:dyDescent="0.35">
      <c r="A553" t="s">
        <v>109</v>
      </c>
      <c r="B553" s="26" t="s">
        <v>20</v>
      </c>
      <c r="C553" s="20">
        <v>42002</v>
      </c>
      <c r="D553" t="s">
        <v>15</v>
      </c>
      <c r="E553" s="3">
        <v>80</v>
      </c>
      <c r="F553" s="3">
        <v>35</v>
      </c>
      <c r="G553" s="3">
        <v>2415</v>
      </c>
      <c r="H553" s="3" t="s">
        <v>2976</v>
      </c>
    </row>
    <row r="554" spans="1:8" x14ac:dyDescent="0.35">
      <c r="A554" t="s">
        <v>176</v>
      </c>
      <c r="B554" s="26" t="s">
        <v>14</v>
      </c>
      <c r="C554" s="20">
        <v>42691</v>
      </c>
      <c r="D554" t="s">
        <v>15</v>
      </c>
      <c r="E554" s="3">
        <v>80</v>
      </c>
      <c r="F554" s="3">
        <v>93</v>
      </c>
      <c r="G554" s="3">
        <v>6510</v>
      </c>
      <c r="H554" s="3" t="s">
        <v>2975</v>
      </c>
    </row>
    <row r="555" spans="1:8" x14ac:dyDescent="0.35">
      <c r="A555" t="s">
        <v>30</v>
      </c>
      <c r="B555" s="26" t="s">
        <v>14</v>
      </c>
      <c r="C555" s="20">
        <v>42752</v>
      </c>
      <c r="D555" t="s">
        <v>116</v>
      </c>
      <c r="E555" s="3">
        <v>250</v>
      </c>
      <c r="F555" s="3">
        <v>56</v>
      </c>
      <c r="G555" s="3">
        <v>13440</v>
      </c>
      <c r="H555" s="3" t="s">
        <v>2966</v>
      </c>
    </row>
    <row r="556" spans="1:8" x14ac:dyDescent="0.35">
      <c r="A556" t="s">
        <v>109</v>
      </c>
      <c r="B556" s="26" t="s">
        <v>20</v>
      </c>
      <c r="C556" s="20">
        <v>42544</v>
      </c>
      <c r="D556" t="s">
        <v>31</v>
      </c>
      <c r="E556" s="3">
        <v>150</v>
      </c>
      <c r="F556" s="3">
        <v>25</v>
      </c>
      <c r="G556" s="3">
        <v>3300</v>
      </c>
      <c r="H556" s="3" t="s">
        <v>2970</v>
      </c>
    </row>
    <row r="557" spans="1:8" x14ac:dyDescent="0.35">
      <c r="A557" t="s">
        <v>101</v>
      </c>
      <c r="B557" s="26" t="s">
        <v>14</v>
      </c>
      <c r="C557" s="20">
        <v>42648</v>
      </c>
      <c r="D557" t="s">
        <v>42</v>
      </c>
      <c r="E557" s="3">
        <v>30</v>
      </c>
      <c r="F557" s="3">
        <v>43</v>
      </c>
      <c r="G557" s="3">
        <v>1161</v>
      </c>
      <c r="H557" s="3" t="s">
        <v>2974</v>
      </c>
    </row>
    <row r="558" spans="1:8" x14ac:dyDescent="0.35">
      <c r="A558" t="s">
        <v>189</v>
      </c>
      <c r="B558" s="26" t="s">
        <v>14</v>
      </c>
      <c r="C558" s="20">
        <v>42195</v>
      </c>
      <c r="D558" t="s">
        <v>56</v>
      </c>
      <c r="E558" s="3">
        <v>800</v>
      </c>
      <c r="F558" s="3">
        <v>76</v>
      </c>
      <c r="G558" s="3">
        <v>47424</v>
      </c>
      <c r="H558" s="3" t="s">
        <v>2971</v>
      </c>
    </row>
    <row r="559" spans="1:8" x14ac:dyDescent="0.35">
      <c r="A559" t="s">
        <v>109</v>
      </c>
      <c r="B559" s="26" t="s">
        <v>20</v>
      </c>
      <c r="C559" s="20">
        <v>41839</v>
      </c>
      <c r="D559" t="s">
        <v>105</v>
      </c>
      <c r="E559" s="3">
        <v>70</v>
      </c>
      <c r="F559" s="3">
        <v>99</v>
      </c>
      <c r="G559" s="3">
        <v>5148</v>
      </c>
      <c r="H559" s="3" t="s">
        <v>2971</v>
      </c>
    </row>
    <row r="560" spans="1:8" x14ac:dyDescent="0.35">
      <c r="A560" t="s">
        <v>120</v>
      </c>
      <c r="B560" s="26" t="s">
        <v>36</v>
      </c>
      <c r="C560" s="20">
        <v>43061</v>
      </c>
      <c r="D560" t="s">
        <v>15</v>
      </c>
      <c r="E560" s="3">
        <v>80</v>
      </c>
      <c r="F560" s="3">
        <v>97</v>
      </c>
      <c r="G560" s="3">
        <v>7469</v>
      </c>
      <c r="H560" s="3" t="s">
        <v>2975</v>
      </c>
    </row>
    <row r="561" spans="1:8" x14ac:dyDescent="0.35">
      <c r="A561" t="s">
        <v>46</v>
      </c>
      <c r="B561" s="26" t="s">
        <v>25</v>
      </c>
      <c r="C561" s="20">
        <v>43003</v>
      </c>
      <c r="D561" t="s">
        <v>42</v>
      </c>
      <c r="E561" s="3">
        <v>30</v>
      </c>
      <c r="F561" s="3">
        <v>82</v>
      </c>
      <c r="G561" s="3">
        <v>2214</v>
      </c>
      <c r="H561" s="3" t="s">
        <v>2973</v>
      </c>
    </row>
    <row r="562" spans="1:8" x14ac:dyDescent="0.35">
      <c r="A562" t="s">
        <v>152</v>
      </c>
      <c r="B562" s="26" t="s">
        <v>14</v>
      </c>
      <c r="C562" s="20">
        <v>43040</v>
      </c>
      <c r="D562" t="s">
        <v>37</v>
      </c>
      <c r="E562" s="3">
        <v>50</v>
      </c>
      <c r="F562" s="3">
        <v>43</v>
      </c>
      <c r="G562" s="3">
        <v>2021</v>
      </c>
      <c r="H562" s="3" t="s">
        <v>2975</v>
      </c>
    </row>
    <row r="563" spans="1:8" x14ac:dyDescent="0.35">
      <c r="A563" t="s">
        <v>402</v>
      </c>
      <c r="B563" s="26" t="s">
        <v>14</v>
      </c>
      <c r="C563" s="20">
        <v>42893</v>
      </c>
      <c r="D563" t="s">
        <v>47</v>
      </c>
      <c r="E563" s="3">
        <v>500</v>
      </c>
      <c r="F563" s="3">
        <v>47</v>
      </c>
      <c r="G563" s="3">
        <v>12455</v>
      </c>
      <c r="H563" s="3" t="s">
        <v>2970</v>
      </c>
    </row>
    <row r="564" spans="1:8" x14ac:dyDescent="0.35">
      <c r="A564" t="s">
        <v>272</v>
      </c>
      <c r="B564" s="26" t="s">
        <v>36</v>
      </c>
      <c r="C564" s="20">
        <v>42659</v>
      </c>
      <c r="D564" t="s">
        <v>42</v>
      </c>
      <c r="E564" s="3">
        <v>30</v>
      </c>
      <c r="F564" s="3">
        <v>62</v>
      </c>
      <c r="G564" s="3">
        <v>1736</v>
      </c>
      <c r="H564" s="3" t="s">
        <v>2974</v>
      </c>
    </row>
    <row r="565" spans="1:8" x14ac:dyDescent="0.35">
      <c r="A565" t="s">
        <v>51</v>
      </c>
      <c r="B565" s="26" t="s">
        <v>25</v>
      </c>
      <c r="C565" s="20">
        <v>41836</v>
      </c>
      <c r="D565" t="s">
        <v>116</v>
      </c>
      <c r="E565" s="3">
        <v>250</v>
      </c>
      <c r="F565" s="3">
        <v>49</v>
      </c>
      <c r="G565" s="3">
        <v>11760</v>
      </c>
      <c r="H565" s="3" t="s">
        <v>2971</v>
      </c>
    </row>
    <row r="566" spans="1:8" x14ac:dyDescent="0.35">
      <c r="A566" t="s">
        <v>229</v>
      </c>
      <c r="B566" s="26" t="s">
        <v>25</v>
      </c>
      <c r="C566" s="20">
        <v>43445</v>
      </c>
      <c r="D566" t="s">
        <v>37</v>
      </c>
      <c r="E566" s="3">
        <v>50</v>
      </c>
      <c r="F566" s="3">
        <v>71</v>
      </c>
      <c r="G566" s="3">
        <v>3195</v>
      </c>
      <c r="H566" s="3" t="s">
        <v>2976</v>
      </c>
    </row>
    <row r="567" spans="1:8" x14ac:dyDescent="0.35">
      <c r="A567" t="s">
        <v>51</v>
      </c>
      <c r="B567" s="26" t="s">
        <v>25</v>
      </c>
      <c r="C567" s="20">
        <v>42248</v>
      </c>
      <c r="D567" t="s">
        <v>73</v>
      </c>
      <c r="E567" s="3">
        <v>500</v>
      </c>
      <c r="F567" s="3">
        <v>22</v>
      </c>
      <c r="G567" s="3">
        <v>10780</v>
      </c>
      <c r="H567" s="3" t="s">
        <v>2973</v>
      </c>
    </row>
    <row r="568" spans="1:8" x14ac:dyDescent="0.35">
      <c r="A568" t="s">
        <v>109</v>
      </c>
      <c r="B568" s="26" t="s">
        <v>20</v>
      </c>
      <c r="C568" s="20">
        <v>42886</v>
      </c>
      <c r="D568" t="s">
        <v>42</v>
      </c>
      <c r="E568" s="3">
        <v>30</v>
      </c>
      <c r="F568" s="3">
        <v>1</v>
      </c>
      <c r="G568" s="3">
        <v>29</v>
      </c>
      <c r="H568" s="3" t="s">
        <v>2965</v>
      </c>
    </row>
    <row r="569" spans="1:8" x14ac:dyDescent="0.35">
      <c r="A569" t="s">
        <v>148</v>
      </c>
      <c r="B569" s="26" t="s">
        <v>14</v>
      </c>
      <c r="C569" s="20">
        <v>42902</v>
      </c>
      <c r="D569" t="s">
        <v>123</v>
      </c>
      <c r="E569" s="3">
        <v>50</v>
      </c>
      <c r="F569" s="3">
        <v>23</v>
      </c>
      <c r="G569" s="3">
        <v>1127</v>
      </c>
      <c r="H569" s="3" t="s">
        <v>2970</v>
      </c>
    </row>
    <row r="570" spans="1:8" x14ac:dyDescent="0.35">
      <c r="A570" t="s">
        <v>13</v>
      </c>
      <c r="B570" s="26" t="s">
        <v>14</v>
      </c>
      <c r="C570" s="20">
        <v>41833</v>
      </c>
      <c r="D570" t="s">
        <v>26</v>
      </c>
      <c r="E570" s="3">
        <v>700</v>
      </c>
      <c r="F570" s="3">
        <v>73</v>
      </c>
      <c r="G570" s="3">
        <v>48545</v>
      </c>
      <c r="H570" s="3" t="s">
        <v>2971</v>
      </c>
    </row>
    <row r="571" spans="1:8" x14ac:dyDescent="0.35">
      <c r="A571" t="s">
        <v>326</v>
      </c>
      <c r="B571" s="26" t="s">
        <v>14</v>
      </c>
      <c r="C571" s="20">
        <v>41864</v>
      </c>
      <c r="D571" t="s">
        <v>56</v>
      </c>
      <c r="E571" s="3">
        <v>800</v>
      </c>
      <c r="F571" s="3">
        <v>31</v>
      </c>
      <c r="G571" s="3">
        <v>22320</v>
      </c>
      <c r="H571" s="3" t="s">
        <v>2972</v>
      </c>
    </row>
    <row r="572" spans="1:8" x14ac:dyDescent="0.35">
      <c r="A572" t="s">
        <v>243</v>
      </c>
      <c r="B572" s="26" t="s">
        <v>14</v>
      </c>
      <c r="C572" s="20">
        <v>42460</v>
      </c>
      <c r="D572" t="s">
        <v>73</v>
      </c>
      <c r="E572" s="3">
        <v>500</v>
      </c>
      <c r="F572" s="3">
        <v>70</v>
      </c>
      <c r="G572" s="3">
        <v>35000</v>
      </c>
      <c r="H572" s="3" t="s">
        <v>2968</v>
      </c>
    </row>
    <row r="573" spans="1:8" x14ac:dyDescent="0.35">
      <c r="A573" t="s">
        <v>109</v>
      </c>
      <c r="B573" s="26" t="s">
        <v>20</v>
      </c>
      <c r="C573" s="20">
        <v>43338</v>
      </c>
      <c r="D573" t="s">
        <v>56</v>
      </c>
      <c r="E573" s="3">
        <v>800</v>
      </c>
      <c r="F573" s="3">
        <v>68</v>
      </c>
      <c r="G573" s="3">
        <v>46240</v>
      </c>
      <c r="H573" s="3" t="s">
        <v>2972</v>
      </c>
    </row>
    <row r="574" spans="1:8" x14ac:dyDescent="0.35">
      <c r="A574" t="s">
        <v>72</v>
      </c>
      <c r="B574" s="26" t="s">
        <v>36</v>
      </c>
      <c r="C574" s="20">
        <v>42188</v>
      </c>
      <c r="D574" t="s">
        <v>56</v>
      </c>
      <c r="E574" s="3">
        <v>800</v>
      </c>
      <c r="F574" s="3">
        <v>67</v>
      </c>
      <c r="G574" s="3">
        <v>32160</v>
      </c>
      <c r="H574" s="3" t="s">
        <v>2971</v>
      </c>
    </row>
    <row r="575" spans="1:8" x14ac:dyDescent="0.35">
      <c r="A575" t="s">
        <v>61</v>
      </c>
      <c r="B575" s="26" t="s">
        <v>14</v>
      </c>
      <c r="C575" s="20">
        <v>41855</v>
      </c>
      <c r="D575" t="s">
        <v>26</v>
      </c>
      <c r="E575" s="3">
        <v>700</v>
      </c>
      <c r="F575" s="3">
        <v>49</v>
      </c>
      <c r="G575" s="3">
        <v>29498</v>
      </c>
      <c r="H575" s="3" t="s">
        <v>2972</v>
      </c>
    </row>
    <row r="576" spans="1:8" x14ac:dyDescent="0.35">
      <c r="A576" t="s">
        <v>152</v>
      </c>
      <c r="B576" s="26" t="s">
        <v>14</v>
      </c>
      <c r="C576" s="20">
        <v>43113</v>
      </c>
      <c r="D576" t="s">
        <v>116</v>
      </c>
      <c r="E576" s="3">
        <v>250</v>
      </c>
      <c r="F576" s="3">
        <v>39</v>
      </c>
      <c r="G576" s="3">
        <v>8580</v>
      </c>
      <c r="H576" s="3" t="s">
        <v>2966</v>
      </c>
    </row>
    <row r="577" spans="1:8" x14ac:dyDescent="0.35">
      <c r="A577" t="s">
        <v>41</v>
      </c>
      <c r="B577" s="26" t="s">
        <v>36</v>
      </c>
      <c r="C577" s="20">
        <v>42361</v>
      </c>
      <c r="D577" t="s">
        <v>73</v>
      </c>
      <c r="E577" s="3">
        <v>500</v>
      </c>
      <c r="F577" s="3">
        <v>50</v>
      </c>
      <c r="G577" s="3">
        <v>24750</v>
      </c>
      <c r="H577" s="3" t="s">
        <v>2976</v>
      </c>
    </row>
    <row r="578" spans="1:8" x14ac:dyDescent="0.35">
      <c r="A578" t="s">
        <v>93</v>
      </c>
      <c r="B578" s="26" t="s">
        <v>36</v>
      </c>
      <c r="C578" s="20">
        <v>42676</v>
      </c>
      <c r="D578" t="s">
        <v>15</v>
      </c>
      <c r="E578" s="3">
        <v>80</v>
      </c>
      <c r="F578" s="3">
        <v>29</v>
      </c>
      <c r="G578" s="3">
        <v>2059</v>
      </c>
      <c r="H578" s="3" t="s">
        <v>2975</v>
      </c>
    </row>
    <row r="579" spans="1:8" x14ac:dyDescent="0.35">
      <c r="A579" t="s">
        <v>120</v>
      </c>
      <c r="B579" s="26" t="s">
        <v>36</v>
      </c>
      <c r="C579" s="20">
        <v>43185</v>
      </c>
      <c r="D579" t="s">
        <v>62</v>
      </c>
      <c r="E579" s="3">
        <v>1000</v>
      </c>
      <c r="F579" s="3">
        <v>57</v>
      </c>
      <c r="G579" s="3">
        <v>30210</v>
      </c>
      <c r="H579" s="3" t="s">
        <v>2968</v>
      </c>
    </row>
    <row r="580" spans="1:8" x14ac:dyDescent="0.35">
      <c r="A580" t="s">
        <v>109</v>
      </c>
      <c r="B580" s="26" t="s">
        <v>20</v>
      </c>
      <c r="C580" s="20">
        <v>41862</v>
      </c>
      <c r="D580" t="s">
        <v>105</v>
      </c>
      <c r="E580" s="3">
        <v>70</v>
      </c>
      <c r="F580" s="3">
        <v>45</v>
      </c>
      <c r="G580" s="3">
        <v>2925</v>
      </c>
      <c r="H580" s="3" t="s">
        <v>2972</v>
      </c>
    </row>
    <row r="581" spans="1:8" x14ac:dyDescent="0.35">
      <c r="A581" t="s">
        <v>229</v>
      </c>
      <c r="B581" s="26" t="s">
        <v>25</v>
      </c>
      <c r="C581" s="20">
        <v>42751</v>
      </c>
      <c r="D581" t="s">
        <v>37</v>
      </c>
      <c r="E581" s="3">
        <v>50</v>
      </c>
      <c r="F581" s="3">
        <v>6</v>
      </c>
      <c r="G581" s="3">
        <v>294</v>
      </c>
      <c r="H581" s="3" t="s">
        <v>2966</v>
      </c>
    </row>
    <row r="582" spans="1:8" x14ac:dyDescent="0.35">
      <c r="A582" t="s">
        <v>55</v>
      </c>
      <c r="B582" s="26" t="s">
        <v>14</v>
      </c>
      <c r="C582" s="20">
        <v>42928</v>
      </c>
      <c r="D582" t="s">
        <v>42</v>
      </c>
      <c r="E582" s="3">
        <v>30</v>
      </c>
      <c r="F582" s="3">
        <v>84</v>
      </c>
      <c r="G582" s="3">
        <v>2520</v>
      </c>
      <c r="H582" s="3" t="s">
        <v>2971</v>
      </c>
    </row>
    <row r="583" spans="1:8" x14ac:dyDescent="0.35">
      <c r="A583" t="s">
        <v>101</v>
      </c>
      <c r="B583" s="26" t="s">
        <v>14</v>
      </c>
      <c r="C583" s="20">
        <v>43318</v>
      </c>
      <c r="D583" t="s">
        <v>15</v>
      </c>
      <c r="E583" s="3">
        <v>80</v>
      </c>
      <c r="F583" s="3">
        <v>21</v>
      </c>
      <c r="G583" s="3">
        <v>1449</v>
      </c>
      <c r="H583" s="3" t="s">
        <v>2972</v>
      </c>
    </row>
    <row r="584" spans="1:8" x14ac:dyDescent="0.35">
      <c r="A584" t="s">
        <v>66</v>
      </c>
      <c r="B584" s="26" t="s">
        <v>36</v>
      </c>
      <c r="C584" s="20">
        <v>42852</v>
      </c>
      <c r="D584" t="s">
        <v>42</v>
      </c>
      <c r="E584" s="3">
        <v>30</v>
      </c>
      <c r="F584" s="3">
        <v>81</v>
      </c>
      <c r="G584" s="3">
        <v>2349</v>
      </c>
      <c r="H584" s="3" t="s">
        <v>2969</v>
      </c>
    </row>
    <row r="585" spans="1:8" x14ac:dyDescent="0.35">
      <c r="A585" t="s">
        <v>109</v>
      </c>
      <c r="B585" s="26" t="s">
        <v>20</v>
      </c>
      <c r="C585" s="20">
        <v>42633</v>
      </c>
      <c r="D585" t="s">
        <v>123</v>
      </c>
      <c r="E585" s="3">
        <v>50</v>
      </c>
      <c r="F585" s="3">
        <v>62</v>
      </c>
      <c r="G585" s="3">
        <v>2666</v>
      </c>
      <c r="H585" s="3" t="s">
        <v>2973</v>
      </c>
    </row>
    <row r="586" spans="1:8" x14ac:dyDescent="0.35">
      <c r="A586" t="s">
        <v>189</v>
      </c>
      <c r="B586" s="26" t="s">
        <v>14</v>
      </c>
      <c r="C586" s="20">
        <v>42925</v>
      </c>
      <c r="D586" t="s">
        <v>31</v>
      </c>
      <c r="E586" s="3">
        <v>150</v>
      </c>
      <c r="F586" s="3">
        <v>10</v>
      </c>
      <c r="G586" s="3">
        <v>1490</v>
      </c>
      <c r="H586" s="3" t="s">
        <v>2971</v>
      </c>
    </row>
    <row r="587" spans="1:8" x14ac:dyDescent="0.35">
      <c r="A587" t="s">
        <v>51</v>
      </c>
      <c r="B587" s="26" t="s">
        <v>25</v>
      </c>
      <c r="C587" s="20">
        <v>42095</v>
      </c>
      <c r="D587" t="s">
        <v>26</v>
      </c>
      <c r="E587" s="3">
        <v>700</v>
      </c>
      <c r="F587" s="3">
        <v>19</v>
      </c>
      <c r="G587" s="3">
        <v>10906</v>
      </c>
      <c r="H587" s="3" t="s">
        <v>2969</v>
      </c>
    </row>
    <row r="588" spans="1:8" x14ac:dyDescent="0.35">
      <c r="A588" t="s">
        <v>148</v>
      </c>
      <c r="B588" s="26" t="s">
        <v>14</v>
      </c>
      <c r="C588" s="20">
        <v>41751</v>
      </c>
      <c r="D588" t="s">
        <v>26</v>
      </c>
      <c r="E588" s="3">
        <v>700</v>
      </c>
      <c r="F588" s="3">
        <v>15</v>
      </c>
      <c r="G588" s="3">
        <v>8715</v>
      </c>
      <c r="H588" s="3" t="s">
        <v>2969</v>
      </c>
    </row>
    <row r="589" spans="1:8" x14ac:dyDescent="0.35">
      <c r="A589" t="s">
        <v>46</v>
      </c>
      <c r="B589" s="26" t="s">
        <v>25</v>
      </c>
      <c r="C589" s="20">
        <v>41885</v>
      </c>
      <c r="D589" t="s">
        <v>37</v>
      </c>
      <c r="E589" s="3">
        <v>50</v>
      </c>
      <c r="F589" s="3">
        <v>68</v>
      </c>
      <c r="G589" s="3">
        <v>3128</v>
      </c>
      <c r="H589" s="3" t="s">
        <v>2973</v>
      </c>
    </row>
    <row r="590" spans="1:8" x14ac:dyDescent="0.35">
      <c r="A590" t="s">
        <v>172</v>
      </c>
      <c r="B590" s="26" t="s">
        <v>14</v>
      </c>
      <c r="C590" s="20">
        <v>41790</v>
      </c>
      <c r="D590" t="s">
        <v>62</v>
      </c>
      <c r="E590" s="3">
        <v>1000</v>
      </c>
      <c r="F590" s="3">
        <v>54</v>
      </c>
      <c r="G590" s="3">
        <v>32940</v>
      </c>
      <c r="H590" s="3" t="s">
        <v>2965</v>
      </c>
    </row>
    <row r="591" spans="1:8" x14ac:dyDescent="0.35">
      <c r="A591" t="s">
        <v>51</v>
      </c>
      <c r="B591" s="26" t="s">
        <v>25</v>
      </c>
      <c r="C591" s="20">
        <v>42869</v>
      </c>
      <c r="D591" t="s">
        <v>31</v>
      </c>
      <c r="E591" s="3">
        <v>150</v>
      </c>
      <c r="F591" s="3">
        <v>18</v>
      </c>
      <c r="G591" s="3">
        <v>2646</v>
      </c>
      <c r="H591" s="3" t="s">
        <v>2965</v>
      </c>
    </row>
    <row r="592" spans="1:8" x14ac:dyDescent="0.35">
      <c r="A592" t="s">
        <v>207</v>
      </c>
      <c r="B592" s="26" t="s">
        <v>25</v>
      </c>
      <c r="C592" s="20">
        <v>42584</v>
      </c>
      <c r="D592" t="s">
        <v>26</v>
      </c>
      <c r="E592" s="3">
        <v>700</v>
      </c>
      <c r="F592" s="3">
        <v>41</v>
      </c>
      <c r="G592" s="3">
        <v>24682</v>
      </c>
      <c r="H592" s="3" t="s">
        <v>2972</v>
      </c>
    </row>
    <row r="593" spans="1:8" x14ac:dyDescent="0.35">
      <c r="A593" t="s">
        <v>109</v>
      </c>
      <c r="B593" s="26" t="s">
        <v>20</v>
      </c>
      <c r="C593" s="20">
        <v>42321</v>
      </c>
      <c r="D593" t="s">
        <v>47</v>
      </c>
      <c r="E593" s="3">
        <v>500</v>
      </c>
      <c r="F593" s="3">
        <v>25</v>
      </c>
      <c r="G593" s="3">
        <v>12375</v>
      </c>
      <c r="H593" s="3" t="s">
        <v>2975</v>
      </c>
    </row>
    <row r="594" spans="1:8" x14ac:dyDescent="0.35">
      <c r="A594" t="s">
        <v>109</v>
      </c>
      <c r="B594" s="26" t="s">
        <v>20</v>
      </c>
      <c r="C594" s="20">
        <v>42844</v>
      </c>
      <c r="D594" t="s">
        <v>26</v>
      </c>
      <c r="E594" s="3">
        <v>700</v>
      </c>
      <c r="F594" s="3">
        <v>100</v>
      </c>
      <c r="G594" s="3">
        <v>66500</v>
      </c>
      <c r="H594" s="3" t="s">
        <v>2969</v>
      </c>
    </row>
    <row r="595" spans="1:8" x14ac:dyDescent="0.35">
      <c r="A595" t="s">
        <v>176</v>
      </c>
      <c r="B595" s="26" t="s">
        <v>14</v>
      </c>
      <c r="C595" s="20">
        <v>42961</v>
      </c>
      <c r="D595" t="s">
        <v>47</v>
      </c>
      <c r="E595" s="3">
        <v>500</v>
      </c>
      <c r="F595" s="3">
        <v>6</v>
      </c>
      <c r="G595" s="3">
        <v>2910</v>
      </c>
      <c r="H595" s="3" t="s">
        <v>2972</v>
      </c>
    </row>
    <row r="596" spans="1:8" x14ac:dyDescent="0.35">
      <c r="A596" t="s">
        <v>13</v>
      </c>
      <c r="B596" s="26" t="s">
        <v>14</v>
      </c>
      <c r="C596" s="20">
        <v>43202</v>
      </c>
      <c r="D596" t="s">
        <v>15</v>
      </c>
      <c r="E596" s="3">
        <v>80</v>
      </c>
      <c r="F596" s="3">
        <v>5</v>
      </c>
      <c r="G596" s="3">
        <v>395</v>
      </c>
      <c r="H596" s="3" t="s">
        <v>2969</v>
      </c>
    </row>
    <row r="597" spans="1:8" x14ac:dyDescent="0.35">
      <c r="A597" t="s">
        <v>83</v>
      </c>
      <c r="B597" s="26" t="s">
        <v>14</v>
      </c>
      <c r="C597" s="20">
        <v>43426</v>
      </c>
      <c r="D597" t="s">
        <v>62</v>
      </c>
      <c r="E597" s="3">
        <v>1000</v>
      </c>
      <c r="F597" s="3">
        <v>17</v>
      </c>
      <c r="G597" s="3">
        <v>9180</v>
      </c>
      <c r="H597" s="3" t="s">
        <v>2975</v>
      </c>
    </row>
    <row r="598" spans="1:8" x14ac:dyDescent="0.35">
      <c r="A598" t="s">
        <v>83</v>
      </c>
      <c r="B598" s="26" t="s">
        <v>14</v>
      </c>
      <c r="C598" s="20">
        <v>42348</v>
      </c>
      <c r="D598" t="s">
        <v>15</v>
      </c>
      <c r="E598" s="3">
        <v>80</v>
      </c>
      <c r="F598" s="3">
        <v>25</v>
      </c>
      <c r="G598" s="3">
        <v>1750</v>
      </c>
      <c r="H598" s="3" t="s">
        <v>2976</v>
      </c>
    </row>
    <row r="599" spans="1:8" x14ac:dyDescent="0.35">
      <c r="A599" t="s">
        <v>120</v>
      </c>
      <c r="B599" s="26" t="s">
        <v>36</v>
      </c>
      <c r="C599" s="20">
        <v>43375</v>
      </c>
      <c r="D599" t="s">
        <v>123</v>
      </c>
      <c r="E599" s="3">
        <v>50</v>
      </c>
      <c r="F599" s="3">
        <v>67</v>
      </c>
      <c r="G599" s="3">
        <v>3283</v>
      </c>
      <c r="H599" s="3" t="s">
        <v>2974</v>
      </c>
    </row>
    <row r="600" spans="1:8" x14ac:dyDescent="0.35">
      <c r="A600" t="s">
        <v>243</v>
      </c>
      <c r="B600" s="26" t="s">
        <v>14</v>
      </c>
      <c r="C600" s="20">
        <v>42309</v>
      </c>
      <c r="D600" t="s">
        <v>15</v>
      </c>
      <c r="E600" s="3">
        <v>80</v>
      </c>
      <c r="F600" s="3">
        <v>67</v>
      </c>
      <c r="G600" s="3">
        <v>4154</v>
      </c>
      <c r="H600" s="3" t="s">
        <v>2975</v>
      </c>
    </row>
    <row r="601" spans="1:8" x14ac:dyDescent="0.35">
      <c r="A601" t="s">
        <v>41</v>
      </c>
      <c r="B601" s="26" t="s">
        <v>36</v>
      </c>
      <c r="C601" s="20">
        <v>42748</v>
      </c>
      <c r="D601" t="s">
        <v>31</v>
      </c>
      <c r="E601" s="3">
        <v>150</v>
      </c>
      <c r="F601" s="3">
        <v>87</v>
      </c>
      <c r="G601" s="3">
        <v>12441</v>
      </c>
      <c r="H601" s="3" t="s">
        <v>2966</v>
      </c>
    </row>
    <row r="602" spans="1:8" x14ac:dyDescent="0.35">
      <c r="A602" t="s">
        <v>266</v>
      </c>
      <c r="B602" s="26" t="s">
        <v>14</v>
      </c>
      <c r="C602" s="20">
        <v>43208</v>
      </c>
      <c r="D602" t="s">
        <v>42</v>
      </c>
      <c r="E602" s="3">
        <v>30</v>
      </c>
      <c r="F602" s="3">
        <v>54</v>
      </c>
      <c r="G602" s="3">
        <v>1404</v>
      </c>
      <c r="H602" s="3" t="s">
        <v>2969</v>
      </c>
    </row>
    <row r="603" spans="1:8" x14ac:dyDescent="0.35">
      <c r="A603" t="s">
        <v>436</v>
      </c>
      <c r="B603" s="26" t="s">
        <v>25</v>
      </c>
      <c r="C603" s="20">
        <v>42939</v>
      </c>
      <c r="D603" t="s">
        <v>116</v>
      </c>
      <c r="E603" s="3">
        <v>250</v>
      </c>
      <c r="F603" s="3">
        <v>65</v>
      </c>
      <c r="G603" s="3">
        <v>16120</v>
      </c>
      <c r="H603" s="3" t="s">
        <v>2971</v>
      </c>
    </row>
    <row r="604" spans="1:8" x14ac:dyDescent="0.35">
      <c r="A604" t="s">
        <v>176</v>
      </c>
      <c r="B604" s="26" t="s">
        <v>14</v>
      </c>
      <c r="C604" s="20">
        <v>43327</v>
      </c>
      <c r="D604" t="s">
        <v>37</v>
      </c>
      <c r="E604" s="3">
        <v>50</v>
      </c>
      <c r="F604" s="3">
        <v>75</v>
      </c>
      <c r="G604" s="3">
        <v>3300</v>
      </c>
      <c r="H604" s="3" t="s">
        <v>2972</v>
      </c>
    </row>
    <row r="605" spans="1:8" x14ac:dyDescent="0.35">
      <c r="A605" t="s">
        <v>87</v>
      </c>
      <c r="B605" s="26" t="s">
        <v>14</v>
      </c>
      <c r="C605" s="20">
        <v>42238</v>
      </c>
      <c r="D605" t="s">
        <v>116</v>
      </c>
      <c r="E605" s="3">
        <v>250</v>
      </c>
      <c r="F605" s="3">
        <v>85</v>
      </c>
      <c r="G605" s="3">
        <v>14705</v>
      </c>
      <c r="H605" s="3" t="s">
        <v>2972</v>
      </c>
    </row>
    <row r="606" spans="1:8" x14ac:dyDescent="0.35">
      <c r="A606" t="s">
        <v>66</v>
      </c>
      <c r="B606" s="26" t="s">
        <v>36</v>
      </c>
      <c r="C606" s="20">
        <v>42490</v>
      </c>
      <c r="D606" t="s">
        <v>62</v>
      </c>
      <c r="E606" s="3">
        <v>1000</v>
      </c>
      <c r="F606" s="3">
        <v>99</v>
      </c>
      <c r="G606" s="3">
        <v>84150</v>
      </c>
      <c r="H606" s="3" t="s">
        <v>2969</v>
      </c>
    </row>
    <row r="607" spans="1:8" x14ac:dyDescent="0.35">
      <c r="A607" t="s">
        <v>41</v>
      </c>
      <c r="B607" s="26" t="s">
        <v>36</v>
      </c>
      <c r="C607" s="20">
        <v>41774</v>
      </c>
      <c r="D607" t="s">
        <v>37</v>
      </c>
      <c r="E607" s="3">
        <v>50</v>
      </c>
      <c r="F607" s="3">
        <v>100</v>
      </c>
      <c r="G607" s="3">
        <v>4000</v>
      </c>
      <c r="H607" s="3" t="s">
        <v>2965</v>
      </c>
    </row>
    <row r="608" spans="1:8" x14ac:dyDescent="0.35">
      <c r="A608" t="s">
        <v>402</v>
      </c>
      <c r="B608" s="26" t="s">
        <v>14</v>
      </c>
      <c r="C608" s="20">
        <v>42384</v>
      </c>
      <c r="D608" t="s">
        <v>116</v>
      </c>
      <c r="E608" s="3">
        <v>250</v>
      </c>
      <c r="F608" s="3">
        <v>87</v>
      </c>
      <c r="G608" s="3">
        <v>18966</v>
      </c>
      <c r="H608" s="3" t="s">
        <v>2966</v>
      </c>
    </row>
    <row r="609" spans="1:8" x14ac:dyDescent="0.35">
      <c r="A609" t="s">
        <v>93</v>
      </c>
      <c r="B609" s="26" t="s">
        <v>36</v>
      </c>
      <c r="C609" s="20">
        <v>42597</v>
      </c>
      <c r="D609" t="s">
        <v>15</v>
      </c>
      <c r="E609" s="3">
        <v>80</v>
      </c>
      <c r="F609" s="3">
        <v>51</v>
      </c>
      <c r="G609" s="3">
        <v>4029</v>
      </c>
      <c r="H609" s="3" t="s">
        <v>2972</v>
      </c>
    </row>
    <row r="610" spans="1:8" x14ac:dyDescent="0.35">
      <c r="A610" t="s">
        <v>109</v>
      </c>
      <c r="B610" s="26" t="s">
        <v>20</v>
      </c>
      <c r="C610" s="20">
        <v>41755</v>
      </c>
      <c r="D610" t="s">
        <v>123</v>
      </c>
      <c r="E610" s="3">
        <v>50</v>
      </c>
      <c r="F610" s="3">
        <v>64</v>
      </c>
      <c r="G610" s="3">
        <v>2560</v>
      </c>
      <c r="H610" s="3" t="s">
        <v>2969</v>
      </c>
    </row>
    <row r="611" spans="1:8" x14ac:dyDescent="0.35">
      <c r="A611" t="s">
        <v>93</v>
      </c>
      <c r="B611" s="26" t="s">
        <v>36</v>
      </c>
      <c r="C611" s="20">
        <v>43438</v>
      </c>
      <c r="D611" t="s">
        <v>123</v>
      </c>
      <c r="E611" s="3">
        <v>50</v>
      </c>
      <c r="F611" s="3">
        <v>29</v>
      </c>
      <c r="G611" s="3">
        <v>1276</v>
      </c>
      <c r="H611" s="3" t="s">
        <v>2976</v>
      </c>
    </row>
    <row r="612" spans="1:8" x14ac:dyDescent="0.35">
      <c r="A612" t="s">
        <v>55</v>
      </c>
      <c r="B612" s="26" t="s">
        <v>14</v>
      </c>
      <c r="C612" s="20">
        <v>41932</v>
      </c>
      <c r="D612" t="s">
        <v>26</v>
      </c>
      <c r="E612" s="3">
        <v>700</v>
      </c>
      <c r="F612" s="3">
        <v>71</v>
      </c>
      <c r="G612" s="3">
        <v>39263</v>
      </c>
      <c r="H612" s="3" t="s">
        <v>2974</v>
      </c>
    </row>
    <row r="613" spans="1:8" x14ac:dyDescent="0.35">
      <c r="A613" t="s">
        <v>61</v>
      </c>
      <c r="B613" s="26" t="s">
        <v>14</v>
      </c>
      <c r="C613" s="20">
        <v>42923</v>
      </c>
      <c r="D613" t="s">
        <v>105</v>
      </c>
      <c r="E613" s="3">
        <v>70</v>
      </c>
      <c r="F613" s="3">
        <v>83</v>
      </c>
      <c r="G613" s="3">
        <v>5478</v>
      </c>
      <c r="H613" s="3" t="s">
        <v>2971</v>
      </c>
    </row>
    <row r="614" spans="1:8" x14ac:dyDescent="0.35">
      <c r="A614" t="s">
        <v>55</v>
      </c>
      <c r="B614" s="26" t="s">
        <v>14</v>
      </c>
      <c r="C614" s="20">
        <v>43015</v>
      </c>
      <c r="D614" t="s">
        <v>62</v>
      </c>
      <c r="E614" s="3">
        <v>1000</v>
      </c>
      <c r="F614" s="3">
        <v>15</v>
      </c>
      <c r="G614" s="3">
        <v>13800</v>
      </c>
      <c r="H614" s="3" t="s">
        <v>2974</v>
      </c>
    </row>
    <row r="615" spans="1:8" x14ac:dyDescent="0.35">
      <c r="A615" t="s">
        <v>46</v>
      </c>
      <c r="B615" s="26" t="s">
        <v>25</v>
      </c>
      <c r="C615" s="20">
        <v>43348</v>
      </c>
      <c r="D615" t="s">
        <v>37</v>
      </c>
      <c r="E615" s="3">
        <v>50</v>
      </c>
      <c r="F615" s="3">
        <v>52</v>
      </c>
      <c r="G615" s="3">
        <v>2600</v>
      </c>
      <c r="H615" s="3" t="s">
        <v>2973</v>
      </c>
    </row>
    <row r="616" spans="1:8" x14ac:dyDescent="0.35">
      <c r="A616" t="s">
        <v>79</v>
      </c>
      <c r="B616" s="26" t="s">
        <v>36</v>
      </c>
      <c r="C616" s="20">
        <v>42244</v>
      </c>
      <c r="D616" t="s">
        <v>105</v>
      </c>
      <c r="E616" s="3">
        <v>70</v>
      </c>
      <c r="F616" s="3">
        <v>22</v>
      </c>
      <c r="G616" s="3">
        <v>1166</v>
      </c>
      <c r="H616" s="3" t="s">
        <v>2972</v>
      </c>
    </row>
    <row r="617" spans="1:8" x14ac:dyDescent="0.35">
      <c r="A617" t="s">
        <v>109</v>
      </c>
      <c r="B617" s="26" t="s">
        <v>20</v>
      </c>
      <c r="C617" s="20">
        <v>41733</v>
      </c>
      <c r="D617" t="s">
        <v>62</v>
      </c>
      <c r="E617" s="3">
        <v>1000</v>
      </c>
      <c r="F617" s="3">
        <v>42</v>
      </c>
      <c r="G617" s="3">
        <v>32760</v>
      </c>
      <c r="H617" s="3" t="s">
        <v>2969</v>
      </c>
    </row>
    <row r="618" spans="1:8" x14ac:dyDescent="0.35">
      <c r="A618" t="s">
        <v>120</v>
      </c>
      <c r="B618" s="26" t="s">
        <v>36</v>
      </c>
      <c r="C618" s="20">
        <v>42114</v>
      </c>
      <c r="D618" t="s">
        <v>26</v>
      </c>
      <c r="E618" s="3">
        <v>700</v>
      </c>
      <c r="F618" s="3">
        <v>58</v>
      </c>
      <c r="G618" s="3">
        <v>39788</v>
      </c>
      <c r="H618" s="3" t="s">
        <v>2969</v>
      </c>
    </row>
    <row r="619" spans="1:8" x14ac:dyDescent="0.35">
      <c r="A619" t="s">
        <v>109</v>
      </c>
      <c r="B619" s="26" t="s">
        <v>20</v>
      </c>
      <c r="C619" s="20">
        <v>41934</v>
      </c>
      <c r="D619" t="s">
        <v>31</v>
      </c>
      <c r="E619" s="3">
        <v>150</v>
      </c>
      <c r="F619" s="3">
        <v>41</v>
      </c>
      <c r="G619" s="3">
        <v>4428</v>
      </c>
      <c r="H619" s="3" t="s">
        <v>2974</v>
      </c>
    </row>
    <row r="620" spans="1:8" x14ac:dyDescent="0.35">
      <c r="A620" t="s">
        <v>266</v>
      </c>
      <c r="B620" s="26" t="s">
        <v>14</v>
      </c>
      <c r="C620" s="20">
        <v>43267</v>
      </c>
      <c r="D620" t="s">
        <v>62</v>
      </c>
      <c r="E620" s="3">
        <v>1000</v>
      </c>
      <c r="F620" s="3">
        <v>98</v>
      </c>
      <c r="G620" s="3">
        <v>86240</v>
      </c>
      <c r="H620" s="3" t="s">
        <v>2970</v>
      </c>
    </row>
    <row r="621" spans="1:8" x14ac:dyDescent="0.35">
      <c r="A621" t="s">
        <v>120</v>
      </c>
      <c r="B621" s="26" t="s">
        <v>36</v>
      </c>
      <c r="C621" s="20">
        <v>41833</v>
      </c>
      <c r="D621" t="s">
        <v>56</v>
      </c>
      <c r="E621" s="3">
        <v>800</v>
      </c>
      <c r="F621" s="3">
        <v>34</v>
      </c>
      <c r="G621" s="3">
        <v>19040</v>
      </c>
      <c r="H621" s="3" t="s">
        <v>2971</v>
      </c>
    </row>
    <row r="622" spans="1:8" x14ac:dyDescent="0.35">
      <c r="A622" t="s">
        <v>120</v>
      </c>
      <c r="B622" s="26" t="s">
        <v>36</v>
      </c>
      <c r="C622" s="20">
        <v>42445</v>
      </c>
      <c r="D622" t="s">
        <v>62</v>
      </c>
      <c r="E622" s="3">
        <v>1000</v>
      </c>
      <c r="F622" s="3">
        <v>51</v>
      </c>
      <c r="G622" s="3">
        <v>47430</v>
      </c>
      <c r="H622" s="3" t="s">
        <v>2968</v>
      </c>
    </row>
    <row r="623" spans="1:8" x14ac:dyDescent="0.35">
      <c r="A623" t="s">
        <v>13</v>
      </c>
      <c r="B623" s="26" t="s">
        <v>14</v>
      </c>
      <c r="C623" s="20">
        <v>42798</v>
      </c>
      <c r="D623" t="s">
        <v>26</v>
      </c>
      <c r="E623" s="3">
        <v>700</v>
      </c>
      <c r="F623" s="3">
        <v>57</v>
      </c>
      <c r="G623" s="3">
        <v>39501</v>
      </c>
      <c r="H623" s="3" t="s">
        <v>2968</v>
      </c>
    </row>
    <row r="624" spans="1:8" x14ac:dyDescent="0.35">
      <c r="A624" t="s">
        <v>109</v>
      </c>
      <c r="B624" s="26" t="s">
        <v>20</v>
      </c>
      <c r="C624" s="20">
        <v>42195</v>
      </c>
      <c r="D624" t="s">
        <v>42</v>
      </c>
      <c r="E624" s="3">
        <v>30</v>
      </c>
      <c r="F624" s="3">
        <v>99</v>
      </c>
      <c r="G624" s="3">
        <v>2574</v>
      </c>
      <c r="H624" s="3" t="s">
        <v>2971</v>
      </c>
    </row>
    <row r="625" spans="1:8" x14ac:dyDescent="0.35">
      <c r="A625" t="s">
        <v>109</v>
      </c>
      <c r="B625" s="26" t="s">
        <v>20</v>
      </c>
      <c r="C625" s="20">
        <v>43286</v>
      </c>
      <c r="D625" t="s">
        <v>42</v>
      </c>
      <c r="E625" s="3">
        <v>30</v>
      </c>
      <c r="F625" s="3">
        <v>28</v>
      </c>
      <c r="G625" s="3">
        <v>812</v>
      </c>
      <c r="H625" s="3" t="s">
        <v>2971</v>
      </c>
    </row>
    <row r="626" spans="1:8" x14ac:dyDescent="0.35">
      <c r="A626" t="s">
        <v>109</v>
      </c>
      <c r="B626" s="26" t="s">
        <v>20</v>
      </c>
      <c r="C626" s="20">
        <v>41680</v>
      </c>
      <c r="D626" t="s">
        <v>42</v>
      </c>
      <c r="E626" s="3">
        <v>30</v>
      </c>
      <c r="F626" s="3">
        <v>39</v>
      </c>
      <c r="G626" s="3">
        <v>1170</v>
      </c>
      <c r="H626" s="3" t="s">
        <v>2967</v>
      </c>
    </row>
    <row r="627" spans="1:8" x14ac:dyDescent="0.35">
      <c r="A627" t="s">
        <v>243</v>
      </c>
      <c r="B627" s="26" t="s">
        <v>14</v>
      </c>
      <c r="C627" s="20">
        <v>42238</v>
      </c>
      <c r="D627" t="s">
        <v>31</v>
      </c>
      <c r="E627" s="3">
        <v>150</v>
      </c>
      <c r="F627" s="3">
        <v>22</v>
      </c>
      <c r="G627" s="3">
        <v>3146</v>
      </c>
      <c r="H627" s="3" t="s">
        <v>2972</v>
      </c>
    </row>
    <row r="628" spans="1:8" x14ac:dyDescent="0.35">
      <c r="A628" t="s">
        <v>229</v>
      </c>
      <c r="B628" s="26" t="s">
        <v>25</v>
      </c>
      <c r="C628" s="20">
        <v>42209</v>
      </c>
      <c r="D628" t="s">
        <v>116</v>
      </c>
      <c r="E628" s="3">
        <v>250</v>
      </c>
      <c r="F628" s="3">
        <v>46</v>
      </c>
      <c r="G628" s="3">
        <v>9568</v>
      </c>
      <c r="H628" s="3" t="s">
        <v>2971</v>
      </c>
    </row>
    <row r="629" spans="1:8" x14ac:dyDescent="0.35">
      <c r="A629" t="s">
        <v>176</v>
      </c>
      <c r="B629" s="26" t="s">
        <v>14</v>
      </c>
      <c r="C629" s="20">
        <v>42663</v>
      </c>
      <c r="D629" t="s">
        <v>47</v>
      </c>
      <c r="E629" s="3">
        <v>500</v>
      </c>
      <c r="F629" s="3">
        <v>6</v>
      </c>
      <c r="G629" s="3">
        <v>2730</v>
      </c>
      <c r="H629" s="3" t="s">
        <v>2974</v>
      </c>
    </row>
    <row r="630" spans="1:8" x14ac:dyDescent="0.35">
      <c r="A630" t="s">
        <v>148</v>
      </c>
      <c r="B630" s="26" t="s">
        <v>14</v>
      </c>
      <c r="C630" s="20">
        <v>42269</v>
      </c>
      <c r="D630" t="s">
        <v>116</v>
      </c>
      <c r="E630" s="3">
        <v>250</v>
      </c>
      <c r="F630" s="3">
        <v>18</v>
      </c>
      <c r="G630" s="3">
        <v>2790</v>
      </c>
      <c r="H630" s="3" t="s">
        <v>2973</v>
      </c>
    </row>
    <row r="631" spans="1:8" x14ac:dyDescent="0.35">
      <c r="A631" t="s">
        <v>129</v>
      </c>
      <c r="B631" s="26" t="s">
        <v>14</v>
      </c>
      <c r="C631" s="20">
        <v>42276</v>
      </c>
      <c r="D631" t="s">
        <v>42</v>
      </c>
      <c r="E631" s="3">
        <v>30</v>
      </c>
      <c r="F631" s="3">
        <v>45</v>
      </c>
      <c r="G631" s="3">
        <v>1215</v>
      </c>
      <c r="H631" s="3" t="s">
        <v>2973</v>
      </c>
    </row>
    <row r="632" spans="1:8" x14ac:dyDescent="0.35">
      <c r="A632" t="s">
        <v>101</v>
      </c>
      <c r="B632" s="26" t="s">
        <v>14</v>
      </c>
      <c r="C632" s="20">
        <v>42044</v>
      </c>
      <c r="D632" t="s">
        <v>47</v>
      </c>
      <c r="E632" s="3">
        <v>500</v>
      </c>
      <c r="F632" s="3">
        <v>9</v>
      </c>
      <c r="G632" s="3">
        <v>4365</v>
      </c>
      <c r="H632" s="3" t="s">
        <v>2967</v>
      </c>
    </row>
    <row r="633" spans="1:8" x14ac:dyDescent="0.35">
      <c r="A633" t="s">
        <v>109</v>
      </c>
      <c r="B633" s="26" t="s">
        <v>20</v>
      </c>
      <c r="C633" s="20">
        <v>41867</v>
      </c>
      <c r="D633" t="s">
        <v>123</v>
      </c>
      <c r="E633" s="3">
        <v>50</v>
      </c>
      <c r="F633" s="3">
        <v>21</v>
      </c>
      <c r="G633" s="3">
        <v>1029</v>
      </c>
      <c r="H633" s="3" t="s">
        <v>2972</v>
      </c>
    </row>
    <row r="634" spans="1:8" x14ac:dyDescent="0.35">
      <c r="A634" t="s">
        <v>79</v>
      </c>
      <c r="B634" s="26" t="s">
        <v>36</v>
      </c>
      <c r="C634" s="20">
        <v>42805</v>
      </c>
      <c r="D634" t="s">
        <v>47</v>
      </c>
      <c r="E634" s="3">
        <v>500</v>
      </c>
      <c r="F634" s="3">
        <v>10</v>
      </c>
      <c r="G634" s="3">
        <v>4500</v>
      </c>
      <c r="H634" s="3" t="s">
        <v>2968</v>
      </c>
    </row>
    <row r="635" spans="1:8" x14ac:dyDescent="0.35">
      <c r="A635" t="s">
        <v>79</v>
      </c>
      <c r="B635" s="26" t="s">
        <v>36</v>
      </c>
      <c r="C635" s="20">
        <v>42434</v>
      </c>
      <c r="D635" t="s">
        <v>37</v>
      </c>
      <c r="E635" s="3">
        <v>50</v>
      </c>
      <c r="F635" s="3">
        <v>31</v>
      </c>
      <c r="G635" s="3">
        <v>1519</v>
      </c>
      <c r="H635" s="3" t="s">
        <v>2968</v>
      </c>
    </row>
    <row r="636" spans="1:8" x14ac:dyDescent="0.35">
      <c r="A636" t="s">
        <v>109</v>
      </c>
      <c r="B636" s="26" t="s">
        <v>20</v>
      </c>
      <c r="C636" s="20">
        <v>41682</v>
      </c>
      <c r="D636" t="s">
        <v>31</v>
      </c>
      <c r="E636" s="3">
        <v>150</v>
      </c>
      <c r="F636" s="3">
        <v>84</v>
      </c>
      <c r="G636" s="3">
        <v>9324</v>
      </c>
      <c r="H636" s="3" t="s">
        <v>2967</v>
      </c>
    </row>
    <row r="637" spans="1:8" x14ac:dyDescent="0.35">
      <c r="A637" t="s">
        <v>257</v>
      </c>
      <c r="B637" s="26" t="s">
        <v>14</v>
      </c>
      <c r="C637" s="20">
        <v>42863</v>
      </c>
      <c r="D637" t="s">
        <v>42</v>
      </c>
      <c r="E637" s="3">
        <v>30</v>
      </c>
      <c r="F637" s="3">
        <v>65</v>
      </c>
      <c r="G637" s="3">
        <v>1885</v>
      </c>
      <c r="H637" s="3" t="s">
        <v>2965</v>
      </c>
    </row>
    <row r="638" spans="1:8" x14ac:dyDescent="0.35">
      <c r="A638" t="s">
        <v>152</v>
      </c>
      <c r="B638" s="26" t="s">
        <v>14</v>
      </c>
      <c r="C638" s="20">
        <v>42052</v>
      </c>
      <c r="D638" t="s">
        <v>37</v>
      </c>
      <c r="E638" s="3">
        <v>50</v>
      </c>
      <c r="F638" s="3">
        <v>8</v>
      </c>
      <c r="G638" s="3">
        <v>280</v>
      </c>
      <c r="H638" s="3" t="s">
        <v>2967</v>
      </c>
    </row>
    <row r="639" spans="1:8" x14ac:dyDescent="0.35">
      <c r="A639" t="s">
        <v>172</v>
      </c>
      <c r="B639" s="26" t="s">
        <v>14</v>
      </c>
      <c r="C639" s="20">
        <v>42940</v>
      </c>
      <c r="D639" t="s">
        <v>105</v>
      </c>
      <c r="E639" s="3">
        <v>70</v>
      </c>
      <c r="F639" s="3">
        <v>24</v>
      </c>
      <c r="G639" s="3">
        <v>1656</v>
      </c>
      <c r="H639" s="3" t="s">
        <v>2971</v>
      </c>
    </row>
    <row r="640" spans="1:8" x14ac:dyDescent="0.35">
      <c r="A640" t="s">
        <v>46</v>
      </c>
      <c r="B640" s="26" t="s">
        <v>25</v>
      </c>
      <c r="C640" s="20">
        <v>42279</v>
      </c>
      <c r="D640" t="s">
        <v>116</v>
      </c>
      <c r="E640" s="3">
        <v>250</v>
      </c>
      <c r="F640" s="3">
        <v>3</v>
      </c>
      <c r="G640" s="3">
        <v>654</v>
      </c>
      <c r="H640" s="3" t="s">
        <v>2974</v>
      </c>
    </row>
    <row r="641" spans="1:8" x14ac:dyDescent="0.35">
      <c r="A641" t="s">
        <v>120</v>
      </c>
      <c r="B641" s="26" t="s">
        <v>36</v>
      </c>
      <c r="C641" s="20">
        <v>43383</v>
      </c>
      <c r="D641" t="s">
        <v>26</v>
      </c>
      <c r="E641" s="3">
        <v>700</v>
      </c>
      <c r="F641" s="3">
        <v>64</v>
      </c>
      <c r="G641" s="3">
        <v>43008</v>
      </c>
      <c r="H641" s="3" t="s">
        <v>2974</v>
      </c>
    </row>
    <row r="642" spans="1:8" x14ac:dyDescent="0.35">
      <c r="A642" t="s">
        <v>272</v>
      </c>
      <c r="B642" s="26" t="s">
        <v>36</v>
      </c>
      <c r="C642" s="20">
        <v>42690</v>
      </c>
      <c r="D642" t="s">
        <v>62</v>
      </c>
      <c r="E642" s="3">
        <v>1000</v>
      </c>
      <c r="F642" s="3">
        <v>97</v>
      </c>
      <c r="G642" s="3">
        <v>92150</v>
      </c>
      <c r="H642" s="3" t="s">
        <v>2975</v>
      </c>
    </row>
    <row r="643" spans="1:8" x14ac:dyDescent="0.35">
      <c r="A643" t="s">
        <v>326</v>
      </c>
      <c r="B643" s="26" t="s">
        <v>14</v>
      </c>
      <c r="C643" s="20">
        <v>42022</v>
      </c>
      <c r="D643" t="s">
        <v>123</v>
      </c>
      <c r="E643" s="3">
        <v>50</v>
      </c>
      <c r="F643" s="3">
        <v>17</v>
      </c>
      <c r="G643" s="3">
        <v>850</v>
      </c>
      <c r="H643" s="3" t="s">
        <v>2966</v>
      </c>
    </row>
    <row r="644" spans="1:8" x14ac:dyDescent="0.35">
      <c r="A644" t="s">
        <v>51</v>
      </c>
      <c r="B644" s="26" t="s">
        <v>25</v>
      </c>
      <c r="C644" s="20">
        <v>42301</v>
      </c>
      <c r="D644" t="s">
        <v>26</v>
      </c>
      <c r="E644" s="3">
        <v>700</v>
      </c>
      <c r="F644" s="3">
        <v>77</v>
      </c>
      <c r="G644" s="3">
        <v>50127</v>
      </c>
      <c r="H644" s="3" t="s">
        <v>2974</v>
      </c>
    </row>
    <row r="645" spans="1:8" x14ac:dyDescent="0.35">
      <c r="A645" t="s">
        <v>30</v>
      </c>
      <c r="B645" s="26" t="s">
        <v>14</v>
      </c>
      <c r="C645" s="20">
        <v>41989</v>
      </c>
      <c r="D645" t="s">
        <v>47</v>
      </c>
      <c r="E645" s="3">
        <v>500</v>
      </c>
      <c r="F645" s="3">
        <v>46</v>
      </c>
      <c r="G645" s="3">
        <v>21390</v>
      </c>
      <c r="H645" s="3" t="s">
        <v>2976</v>
      </c>
    </row>
    <row r="646" spans="1:8" x14ac:dyDescent="0.35">
      <c r="A646" t="s">
        <v>120</v>
      </c>
      <c r="B646" s="26" t="s">
        <v>36</v>
      </c>
      <c r="C646" s="20">
        <v>42740</v>
      </c>
      <c r="D646" t="s">
        <v>123</v>
      </c>
      <c r="E646" s="3">
        <v>50</v>
      </c>
      <c r="F646" s="3">
        <v>2</v>
      </c>
      <c r="G646" s="3">
        <v>96</v>
      </c>
      <c r="H646" s="3" t="s">
        <v>2966</v>
      </c>
    </row>
    <row r="647" spans="1:8" x14ac:dyDescent="0.35">
      <c r="A647" t="s">
        <v>109</v>
      </c>
      <c r="B647" s="26" t="s">
        <v>20</v>
      </c>
      <c r="C647" s="20">
        <v>42352</v>
      </c>
      <c r="D647" t="s">
        <v>31</v>
      </c>
      <c r="E647" s="3">
        <v>150</v>
      </c>
      <c r="F647" s="3">
        <v>85</v>
      </c>
      <c r="G647" s="3">
        <v>12240</v>
      </c>
      <c r="H647" s="3" t="s">
        <v>2976</v>
      </c>
    </row>
    <row r="648" spans="1:8" x14ac:dyDescent="0.35">
      <c r="A648" t="s">
        <v>83</v>
      </c>
      <c r="B648" s="26" t="s">
        <v>14</v>
      </c>
      <c r="C648" s="20">
        <v>42929</v>
      </c>
      <c r="D648" t="s">
        <v>37</v>
      </c>
      <c r="E648" s="3">
        <v>50</v>
      </c>
      <c r="F648" s="3">
        <v>69</v>
      </c>
      <c r="G648" s="3">
        <v>3174</v>
      </c>
      <c r="H648" s="3" t="s">
        <v>2971</v>
      </c>
    </row>
    <row r="649" spans="1:8" x14ac:dyDescent="0.35">
      <c r="A649" t="s">
        <v>148</v>
      </c>
      <c r="B649" s="26" t="s">
        <v>14</v>
      </c>
      <c r="C649" s="20">
        <v>42223</v>
      </c>
      <c r="D649" t="s">
        <v>15</v>
      </c>
      <c r="E649" s="3">
        <v>80</v>
      </c>
      <c r="F649" s="3">
        <v>29</v>
      </c>
      <c r="G649" s="3">
        <v>2030</v>
      </c>
      <c r="H649" s="3" t="s">
        <v>2972</v>
      </c>
    </row>
    <row r="650" spans="1:8" x14ac:dyDescent="0.35">
      <c r="A650" t="s">
        <v>109</v>
      </c>
      <c r="B650" s="26" t="s">
        <v>20</v>
      </c>
      <c r="C650" s="20">
        <v>43399</v>
      </c>
      <c r="D650" t="s">
        <v>56</v>
      </c>
      <c r="E650" s="3">
        <v>800</v>
      </c>
      <c r="F650" s="3">
        <v>19</v>
      </c>
      <c r="G650" s="3">
        <v>14744</v>
      </c>
      <c r="H650" s="3" t="s">
        <v>2974</v>
      </c>
    </row>
    <row r="651" spans="1:8" x14ac:dyDescent="0.35">
      <c r="A651" t="s">
        <v>207</v>
      </c>
      <c r="B651" s="26" t="s">
        <v>25</v>
      </c>
      <c r="C651" s="20">
        <v>42610</v>
      </c>
      <c r="D651" t="s">
        <v>123</v>
      </c>
      <c r="E651" s="3">
        <v>50</v>
      </c>
      <c r="F651" s="3">
        <v>84</v>
      </c>
      <c r="G651" s="3">
        <v>3948</v>
      </c>
      <c r="H651" s="3" t="s">
        <v>2972</v>
      </c>
    </row>
    <row r="652" spans="1:8" x14ac:dyDescent="0.35">
      <c r="A652" t="s">
        <v>72</v>
      </c>
      <c r="B652" s="26" t="s">
        <v>36</v>
      </c>
      <c r="C652" s="20">
        <v>41918</v>
      </c>
      <c r="D652" t="s">
        <v>123</v>
      </c>
      <c r="E652" s="3">
        <v>50</v>
      </c>
      <c r="F652" s="3">
        <v>28</v>
      </c>
      <c r="G652" s="3">
        <v>1400</v>
      </c>
      <c r="H652" s="3" t="s">
        <v>2974</v>
      </c>
    </row>
    <row r="653" spans="1:8" x14ac:dyDescent="0.35">
      <c r="A653" t="s">
        <v>61</v>
      </c>
      <c r="B653" s="26" t="s">
        <v>14</v>
      </c>
      <c r="C653" s="20">
        <v>41963</v>
      </c>
      <c r="D653" t="s">
        <v>123</v>
      </c>
      <c r="E653" s="3">
        <v>50</v>
      </c>
      <c r="F653" s="3">
        <v>85</v>
      </c>
      <c r="G653" s="3">
        <v>4080</v>
      </c>
      <c r="H653" s="3" t="s">
        <v>2975</v>
      </c>
    </row>
    <row r="654" spans="1:8" x14ac:dyDescent="0.35">
      <c r="A654" t="s">
        <v>35</v>
      </c>
      <c r="B654" s="26" t="s">
        <v>36</v>
      </c>
      <c r="C654" s="20">
        <v>41734</v>
      </c>
      <c r="D654" t="s">
        <v>37</v>
      </c>
      <c r="E654" s="3">
        <v>50</v>
      </c>
      <c r="F654" s="3">
        <v>27</v>
      </c>
      <c r="G654" s="3">
        <v>1053</v>
      </c>
      <c r="H654" s="3" t="s">
        <v>2969</v>
      </c>
    </row>
    <row r="655" spans="1:8" x14ac:dyDescent="0.35">
      <c r="A655" t="s">
        <v>79</v>
      </c>
      <c r="B655" s="26" t="s">
        <v>36</v>
      </c>
      <c r="C655" s="20">
        <v>43135</v>
      </c>
      <c r="D655" t="s">
        <v>73</v>
      </c>
      <c r="E655" s="3">
        <v>500</v>
      </c>
      <c r="F655" s="3">
        <v>64</v>
      </c>
      <c r="G655" s="3">
        <v>32000</v>
      </c>
      <c r="H655" s="3" t="s">
        <v>2967</v>
      </c>
    </row>
    <row r="656" spans="1:8" x14ac:dyDescent="0.35">
      <c r="A656" t="s">
        <v>109</v>
      </c>
      <c r="B656" s="26" t="s">
        <v>20</v>
      </c>
      <c r="C656" s="20">
        <v>42831</v>
      </c>
      <c r="D656" t="s">
        <v>105</v>
      </c>
      <c r="E656" s="3">
        <v>70</v>
      </c>
      <c r="F656" s="3">
        <v>29</v>
      </c>
      <c r="G656" s="3">
        <v>1856</v>
      </c>
      <c r="H656" s="3" t="s">
        <v>2969</v>
      </c>
    </row>
    <row r="657" spans="1:8" x14ac:dyDescent="0.35">
      <c r="A657" t="s">
        <v>129</v>
      </c>
      <c r="B657" s="26" t="s">
        <v>14</v>
      </c>
      <c r="C657" s="20">
        <v>43343</v>
      </c>
      <c r="D657" t="s">
        <v>73</v>
      </c>
      <c r="E657" s="3">
        <v>500</v>
      </c>
      <c r="F657" s="3">
        <v>69</v>
      </c>
      <c r="G657" s="3">
        <v>34155</v>
      </c>
      <c r="H657" s="3" t="s">
        <v>2972</v>
      </c>
    </row>
    <row r="658" spans="1:8" x14ac:dyDescent="0.35">
      <c r="A658" t="s">
        <v>51</v>
      </c>
      <c r="B658" s="26" t="s">
        <v>25</v>
      </c>
      <c r="C658" s="20">
        <v>42617</v>
      </c>
      <c r="D658" t="s">
        <v>15</v>
      </c>
      <c r="E658" s="3">
        <v>80</v>
      </c>
      <c r="F658" s="3">
        <v>34</v>
      </c>
      <c r="G658" s="3">
        <v>2380</v>
      </c>
      <c r="H658" s="3" t="s">
        <v>2973</v>
      </c>
    </row>
    <row r="659" spans="1:8" x14ac:dyDescent="0.35">
      <c r="A659" t="s">
        <v>30</v>
      </c>
      <c r="B659" s="26" t="s">
        <v>14</v>
      </c>
      <c r="C659" s="20">
        <v>41682</v>
      </c>
      <c r="D659" t="s">
        <v>42</v>
      </c>
      <c r="E659" s="3">
        <v>30</v>
      </c>
      <c r="F659" s="3">
        <v>21</v>
      </c>
      <c r="G659" s="3">
        <v>609</v>
      </c>
      <c r="H659" s="3" t="s">
        <v>2967</v>
      </c>
    </row>
    <row r="660" spans="1:8" x14ac:dyDescent="0.35">
      <c r="A660" t="s">
        <v>436</v>
      </c>
      <c r="B660" s="26" t="s">
        <v>25</v>
      </c>
      <c r="C660" s="20">
        <v>42985</v>
      </c>
      <c r="D660" t="s">
        <v>56</v>
      </c>
      <c r="E660" s="3">
        <v>800</v>
      </c>
      <c r="F660" s="3">
        <v>71</v>
      </c>
      <c r="G660" s="3">
        <v>48280</v>
      </c>
      <c r="H660" s="3" t="s">
        <v>2973</v>
      </c>
    </row>
    <row r="661" spans="1:8" x14ac:dyDescent="0.35">
      <c r="A661" t="s">
        <v>93</v>
      </c>
      <c r="B661" s="26" t="s">
        <v>36</v>
      </c>
      <c r="C661" s="20">
        <v>42586</v>
      </c>
      <c r="D661" t="s">
        <v>37</v>
      </c>
      <c r="E661" s="3">
        <v>50</v>
      </c>
      <c r="F661" s="3">
        <v>18</v>
      </c>
      <c r="G661" s="3">
        <v>882</v>
      </c>
      <c r="H661" s="3" t="s">
        <v>2972</v>
      </c>
    </row>
    <row r="662" spans="1:8" x14ac:dyDescent="0.35">
      <c r="A662" t="s">
        <v>109</v>
      </c>
      <c r="B662" s="26" t="s">
        <v>20</v>
      </c>
      <c r="C662" s="20">
        <v>43111</v>
      </c>
      <c r="D662" t="s">
        <v>73</v>
      </c>
      <c r="E662" s="3">
        <v>500</v>
      </c>
      <c r="F662" s="3">
        <v>56</v>
      </c>
      <c r="G662" s="3">
        <v>27720</v>
      </c>
      <c r="H662" s="3" t="s">
        <v>2966</v>
      </c>
    </row>
    <row r="663" spans="1:8" x14ac:dyDescent="0.35">
      <c r="A663" t="s">
        <v>35</v>
      </c>
      <c r="B663" s="26" t="s">
        <v>36</v>
      </c>
      <c r="C663" s="20">
        <v>42656</v>
      </c>
      <c r="D663" t="s">
        <v>62</v>
      </c>
      <c r="E663" s="3">
        <v>1000</v>
      </c>
      <c r="F663" s="3">
        <v>24</v>
      </c>
      <c r="G663" s="3">
        <v>12240</v>
      </c>
      <c r="H663" s="3" t="s">
        <v>2974</v>
      </c>
    </row>
    <row r="664" spans="1:8" x14ac:dyDescent="0.35">
      <c r="A664" t="s">
        <v>51</v>
      </c>
      <c r="B664" s="26" t="s">
        <v>25</v>
      </c>
      <c r="C664" s="20">
        <v>41902</v>
      </c>
      <c r="D664" t="s">
        <v>73</v>
      </c>
      <c r="E664" s="3">
        <v>500</v>
      </c>
      <c r="F664" s="3">
        <v>71</v>
      </c>
      <c r="G664" s="3">
        <v>35145</v>
      </c>
      <c r="H664" s="3" t="s">
        <v>2973</v>
      </c>
    </row>
    <row r="665" spans="1:8" x14ac:dyDescent="0.35">
      <c r="A665" t="s">
        <v>229</v>
      </c>
      <c r="B665" s="26" t="s">
        <v>25</v>
      </c>
      <c r="C665" s="20">
        <v>41934</v>
      </c>
      <c r="D665" t="s">
        <v>42</v>
      </c>
      <c r="E665" s="3">
        <v>30</v>
      </c>
      <c r="F665" s="3">
        <v>86</v>
      </c>
      <c r="G665" s="3">
        <v>2236</v>
      </c>
      <c r="H665" s="3" t="s">
        <v>2974</v>
      </c>
    </row>
    <row r="666" spans="1:8" x14ac:dyDescent="0.35">
      <c r="A666" t="s">
        <v>93</v>
      </c>
      <c r="B666" s="26" t="s">
        <v>36</v>
      </c>
      <c r="C666" s="20">
        <v>42313</v>
      </c>
      <c r="D666" t="s">
        <v>56</v>
      </c>
      <c r="E666" s="3">
        <v>800</v>
      </c>
      <c r="F666" s="3">
        <v>37</v>
      </c>
      <c r="G666" s="3">
        <v>24272</v>
      </c>
      <c r="H666" s="3" t="s">
        <v>2975</v>
      </c>
    </row>
    <row r="667" spans="1:8" x14ac:dyDescent="0.35">
      <c r="A667" t="s">
        <v>55</v>
      </c>
      <c r="B667" s="26" t="s">
        <v>14</v>
      </c>
      <c r="C667" s="20">
        <v>41648</v>
      </c>
      <c r="D667" t="s">
        <v>31</v>
      </c>
      <c r="E667" s="3">
        <v>150</v>
      </c>
      <c r="F667" s="3">
        <v>84</v>
      </c>
      <c r="G667" s="3">
        <v>11844</v>
      </c>
      <c r="H667" s="3" t="s">
        <v>2966</v>
      </c>
    </row>
    <row r="668" spans="1:8" x14ac:dyDescent="0.35">
      <c r="A668" t="s">
        <v>19</v>
      </c>
      <c r="B668" s="26" t="s">
        <v>20</v>
      </c>
      <c r="C668" s="20">
        <v>43153</v>
      </c>
      <c r="D668" t="s">
        <v>15</v>
      </c>
      <c r="E668" s="3">
        <v>80</v>
      </c>
      <c r="F668" s="3">
        <v>9</v>
      </c>
      <c r="G668" s="3">
        <v>720</v>
      </c>
      <c r="H668" s="3" t="s">
        <v>2967</v>
      </c>
    </row>
    <row r="669" spans="1:8" x14ac:dyDescent="0.35">
      <c r="A669" t="s">
        <v>402</v>
      </c>
      <c r="B669" s="26" t="s">
        <v>14</v>
      </c>
      <c r="C669" s="20">
        <v>43022</v>
      </c>
      <c r="D669" t="s">
        <v>56</v>
      </c>
      <c r="E669" s="3">
        <v>800</v>
      </c>
      <c r="F669" s="3">
        <v>52</v>
      </c>
      <c r="G669" s="3">
        <v>40768</v>
      </c>
      <c r="H669" s="3" t="s">
        <v>2974</v>
      </c>
    </row>
    <row r="670" spans="1:8" x14ac:dyDescent="0.35">
      <c r="A670" t="s">
        <v>66</v>
      </c>
      <c r="B670" s="26" t="s">
        <v>36</v>
      </c>
      <c r="C670" s="20">
        <v>43420</v>
      </c>
      <c r="D670" t="s">
        <v>56</v>
      </c>
      <c r="E670" s="3">
        <v>800</v>
      </c>
      <c r="F670" s="3">
        <v>12</v>
      </c>
      <c r="G670" s="3">
        <v>9312</v>
      </c>
      <c r="H670" s="3" t="s">
        <v>2975</v>
      </c>
    </row>
    <row r="671" spans="1:8" x14ac:dyDescent="0.35">
      <c r="A671" t="s">
        <v>129</v>
      </c>
      <c r="B671" s="26" t="s">
        <v>14</v>
      </c>
      <c r="C671" s="20">
        <v>42482</v>
      </c>
      <c r="D671" t="s">
        <v>105</v>
      </c>
      <c r="E671" s="3">
        <v>70</v>
      </c>
      <c r="F671" s="3">
        <v>63</v>
      </c>
      <c r="G671" s="3">
        <v>4347</v>
      </c>
      <c r="H671" s="3" t="s">
        <v>2969</v>
      </c>
    </row>
    <row r="672" spans="1:8" x14ac:dyDescent="0.35">
      <c r="A672" t="s">
        <v>436</v>
      </c>
      <c r="B672" s="26" t="s">
        <v>25</v>
      </c>
      <c r="C672" s="20">
        <v>42053</v>
      </c>
      <c r="D672" t="s">
        <v>56</v>
      </c>
      <c r="E672" s="3">
        <v>800</v>
      </c>
      <c r="F672" s="3">
        <v>29</v>
      </c>
      <c r="G672" s="3">
        <v>18328</v>
      </c>
      <c r="H672" s="3" t="s">
        <v>2967</v>
      </c>
    </row>
    <row r="673" spans="1:8" x14ac:dyDescent="0.35">
      <c r="A673" t="s">
        <v>35</v>
      </c>
      <c r="B673" s="26" t="s">
        <v>36</v>
      </c>
      <c r="C673" s="20">
        <v>42318</v>
      </c>
      <c r="D673" t="s">
        <v>73</v>
      </c>
      <c r="E673" s="3">
        <v>500</v>
      </c>
      <c r="F673" s="3">
        <v>87</v>
      </c>
      <c r="G673" s="3">
        <v>43500</v>
      </c>
      <c r="H673" s="3" t="s">
        <v>2975</v>
      </c>
    </row>
    <row r="674" spans="1:8" x14ac:dyDescent="0.35">
      <c r="A674" t="s">
        <v>19</v>
      </c>
      <c r="B674" s="26" t="s">
        <v>20</v>
      </c>
      <c r="C674" s="20">
        <v>42227</v>
      </c>
      <c r="D674" t="s">
        <v>73</v>
      </c>
      <c r="E674" s="3">
        <v>500</v>
      </c>
      <c r="F674" s="3">
        <v>63</v>
      </c>
      <c r="G674" s="3">
        <v>30870</v>
      </c>
      <c r="H674" s="3" t="s">
        <v>2972</v>
      </c>
    </row>
    <row r="675" spans="1:8" x14ac:dyDescent="0.35">
      <c r="A675" t="s">
        <v>46</v>
      </c>
      <c r="B675" s="26" t="s">
        <v>25</v>
      </c>
      <c r="C675" s="20">
        <v>42965</v>
      </c>
      <c r="D675" t="s">
        <v>105</v>
      </c>
      <c r="E675" s="3">
        <v>70</v>
      </c>
      <c r="F675" s="3">
        <v>25</v>
      </c>
      <c r="G675" s="3">
        <v>1600</v>
      </c>
      <c r="H675" s="3" t="s">
        <v>2972</v>
      </c>
    </row>
    <row r="676" spans="1:8" x14ac:dyDescent="0.35">
      <c r="A676" t="s">
        <v>326</v>
      </c>
      <c r="B676" s="26" t="s">
        <v>14</v>
      </c>
      <c r="C676" s="20">
        <v>41721</v>
      </c>
      <c r="D676" t="s">
        <v>123</v>
      </c>
      <c r="E676" s="3">
        <v>50</v>
      </c>
      <c r="F676" s="3">
        <v>77</v>
      </c>
      <c r="G676" s="3">
        <v>3850</v>
      </c>
      <c r="H676" s="3" t="s">
        <v>2968</v>
      </c>
    </row>
    <row r="677" spans="1:8" x14ac:dyDescent="0.35">
      <c r="A677" t="s">
        <v>326</v>
      </c>
      <c r="B677" s="26" t="s">
        <v>14</v>
      </c>
      <c r="C677" s="20">
        <v>42703</v>
      </c>
      <c r="D677" t="s">
        <v>37</v>
      </c>
      <c r="E677" s="3">
        <v>50</v>
      </c>
      <c r="F677" s="3">
        <v>88</v>
      </c>
      <c r="G677" s="3">
        <v>4224</v>
      </c>
      <c r="H677" s="3" t="s">
        <v>2975</v>
      </c>
    </row>
    <row r="678" spans="1:8" x14ac:dyDescent="0.35">
      <c r="A678" t="s">
        <v>189</v>
      </c>
      <c r="B678" s="26" t="s">
        <v>14</v>
      </c>
      <c r="C678" s="20">
        <v>43329</v>
      </c>
      <c r="D678" t="s">
        <v>47</v>
      </c>
      <c r="E678" s="3">
        <v>500</v>
      </c>
      <c r="F678" s="3">
        <v>84</v>
      </c>
      <c r="G678" s="3">
        <v>41580</v>
      </c>
      <c r="H678" s="3" t="s">
        <v>2972</v>
      </c>
    </row>
    <row r="679" spans="1:8" x14ac:dyDescent="0.35">
      <c r="A679" t="s">
        <v>243</v>
      </c>
      <c r="B679" s="26" t="s">
        <v>14</v>
      </c>
      <c r="C679" s="20">
        <v>42435</v>
      </c>
      <c r="D679" t="s">
        <v>56</v>
      </c>
      <c r="E679" s="3">
        <v>800</v>
      </c>
      <c r="F679" s="3">
        <v>14</v>
      </c>
      <c r="G679" s="3">
        <v>10640</v>
      </c>
      <c r="H679" s="3" t="s">
        <v>2968</v>
      </c>
    </row>
    <row r="680" spans="1:8" x14ac:dyDescent="0.35">
      <c r="A680" t="s">
        <v>109</v>
      </c>
      <c r="B680" s="26" t="s">
        <v>20</v>
      </c>
      <c r="C680" s="20">
        <v>42770</v>
      </c>
      <c r="D680" t="s">
        <v>105</v>
      </c>
      <c r="E680" s="3">
        <v>70</v>
      </c>
      <c r="F680" s="3">
        <v>27</v>
      </c>
      <c r="G680" s="3">
        <v>1755</v>
      </c>
      <c r="H680" s="3" t="s">
        <v>2967</v>
      </c>
    </row>
    <row r="681" spans="1:8" x14ac:dyDescent="0.35">
      <c r="A681" t="s">
        <v>93</v>
      </c>
      <c r="B681" s="26" t="s">
        <v>36</v>
      </c>
      <c r="C681" s="20">
        <v>41970</v>
      </c>
      <c r="D681" t="s">
        <v>105</v>
      </c>
      <c r="E681" s="3">
        <v>70</v>
      </c>
      <c r="F681" s="3">
        <v>7</v>
      </c>
      <c r="G681" s="3">
        <v>469</v>
      </c>
      <c r="H681" s="3" t="s">
        <v>2975</v>
      </c>
    </row>
    <row r="682" spans="1:8" x14ac:dyDescent="0.35">
      <c r="A682" t="s">
        <v>109</v>
      </c>
      <c r="B682" s="26" t="s">
        <v>20</v>
      </c>
      <c r="C682" s="20">
        <v>42489</v>
      </c>
      <c r="D682" t="s">
        <v>73</v>
      </c>
      <c r="E682" s="3">
        <v>500</v>
      </c>
      <c r="F682" s="3">
        <v>82</v>
      </c>
      <c r="G682" s="3">
        <v>40180</v>
      </c>
      <c r="H682" s="3" t="s">
        <v>2969</v>
      </c>
    </row>
    <row r="683" spans="1:8" x14ac:dyDescent="0.35">
      <c r="A683" t="s">
        <v>13</v>
      </c>
      <c r="B683" s="26" t="s">
        <v>14</v>
      </c>
      <c r="C683" s="20">
        <v>42863</v>
      </c>
      <c r="D683" t="s">
        <v>31</v>
      </c>
      <c r="E683" s="3">
        <v>150</v>
      </c>
      <c r="F683" s="3">
        <v>10</v>
      </c>
      <c r="G683" s="3">
        <v>1470</v>
      </c>
      <c r="H683" s="3" t="s">
        <v>2965</v>
      </c>
    </row>
    <row r="684" spans="1:8" x14ac:dyDescent="0.35">
      <c r="A684" t="s">
        <v>402</v>
      </c>
      <c r="B684" s="26" t="s">
        <v>14</v>
      </c>
      <c r="C684" s="20">
        <v>43086</v>
      </c>
      <c r="D684" t="s">
        <v>73</v>
      </c>
      <c r="E684" s="3">
        <v>500</v>
      </c>
      <c r="F684" s="3">
        <v>56</v>
      </c>
      <c r="G684" s="3">
        <v>28000</v>
      </c>
      <c r="H684" s="3" t="s">
        <v>2976</v>
      </c>
    </row>
    <row r="685" spans="1:8" x14ac:dyDescent="0.35">
      <c r="A685" t="s">
        <v>109</v>
      </c>
      <c r="B685" s="26" t="s">
        <v>20</v>
      </c>
      <c r="C685" s="20">
        <v>43414</v>
      </c>
      <c r="D685" t="s">
        <v>42</v>
      </c>
      <c r="E685" s="3">
        <v>30</v>
      </c>
      <c r="F685" s="3">
        <v>98</v>
      </c>
      <c r="G685" s="3">
        <v>2744</v>
      </c>
      <c r="H685" s="3" t="s">
        <v>2975</v>
      </c>
    </row>
    <row r="686" spans="1:8" x14ac:dyDescent="0.35">
      <c r="A686" t="s">
        <v>93</v>
      </c>
      <c r="B686" s="26" t="s">
        <v>36</v>
      </c>
      <c r="C686" s="20">
        <v>42208</v>
      </c>
      <c r="D686" t="s">
        <v>56</v>
      </c>
      <c r="E686" s="3">
        <v>800</v>
      </c>
      <c r="F686" s="3">
        <v>27</v>
      </c>
      <c r="G686" s="3">
        <v>16200</v>
      </c>
      <c r="H686" s="3" t="s">
        <v>2971</v>
      </c>
    </row>
    <row r="687" spans="1:8" x14ac:dyDescent="0.35">
      <c r="A687" t="s">
        <v>120</v>
      </c>
      <c r="B687" s="26" t="s">
        <v>36</v>
      </c>
      <c r="C687" s="20">
        <v>43349</v>
      </c>
      <c r="D687" t="s">
        <v>56</v>
      </c>
      <c r="E687" s="3">
        <v>800</v>
      </c>
      <c r="F687" s="3">
        <v>97</v>
      </c>
      <c r="G687" s="3">
        <v>53544</v>
      </c>
      <c r="H687" s="3" t="s">
        <v>2973</v>
      </c>
    </row>
    <row r="688" spans="1:8" x14ac:dyDescent="0.35">
      <c r="A688" t="s">
        <v>83</v>
      </c>
      <c r="B688" s="26" t="s">
        <v>14</v>
      </c>
      <c r="C688" s="20">
        <v>42769</v>
      </c>
      <c r="D688" t="s">
        <v>123</v>
      </c>
      <c r="E688" s="3">
        <v>50</v>
      </c>
      <c r="F688" s="3">
        <v>12</v>
      </c>
      <c r="G688" s="3">
        <v>552</v>
      </c>
      <c r="H688" s="3" t="s">
        <v>2967</v>
      </c>
    </row>
    <row r="689" spans="1:8" x14ac:dyDescent="0.35">
      <c r="A689" t="s">
        <v>326</v>
      </c>
      <c r="B689" s="26" t="s">
        <v>14</v>
      </c>
      <c r="C689" s="20">
        <v>42337</v>
      </c>
      <c r="D689" t="s">
        <v>42</v>
      </c>
      <c r="E689" s="3">
        <v>30</v>
      </c>
      <c r="F689" s="3">
        <v>19</v>
      </c>
      <c r="G689" s="3">
        <v>551</v>
      </c>
      <c r="H689" s="3" t="s">
        <v>2975</v>
      </c>
    </row>
    <row r="690" spans="1:8" x14ac:dyDescent="0.35">
      <c r="A690" t="s">
        <v>402</v>
      </c>
      <c r="B690" s="26" t="s">
        <v>14</v>
      </c>
      <c r="C690" s="20">
        <v>42047</v>
      </c>
      <c r="D690" t="s">
        <v>56</v>
      </c>
      <c r="E690" s="3">
        <v>800</v>
      </c>
      <c r="F690" s="3">
        <v>29</v>
      </c>
      <c r="G690" s="3">
        <v>19720</v>
      </c>
      <c r="H690" s="3" t="s">
        <v>2967</v>
      </c>
    </row>
    <row r="691" spans="1:8" x14ac:dyDescent="0.35">
      <c r="A691" t="s">
        <v>41</v>
      </c>
      <c r="B691" s="26" t="s">
        <v>36</v>
      </c>
      <c r="C691" s="20">
        <v>41876</v>
      </c>
      <c r="D691" t="s">
        <v>73</v>
      </c>
      <c r="E691" s="3">
        <v>500</v>
      </c>
      <c r="F691" s="3">
        <v>29</v>
      </c>
      <c r="G691" s="3">
        <v>14355</v>
      </c>
      <c r="H691" s="3" t="s">
        <v>2972</v>
      </c>
    </row>
    <row r="692" spans="1:8" x14ac:dyDescent="0.35">
      <c r="A692" t="s">
        <v>41</v>
      </c>
      <c r="B692" s="26" t="s">
        <v>36</v>
      </c>
      <c r="C692" s="20">
        <v>42192</v>
      </c>
      <c r="D692" t="s">
        <v>116</v>
      </c>
      <c r="E692" s="3">
        <v>250</v>
      </c>
      <c r="F692" s="3">
        <v>22</v>
      </c>
      <c r="G692" s="3">
        <v>4510</v>
      </c>
      <c r="H692" s="3" t="s">
        <v>2971</v>
      </c>
    </row>
    <row r="693" spans="1:8" x14ac:dyDescent="0.35">
      <c r="A693" t="s">
        <v>101</v>
      </c>
      <c r="B693" s="26" t="s">
        <v>14</v>
      </c>
      <c r="C693" s="20">
        <v>42611</v>
      </c>
      <c r="D693" t="s">
        <v>37</v>
      </c>
      <c r="E693" s="3">
        <v>50</v>
      </c>
      <c r="F693" s="3">
        <v>63</v>
      </c>
      <c r="G693" s="3">
        <v>3024</v>
      </c>
      <c r="H693" s="3" t="s">
        <v>2972</v>
      </c>
    </row>
    <row r="694" spans="1:8" x14ac:dyDescent="0.35">
      <c r="A694" t="s">
        <v>189</v>
      </c>
      <c r="B694" s="26" t="s">
        <v>14</v>
      </c>
      <c r="C694" s="20">
        <v>42615</v>
      </c>
      <c r="D694" t="s">
        <v>15</v>
      </c>
      <c r="E694" s="3">
        <v>80</v>
      </c>
      <c r="F694" s="3">
        <v>83</v>
      </c>
      <c r="G694" s="3">
        <v>6474</v>
      </c>
      <c r="H694" s="3" t="s">
        <v>2973</v>
      </c>
    </row>
    <row r="695" spans="1:8" x14ac:dyDescent="0.35">
      <c r="A695" t="s">
        <v>61</v>
      </c>
      <c r="B695" s="26" t="s">
        <v>14</v>
      </c>
      <c r="C695" s="20">
        <v>42884</v>
      </c>
      <c r="D695" t="s">
        <v>56</v>
      </c>
      <c r="E695" s="3">
        <v>800</v>
      </c>
      <c r="F695" s="3">
        <v>36</v>
      </c>
      <c r="G695" s="3">
        <v>19872</v>
      </c>
      <c r="H695" s="3" t="s">
        <v>2965</v>
      </c>
    </row>
    <row r="696" spans="1:8" x14ac:dyDescent="0.35">
      <c r="A696" t="s">
        <v>257</v>
      </c>
      <c r="B696" s="26" t="s">
        <v>14</v>
      </c>
      <c r="C696" s="20">
        <v>41832</v>
      </c>
      <c r="D696" t="s">
        <v>73</v>
      </c>
      <c r="E696" s="3">
        <v>500</v>
      </c>
      <c r="F696" s="3">
        <v>36</v>
      </c>
      <c r="G696" s="3">
        <v>17820</v>
      </c>
      <c r="H696" s="3" t="s">
        <v>2971</v>
      </c>
    </row>
    <row r="697" spans="1:8" x14ac:dyDescent="0.35">
      <c r="A697" t="s">
        <v>109</v>
      </c>
      <c r="B697" s="26" t="s">
        <v>20</v>
      </c>
      <c r="C697" s="20">
        <v>42435</v>
      </c>
      <c r="D697" t="s">
        <v>62</v>
      </c>
      <c r="E697" s="3">
        <v>1000</v>
      </c>
      <c r="F697" s="3">
        <v>56</v>
      </c>
      <c r="G697" s="3">
        <v>56000</v>
      </c>
      <c r="H697" s="3" t="s">
        <v>2968</v>
      </c>
    </row>
    <row r="698" spans="1:8" x14ac:dyDescent="0.35">
      <c r="A698" t="s">
        <v>46</v>
      </c>
      <c r="B698" s="26" t="s">
        <v>25</v>
      </c>
      <c r="C698" s="20">
        <v>42397</v>
      </c>
      <c r="D698" t="s">
        <v>37</v>
      </c>
      <c r="E698" s="3">
        <v>50</v>
      </c>
      <c r="F698" s="3">
        <v>43</v>
      </c>
      <c r="G698" s="3">
        <v>1849</v>
      </c>
      <c r="H698" s="3" t="s">
        <v>2966</v>
      </c>
    </row>
    <row r="699" spans="1:8" x14ac:dyDescent="0.35">
      <c r="A699" t="s">
        <v>41</v>
      </c>
      <c r="B699" s="26" t="s">
        <v>36</v>
      </c>
      <c r="C699" s="20">
        <v>43134</v>
      </c>
      <c r="D699" t="s">
        <v>116</v>
      </c>
      <c r="E699" s="3">
        <v>250</v>
      </c>
      <c r="F699" s="3">
        <v>81</v>
      </c>
      <c r="G699" s="3">
        <v>20250</v>
      </c>
      <c r="H699" s="3" t="s">
        <v>2967</v>
      </c>
    </row>
    <row r="700" spans="1:8" x14ac:dyDescent="0.35">
      <c r="A700" t="s">
        <v>266</v>
      </c>
      <c r="B700" s="26" t="s">
        <v>14</v>
      </c>
      <c r="C700" s="20">
        <v>42242</v>
      </c>
      <c r="D700" t="s">
        <v>42</v>
      </c>
      <c r="E700" s="3">
        <v>30</v>
      </c>
      <c r="F700" s="3">
        <v>52</v>
      </c>
      <c r="G700" s="3">
        <v>1196</v>
      </c>
      <c r="H700" s="3" t="s">
        <v>2972</v>
      </c>
    </row>
    <row r="701" spans="1:8" x14ac:dyDescent="0.35">
      <c r="A701" t="s">
        <v>66</v>
      </c>
      <c r="B701" s="26" t="s">
        <v>36</v>
      </c>
      <c r="C701" s="20">
        <v>42009</v>
      </c>
      <c r="D701" t="s">
        <v>73</v>
      </c>
      <c r="E701" s="3">
        <v>500</v>
      </c>
      <c r="F701" s="3">
        <v>73</v>
      </c>
      <c r="G701" s="3">
        <v>35770</v>
      </c>
      <c r="H701" s="3" t="s">
        <v>2966</v>
      </c>
    </row>
    <row r="702" spans="1:8" x14ac:dyDescent="0.35">
      <c r="A702" t="s">
        <v>24</v>
      </c>
      <c r="B702" s="26" t="s">
        <v>25</v>
      </c>
      <c r="C702" s="20">
        <v>41801</v>
      </c>
      <c r="D702" t="s">
        <v>47</v>
      </c>
      <c r="E702" s="3">
        <v>500</v>
      </c>
      <c r="F702" s="3">
        <v>63</v>
      </c>
      <c r="G702" s="3">
        <v>26775</v>
      </c>
      <c r="H702" s="3" t="s">
        <v>2970</v>
      </c>
    </row>
    <row r="703" spans="1:8" x14ac:dyDescent="0.35">
      <c r="A703" t="s">
        <v>402</v>
      </c>
      <c r="B703" s="26" t="s">
        <v>14</v>
      </c>
      <c r="C703" s="20">
        <v>43226</v>
      </c>
      <c r="D703" t="s">
        <v>116</v>
      </c>
      <c r="E703" s="3">
        <v>250</v>
      </c>
      <c r="F703" s="3">
        <v>27</v>
      </c>
      <c r="G703" s="3">
        <v>6021</v>
      </c>
      <c r="H703" s="3" t="s">
        <v>2965</v>
      </c>
    </row>
    <row r="704" spans="1:8" x14ac:dyDescent="0.35">
      <c r="A704" t="s">
        <v>109</v>
      </c>
      <c r="B704" s="26" t="s">
        <v>20</v>
      </c>
      <c r="C704" s="20">
        <v>43035</v>
      </c>
      <c r="D704" t="s">
        <v>26</v>
      </c>
      <c r="E704" s="3">
        <v>700</v>
      </c>
      <c r="F704" s="3">
        <v>80</v>
      </c>
      <c r="G704" s="3">
        <v>55440</v>
      </c>
      <c r="H704" s="3" t="s">
        <v>2974</v>
      </c>
    </row>
    <row r="705" spans="1:8" x14ac:dyDescent="0.35">
      <c r="A705" t="s">
        <v>109</v>
      </c>
      <c r="B705" s="26" t="s">
        <v>20</v>
      </c>
      <c r="C705" s="20">
        <v>42929</v>
      </c>
      <c r="D705" t="s">
        <v>31</v>
      </c>
      <c r="E705" s="3">
        <v>150</v>
      </c>
      <c r="F705" s="3">
        <v>83</v>
      </c>
      <c r="G705" s="3">
        <v>12201</v>
      </c>
      <c r="H705" s="3" t="s">
        <v>2971</v>
      </c>
    </row>
    <row r="706" spans="1:8" x14ac:dyDescent="0.35">
      <c r="A706" t="s">
        <v>41</v>
      </c>
      <c r="B706" s="26" t="s">
        <v>36</v>
      </c>
      <c r="C706" s="20">
        <v>43376</v>
      </c>
      <c r="D706" t="s">
        <v>42</v>
      </c>
      <c r="E706" s="3">
        <v>30</v>
      </c>
      <c r="F706" s="3">
        <v>67</v>
      </c>
      <c r="G706" s="3">
        <v>1742</v>
      </c>
      <c r="H706" s="3" t="s">
        <v>2974</v>
      </c>
    </row>
    <row r="707" spans="1:8" x14ac:dyDescent="0.35">
      <c r="A707" t="s">
        <v>257</v>
      </c>
      <c r="B707" s="26" t="s">
        <v>14</v>
      </c>
      <c r="C707" s="20">
        <v>42602</v>
      </c>
      <c r="D707" t="s">
        <v>42</v>
      </c>
      <c r="E707" s="3">
        <v>30</v>
      </c>
      <c r="F707" s="3">
        <v>22</v>
      </c>
      <c r="G707" s="3">
        <v>638</v>
      </c>
      <c r="H707" s="3" t="s">
        <v>2972</v>
      </c>
    </row>
    <row r="708" spans="1:8" x14ac:dyDescent="0.35">
      <c r="A708" t="s">
        <v>41</v>
      </c>
      <c r="B708" s="26" t="s">
        <v>36</v>
      </c>
      <c r="C708" s="20">
        <v>41917</v>
      </c>
      <c r="D708" t="s">
        <v>31</v>
      </c>
      <c r="E708" s="3">
        <v>150</v>
      </c>
      <c r="F708" s="3">
        <v>20</v>
      </c>
      <c r="G708" s="3">
        <v>2100</v>
      </c>
      <c r="H708" s="3" t="s">
        <v>2974</v>
      </c>
    </row>
    <row r="709" spans="1:8" x14ac:dyDescent="0.35">
      <c r="A709" t="s">
        <v>19</v>
      </c>
      <c r="B709" s="26" t="s">
        <v>20</v>
      </c>
      <c r="C709" s="20">
        <v>43150</v>
      </c>
      <c r="D709" t="s">
        <v>123</v>
      </c>
      <c r="E709" s="3">
        <v>50</v>
      </c>
      <c r="F709" s="3">
        <v>92</v>
      </c>
      <c r="G709" s="3">
        <v>4600</v>
      </c>
      <c r="H709" s="3" t="s">
        <v>2967</v>
      </c>
    </row>
    <row r="710" spans="1:8" x14ac:dyDescent="0.35">
      <c r="A710" t="s">
        <v>326</v>
      </c>
      <c r="B710" s="26" t="s">
        <v>14</v>
      </c>
      <c r="C710" s="20">
        <v>41933</v>
      </c>
      <c r="D710" t="s">
        <v>56</v>
      </c>
      <c r="E710" s="3">
        <v>800</v>
      </c>
      <c r="F710" s="3">
        <v>50</v>
      </c>
      <c r="G710" s="3">
        <v>24000</v>
      </c>
      <c r="H710" s="3" t="s">
        <v>2974</v>
      </c>
    </row>
    <row r="711" spans="1:8" x14ac:dyDescent="0.35">
      <c r="A711" t="s">
        <v>229</v>
      </c>
      <c r="B711" s="26" t="s">
        <v>25</v>
      </c>
      <c r="C711" s="20">
        <v>42467</v>
      </c>
      <c r="D711" t="s">
        <v>73</v>
      </c>
      <c r="E711" s="3">
        <v>500</v>
      </c>
      <c r="F711" s="3">
        <v>33</v>
      </c>
      <c r="G711" s="3">
        <v>16500</v>
      </c>
      <c r="H711" s="3" t="s">
        <v>2969</v>
      </c>
    </row>
    <row r="712" spans="1:8" x14ac:dyDescent="0.35">
      <c r="A712" t="s">
        <v>19</v>
      </c>
      <c r="B712" s="26" t="s">
        <v>20</v>
      </c>
      <c r="C712" s="20">
        <v>41750</v>
      </c>
      <c r="D712" t="s">
        <v>37</v>
      </c>
      <c r="E712" s="3">
        <v>50</v>
      </c>
      <c r="F712" s="3">
        <v>40</v>
      </c>
      <c r="G712" s="3">
        <v>1600</v>
      </c>
      <c r="H712" s="3" t="s">
        <v>2969</v>
      </c>
    </row>
    <row r="713" spans="1:8" x14ac:dyDescent="0.35">
      <c r="A713" t="s">
        <v>109</v>
      </c>
      <c r="B713" s="26" t="s">
        <v>20</v>
      </c>
      <c r="C713" s="20">
        <v>42939</v>
      </c>
      <c r="D713" t="s">
        <v>62</v>
      </c>
      <c r="E713" s="3">
        <v>1000</v>
      </c>
      <c r="F713" s="3">
        <v>36</v>
      </c>
      <c r="G713" s="3">
        <v>22320</v>
      </c>
      <c r="H713" s="3" t="s">
        <v>2971</v>
      </c>
    </row>
    <row r="714" spans="1:8" x14ac:dyDescent="0.35">
      <c r="A714" t="s">
        <v>13</v>
      </c>
      <c r="B714" s="26" t="s">
        <v>14</v>
      </c>
      <c r="C714" s="20">
        <v>41733</v>
      </c>
      <c r="D714" t="s">
        <v>37</v>
      </c>
      <c r="E714" s="3">
        <v>50</v>
      </c>
      <c r="F714" s="3">
        <v>73</v>
      </c>
      <c r="G714" s="3">
        <v>3650</v>
      </c>
      <c r="H714" s="3" t="s">
        <v>2969</v>
      </c>
    </row>
    <row r="715" spans="1:8" x14ac:dyDescent="0.35">
      <c r="A715" t="s">
        <v>72</v>
      </c>
      <c r="B715" s="26" t="s">
        <v>36</v>
      </c>
      <c r="C715" s="20">
        <v>42245</v>
      </c>
      <c r="D715" t="s">
        <v>31</v>
      </c>
      <c r="E715" s="3">
        <v>150</v>
      </c>
      <c r="F715" s="3">
        <v>51</v>
      </c>
      <c r="G715" s="3">
        <v>4998</v>
      </c>
      <c r="H715" s="3" t="s">
        <v>2972</v>
      </c>
    </row>
    <row r="716" spans="1:8" x14ac:dyDescent="0.35">
      <c r="A716" t="s">
        <v>243</v>
      </c>
      <c r="B716" s="26" t="s">
        <v>14</v>
      </c>
      <c r="C716" s="20">
        <v>42942</v>
      </c>
      <c r="D716" t="s">
        <v>26</v>
      </c>
      <c r="E716" s="3">
        <v>700</v>
      </c>
      <c r="F716" s="3">
        <v>19</v>
      </c>
      <c r="G716" s="3">
        <v>13300</v>
      </c>
      <c r="H716" s="3" t="s">
        <v>2971</v>
      </c>
    </row>
    <row r="717" spans="1:8" x14ac:dyDescent="0.35">
      <c r="A717" t="s">
        <v>79</v>
      </c>
      <c r="B717" s="26" t="s">
        <v>36</v>
      </c>
      <c r="C717" s="20">
        <v>41758</v>
      </c>
      <c r="D717" t="s">
        <v>37</v>
      </c>
      <c r="E717" s="3">
        <v>50</v>
      </c>
      <c r="F717" s="3">
        <v>44</v>
      </c>
      <c r="G717" s="3">
        <v>1628</v>
      </c>
      <c r="H717" s="3" t="s">
        <v>2969</v>
      </c>
    </row>
    <row r="718" spans="1:8" x14ac:dyDescent="0.35">
      <c r="A718" t="s">
        <v>66</v>
      </c>
      <c r="B718" s="26" t="s">
        <v>36</v>
      </c>
      <c r="C718" s="20">
        <v>42926</v>
      </c>
      <c r="D718" t="s">
        <v>42</v>
      </c>
      <c r="E718" s="3">
        <v>30</v>
      </c>
      <c r="F718" s="3">
        <v>19</v>
      </c>
      <c r="G718" s="3">
        <v>551</v>
      </c>
      <c r="H718" s="3" t="s">
        <v>2971</v>
      </c>
    </row>
    <row r="719" spans="1:8" x14ac:dyDescent="0.35">
      <c r="A719" t="s">
        <v>13</v>
      </c>
      <c r="B719" s="26" t="s">
        <v>14</v>
      </c>
      <c r="C719" s="20">
        <v>42297</v>
      </c>
      <c r="D719" t="s">
        <v>26</v>
      </c>
      <c r="E719" s="3">
        <v>700</v>
      </c>
      <c r="F719" s="3">
        <v>1</v>
      </c>
      <c r="G719" s="3">
        <v>679</v>
      </c>
      <c r="H719" s="3" t="s">
        <v>2974</v>
      </c>
    </row>
    <row r="720" spans="1:8" x14ac:dyDescent="0.35">
      <c r="A720" t="s">
        <v>51</v>
      </c>
      <c r="B720" s="26" t="s">
        <v>25</v>
      </c>
      <c r="C720" s="20">
        <v>42253</v>
      </c>
      <c r="D720" t="s">
        <v>73</v>
      </c>
      <c r="E720" s="3">
        <v>500</v>
      </c>
      <c r="F720" s="3">
        <v>36</v>
      </c>
      <c r="G720" s="3">
        <v>17820</v>
      </c>
      <c r="H720" s="3" t="s">
        <v>2973</v>
      </c>
    </row>
    <row r="721" spans="1:8" x14ac:dyDescent="0.35">
      <c r="A721" t="s">
        <v>19</v>
      </c>
      <c r="B721" s="26" t="s">
        <v>20</v>
      </c>
      <c r="C721" s="20">
        <v>41843</v>
      </c>
      <c r="D721" t="s">
        <v>123</v>
      </c>
      <c r="E721" s="3">
        <v>50</v>
      </c>
      <c r="F721" s="3">
        <v>42</v>
      </c>
      <c r="G721" s="3">
        <v>1512</v>
      </c>
      <c r="H721" s="3" t="s">
        <v>2971</v>
      </c>
    </row>
    <row r="722" spans="1:8" x14ac:dyDescent="0.35">
      <c r="A722" t="s">
        <v>402</v>
      </c>
      <c r="B722" s="26" t="s">
        <v>14</v>
      </c>
      <c r="C722" s="20">
        <v>42012</v>
      </c>
      <c r="D722" t="s">
        <v>37</v>
      </c>
      <c r="E722" s="3">
        <v>50</v>
      </c>
      <c r="F722" s="3">
        <v>64</v>
      </c>
      <c r="G722" s="3">
        <v>3072</v>
      </c>
      <c r="H722" s="3" t="s">
        <v>2966</v>
      </c>
    </row>
    <row r="723" spans="1:8" x14ac:dyDescent="0.35">
      <c r="A723" t="s">
        <v>55</v>
      </c>
      <c r="B723" s="26" t="s">
        <v>14</v>
      </c>
      <c r="C723" s="20">
        <v>43099</v>
      </c>
      <c r="D723" t="s">
        <v>47</v>
      </c>
      <c r="E723" s="3">
        <v>500</v>
      </c>
      <c r="F723" s="3">
        <v>24</v>
      </c>
      <c r="G723" s="3">
        <v>11400</v>
      </c>
      <c r="H723" s="3" t="s">
        <v>2976</v>
      </c>
    </row>
    <row r="724" spans="1:8" x14ac:dyDescent="0.35">
      <c r="A724" t="s">
        <v>257</v>
      </c>
      <c r="B724" s="26" t="s">
        <v>14</v>
      </c>
      <c r="C724" s="20">
        <v>42456</v>
      </c>
      <c r="D724" t="s">
        <v>37</v>
      </c>
      <c r="E724" s="3">
        <v>50</v>
      </c>
      <c r="F724" s="3">
        <v>78</v>
      </c>
      <c r="G724" s="3">
        <v>3354</v>
      </c>
      <c r="H724" s="3" t="s">
        <v>2968</v>
      </c>
    </row>
    <row r="725" spans="1:8" x14ac:dyDescent="0.35">
      <c r="A725" t="s">
        <v>229</v>
      </c>
      <c r="B725" s="26" t="s">
        <v>25</v>
      </c>
      <c r="C725" s="20">
        <v>43157</v>
      </c>
      <c r="D725" t="s">
        <v>116</v>
      </c>
      <c r="E725" s="3">
        <v>250</v>
      </c>
      <c r="F725" s="3">
        <v>1</v>
      </c>
      <c r="G725" s="3">
        <v>235</v>
      </c>
      <c r="H725" s="3" t="s">
        <v>2967</v>
      </c>
    </row>
    <row r="726" spans="1:8" x14ac:dyDescent="0.35">
      <c r="A726" t="s">
        <v>148</v>
      </c>
      <c r="B726" s="26" t="s">
        <v>14</v>
      </c>
      <c r="C726" s="20">
        <v>43198</v>
      </c>
      <c r="D726" t="s">
        <v>123</v>
      </c>
      <c r="E726" s="3">
        <v>50</v>
      </c>
      <c r="F726" s="3">
        <v>53</v>
      </c>
      <c r="G726" s="3">
        <v>2279</v>
      </c>
      <c r="H726" s="3" t="s">
        <v>2969</v>
      </c>
    </row>
    <row r="727" spans="1:8" x14ac:dyDescent="0.35">
      <c r="A727" t="s">
        <v>51</v>
      </c>
      <c r="B727" s="26" t="s">
        <v>25</v>
      </c>
      <c r="C727" s="20">
        <v>42303</v>
      </c>
      <c r="D727" t="s">
        <v>42</v>
      </c>
      <c r="E727" s="3">
        <v>30</v>
      </c>
      <c r="F727" s="3">
        <v>74</v>
      </c>
      <c r="G727" s="3">
        <v>1924</v>
      </c>
      <c r="H727" s="3" t="s">
        <v>2974</v>
      </c>
    </row>
    <row r="728" spans="1:8" x14ac:dyDescent="0.35">
      <c r="A728" t="s">
        <v>51</v>
      </c>
      <c r="B728" s="26" t="s">
        <v>25</v>
      </c>
      <c r="C728" s="20">
        <v>42271</v>
      </c>
      <c r="D728" t="s">
        <v>105</v>
      </c>
      <c r="E728" s="3">
        <v>70</v>
      </c>
      <c r="F728" s="3">
        <v>83</v>
      </c>
      <c r="G728" s="3">
        <v>4399</v>
      </c>
      <c r="H728" s="3" t="s">
        <v>2973</v>
      </c>
    </row>
    <row r="729" spans="1:8" x14ac:dyDescent="0.35">
      <c r="A729" t="s">
        <v>93</v>
      </c>
      <c r="B729" s="26" t="s">
        <v>36</v>
      </c>
      <c r="C729" s="20">
        <v>42933</v>
      </c>
      <c r="D729" t="s">
        <v>31</v>
      </c>
      <c r="E729" s="3">
        <v>150</v>
      </c>
      <c r="F729" s="3">
        <v>39</v>
      </c>
      <c r="G729" s="3">
        <v>5811</v>
      </c>
      <c r="H729" s="3" t="s">
        <v>2971</v>
      </c>
    </row>
    <row r="730" spans="1:8" x14ac:dyDescent="0.35">
      <c r="A730" t="s">
        <v>152</v>
      </c>
      <c r="B730" s="26" t="s">
        <v>14</v>
      </c>
      <c r="C730" s="20">
        <v>43238</v>
      </c>
      <c r="D730" t="s">
        <v>116</v>
      </c>
      <c r="E730" s="3">
        <v>250</v>
      </c>
      <c r="F730" s="3">
        <v>18</v>
      </c>
      <c r="G730" s="3">
        <v>4104</v>
      </c>
      <c r="H730" s="3" t="s">
        <v>2965</v>
      </c>
    </row>
    <row r="731" spans="1:8" x14ac:dyDescent="0.35">
      <c r="A731" t="s">
        <v>148</v>
      </c>
      <c r="B731" s="26" t="s">
        <v>14</v>
      </c>
      <c r="C731" s="20">
        <v>42506</v>
      </c>
      <c r="D731" t="s">
        <v>105</v>
      </c>
      <c r="E731" s="3">
        <v>70</v>
      </c>
      <c r="F731" s="3">
        <v>52</v>
      </c>
      <c r="G731" s="3">
        <v>3328</v>
      </c>
      <c r="H731" s="3" t="s">
        <v>2965</v>
      </c>
    </row>
    <row r="732" spans="1:8" x14ac:dyDescent="0.35">
      <c r="A732" t="s">
        <v>30</v>
      </c>
      <c r="B732" s="26" t="s">
        <v>14</v>
      </c>
      <c r="C732" s="20">
        <v>42557</v>
      </c>
      <c r="D732" t="s">
        <v>42</v>
      </c>
      <c r="E732" s="3">
        <v>30</v>
      </c>
      <c r="F732" s="3">
        <v>53</v>
      </c>
      <c r="G732" s="3">
        <v>1431</v>
      </c>
      <c r="H732" s="3" t="s">
        <v>2971</v>
      </c>
    </row>
    <row r="733" spans="1:8" x14ac:dyDescent="0.35">
      <c r="A733" t="s">
        <v>83</v>
      </c>
      <c r="B733" s="26" t="s">
        <v>14</v>
      </c>
      <c r="C733" s="20">
        <v>42702</v>
      </c>
      <c r="D733" t="s">
        <v>56</v>
      </c>
      <c r="E733" s="3">
        <v>800</v>
      </c>
      <c r="F733" s="3">
        <v>99</v>
      </c>
      <c r="G733" s="3">
        <v>64152</v>
      </c>
      <c r="H733" s="3" t="s">
        <v>2975</v>
      </c>
    </row>
    <row r="734" spans="1:8" x14ac:dyDescent="0.35">
      <c r="A734" t="s">
        <v>109</v>
      </c>
      <c r="B734" s="26" t="s">
        <v>20</v>
      </c>
      <c r="C734" s="20">
        <v>42134</v>
      </c>
      <c r="D734" t="s">
        <v>42</v>
      </c>
      <c r="E734" s="3">
        <v>30</v>
      </c>
      <c r="F734" s="3">
        <v>7</v>
      </c>
      <c r="G734" s="3">
        <v>210</v>
      </c>
      <c r="H734" s="3" t="s">
        <v>2965</v>
      </c>
    </row>
    <row r="735" spans="1:8" x14ac:dyDescent="0.35">
      <c r="A735" t="s">
        <v>55</v>
      </c>
      <c r="B735" s="26" t="s">
        <v>14</v>
      </c>
      <c r="C735" s="20">
        <v>41745</v>
      </c>
      <c r="D735" t="s">
        <v>56</v>
      </c>
      <c r="E735" s="3">
        <v>800</v>
      </c>
      <c r="F735" s="3">
        <v>22</v>
      </c>
      <c r="G735" s="3">
        <v>10736</v>
      </c>
      <c r="H735" s="3" t="s">
        <v>2969</v>
      </c>
    </row>
    <row r="736" spans="1:8" x14ac:dyDescent="0.35">
      <c r="A736" t="s">
        <v>83</v>
      </c>
      <c r="B736" s="26" t="s">
        <v>14</v>
      </c>
      <c r="C736" s="20">
        <v>41766</v>
      </c>
      <c r="D736" t="s">
        <v>26</v>
      </c>
      <c r="E736" s="3">
        <v>700</v>
      </c>
      <c r="F736" s="3">
        <v>83</v>
      </c>
      <c r="G736" s="3">
        <v>45318</v>
      </c>
      <c r="H736" s="3" t="s">
        <v>2965</v>
      </c>
    </row>
    <row r="737" spans="1:8" x14ac:dyDescent="0.35">
      <c r="A737" t="s">
        <v>109</v>
      </c>
      <c r="B737" s="26" t="s">
        <v>20</v>
      </c>
      <c r="C737" s="20">
        <v>42622</v>
      </c>
      <c r="D737" t="s">
        <v>116</v>
      </c>
      <c r="E737" s="3">
        <v>250</v>
      </c>
      <c r="F737" s="3">
        <v>87</v>
      </c>
      <c r="G737" s="3">
        <v>21576</v>
      </c>
      <c r="H737" s="3" t="s">
        <v>2973</v>
      </c>
    </row>
    <row r="738" spans="1:8" x14ac:dyDescent="0.35">
      <c r="A738" t="s">
        <v>97</v>
      </c>
      <c r="B738" s="26" t="s">
        <v>14</v>
      </c>
      <c r="C738" s="20">
        <v>42592</v>
      </c>
      <c r="D738" t="s">
        <v>116</v>
      </c>
      <c r="E738" s="3">
        <v>250</v>
      </c>
      <c r="F738" s="3">
        <v>1</v>
      </c>
      <c r="G738" s="3">
        <v>243</v>
      </c>
      <c r="H738" s="3" t="s">
        <v>2972</v>
      </c>
    </row>
    <row r="739" spans="1:8" x14ac:dyDescent="0.35">
      <c r="A739" t="s">
        <v>66</v>
      </c>
      <c r="B739" s="26" t="s">
        <v>36</v>
      </c>
      <c r="C739" s="20">
        <v>43462</v>
      </c>
      <c r="D739" t="s">
        <v>37</v>
      </c>
      <c r="E739" s="3">
        <v>50</v>
      </c>
      <c r="F739" s="3">
        <v>76</v>
      </c>
      <c r="G739" s="3">
        <v>3724</v>
      </c>
      <c r="H739" s="3" t="s">
        <v>2976</v>
      </c>
    </row>
    <row r="740" spans="1:8" x14ac:dyDescent="0.35">
      <c r="A740" t="s">
        <v>109</v>
      </c>
      <c r="B740" s="26" t="s">
        <v>20</v>
      </c>
      <c r="C740" s="20">
        <v>42608</v>
      </c>
      <c r="D740" t="s">
        <v>116</v>
      </c>
      <c r="E740" s="3">
        <v>250</v>
      </c>
      <c r="F740" s="3">
        <v>15</v>
      </c>
      <c r="G740" s="3">
        <v>3750</v>
      </c>
      <c r="H740" s="3" t="s">
        <v>2972</v>
      </c>
    </row>
    <row r="741" spans="1:8" x14ac:dyDescent="0.35">
      <c r="A741" t="s">
        <v>30</v>
      </c>
      <c r="B741" s="26" t="s">
        <v>14</v>
      </c>
      <c r="C741" s="20">
        <v>43121</v>
      </c>
      <c r="D741" t="s">
        <v>37</v>
      </c>
      <c r="E741" s="3">
        <v>50</v>
      </c>
      <c r="F741" s="3">
        <v>15</v>
      </c>
      <c r="G741" s="3">
        <v>705</v>
      </c>
      <c r="H741" s="3" t="s">
        <v>2966</v>
      </c>
    </row>
    <row r="742" spans="1:8" x14ac:dyDescent="0.35">
      <c r="A742" t="s">
        <v>109</v>
      </c>
      <c r="B742" s="26" t="s">
        <v>20</v>
      </c>
      <c r="C742" s="20">
        <v>42546</v>
      </c>
      <c r="D742" t="s">
        <v>26</v>
      </c>
      <c r="E742" s="3">
        <v>700</v>
      </c>
      <c r="F742" s="3">
        <v>15</v>
      </c>
      <c r="G742" s="3">
        <v>9660</v>
      </c>
      <c r="H742" s="3" t="s">
        <v>2970</v>
      </c>
    </row>
    <row r="743" spans="1:8" x14ac:dyDescent="0.35">
      <c r="A743" t="s">
        <v>79</v>
      </c>
      <c r="B743" s="26" t="s">
        <v>36</v>
      </c>
      <c r="C743" s="20">
        <v>43061</v>
      </c>
      <c r="D743" t="s">
        <v>73</v>
      </c>
      <c r="E743" s="3">
        <v>500</v>
      </c>
      <c r="F743" s="3">
        <v>29</v>
      </c>
      <c r="G743" s="3">
        <v>14355</v>
      </c>
      <c r="H743" s="3" t="s">
        <v>2975</v>
      </c>
    </row>
    <row r="744" spans="1:8" x14ac:dyDescent="0.35">
      <c r="A744" t="s">
        <v>72</v>
      </c>
      <c r="B744" s="26" t="s">
        <v>36</v>
      </c>
      <c r="C744" s="20">
        <v>43238</v>
      </c>
      <c r="D744" t="s">
        <v>26</v>
      </c>
      <c r="E744" s="3">
        <v>700</v>
      </c>
      <c r="F744" s="3">
        <v>22</v>
      </c>
      <c r="G744" s="3">
        <v>14168</v>
      </c>
      <c r="H744" s="3" t="s">
        <v>2965</v>
      </c>
    </row>
    <row r="745" spans="1:8" x14ac:dyDescent="0.35">
      <c r="A745" t="s">
        <v>83</v>
      </c>
      <c r="B745" s="26" t="s">
        <v>14</v>
      </c>
      <c r="C745" s="20">
        <v>43230</v>
      </c>
      <c r="D745" t="s">
        <v>26</v>
      </c>
      <c r="E745" s="3">
        <v>700</v>
      </c>
      <c r="F745" s="3">
        <v>52</v>
      </c>
      <c r="G745" s="3">
        <v>33852</v>
      </c>
      <c r="H745" s="3" t="s">
        <v>2965</v>
      </c>
    </row>
    <row r="746" spans="1:8" x14ac:dyDescent="0.35">
      <c r="A746" t="s">
        <v>79</v>
      </c>
      <c r="B746" s="26" t="s">
        <v>36</v>
      </c>
      <c r="C746" s="20">
        <v>42274</v>
      </c>
      <c r="D746" t="s">
        <v>56</v>
      </c>
      <c r="E746" s="3">
        <v>800</v>
      </c>
      <c r="F746" s="3">
        <v>13</v>
      </c>
      <c r="G746" s="3">
        <v>9776</v>
      </c>
      <c r="H746" s="3" t="s">
        <v>2973</v>
      </c>
    </row>
    <row r="747" spans="1:8" x14ac:dyDescent="0.35">
      <c r="A747" t="s">
        <v>148</v>
      </c>
      <c r="B747" s="26" t="s">
        <v>14</v>
      </c>
      <c r="C747" s="20">
        <v>43206</v>
      </c>
      <c r="D747" t="s">
        <v>116</v>
      </c>
      <c r="E747" s="3">
        <v>250</v>
      </c>
      <c r="F747" s="3">
        <v>3</v>
      </c>
      <c r="G747" s="3">
        <v>699</v>
      </c>
      <c r="H747" s="3" t="s">
        <v>2969</v>
      </c>
    </row>
    <row r="748" spans="1:8" x14ac:dyDescent="0.35">
      <c r="A748" t="s">
        <v>61</v>
      </c>
      <c r="B748" s="26" t="s">
        <v>14</v>
      </c>
      <c r="C748" s="20">
        <v>41963</v>
      </c>
      <c r="D748" t="s">
        <v>56</v>
      </c>
      <c r="E748" s="3">
        <v>800</v>
      </c>
      <c r="F748" s="3">
        <v>73</v>
      </c>
      <c r="G748" s="3">
        <v>35040</v>
      </c>
      <c r="H748" s="3" t="s">
        <v>2975</v>
      </c>
    </row>
    <row r="749" spans="1:8" x14ac:dyDescent="0.35">
      <c r="A749" t="s">
        <v>61</v>
      </c>
      <c r="B749" s="26" t="s">
        <v>14</v>
      </c>
      <c r="C749" s="20">
        <v>43019</v>
      </c>
      <c r="D749" t="s">
        <v>62</v>
      </c>
      <c r="E749" s="3">
        <v>1000</v>
      </c>
      <c r="F749" s="3">
        <v>19</v>
      </c>
      <c r="G749" s="3">
        <v>15390</v>
      </c>
      <c r="H749" s="3" t="s">
        <v>2974</v>
      </c>
    </row>
    <row r="750" spans="1:8" x14ac:dyDescent="0.35">
      <c r="A750" t="s">
        <v>51</v>
      </c>
      <c r="B750" s="26" t="s">
        <v>25</v>
      </c>
      <c r="C750" s="20">
        <v>42903</v>
      </c>
      <c r="D750" t="s">
        <v>56</v>
      </c>
      <c r="E750" s="3">
        <v>800</v>
      </c>
      <c r="F750" s="3">
        <v>94</v>
      </c>
      <c r="G750" s="3">
        <v>51888</v>
      </c>
      <c r="H750" s="3" t="s">
        <v>2970</v>
      </c>
    </row>
    <row r="751" spans="1:8" x14ac:dyDescent="0.35">
      <c r="A751" t="s">
        <v>51</v>
      </c>
      <c r="B751" s="26" t="s">
        <v>25</v>
      </c>
      <c r="C751" s="20">
        <v>43464</v>
      </c>
      <c r="D751" t="s">
        <v>123</v>
      </c>
      <c r="E751" s="3">
        <v>50</v>
      </c>
      <c r="F751" s="3">
        <v>78</v>
      </c>
      <c r="G751" s="3">
        <v>3744</v>
      </c>
      <c r="H751" s="3" t="s">
        <v>2976</v>
      </c>
    </row>
    <row r="752" spans="1:8" x14ac:dyDescent="0.35">
      <c r="A752" t="s">
        <v>41</v>
      </c>
      <c r="B752" s="26" t="s">
        <v>36</v>
      </c>
      <c r="C752" s="20">
        <v>42822</v>
      </c>
      <c r="D752" t="s">
        <v>105</v>
      </c>
      <c r="E752" s="3">
        <v>70</v>
      </c>
      <c r="F752" s="3">
        <v>29</v>
      </c>
      <c r="G752" s="3">
        <v>2030</v>
      </c>
      <c r="H752" s="3" t="s">
        <v>2968</v>
      </c>
    </row>
    <row r="753" spans="1:8" x14ac:dyDescent="0.35">
      <c r="A753" t="s">
        <v>35</v>
      </c>
      <c r="B753" s="26" t="s">
        <v>36</v>
      </c>
      <c r="C753" s="20">
        <v>43175</v>
      </c>
      <c r="D753" t="s">
        <v>62</v>
      </c>
      <c r="E753" s="3">
        <v>1000</v>
      </c>
      <c r="F753" s="3">
        <v>14</v>
      </c>
      <c r="G753" s="3">
        <v>13020</v>
      </c>
      <c r="H753" s="3" t="s">
        <v>2968</v>
      </c>
    </row>
    <row r="754" spans="1:8" x14ac:dyDescent="0.35">
      <c r="A754" t="s">
        <v>129</v>
      </c>
      <c r="B754" s="26" t="s">
        <v>14</v>
      </c>
      <c r="C754" s="20">
        <v>43431</v>
      </c>
      <c r="D754" t="s">
        <v>116</v>
      </c>
      <c r="E754" s="3">
        <v>250</v>
      </c>
      <c r="F754" s="3">
        <v>73</v>
      </c>
      <c r="G754" s="3">
        <v>18250</v>
      </c>
      <c r="H754" s="3" t="s">
        <v>2975</v>
      </c>
    </row>
    <row r="755" spans="1:8" x14ac:dyDescent="0.35">
      <c r="A755" t="s">
        <v>41</v>
      </c>
      <c r="B755" s="26" t="s">
        <v>36</v>
      </c>
      <c r="C755" s="20">
        <v>42363</v>
      </c>
      <c r="D755" t="s">
        <v>26</v>
      </c>
      <c r="E755" s="3">
        <v>700</v>
      </c>
      <c r="F755" s="3">
        <v>41</v>
      </c>
      <c r="G755" s="3">
        <v>19229</v>
      </c>
      <c r="H755" s="3" t="s">
        <v>2976</v>
      </c>
    </row>
    <row r="756" spans="1:8" x14ac:dyDescent="0.35">
      <c r="A756" t="s">
        <v>326</v>
      </c>
      <c r="B756" s="26" t="s">
        <v>14</v>
      </c>
      <c r="C756" s="20">
        <v>42684</v>
      </c>
      <c r="D756" t="s">
        <v>105</v>
      </c>
      <c r="E756" s="3">
        <v>70</v>
      </c>
      <c r="F756" s="3">
        <v>39</v>
      </c>
      <c r="G756" s="3">
        <v>2691</v>
      </c>
      <c r="H756" s="3" t="s">
        <v>2975</v>
      </c>
    </row>
    <row r="757" spans="1:8" x14ac:dyDescent="0.35">
      <c r="A757" t="s">
        <v>87</v>
      </c>
      <c r="B757" s="26" t="s">
        <v>14</v>
      </c>
      <c r="C757" s="20">
        <v>41804</v>
      </c>
      <c r="D757" t="s">
        <v>26</v>
      </c>
      <c r="E757" s="3">
        <v>700</v>
      </c>
      <c r="F757" s="3">
        <v>98</v>
      </c>
      <c r="G757" s="3">
        <v>61740</v>
      </c>
      <c r="H757" s="3" t="s">
        <v>2970</v>
      </c>
    </row>
    <row r="758" spans="1:8" x14ac:dyDescent="0.35">
      <c r="A758" t="s">
        <v>72</v>
      </c>
      <c r="B758" s="26" t="s">
        <v>36</v>
      </c>
      <c r="C758" s="20">
        <v>43052</v>
      </c>
      <c r="D758" t="s">
        <v>15</v>
      </c>
      <c r="E758" s="3">
        <v>80</v>
      </c>
      <c r="F758" s="3">
        <v>58</v>
      </c>
      <c r="G758" s="3">
        <v>4524</v>
      </c>
      <c r="H758" s="3" t="s">
        <v>2975</v>
      </c>
    </row>
    <row r="759" spans="1:8" x14ac:dyDescent="0.35">
      <c r="A759" t="s">
        <v>51</v>
      </c>
      <c r="B759" s="26" t="s">
        <v>25</v>
      </c>
      <c r="C759" s="20">
        <v>42921</v>
      </c>
      <c r="D759" t="s">
        <v>37</v>
      </c>
      <c r="E759" s="3">
        <v>50</v>
      </c>
      <c r="F759" s="3">
        <v>8</v>
      </c>
      <c r="G759" s="3">
        <v>392</v>
      </c>
      <c r="H759" s="3" t="s">
        <v>2971</v>
      </c>
    </row>
    <row r="760" spans="1:8" x14ac:dyDescent="0.35">
      <c r="A760" t="s">
        <v>207</v>
      </c>
      <c r="B760" s="26" t="s">
        <v>25</v>
      </c>
      <c r="C760" s="20">
        <v>41881</v>
      </c>
      <c r="D760" t="s">
        <v>62</v>
      </c>
      <c r="E760" s="3">
        <v>1000</v>
      </c>
      <c r="F760" s="3">
        <v>53</v>
      </c>
      <c r="G760" s="3">
        <v>39750</v>
      </c>
      <c r="H760" s="3" t="s">
        <v>2972</v>
      </c>
    </row>
    <row r="761" spans="1:8" x14ac:dyDescent="0.35">
      <c r="A761" t="s">
        <v>83</v>
      </c>
      <c r="B761" s="26" t="s">
        <v>14</v>
      </c>
      <c r="C761" s="20">
        <v>41852</v>
      </c>
      <c r="D761" t="s">
        <v>37</v>
      </c>
      <c r="E761" s="3">
        <v>50</v>
      </c>
      <c r="F761" s="3">
        <v>76</v>
      </c>
      <c r="G761" s="3">
        <v>2812</v>
      </c>
      <c r="H761" s="3" t="s">
        <v>2972</v>
      </c>
    </row>
    <row r="762" spans="1:8" x14ac:dyDescent="0.35">
      <c r="A762" t="s">
        <v>172</v>
      </c>
      <c r="B762" s="26" t="s">
        <v>14</v>
      </c>
      <c r="C762" s="20">
        <v>43323</v>
      </c>
      <c r="D762" t="s">
        <v>42</v>
      </c>
      <c r="E762" s="3">
        <v>30</v>
      </c>
      <c r="F762" s="3">
        <v>73</v>
      </c>
      <c r="G762" s="3">
        <v>2044</v>
      </c>
      <c r="H762" s="3" t="s">
        <v>2972</v>
      </c>
    </row>
    <row r="763" spans="1:8" x14ac:dyDescent="0.35">
      <c r="A763" t="s">
        <v>41</v>
      </c>
      <c r="B763" s="26" t="s">
        <v>36</v>
      </c>
      <c r="C763" s="20">
        <v>43152</v>
      </c>
      <c r="D763" t="s">
        <v>73</v>
      </c>
      <c r="E763" s="3">
        <v>500</v>
      </c>
      <c r="F763" s="3">
        <v>26</v>
      </c>
      <c r="G763" s="3">
        <v>13000</v>
      </c>
      <c r="H763" s="3" t="s">
        <v>2967</v>
      </c>
    </row>
    <row r="764" spans="1:8" x14ac:dyDescent="0.35">
      <c r="A764" t="s">
        <v>66</v>
      </c>
      <c r="B764" s="26" t="s">
        <v>36</v>
      </c>
      <c r="C764" s="20">
        <v>43465</v>
      </c>
      <c r="D764" t="s">
        <v>42</v>
      </c>
      <c r="E764" s="3">
        <v>30</v>
      </c>
      <c r="F764" s="3">
        <v>100</v>
      </c>
      <c r="G764" s="3">
        <v>2900</v>
      </c>
      <c r="H764" s="3" t="s">
        <v>2976</v>
      </c>
    </row>
    <row r="765" spans="1:8" x14ac:dyDescent="0.35">
      <c r="A765" t="s">
        <v>109</v>
      </c>
      <c r="B765" s="26" t="s">
        <v>20</v>
      </c>
      <c r="C765" s="20">
        <v>41905</v>
      </c>
      <c r="D765" t="s">
        <v>31</v>
      </c>
      <c r="E765" s="3">
        <v>150</v>
      </c>
      <c r="F765" s="3">
        <v>53</v>
      </c>
      <c r="G765" s="3">
        <v>5830</v>
      </c>
      <c r="H765" s="3" t="s">
        <v>2973</v>
      </c>
    </row>
    <row r="766" spans="1:8" x14ac:dyDescent="0.35">
      <c r="A766" t="s">
        <v>61</v>
      </c>
      <c r="B766" s="26" t="s">
        <v>14</v>
      </c>
      <c r="C766" s="20">
        <v>42172</v>
      </c>
      <c r="D766" t="s">
        <v>105</v>
      </c>
      <c r="E766" s="3">
        <v>70</v>
      </c>
      <c r="F766" s="3">
        <v>43</v>
      </c>
      <c r="G766" s="3">
        <v>2150</v>
      </c>
      <c r="H766" s="3" t="s">
        <v>2970</v>
      </c>
    </row>
    <row r="767" spans="1:8" x14ac:dyDescent="0.35">
      <c r="A767" t="s">
        <v>129</v>
      </c>
      <c r="B767" s="26" t="s">
        <v>14</v>
      </c>
      <c r="C767" s="20">
        <v>43137</v>
      </c>
      <c r="D767" t="s">
        <v>56</v>
      </c>
      <c r="E767" s="3">
        <v>800</v>
      </c>
      <c r="F767" s="3">
        <v>59</v>
      </c>
      <c r="G767" s="3">
        <v>44840</v>
      </c>
      <c r="H767" s="3" t="s">
        <v>2967</v>
      </c>
    </row>
    <row r="768" spans="1:8" x14ac:dyDescent="0.35">
      <c r="A768" t="s">
        <v>176</v>
      </c>
      <c r="B768" s="26" t="s">
        <v>14</v>
      </c>
      <c r="C768" s="20">
        <v>43378</v>
      </c>
      <c r="D768" t="s">
        <v>105</v>
      </c>
      <c r="E768" s="3">
        <v>70</v>
      </c>
      <c r="F768" s="3">
        <v>59</v>
      </c>
      <c r="G768" s="3">
        <v>4012</v>
      </c>
      <c r="H768" s="3" t="s">
        <v>2974</v>
      </c>
    </row>
    <row r="769" spans="1:8" x14ac:dyDescent="0.35">
      <c r="A769" t="s">
        <v>51</v>
      </c>
      <c r="B769" s="26" t="s">
        <v>25</v>
      </c>
      <c r="C769" s="20">
        <v>42424</v>
      </c>
      <c r="D769" t="s">
        <v>62</v>
      </c>
      <c r="E769" s="3">
        <v>1000</v>
      </c>
      <c r="F769" s="3">
        <v>97</v>
      </c>
      <c r="G769" s="3">
        <v>93120</v>
      </c>
      <c r="H769" s="3" t="s">
        <v>2967</v>
      </c>
    </row>
    <row r="770" spans="1:8" x14ac:dyDescent="0.35">
      <c r="A770" t="s">
        <v>55</v>
      </c>
      <c r="B770" s="26" t="s">
        <v>14</v>
      </c>
      <c r="C770" s="20">
        <v>43088</v>
      </c>
      <c r="D770" t="s">
        <v>15</v>
      </c>
      <c r="E770" s="3">
        <v>80</v>
      </c>
      <c r="F770" s="3">
        <v>58</v>
      </c>
      <c r="G770" s="3">
        <v>4640</v>
      </c>
      <c r="H770" s="3" t="s">
        <v>2976</v>
      </c>
    </row>
    <row r="771" spans="1:8" x14ac:dyDescent="0.35">
      <c r="A771" t="s">
        <v>257</v>
      </c>
      <c r="B771" s="26" t="s">
        <v>14</v>
      </c>
      <c r="C771" s="20">
        <v>43344</v>
      </c>
      <c r="D771" t="s">
        <v>56</v>
      </c>
      <c r="E771" s="3">
        <v>800</v>
      </c>
      <c r="F771" s="3">
        <v>3</v>
      </c>
      <c r="G771" s="3">
        <v>2328</v>
      </c>
      <c r="H771" s="3" t="s">
        <v>2973</v>
      </c>
    </row>
    <row r="772" spans="1:8" x14ac:dyDescent="0.35">
      <c r="A772" t="s">
        <v>93</v>
      </c>
      <c r="B772" s="26" t="s">
        <v>36</v>
      </c>
      <c r="C772" s="20">
        <v>42974</v>
      </c>
      <c r="D772" t="s">
        <v>56</v>
      </c>
      <c r="E772" s="3">
        <v>800</v>
      </c>
      <c r="F772" s="3">
        <v>72</v>
      </c>
      <c r="G772" s="3">
        <v>40320</v>
      </c>
      <c r="H772" s="3" t="s">
        <v>2972</v>
      </c>
    </row>
    <row r="773" spans="1:8" x14ac:dyDescent="0.35">
      <c r="A773" t="s">
        <v>55</v>
      </c>
      <c r="B773" s="26" t="s">
        <v>14</v>
      </c>
      <c r="C773" s="20">
        <v>43025</v>
      </c>
      <c r="D773" t="s">
        <v>123</v>
      </c>
      <c r="E773" s="3">
        <v>50</v>
      </c>
      <c r="F773" s="3">
        <v>2</v>
      </c>
      <c r="G773" s="3">
        <v>92</v>
      </c>
      <c r="H773" s="3" t="s">
        <v>2974</v>
      </c>
    </row>
    <row r="774" spans="1:8" x14ac:dyDescent="0.35">
      <c r="A774" t="s">
        <v>109</v>
      </c>
      <c r="B774" s="26" t="s">
        <v>20</v>
      </c>
      <c r="C774" s="20">
        <v>41755</v>
      </c>
      <c r="D774" t="s">
        <v>105</v>
      </c>
      <c r="E774" s="3">
        <v>70</v>
      </c>
      <c r="F774" s="3">
        <v>69</v>
      </c>
      <c r="G774" s="3">
        <v>3933</v>
      </c>
      <c r="H774" s="3" t="s">
        <v>2969</v>
      </c>
    </row>
    <row r="775" spans="1:8" x14ac:dyDescent="0.35">
      <c r="A775" t="s">
        <v>83</v>
      </c>
      <c r="B775" s="26" t="s">
        <v>14</v>
      </c>
      <c r="C775" s="20">
        <v>42502</v>
      </c>
      <c r="D775" t="s">
        <v>15</v>
      </c>
      <c r="E775" s="3">
        <v>80</v>
      </c>
      <c r="F775" s="3">
        <v>84</v>
      </c>
      <c r="G775" s="3">
        <v>6552</v>
      </c>
      <c r="H775" s="3" t="s">
        <v>2965</v>
      </c>
    </row>
    <row r="776" spans="1:8" x14ac:dyDescent="0.35">
      <c r="A776" t="s">
        <v>97</v>
      </c>
      <c r="B776" s="26" t="s">
        <v>14</v>
      </c>
      <c r="C776" s="20">
        <v>43002</v>
      </c>
      <c r="D776" t="s">
        <v>15</v>
      </c>
      <c r="E776" s="3">
        <v>80</v>
      </c>
      <c r="F776" s="3">
        <v>10</v>
      </c>
      <c r="G776" s="3">
        <v>780</v>
      </c>
      <c r="H776" s="3" t="s">
        <v>2973</v>
      </c>
    </row>
    <row r="777" spans="1:8" x14ac:dyDescent="0.35">
      <c r="A777" t="s">
        <v>189</v>
      </c>
      <c r="B777" s="26" t="s">
        <v>14</v>
      </c>
      <c r="C777" s="20">
        <v>43310</v>
      </c>
      <c r="D777" t="s">
        <v>116</v>
      </c>
      <c r="E777" s="3">
        <v>250</v>
      </c>
      <c r="F777" s="3">
        <v>31</v>
      </c>
      <c r="G777" s="3">
        <v>7750</v>
      </c>
      <c r="H777" s="3" t="s">
        <v>2971</v>
      </c>
    </row>
    <row r="778" spans="1:8" x14ac:dyDescent="0.35">
      <c r="A778" t="s">
        <v>109</v>
      </c>
      <c r="B778" s="26" t="s">
        <v>20</v>
      </c>
      <c r="C778" s="20">
        <v>41850</v>
      </c>
      <c r="D778" t="s">
        <v>42</v>
      </c>
      <c r="E778" s="3">
        <v>30</v>
      </c>
      <c r="F778" s="3">
        <v>85</v>
      </c>
      <c r="G778" s="3">
        <v>2465</v>
      </c>
      <c r="H778" s="3" t="s">
        <v>2971</v>
      </c>
    </row>
    <row r="779" spans="1:8" x14ac:dyDescent="0.35">
      <c r="A779" t="s">
        <v>97</v>
      </c>
      <c r="B779" s="26" t="s">
        <v>14</v>
      </c>
      <c r="C779" s="20">
        <v>42227</v>
      </c>
      <c r="D779" t="s">
        <v>123</v>
      </c>
      <c r="E779" s="3">
        <v>50</v>
      </c>
      <c r="F779" s="3">
        <v>81</v>
      </c>
      <c r="G779" s="3">
        <v>2673</v>
      </c>
      <c r="H779" s="3" t="s">
        <v>2972</v>
      </c>
    </row>
    <row r="780" spans="1:8" x14ac:dyDescent="0.35">
      <c r="A780" t="s">
        <v>176</v>
      </c>
      <c r="B780" s="26" t="s">
        <v>14</v>
      </c>
      <c r="C780" s="20">
        <v>42767</v>
      </c>
      <c r="D780" t="s">
        <v>62</v>
      </c>
      <c r="E780" s="3">
        <v>1000</v>
      </c>
      <c r="F780" s="3">
        <v>74</v>
      </c>
      <c r="G780" s="3">
        <v>65120</v>
      </c>
      <c r="H780" s="3" t="s">
        <v>2967</v>
      </c>
    </row>
    <row r="781" spans="1:8" x14ac:dyDescent="0.35">
      <c r="A781" t="s">
        <v>93</v>
      </c>
      <c r="B781" s="26" t="s">
        <v>36</v>
      </c>
      <c r="C781" s="20">
        <v>42290</v>
      </c>
      <c r="D781" t="s">
        <v>47</v>
      </c>
      <c r="E781" s="3">
        <v>500</v>
      </c>
      <c r="F781" s="3">
        <v>58</v>
      </c>
      <c r="G781" s="3">
        <v>17690</v>
      </c>
      <c r="H781" s="3" t="s">
        <v>2974</v>
      </c>
    </row>
    <row r="782" spans="1:8" x14ac:dyDescent="0.35">
      <c r="A782" t="s">
        <v>189</v>
      </c>
      <c r="B782" s="26" t="s">
        <v>14</v>
      </c>
      <c r="C782" s="20">
        <v>41817</v>
      </c>
      <c r="D782" t="s">
        <v>26</v>
      </c>
      <c r="E782" s="3">
        <v>700</v>
      </c>
      <c r="F782" s="3">
        <v>17</v>
      </c>
      <c r="G782" s="3">
        <v>11305</v>
      </c>
      <c r="H782" s="3" t="s">
        <v>2970</v>
      </c>
    </row>
    <row r="783" spans="1:8" x14ac:dyDescent="0.35">
      <c r="A783" t="s">
        <v>402</v>
      </c>
      <c r="B783" s="26" t="s">
        <v>14</v>
      </c>
      <c r="C783" s="20">
        <v>43140</v>
      </c>
      <c r="D783" t="s">
        <v>47</v>
      </c>
      <c r="E783" s="3">
        <v>500</v>
      </c>
      <c r="F783" s="3">
        <v>22</v>
      </c>
      <c r="G783" s="3">
        <v>2200</v>
      </c>
      <c r="H783" s="3" t="s">
        <v>2967</v>
      </c>
    </row>
    <row r="784" spans="1:8" x14ac:dyDescent="0.35">
      <c r="A784" t="s">
        <v>101</v>
      </c>
      <c r="B784" s="26" t="s">
        <v>14</v>
      </c>
      <c r="C784" s="20">
        <v>42813</v>
      </c>
      <c r="D784" t="s">
        <v>73</v>
      </c>
      <c r="E784" s="3">
        <v>500</v>
      </c>
      <c r="F784" s="3">
        <v>50</v>
      </c>
      <c r="G784" s="3">
        <v>25000</v>
      </c>
      <c r="H784" s="3" t="s">
        <v>2968</v>
      </c>
    </row>
    <row r="785" spans="1:8" x14ac:dyDescent="0.35">
      <c r="A785" t="s">
        <v>41</v>
      </c>
      <c r="B785" s="26" t="s">
        <v>36</v>
      </c>
      <c r="C785" s="20">
        <v>42302</v>
      </c>
      <c r="D785" t="s">
        <v>15</v>
      </c>
      <c r="E785" s="3">
        <v>80</v>
      </c>
      <c r="F785" s="3">
        <v>51</v>
      </c>
      <c r="G785" s="3">
        <v>3315</v>
      </c>
      <c r="H785" s="3" t="s">
        <v>2974</v>
      </c>
    </row>
    <row r="786" spans="1:8" x14ac:dyDescent="0.35">
      <c r="A786" t="s">
        <v>109</v>
      </c>
      <c r="B786" s="26" t="s">
        <v>20</v>
      </c>
      <c r="C786" s="20">
        <v>42852</v>
      </c>
      <c r="D786" t="s">
        <v>26</v>
      </c>
      <c r="E786" s="3">
        <v>700</v>
      </c>
      <c r="F786" s="3">
        <v>53</v>
      </c>
      <c r="G786" s="3">
        <v>34503</v>
      </c>
      <c r="H786" s="3" t="s">
        <v>2969</v>
      </c>
    </row>
    <row r="787" spans="1:8" x14ac:dyDescent="0.35">
      <c r="A787" t="s">
        <v>41</v>
      </c>
      <c r="B787" s="26" t="s">
        <v>36</v>
      </c>
      <c r="C787" s="20">
        <v>42863</v>
      </c>
      <c r="D787" t="s">
        <v>31</v>
      </c>
      <c r="E787" s="3">
        <v>150</v>
      </c>
      <c r="F787" s="3">
        <v>49</v>
      </c>
      <c r="G787" s="3">
        <v>6909</v>
      </c>
      <c r="H787" s="3" t="s">
        <v>2965</v>
      </c>
    </row>
    <row r="788" spans="1:8" x14ac:dyDescent="0.35">
      <c r="A788" t="s">
        <v>41</v>
      </c>
      <c r="B788" s="26" t="s">
        <v>36</v>
      </c>
      <c r="C788" s="20">
        <v>43327</v>
      </c>
      <c r="D788" t="s">
        <v>116</v>
      </c>
      <c r="E788" s="3">
        <v>250</v>
      </c>
      <c r="F788" s="3">
        <v>49</v>
      </c>
      <c r="G788" s="3">
        <v>11760</v>
      </c>
      <c r="H788" s="3" t="s">
        <v>2972</v>
      </c>
    </row>
    <row r="789" spans="1:8" x14ac:dyDescent="0.35">
      <c r="A789" t="s">
        <v>41</v>
      </c>
      <c r="B789" s="26" t="s">
        <v>36</v>
      </c>
      <c r="C789" s="20">
        <v>42340</v>
      </c>
      <c r="D789" t="s">
        <v>105</v>
      </c>
      <c r="E789" s="3">
        <v>70</v>
      </c>
      <c r="F789" s="3">
        <v>49</v>
      </c>
      <c r="G789" s="3">
        <v>2793</v>
      </c>
      <c r="H789" s="3" t="s">
        <v>2976</v>
      </c>
    </row>
    <row r="790" spans="1:8" x14ac:dyDescent="0.35">
      <c r="A790" t="s">
        <v>109</v>
      </c>
      <c r="B790" s="26" t="s">
        <v>20</v>
      </c>
      <c r="C790" s="20">
        <v>41903</v>
      </c>
      <c r="D790" t="s">
        <v>73</v>
      </c>
      <c r="E790" s="3">
        <v>500</v>
      </c>
      <c r="F790" s="3">
        <v>71</v>
      </c>
      <c r="G790" s="3">
        <v>35145</v>
      </c>
      <c r="H790" s="3" t="s">
        <v>2973</v>
      </c>
    </row>
    <row r="791" spans="1:8" x14ac:dyDescent="0.35">
      <c r="A791" t="s">
        <v>120</v>
      </c>
      <c r="B791" s="26" t="s">
        <v>36</v>
      </c>
      <c r="C791" s="20">
        <v>42810</v>
      </c>
      <c r="D791" t="s">
        <v>42</v>
      </c>
      <c r="E791" s="3">
        <v>30</v>
      </c>
      <c r="F791" s="3">
        <v>78</v>
      </c>
      <c r="G791" s="3">
        <v>2262</v>
      </c>
      <c r="H791" s="3" t="s">
        <v>2968</v>
      </c>
    </row>
    <row r="792" spans="1:8" x14ac:dyDescent="0.35">
      <c r="A792" t="s">
        <v>109</v>
      </c>
      <c r="B792" s="26" t="s">
        <v>20</v>
      </c>
      <c r="C792" s="20">
        <v>42651</v>
      </c>
      <c r="D792" t="s">
        <v>26</v>
      </c>
      <c r="E792" s="3">
        <v>700</v>
      </c>
      <c r="F792" s="3">
        <v>29</v>
      </c>
      <c r="G792" s="3">
        <v>17255</v>
      </c>
      <c r="H792" s="3" t="s">
        <v>2974</v>
      </c>
    </row>
    <row r="793" spans="1:8" x14ac:dyDescent="0.35">
      <c r="A793" t="s">
        <v>152</v>
      </c>
      <c r="B793" s="26" t="s">
        <v>14</v>
      </c>
      <c r="C793" s="20">
        <v>42697</v>
      </c>
      <c r="D793" t="s">
        <v>116</v>
      </c>
      <c r="E793" s="3">
        <v>250</v>
      </c>
      <c r="F793" s="3">
        <v>40</v>
      </c>
      <c r="G793" s="3">
        <v>8520</v>
      </c>
      <c r="H793" s="3" t="s">
        <v>2975</v>
      </c>
    </row>
    <row r="794" spans="1:8" x14ac:dyDescent="0.35">
      <c r="A794" t="s">
        <v>72</v>
      </c>
      <c r="B794" s="26" t="s">
        <v>36</v>
      </c>
      <c r="C794" s="20">
        <v>43389</v>
      </c>
      <c r="D794" t="s">
        <v>31</v>
      </c>
      <c r="E794" s="3">
        <v>150</v>
      </c>
      <c r="F794" s="3">
        <v>2</v>
      </c>
      <c r="G794" s="3">
        <v>258</v>
      </c>
      <c r="H794" s="3" t="s">
        <v>2974</v>
      </c>
    </row>
    <row r="795" spans="1:8" x14ac:dyDescent="0.35">
      <c r="A795" t="s">
        <v>120</v>
      </c>
      <c r="B795" s="26" t="s">
        <v>36</v>
      </c>
      <c r="C795" s="20">
        <v>42019</v>
      </c>
      <c r="D795" t="s">
        <v>42</v>
      </c>
      <c r="E795" s="3">
        <v>30</v>
      </c>
      <c r="F795" s="3">
        <v>17</v>
      </c>
      <c r="G795" s="3">
        <v>493</v>
      </c>
      <c r="H795" s="3" t="s">
        <v>2966</v>
      </c>
    </row>
    <row r="796" spans="1:8" x14ac:dyDescent="0.35">
      <c r="A796" t="s">
        <v>13</v>
      </c>
      <c r="B796" s="26" t="s">
        <v>14</v>
      </c>
      <c r="C796" s="20">
        <v>43354</v>
      </c>
      <c r="D796" t="s">
        <v>123</v>
      </c>
      <c r="E796" s="3">
        <v>50</v>
      </c>
      <c r="F796" s="3">
        <v>17</v>
      </c>
      <c r="G796" s="3">
        <v>833</v>
      </c>
      <c r="H796" s="3" t="s">
        <v>2973</v>
      </c>
    </row>
    <row r="797" spans="1:8" x14ac:dyDescent="0.35">
      <c r="A797" t="s">
        <v>148</v>
      </c>
      <c r="B797" s="26" t="s">
        <v>14</v>
      </c>
      <c r="C797" s="20">
        <v>41801</v>
      </c>
      <c r="D797" t="s">
        <v>47</v>
      </c>
      <c r="E797" s="3">
        <v>500</v>
      </c>
      <c r="F797" s="3">
        <v>19</v>
      </c>
      <c r="G797" s="3">
        <v>7030</v>
      </c>
      <c r="H797" s="3" t="s">
        <v>2970</v>
      </c>
    </row>
    <row r="798" spans="1:8" x14ac:dyDescent="0.35">
      <c r="A798" t="s">
        <v>19</v>
      </c>
      <c r="B798" s="26" t="s">
        <v>20</v>
      </c>
      <c r="C798" s="20">
        <v>42399</v>
      </c>
      <c r="D798" t="s">
        <v>42</v>
      </c>
      <c r="E798" s="3">
        <v>30</v>
      </c>
      <c r="F798" s="3">
        <v>10</v>
      </c>
      <c r="G798" s="3">
        <v>260</v>
      </c>
      <c r="H798" s="3" t="s">
        <v>2966</v>
      </c>
    </row>
    <row r="799" spans="1:8" x14ac:dyDescent="0.35">
      <c r="A799" t="s">
        <v>129</v>
      </c>
      <c r="B799" s="26" t="s">
        <v>14</v>
      </c>
      <c r="C799" s="20">
        <v>42984</v>
      </c>
      <c r="D799" t="s">
        <v>116</v>
      </c>
      <c r="E799" s="3">
        <v>250</v>
      </c>
      <c r="F799" s="3">
        <v>70</v>
      </c>
      <c r="G799" s="3">
        <v>17010</v>
      </c>
      <c r="H799" s="3" t="s">
        <v>2973</v>
      </c>
    </row>
    <row r="800" spans="1:8" x14ac:dyDescent="0.35">
      <c r="A800" t="s">
        <v>41</v>
      </c>
      <c r="B800" s="26" t="s">
        <v>36</v>
      </c>
      <c r="C800" s="20">
        <v>42059</v>
      </c>
      <c r="D800" t="s">
        <v>62</v>
      </c>
      <c r="E800" s="3">
        <v>1000</v>
      </c>
      <c r="F800" s="3">
        <v>37</v>
      </c>
      <c r="G800" s="3">
        <v>25900</v>
      </c>
      <c r="H800" s="3" t="s">
        <v>2967</v>
      </c>
    </row>
    <row r="801" spans="1:8" x14ac:dyDescent="0.35">
      <c r="A801" t="s">
        <v>109</v>
      </c>
      <c r="B801" s="26" t="s">
        <v>20</v>
      </c>
      <c r="C801" s="20">
        <v>43422</v>
      </c>
      <c r="D801" t="s">
        <v>123</v>
      </c>
      <c r="E801" s="3">
        <v>50</v>
      </c>
      <c r="F801" s="3">
        <v>4</v>
      </c>
      <c r="G801" s="3">
        <v>172</v>
      </c>
      <c r="H801" s="3" t="s">
        <v>2975</v>
      </c>
    </row>
    <row r="802" spans="1:8" x14ac:dyDescent="0.35">
      <c r="A802" t="s">
        <v>229</v>
      </c>
      <c r="B802" s="26" t="s">
        <v>25</v>
      </c>
      <c r="C802" s="20">
        <v>42930</v>
      </c>
      <c r="D802" t="s">
        <v>56</v>
      </c>
      <c r="E802" s="3">
        <v>800</v>
      </c>
      <c r="F802" s="3">
        <v>45</v>
      </c>
      <c r="G802" s="3">
        <v>19800</v>
      </c>
      <c r="H802" s="3" t="s">
        <v>2971</v>
      </c>
    </row>
    <row r="803" spans="1:8" x14ac:dyDescent="0.35">
      <c r="A803" t="s">
        <v>55</v>
      </c>
      <c r="B803" s="26" t="s">
        <v>14</v>
      </c>
      <c r="C803" s="20">
        <v>42809</v>
      </c>
      <c r="D803" t="s">
        <v>15</v>
      </c>
      <c r="E803" s="3">
        <v>80</v>
      </c>
      <c r="F803" s="3">
        <v>43</v>
      </c>
      <c r="G803" s="3">
        <v>3440</v>
      </c>
      <c r="H803" s="3" t="s">
        <v>2968</v>
      </c>
    </row>
    <row r="804" spans="1:8" x14ac:dyDescent="0.35">
      <c r="A804" t="s">
        <v>109</v>
      </c>
      <c r="B804" s="26" t="s">
        <v>20</v>
      </c>
      <c r="C804" s="20">
        <v>42250</v>
      </c>
      <c r="D804" t="s">
        <v>105</v>
      </c>
      <c r="E804" s="3">
        <v>70</v>
      </c>
      <c r="F804" s="3">
        <v>18</v>
      </c>
      <c r="G804" s="3">
        <v>1134</v>
      </c>
      <c r="H804" s="3" t="s">
        <v>2973</v>
      </c>
    </row>
    <row r="805" spans="1:8" x14ac:dyDescent="0.35">
      <c r="A805" t="s">
        <v>83</v>
      </c>
      <c r="B805" s="26" t="s">
        <v>14</v>
      </c>
      <c r="C805" s="20">
        <v>41648</v>
      </c>
      <c r="D805" t="s">
        <v>26</v>
      </c>
      <c r="E805" s="3">
        <v>700</v>
      </c>
      <c r="F805" s="3">
        <v>29</v>
      </c>
      <c r="G805" s="3">
        <v>19488</v>
      </c>
      <c r="H805" s="3" t="s">
        <v>2966</v>
      </c>
    </row>
    <row r="806" spans="1:8" x14ac:dyDescent="0.35">
      <c r="A806" t="s">
        <v>24</v>
      </c>
      <c r="B806" s="26" t="s">
        <v>25</v>
      </c>
      <c r="C806" s="20">
        <v>43167</v>
      </c>
      <c r="D806" t="s">
        <v>73</v>
      </c>
      <c r="E806" s="3">
        <v>500</v>
      </c>
      <c r="F806" s="3">
        <v>21</v>
      </c>
      <c r="G806" s="3">
        <v>10290</v>
      </c>
      <c r="H806" s="3" t="s">
        <v>2968</v>
      </c>
    </row>
    <row r="807" spans="1:8" x14ac:dyDescent="0.35">
      <c r="A807" t="s">
        <v>129</v>
      </c>
      <c r="B807" s="26" t="s">
        <v>14</v>
      </c>
      <c r="C807" s="20">
        <v>42331</v>
      </c>
      <c r="D807" t="s">
        <v>56</v>
      </c>
      <c r="E807" s="3">
        <v>800</v>
      </c>
      <c r="F807" s="3">
        <v>81</v>
      </c>
      <c r="G807" s="3">
        <v>47952</v>
      </c>
      <c r="H807" s="3" t="s">
        <v>2975</v>
      </c>
    </row>
    <row r="808" spans="1:8" x14ac:dyDescent="0.35">
      <c r="A808" t="s">
        <v>129</v>
      </c>
      <c r="B808" s="26" t="s">
        <v>14</v>
      </c>
      <c r="C808" s="20">
        <v>42783</v>
      </c>
      <c r="D808" t="s">
        <v>37</v>
      </c>
      <c r="E808" s="3">
        <v>50</v>
      </c>
      <c r="F808" s="3">
        <v>86</v>
      </c>
      <c r="G808" s="3">
        <v>3956</v>
      </c>
      <c r="H808" s="3" t="s">
        <v>2967</v>
      </c>
    </row>
    <row r="809" spans="1:8" x14ac:dyDescent="0.35">
      <c r="A809" t="s">
        <v>46</v>
      </c>
      <c r="B809" s="26" t="s">
        <v>25</v>
      </c>
      <c r="C809" s="20">
        <v>42789</v>
      </c>
      <c r="D809" t="s">
        <v>123</v>
      </c>
      <c r="E809" s="3">
        <v>50</v>
      </c>
      <c r="F809" s="3">
        <v>94</v>
      </c>
      <c r="G809" s="3">
        <v>4700</v>
      </c>
      <c r="H809" s="3" t="s">
        <v>2967</v>
      </c>
    </row>
    <row r="810" spans="1:8" x14ac:dyDescent="0.35">
      <c r="A810" t="s">
        <v>109</v>
      </c>
      <c r="B810" s="26" t="s">
        <v>20</v>
      </c>
      <c r="C810" s="20">
        <v>43191</v>
      </c>
      <c r="D810" t="s">
        <v>123</v>
      </c>
      <c r="E810" s="3">
        <v>50</v>
      </c>
      <c r="F810" s="3">
        <v>25</v>
      </c>
      <c r="G810" s="3">
        <v>1200</v>
      </c>
      <c r="H810" s="3" t="s">
        <v>2969</v>
      </c>
    </row>
    <row r="811" spans="1:8" x14ac:dyDescent="0.35">
      <c r="A811" t="s">
        <v>35</v>
      </c>
      <c r="B811" s="26" t="s">
        <v>36</v>
      </c>
      <c r="C811" s="20">
        <v>42984</v>
      </c>
      <c r="D811" t="s">
        <v>123</v>
      </c>
      <c r="E811" s="3">
        <v>50</v>
      </c>
      <c r="F811" s="3">
        <v>87</v>
      </c>
      <c r="G811" s="3">
        <v>4089</v>
      </c>
      <c r="H811" s="3" t="s">
        <v>2973</v>
      </c>
    </row>
    <row r="812" spans="1:8" x14ac:dyDescent="0.35">
      <c r="A812" t="s">
        <v>46</v>
      </c>
      <c r="B812" s="26" t="s">
        <v>25</v>
      </c>
      <c r="C812" s="20">
        <v>41821</v>
      </c>
      <c r="D812" t="s">
        <v>105</v>
      </c>
      <c r="E812" s="3">
        <v>70</v>
      </c>
      <c r="F812" s="3">
        <v>10</v>
      </c>
      <c r="G812" s="3">
        <v>630</v>
      </c>
      <c r="H812" s="3" t="s">
        <v>2971</v>
      </c>
    </row>
    <row r="813" spans="1:8" x14ac:dyDescent="0.35">
      <c r="A813" t="s">
        <v>148</v>
      </c>
      <c r="B813" s="26" t="s">
        <v>14</v>
      </c>
      <c r="C813" s="20">
        <v>43456</v>
      </c>
      <c r="D813" t="s">
        <v>116</v>
      </c>
      <c r="E813" s="3">
        <v>250</v>
      </c>
      <c r="F813" s="3">
        <v>39</v>
      </c>
      <c r="G813" s="3">
        <v>9477</v>
      </c>
      <c r="H813" s="3" t="s">
        <v>2976</v>
      </c>
    </row>
    <row r="814" spans="1:8" x14ac:dyDescent="0.35">
      <c r="A814" t="s">
        <v>109</v>
      </c>
      <c r="B814" s="26" t="s">
        <v>20</v>
      </c>
      <c r="C814" s="20">
        <v>42504</v>
      </c>
      <c r="D814" t="s">
        <v>73</v>
      </c>
      <c r="E814" s="3">
        <v>500</v>
      </c>
      <c r="F814" s="3">
        <v>87</v>
      </c>
      <c r="G814" s="3">
        <v>43500</v>
      </c>
      <c r="H814" s="3" t="s">
        <v>2965</v>
      </c>
    </row>
    <row r="815" spans="1:8" x14ac:dyDescent="0.35">
      <c r="A815" t="s">
        <v>97</v>
      </c>
      <c r="B815" s="26" t="s">
        <v>14</v>
      </c>
      <c r="C815" s="20">
        <v>42700</v>
      </c>
      <c r="D815" t="s">
        <v>73</v>
      </c>
      <c r="E815" s="3">
        <v>500</v>
      </c>
      <c r="F815" s="3">
        <v>53</v>
      </c>
      <c r="G815" s="3">
        <v>26235</v>
      </c>
      <c r="H815" s="3" t="s">
        <v>2975</v>
      </c>
    </row>
    <row r="816" spans="1:8" x14ac:dyDescent="0.35">
      <c r="A816" t="s">
        <v>41</v>
      </c>
      <c r="B816" s="26" t="s">
        <v>36</v>
      </c>
      <c r="C816" s="20">
        <v>41830</v>
      </c>
      <c r="D816" t="s">
        <v>56</v>
      </c>
      <c r="E816" s="3">
        <v>800</v>
      </c>
      <c r="F816" s="3">
        <v>84</v>
      </c>
      <c r="G816" s="3">
        <v>54432</v>
      </c>
      <c r="H816" s="3" t="s">
        <v>2971</v>
      </c>
    </row>
    <row r="817" spans="1:8" x14ac:dyDescent="0.35">
      <c r="A817" t="s">
        <v>229</v>
      </c>
      <c r="B817" s="26" t="s">
        <v>25</v>
      </c>
      <c r="C817" s="20">
        <v>42084</v>
      </c>
      <c r="D817" t="s">
        <v>42</v>
      </c>
      <c r="E817" s="3">
        <v>30</v>
      </c>
      <c r="F817" s="3">
        <v>6</v>
      </c>
      <c r="G817" s="3">
        <v>120</v>
      </c>
      <c r="H817" s="3" t="s">
        <v>2968</v>
      </c>
    </row>
    <row r="818" spans="1:8" x14ac:dyDescent="0.35">
      <c r="A818" t="s">
        <v>41</v>
      </c>
      <c r="B818" s="26" t="s">
        <v>36</v>
      </c>
      <c r="C818" s="20">
        <v>42073</v>
      </c>
      <c r="D818" t="s">
        <v>26</v>
      </c>
      <c r="E818" s="3">
        <v>700</v>
      </c>
      <c r="F818" s="3">
        <v>26</v>
      </c>
      <c r="G818" s="3">
        <v>12012</v>
      </c>
      <c r="H818" s="3" t="s">
        <v>2968</v>
      </c>
    </row>
    <row r="819" spans="1:8" x14ac:dyDescent="0.35">
      <c r="A819" t="s">
        <v>402</v>
      </c>
      <c r="B819" s="26" t="s">
        <v>14</v>
      </c>
      <c r="C819" s="20">
        <v>42568</v>
      </c>
      <c r="D819" t="s">
        <v>42</v>
      </c>
      <c r="E819" s="3">
        <v>30</v>
      </c>
      <c r="F819" s="3">
        <v>92</v>
      </c>
      <c r="G819" s="3">
        <v>2668</v>
      </c>
      <c r="H819" s="3" t="s">
        <v>2971</v>
      </c>
    </row>
    <row r="820" spans="1:8" x14ac:dyDescent="0.35">
      <c r="A820" t="s">
        <v>129</v>
      </c>
      <c r="B820" s="26" t="s">
        <v>14</v>
      </c>
      <c r="C820" s="20">
        <v>42751</v>
      </c>
      <c r="D820" t="s">
        <v>105</v>
      </c>
      <c r="E820" s="3">
        <v>70</v>
      </c>
      <c r="F820" s="3">
        <v>6</v>
      </c>
      <c r="G820" s="3">
        <v>396</v>
      </c>
      <c r="H820" s="3" t="s">
        <v>2966</v>
      </c>
    </row>
    <row r="821" spans="1:8" x14ac:dyDescent="0.35">
      <c r="A821" t="s">
        <v>402</v>
      </c>
      <c r="B821" s="26" t="s">
        <v>14</v>
      </c>
      <c r="C821" s="20">
        <v>42960</v>
      </c>
      <c r="D821" t="s">
        <v>62</v>
      </c>
      <c r="E821" s="3">
        <v>1000</v>
      </c>
      <c r="F821" s="3">
        <v>3</v>
      </c>
      <c r="G821" s="3">
        <v>2070</v>
      </c>
      <c r="H821" s="3" t="s">
        <v>2972</v>
      </c>
    </row>
    <row r="822" spans="1:8" x14ac:dyDescent="0.35">
      <c r="A822" t="s">
        <v>51</v>
      </c>
      <c r="B822" s="26" t="s">
        <v>25</v>
      </c>
      <c r="C822" s="20">
        <v>42645</v>
      </c>
      <c r="D822" t="s">
        <v>105</v>
      </c>
      <c r="E822" s="3">
        <v>70</v>
      </c>
      <c r="F822" s="3">
        <v>58</v>
      </c>
      <c r="G822" s="3">
        <v>4002</v>
      </c>
      <c r="H822" s="3" t="s">
        <v>2974</v>
      </c>
    </row>
    <row r="823" spans="1:8" x14ac:dyDescent="0.35">
      <c r="A823" t="s">
        <v>172</v>
      </c>
      <c r="B823" s="26" t="s">
        <v>14</v>
      </c>
      <c r="C823" s="20">
        <v>43064</v>
      </c>
      <c r="D823" t="s">
        <v>42</v>
      </c>
      <c r="E823" s="3">
        <v>30</v>
      </c>
      <c r="F823" s="3">
        <v>99</v>
      </c>
      <c r="G823" s="3">
        <v>2673</v>
      </c>
      <c r="H823" s="3" t="s">
        <v>2975</v>
      </c>
    </row>
    <row r="824" spans="1:8" x14ac:dyDescent="0.35">
      <c r="A824" t="s">
        <v>41</v>
      </c>
      <c r="B824" s="26" t="s">
        <v>36</v>
      </c>
      <c r="C824" s="20">
        <v>42994</v>
      </c>
      <c r="D824" t="s">
        <v>116</v>
      </c>
      <c r="E824" s="3">
        <v>250</v>
      </c>
      <c r="F824" s="3">
        <v>65</v>
      </c>
      <c r="G824" s="3">
        <v>14625</v>
      </c>
      <c r="H824" s="3" t="s">
        <v>2973</v>
      </c>
    </row>
    <row r="825" spans="1:8" x14ac:dyDescent="0.35">
      <c r="A825" t="s">
        <v>229</v>
      </c>
      <c r="B825" s="26" t="s">
        <v>25</v>
      </c>
      <c r="C825" s="20">
        <v>42749</v>
      </c>
      <c r="D825" t="s">
        <v>73</v>
      </c>
      <c r="E825" s="3">
        <v>500</v>
      </c>
      <c r="F825" s="3">
        <v>99</v>
      </c>
      <c r="G825" s="3">
        <v>49500</v>
      </c>
      <c r="H825" s="3" t="s">
        <v>2966</v>
      </c>
    </row>
    <row r="826" spans="1:8" x14ac:dyDescent="0.35">
      <c r="A826" t="s">
        <v>83</v>
      </c>
      <c r="B826" s="26" t="s">
        <v>14</v>
      </c>
      <c r="C826" s="20">
        <v>42649</v>
      </c>
      <c r="D826" t="s">
        <v>123</v>
      </c>
      <c r="E826" s="3">
        <v>50</v>
      </c>
      <c r="F826" s="3">
        <v>37</v>
      </c>
      <c r="G826" s="3">
        <v>1665</v>
      </c>
      <c r="H826" s="3" t="s">
        <v>2974</v>
      </c>
    </row>
    <row r="827" spans="1:8" x14ac:dyDescent="0.35">
      <c r="A827" t="s">
        <v>148</v>
      </c>
      <c r="B827" s="26" t="s">
        <v>14</v>
      </c>
      <c r="C827" s="20">
        <v>41735</v>
      </c>
      <c r="D827" t="s">
        <v>31</v>
      </c>
      <c r="E827" s="3">
        <v>150</v>
      </c>
      <c r="F827" s="3">
        <v>90</v>
      </c>
      <c r="G827" s="3">
        <v>12330</v>
      </c>
      <c r="H827" s="3" t="s">
        <v>2969</v>
      </c>
    </row>
    <row r="828" spans="1:8" x14ac:dyDescent="0.35">
      <c r="A828" t="s">
        <v>30</v>
      </c>
      <c r="B828" s="26" t="s">
        <v>14</v>
      </c>
      <c r="C828" s="20">
        <v>42799</v>
      </c>
      <c r="D828" t="s">
        <v>47</v>
      </c>
      <c r="E828" s="3">
        <v>500</v>
      </c>
      <c r="F828" s="3">
        <v>99</v>
      </c>
      <c r="G828" s="3">
        <v>45045</v>
      </c>
      <c r="H828" s="3" t="s">
        <v>2968</v>
      </c>
    </row>
    <row r="829" spans="1:8" x14ac:dyDescent="0.35">
      <c r="A829" t="s">
        <v>55</v>
      </c>
      <c r="B829" s="26" t="s">
        <v>14</v>
      </c>
      <c r="C829" s="20">
        <v>43451</v>
      </c>
      <c r="D829" t="s">
        <v>73</v>
      </c>
      <c r="E829" s="3">
        <v>500</v>
      </c>
      <c r="F829" s="3">
        <v>1</v>
      </c>
      <c r="G829" s="3">
        <v>500</v>
      </c>
      <c r="H829" s="3" t="s">
        <v>2976</v>
      </c>
    </row>
    <row r="830" spans="1:8" x14ac:dyDescent="0.35">
      <c r="A830" t="s">
        <v>93</v>
      </c>
      <c r="B830" s="26" t="s">
        <v>36</v>
      </c>
      <c r="C830" s="20">
        <v>42731</v>
      </c>
      <c r="D830" t="s">
        <v>26</v>
      </c>
      <c r="E830" s="3">
        <v>700</v>
      </c>
      <c r="F830" s="3">
        <v>58</v>
      </c>
      <c r="G830" s="3">
        <v>37352</v>
      </c>
      <c r="H830" s="3" t="s">
        <v>2976</v>
      </c>
    </row>
    <row r="831" spans="1:8" x14ac:dyDescent="0.35">
      <c r="A831" t="s">
        <v>41</v>
      </c>
      <c r="B831" s="26" t="s">
        <v>36</v>
      </c>
      <c r="C831" s="20">
        <v>41645</v>
      </c>
      <c r="D831" t="s">
        <v>31</v>
      </c>
      <c r="E831" s="3">
        <v>150</v>
      </c>
      <c r="F831" s="3">
        <v>82</v>
      </c>
      <c r="G831" s="3">
        <v>10086</v>
      </c>
      <c r="H831" s="3" t="s">
        <v>2966</v>
      </c>
    </row>
    <row r="832" spans="1:8" x14ac:dyDescent="0.35">
      <c r="A832" t="s">
        <v>13</v>
      </c>
      <c r="B832" s="26" t="s">
        <v>14</v>
      </c>
      <c r="C832" s="20">
        <v>42694</v>
      </c>
      <c r="D832" t="s">
        <v>47</v>
      </c>
      <c r="E832" s="3">
        <v>500</v>
      </c>
      <c r="F832" s="3">
        <v>47</v>
      </c>
      <c r="G832" s="3">
        <v>22325</v>
      </c>
      <c r="H832" s="3" t="s">
        <v>2975</v>
      </c>
    </row>
    <row r="833" spans="1:8" x14ac:dyDescent="0.35">
      <c r="A833" t="s">
        <v>257</v>
      </c>
      <c r="B833" s="26" t="s">
        <v>14</v>
      </c>
      <c r="C833" s="20">
        <v>43128</v>
      </c>
      <c r="D833" t="s">
        <v>62</v>
      </c>
      <c r="E833" s="3">
        <v>1000</v>
      </c>
      <c r="F833" s="3">
        <v>78</v>
      </c>
      <c r="G833" s="3">
        <v>58500</v>
      </c>
      <c r="H833" s="3" t="s">
        <v>2966</v>
      </c>
    </row>
    <row r="834" spans="1:8" x14ac:dyDescent="0.35">
      <c r="A834" t="s">
        <v>93</v>
      </c>
      <c r="B834" s="26" t="s">
        <v>36</v>
      </c>
      <c r="C834" s="20">
        <v>43207</v>
      </c>
      <c r="D834" t="s">
        <v>31</v>
      </c>
      <c r="E834" s="3">
        <v>150</v>
      </c>
      <c r="F834" s="3">
        <v>67</v>
      </c>
      <c r="G834" s="3">
        <v>10050</v>
      </c>
      <c r="H834" s="3" t="s">
        <v>2969</v>
      </c>
    </row>
    <row r="835" spans="1:8" x14ac:dyDescent="0.35">
      <c r="A835" t="s">
        <v>257</v>
      </c>
      <c r="B835" s="26" t="s">
        <v>14</v>
      </c>
      <c r="C835" s="20">
        <v>43449</v>
      </c>
      <c r="D835" t="s">
        <v>105</v>
      </c>
      <c r="E835" s="3">
        <v>70</v>
      </c>
      <c r="F835" s="3">
        <v>37</v>
      </c>
      <c r="G835" s="3">
        <v>2331</v>
      </c>
      <c r="H835" s="3" t="s">
        <v>2976</v>
      </c>
    </row>
    <row r="836" spans="1:8" x14ac:dyDescent="0.35">
      <c r="A836" t="s">
        <v>97</v>
      </c>
      <c r="B836" s="26" t="s">
        <v>14</v>
      </c>
      <c r="C836" s="20">
        <v>42349</v>
      </c>
      <c r="D836" t="s">
        <v>105</v>
      </c>
      <c r="E836" s="3">
        <v>70</v>
      </c>
      <c r="F836" s="3">
        <v>23</v>
      </c>
      <c r="G836" s="3">
        <v>1311</v>
      </c>
      <c r="H836" s="3" t="s">
        <v>2976</v>
      </c>
    </row>
    <row r="837" spans="1:8" x14ac:dyDescent="0.35">
      <c r="A837" t="s">
        <v>148</v>
      </c>
      <c r="B837" s="26" t="s">
        <v>14</v>
      </c>
      <c r="C837" s="20">
        <v>43132</v>
      </c>
      <c r="D837" t="s">
        <v>31</v>
      </c>
      <c r="E837" s="3">
        <v>150</v>
      </c>
      <c r="F837" s="3">
        <v>58</v>
      </c>
      <c r="G837" s="3">
        <v>8294</v>
      </c>
      <c r="H837" s="3" t="s">
        <v>2967</v>
      </c>
    </row>
    <row r="838" spans="1:8" x14ac:dyDescent="0.35">
      <c r="A838" t="s">
        <v>19</v>
      </c>
      <c r="B838" s="26" t="s">
        <v>20</v>
      </c>
      <c r="C838" s="20">
        <v>43300</v>
      </c>
      <c r="D838" t="s">
        <v>42</v>
      </c>
      <c r="E838" s="3">
        <v>30</v>
      </c>
      <c r="F838" s="3">
        <v>73</v>
      </c>
      <c r="G838" s="3">
        <v>1971</v>
      </c>
      <c r="H838" s="3" t="s">
        <v>2971</v>
      </c>
    </row>
    <row r="839" spans="1:8" x14ac:dyDescent="0.35">
      <c r="A839" t="s">
        <v>152</v>
      </c>
      <c r="B839" s="26" t="s">
        <v>14</v>
      </c>
      <c r="C839" s="20">
        <v>42829</v>
      </c>
      <c r="D839" t="s">
        <v>56</v>
      </c>
      <c r="E839" s="3">
        <v>800</v>
      </c>
      <c r="F839" s="3">
        <v>63</v>
      </c>
      <c r="G839" s="3">
        <v>40824</v>
      </c>
      <c r="H839" s="3" t="s">
        <v>2969</v>
      </c>
    </row>
    <row r="840" spans="1:8" x14ac:dyDescent="0.35">
      <c r="A840" t="s">
        <v>189</v>
      </c>
      <c r="B840" s="26" t="s">
        <v>14</v>
      </c>
      <c r="C840" s="20">
        <v>42035</v>
      </c>
      <c r="D840" t="s">
        <v>62</v>
      </c>
      <c r="E840" s="3">
        <v>1000</v>
      </c>
      <c r="F840" s="3">
        <v>51</v>
      </c>
      <c r="G840" s="3">
        <v>49470</v>
      </c>
      <c r="H840" s="3" t="s">
        <v>2966</v>
      </c>
    </row>
    <row r="841" spans="1:8" x14ac:dyDescent="0.35">
      <c r="A841" t="s">
        <v>207</v>
      </c>
      <c r="B841" s="26" t="s">
        <v>25</v>
      </c>
      <c r="C841" s="20">
        <v>42540</v>
      </c>
      <c r="D841" t="s">
        <v>105</v>
      </c>
      <c r="E841" s="3">
        <v>70</v>
      </c>
      <c r="F841" s="3">
        <v>61</v>
      </c>
      <c r="G841" s="3">
        <v>4087</v>
      </c>
      <c r="H841" s="3" t="s">
        <v>2970</v>
      </c>
    </row>
    <row r="842" spans="1:8" x14ac:dyDescent="0.35">
      <c r="A842" t="s">
        <v>93</v>
      </c>
      <c r="B842" s="26" t="s">
        <v>36</v>
      </c>
      <c r="C842" s="20">
        <v>42965</v>
      </c>
      <c r="D842" t="s">
        <v>62</v>
      </c>
      <c r="E842" s="3">
        <v>1000</v>
      </c>
      <c r="F842" s="3">
        <v>51</v>
      </c>
      <c r="G842" s="3">
        <v>45390</v>
      </c>
      <c r="H842" s="3" t="s">
        <v>2972</v>
      </c>
    </row>
    <row r="843" spans="1:8" x14ac:dyDescent="0.35">
      <c r="A843" t="s">
        <v>109</v>
      </c>
      <c r="B843" s="26" t="s">
        <v>20</v>
      </c>
      <c r="C843" s="20">
        <v>42219</v>
      </c>
      <c r="D843" t="s">
        <v>26</v>
      </c>
      <c r="E843" s="3">
        <v>700</v>
      </c>
      <c r="F843" s="3">
        <v>26</v>
      </c>
      <c r="G843" s="3">
        <v>12376</v>
      </c>
      <c r="H843" s="3" t="s">
        <v>2972</v>
      </c>
    </row>
    <row r="844" spans="1:8" x14ac:dyDescent="0.35">
      <c r="A844" t="s">
        <v>101</v>
      </c>
      <c r="B844" s="26" t="s">
        <v>14</v>
      </c>
      <c r="C844" s="20">
        <v>42186</v>
      </c>
      <c r="D844" t="s">
        <v>105</v>
      </c>
      <c r="E844" s="3">
        <v>70</v>
      </c>
      <c r="F844" s="3">
        <v>69</v>
      </c>
      <c r="G844" s="3">
        <v>3588</v>
      </c>
      <c r="H844" s="3" t="s">
        <v>2971</v>
      </c>
    </row>
    <row r="845" spans="1:8" x14ac:dyDescent="0.35">
      <c r="A845" t="s">
        <v>93</v>
      </c>
      <c r="B845" s="26" t="s">
        <v>36</v>
      </c>
      <c r="C845" s="20">
        <v>43382</v>
      </c>
      <c r="D845" t="s">
        <v>26</v>
      </c>
      <c r="E845" s="3">
        <v>700</v>
      </c>
      <c r="F845" s="3">
        <v>85</v>
      </c>
      <c r="G845" s="3">
        <v>58310</v>
      </c>
      <c r="H845" s="3" t="s">
        <v>2974</v>
      </c>
    </row>
    <row r="846" spans="1:8" x14ac:dyDescent="0.35">
      <c r="A846" t="s">
        <v>109</v>
      </c>
      <c r="B846" s="26" t="s">
        <v>20</v>
      </c>
      <c r="C846" s="20">
        <v>43228</v>
      </c>
      <c r="D846" t="s">
        <v>62</v>
      </c>
      <c r="E846" s="3">
        <v>1000</v>
      </c>
      <c r="F846" s="3">
        <v>1</v>
      </c>
      <c r="G846" s="3">
        <v>640</v>
      </c>
      <c r="H846" s="3" t="s">
        <v>2965</v>
      </c>
    </row>
    <row r="847" spans="1:8" x14ac:dyDescent="0.35">
      <c r="A847" t="s">
        <v>93</v>
      </c>
      <c r="B847" s="26" t="s">
        <v>36</v>
      </c>
      <c r="C847" s="20">
        <v>42413</v>
      </c>
      <c r="D847" t="s">
        <v>47</v>
      </c>
      <c r="E847" s="3">
        <v>500</v>
      </c>
      <c r="F847" s="3">
        <v>56</v>
      </c>
      <c r="G847" s="3">
        <v>24640</v>
      </c>
      <c r="H847" s="3" t="s">
        <v>2967</v>
      </c>
    </row>
    <row r="848" spans="1:8" x14ac:dyDescent="0.35">
      <c r="A848" t="s">
        <v>79</v>
      </c>
      <c r="B848" s="26" t="s">
        <v>36</v>
      </c>
      <c r="C848" s="20">
        <v>42719</v>
      </c>
      <c r="D848" t="s">
        <v>15</v>
      </c>
      <c r="E848" s="3">
        <v>80</v>
      </c>
      <c r="F848" s="3">
        <v>95</v>
      </c>
      <c r="G848" s="3">
        <v>7125</v>
      </c>
      <c r="H848" s="3" t="s">
        <v>2976</v>
      </c>
    </row>
    <row r="849" spans="1:8" x14ac:dyDescent="0.35">
      <c r="A849" t="s">
        <v>30</v>
      </c>
      <c r="B849" s="26" t="s">
        <v>14</v>
      </c>
      <c r="C849" s="20">
        <v>43064</v>
      </c>
      <c r="D849" t="s">
        <v>31</v>
      </c>
      <c r="E849" s="3">
        <v>150</v>
      </c>
      <c r="F849" s="3">
        <v>66</v>
      </c>
      <c r="G849" s="3">
        <v>9504</v>
      </c>
      <c r="H849" s="3" t="s">
        <v>2975</v>
      </c>
    </row>
    <row r="850" spans="1:8" x14ac:dyDescent="0.35">
      <c r="A850" t="s">
        <v>436</v>
      </c>
      <c r="B850" s="26" t="s">
        <v>25</v>
      </c>
      <c r="C850" s="20">
        <v>42714</v>
      </c>
      <c r="D850" t="s">
        <v>42</v>
      </c>
      <c r="E850" s="3">
        <v>30</v>
      </c>
      <c r="F850" s="3">
        <v>30</v>
      </c>
      <c r="G850" s="3">
        <v>780</v>
      </c>
      <c r="H850" s="3" t="s">
        <v>2976</v>
      </c>
    </row>
    <row r="851" spans="1:8" x14ac:dyDescent="0.35">
      <c r="A851" t="s">
        <v>93</v>
      </c>
      <c r="B851" s="26" t="s">
        <v>36</v>
      </c>
      <c r="C851" s="20">
        <v>43115</v>
      </c>
      <c r="D851" t="s">
        <v>15</v>
      </c>
      <c r="E851" s="3">
        <v>80</v>
      </c>
      <c r="F851" s="3">
        <v>38</v>
      </c>
      <c r="G851" s="3">
        <v>2812</v>
      </c>
      <c r="H851" s="3" t="s">
        <v>2966</v>
      </c>
    </row>
    <row r="852" spans="1:8" x14ac:dyDescent="0.35">
      <c r="A852" t="s">
        <v>41</v>
      </c>
      <c r="B852" s="26" t="s">
        <v>36</v>
      </c>
      <c r="C852" s="20">
        <v>43297</v>
      </c>
      <c r="D852" t="s">
        <v>116</v>
      </c>
      <c r="E852" s="3">
        <v>250</v>
      </c>
      <c r="F852" s="3">
        <v>80</v>
      </c>
      <c r="G852" s="3">
        <v>19600</v>
      </c>
      <c r="H852" s="3" t="s">
        <v>2971</v>
      </c>
    </row>
    <row r="853" spans="1:8" x14ac:dyDescent="0.35">
      <c r="A853" t="s">
        <v>129</v>
      </c>
      <c r="B853" s="26" t="s">
        <v>14</v>
      </c>
      <c r="C853" s="20">
        <v>42550</v>
      </c>
      <c r="D853" t="s">
        <v>62</v>
      </c>
      <c r="E853" s="3">
        <v>1000</v>
      </c>
      <c r="F853" s="3">
        <v>8</v>
      </c>
      <c r="G853" s="3">
        <v>7520</v>
      </c>
      <c r="H853" s="3" t="s">
        <v>2970</v>
      </c>
    </row>
    <row r="854" spans="1:8" x14ac:dyDescent="0.35">
      <c r="A854" t="s">
        <v>257</v>
      </c>
      <c r="B854" s="26" t="s">
        <v>14</v>
      </c>
      <c r="C854" s="20">
        <v>42897</v>
      </c>
      <c r="D854" t="s">
        <v>37</v>
      </c>
      <c r="E854" s="3">
        <v>50</v>
      </c>
      <c r="F854" s="3">
        <v>54</v>
      </c>
      <c r="G854" s="3">
        <v>2700</v>
      </c>
      <c r="H854" s="3" t="s">
        <v>2970</v>
      </c>
    </row>
    <row r="855" spans="1:8" x14ac:dyDescent="0.35">
      <c r="A855" t="s">
        <v>79</v>
      </c>
      <c r="B855" s="26" t="s">
        <v>36</v>
      </c>
      <c r="C855" s="20">
        <v>42550</v>
      </c>
      <c r="D855" t="s">
        <v>37</v>
      </c>
      <c r="E855" s="3">
        <v>50</v>
      </c>
      <c r="F855" s="3">
        <v>62</v>
      </c>
      <c r="G855" s="3">
        <v>2852</v>
      </c>
      <c r="H855" s="3" t="s">
        <v>2970</v>
      </c>
    </row>
    <row r="856" spans="1:8" x14ac:dyDescent="0.35">
      <c r="A856" t="s">
        <v>402</v>
      </c>
      <c r="B856" s="26" t="s">
        <v>14</v>
      </c>
      <c r="C856" s="20">
        <v>42959</v>
      </c>
      <c r="D856" t="s">
        <v>26</v>
      </c>
      <c r="E856" s="3">
        <v>700</v>
      </c>
      <c r="F856" s="3">
        <v>9</v>
      </c>
      <c r="G856" s="3">
        <v>5985</v>
      </c>
      <c r="H856" s="3" t="s">
        <v>2972</v>
      </c>
    </row>
    <row r="857" spans="1:8" x14ac:dyDescent="0.35">
      <c r="A857" t="s">
        <v>55</v>
      </c>
      <c r="B857" s="26" t="s">
        <v>14</v>
      </c>
      <c r="C857" s="20">
        <v>41702</v>
      </c>
      <c r="D857" t="s">
        <v>62</v>
      </c>
      <c r="E857" s="3">
        <v>1000</v>
      </c>
      <c r="F857" s="3">
        <v>17</v>
      </c>
      <c r="G857" s="3">
        <v>16150</v>
      </c>
      <c r="H857" s="3" t="s">
        <v>2968</v>
      </c>
    </row>
    <row r="858" spans="1:8" x14ac:dyDescent="0.35">
      <c r="A858" t="s">
        <v>172</v>
      </c>
      <c r="B858" s="26" t="s">
        <v>14</v>
      </c>
      <c r="C858" s="20">
        <v>41708</v>
      </c>
      <c r="D858" t="s">
        <v>31</v>
      </c>
      <c r="E858" s="3">
        <v>150</v>
      </c>
      <c r="F858" s="3">
        <v>34</v>
      </c>
      <c r="G858" s="3">
        <v>4590</v>
      </c>
      <c r="H858" s="3" t="s">
        <v>2968</v>
      </c>
    </row>
    <row r="859" spans="1:8" x14ac:dyDescent="0.35">
      <c r="A859" t="s">
        <v>109</v>
      </c>
      <c r="B859" s="26" t="s">
        <v>20</v>
      </c>
      <c r="C859" s="20">
        <v>42825</v>
      </c>
      <c r="D859" t="s">
        <v>42</v>
      </c>
      <c r="E859" s="3">
        <v>30</v>
      </c>
      <c r="F859" s="3">
        <v>32</v>
      </c>
      <c r="G859" s="3">
        <v>928</v>
      </c>
      <c r="H859" s="3" t="s">
        <v>2968</v>
      </c>
    </row>
    <row r="860" spans="1:8" x14ac:dyDescent="0.35">
      <c r="A860" t="s">
        <v>257</v>
      </c>
      <c r="B860" s="26" t="s">
        <v>14</v>
      </c>
      <c r="C860" s="20">
        <v>42944</v>
      </c>
      <c r="D860" t="s">
        <v>116</v>
      </c>
      <c r="E860" s="3">
        <v>250</v>
      </c>
      <c r="F860" s="3">
        <v>89</v>
      </c>
      <c r="G860" s="3">
        <v>21627</v>
      </c>
      <c r="H860" s="3" t="s">
        <v>2971</v>
      </c>
    </row>
    <row r="861" spans="1:8" x14ac:dyDescent="0.35">
      <c r="A861" t="s">
        <v>93</v>
      </c>
      <c r="B861" s="26" t="s">
        <v>36</v>
      </c>
      <c r="C861" s="20">
        <v>43203</v>
      </c>
      <c r="D861" t="s">
        <v>42</v>
      </c>
      <c r="E861" s="3">
        <v>30</v>
      </c>
      <c r="F861" s="3">
        <v>52</v>
      </c>
      <c r="G861" s="3">
        <v>1508</v>
      </c>
      <c r="H861" s="3" t="s">
        <v>2969</v>
      </c>
    </row>
    <row r="862" spans="1:8" x14ac:dyDescent="0.35">
      <c r="A862" t="s">
        <v>41</v>
      </c>
      <c r="B862" s="26" t="s">
        <v>36</v>
      </c>
      <c r="C862" s="20">
        <v>42353</v>
      </c>
      <c r="D862" t="s">
        <v>47</v>
      </c>
      <c r="E862" s="3">
        <v>500</v>
      </c>
      <c r="F862" s="3">
        <v>15</v>
      </c>
      <c r="G862" s="3">
        <v>7350</v>
      </c>
      <c r="H862" s="3" t="s">
        <v>2976</v>
      </c>
    </row>
    <row r="863" spans="1:8" x14ac:dyDescent="0.35">
      <c r="A863" t="s">
        <v>19</v>
      </c>
      <c r="B863" s="26" t="s">
        <v>20</v>
      </c>
      <c r="C863" s="20">
        <v>43069</v>
      </c>
      <c r="D863" t="s">
        <v>26</v>
      </c>
      <c r="E863" s="3">
        <v>700</v>
      </c>
      <c r="F863" s="3">
        <v>26</v>
      </c>
      <c r="G863" s="3">
        <v>17836</v>
      </c>
      <c r="H863" s="3" t="s">
        <v>2975</v>
      </c>
    </row>
    <row r="864" spans="1:8" x14ac:dyDescent="0.35">
      <c r="A864" t="s">
        <v>72</v>
      </c>
      <c r="B864" s="26" t="s">
        <v>36</v>
      </c>
      <c r="C864" s="20">
        <v>42873</v>
      </c>
      <c r="D864" t="s">
        <v>15</v>
      </c>
      <c r="E864" s="3">
        <v>80</v>
      </c>
      <c r="F864" s="3">
        <v>54</v>
      </c>
      <c r="G864" s="3">
        <v>4050</v>
      </c>
      <c r="H864" s="3" t="s">
        <v>2965</v>
      </c>
    </row>
    <row r="865" spans="1:8" x14ac:dyDescent="0.35">
      <c r="A865" t="s">
        <v>72</v>
      </c>
      <c r="B865" s="26" t="s">
        <v>36</v>
      </c>
      <c r="C865" s="20">
        <v>43230</v>
      </c>
      <c r="D865" t="s">
        <v>116</v>
      </c>
      <c r="E865" s="3">
        <v>250</v>
      </c>
      <c r="F865" s="3">
        <v>49</v>
      </c>
      <c r="G865" s="3">
        <v>10927</v>
      </c>
      <c r="H865" s="3" t="s">
        <v>2965</v>
      </c>
    </row>
    <row r="866" spans="1:8" x14ac:dyDescent="0.35">
      <c r="A866" t="s">
        <v>55</v>
      </c>
      <c r="B866" s="26" t="s">
        <v>14</v>
      </c>
      <c r="C866" s="20">
        <v>42466</v>
      </c>
      <c r="D866" t="s">
        <v>47</v>
      </c>
      <c r="E866" s="3">
        <v>500</v>
      </c>
      <c r="F866" s="3">
        <v>27</v>
      </c>
      <c r="G866" s="3">
        <v>12960</v>
      </c>
      <c r="H866" s="3" t="s">
        <v>2969</v>
      </c>
    </row>
    <row r="867" spans="1:8" x14ac:dyDescent="0.35">
      <c r="A867" t="s">
        <v>93</v>
      </c>
      <c r="B867" s="26" t="s">
        <v>36</v>
      </c>
      <c r="C867" s="20">
        <v>42836</v>
      </c>
      <c r="D867" t="s">
        <v>123</v>
      </c>
      <c r="E867" s="3">
        <v>50</v>
      </c>
      <c r="F867" s="3">
        <v>43</v>
      </c>
      <c r="G867" s="3">
        <v>2150</v>
      </c>
      <c r="H867" s="3" t="s">
        <v>2969</v>
      </c>
    </row>
    <row r="868" spans="1:8" x14ac:dyDescent="0.35">
      <c r="A868" t="s">
        <v>41</v>
      </c>
      <c r="B868" s="26" t="s">
        <v>36</v>
      </c>
      <c r="C868" s="20">
        <v>41899</v>
      </c>
      <c r="D868" t="s">
        <v>37</v>
      </c>
      <c r="E868" s="3">
        <v>50</v>
      </c>
      <c r="F868" s="3">
        <v>35</v>
      </c>
      <c r="G868" s="3">
        <v>1470</v>
      </c>
      <c r="H868" s="3" t="s">
        <v>2973</v>
      </c>
    </row>
    <row r="869" spans="1:8" x14ac:dyDescent="0.35">
      <c r="A869" t="s">
        <v>19</v>
      </c>
      <c r="B869" s="26" t="s">
        <v>20</v>
      </c>
      <c r="C869" s="20">
        <v>41658</v>
      </c>
      <c r="D869" t="s">
        <v>42</v>
      </c>
      <c r="E869" s="3">
        <v>30</v>
      </c>
      <c r="F869" s="3">
        <v>42</v>
      </c>
      <c r="G869" s="3">
        <v>882</v>
      </c>
      <c r="H869" s="3" t="s">
        <v>2966</v>
      </c>
    </row>
    <row r="870" spans="1:8" x14ac:dyDescent="0.35">
      <c r="A870" t="s">
        <v>109</v>
      </c>
      <c r="B870" s="26" t="s">
        <v>20</v>
      </c>
      <c r="C870" s="20">
        <v>42945</v>
      </c>
      <c r="D870" t="s">
        <v>73</v>
      </c>
      <c r="E870" s="3">
        <v>500</v>
      </c>
      <c r="F870" s="3">
        <v>3</v>
      </c>
      <c r="G870" s="3">
        <v>1500</v>
      </c>
      <c r="H870" s="3" t="s">
        <v>2971</v>
      </c>
    </row>
    <row r="871" spans="1:8" x14ac:dyDescent="0.35">
      <c r="A871" t="s">
        <v>109</v>
      </c>
      <c r="B871" s="26" t="s">
        <v>20</v>
      </c>
      <c r="C871" s="20">
        <v>43087</v>
      </c>
      <c r="D871" t="s">
        <v>56</v>
      </c>
      <c r="E871" s="3">
        <v>800</v>
      </c>
      <c r="F871" s="3">
        <v>74</v>
      </c>
      <c r="G871" s="3">
        <v>46768</v>
      </c>
      <c r="H871" s="3" t="s">
        <v>2976</v>
      </c>
    </row>
    <row r="872" spans="1:8" x14ac:dyDescent="0.35">
      <c r="A872" t="s">
        <v>93</v>
      </c>
      <c r="B872" s="26" t="s">
        <v>36</v>
      </c>
      <c r="C872" s="20">
        <v>42792</v>
      </c>
      <c r="D872" t="s">
        <v>123</v>
      </c>
      <c r="E872" s="3">
        <v>50</v>
      </c>
      <c r="F872" s="3">
        <v>11</v>
      </c>
      <c r="G872" s="3">
        <v>506</v>
      </c>
      <c r="H872" s="3" t="s">
        <v>2967</v>
      </c>
    </row>
    <row r="873" spans="1:8" x14ac:dyDescent="0.35">
      <c r="A873" t="s">
        <v>41</v>
      </c>
      <c r="B873" s="26" t="s">
        <v>36</v>
      </c>
      <c r="C873" s="20">
        <v>43024</v>
      </c>
      <c r="D873" t="s">
        <v>37</v>
      </c>
      <c r="E873" s="3">
        <v>50</v>
      </c>
      <c r="F873" s="3">
        <v>91</v>
      </c>
      <c r="G873" s="3">
        <v>4368</v>
      </c>
      <c r="H873" s="3" t="s">
        <v>2974</v>
      </c>
    </row>
    <row r="874" spans="1:8" x14ac:dyDescent="0.35">
      <c r="A874" t="s">
        <v>109</v>
      </c>
      <c r="B874" s="26" t="s">
        <v>20</v>
      </c>
      <c r="C874" s="20">
        <v>42240</v>
      </c>
      <c r="D874" t="s">
        <v>56</v>
      </c>
      <c r="E874" s="3">
        <v>800</v>
      </c>
      <c r="F874" s="3">
        <v>86</v>
      </c>
      <c r="G874" s="3">
        <v>45408</v>
      </c>
      <c r="H874" s="3" t="s">
        <v>2972</v>
      </c>
    </row>
    <row r="875" spans="1:8" x14ac:dyDescent="0.35">
      <c r="A875" t="s">
        <v>189</v>
      </c>
      <c r="B875" s="26" t="s">
        <v>14</v>
      </c>
      <c r="C875" s="20">
        <v>42378</v>
      </c>
      <c r="D875" t="s">
        <v>123</v>
      </c>
      <c r="E875" s="3">
        <v>50</v>
      </c>
      <c r="F875" s="3">
        <v>28</v>
      </c>
      <c r="G875" s="3">
        <v>1316</v>
      </c>
      <c r="H875" s="3" t="s">
        <v>2966</v>
      </c>
    </row>
    <row r="876" spans="1:8" x14ac:dyDescent="0.35">
      <c r="A876" t="s">
        <v>41</v>
      </c>
      <c r="B876" s="26" t="s">
        <v>36</v>
      </c>
      <c r="C876" s="20">
        <v>42393</v>
      </c>
      <c r="D876" t="s">
        <v>31</v>
      </c>
      <c r="E876" s="3">
        <v>150</v>
      </c>
      <c r="F876" s="3">
        <v>90</v>
      </c>
      <c r="G876" s="3">
        <v>11610</v>
      </c>
      <c r="H876" s="3" t="s">
        <v>2966</v>
      </c>
    </row>
    <row r="877" spans="1:8" x14ac:dyDescent="0.35">
      <c r="A877" t="s">
        <v>229</v>
      </c>
      <c r="B877" s="26" t="s">
        <v>25</v>
      </c>
      <c r="C877" s="20">
        <v>41967</v>
      </c>
      <c r="D877" t="s">
        <v>26</v>
      </c>
      <c r="E877" s="3">
        <v>700</v>
      </c>
      <c r="F877" s="3">
        <v>44</v>
      </c>
      <c r="G877" s="3">
        <v>25564</v>
      </c>
      <c r="H877" s="3" t="s">
        <v>2975</v>
      </c>
    </row>
    <row r="878" spans="1:8" x14ac:dyDescent="0.35">
      <c r="A878" t="s">
        <v>41</v>
      </c>
      <c r="B878" s="26" t="s">
        <v>36</v>
      </c>
      <c r="C878" s="20">
        <v>41652</v>
      </c>
      <c r="D878" t="s">
        <v>42</v>
      </c>
      <c r="E878" s="3">
        <v>30</v>
      </c>
      <c r="F878" s="3">
        <v>29</v>
      </c>
      <c r="G878" s="3">
        <v>783</v>
      </c>
      <c r="H878" s="3" t="s">
        <v>2966</v>
      </c>
    </row>
    <row r="879" spans="1:8" x14ac:dyDescent="0.35">
      <c r="A879" t="s">
        <v>93</v>
      </c>
      <c r="B879" s="26" t="s">
        <v>36</v>
      </c>
      <c r="C879" s="20">
        <v>42688</v>
      </c>
      <c r="D879" t="s">
        <v>15</v>
      </c>
      <c r="E879" s="3">
        <v>80</v>
      </c>
      <c r="F879" s="3">
        <v>29</v>
      </c>
      <c r="G879" s="3">
        <v>2175</v>
      </c>
      <c r="H879" s="3" t="s">
        <v>2975</v>
      </c>
    </row>
    <row r="880" spans="1:8" x14ac:dyDescent="0.35">
      <c r="A880" t="s">
        <v>93</v>
      </c>
      <c r="B880" s="26" t="s">
        <v>36</v>
      </c>
      <c r="C880" s="20">
        <v>43023</v>
      </c>
      <c r="D880" t="s">
        <v>56</v>
      </c>
      <c r="E880" s="3">
        <v>800</v>
      </c>
      <c r="F880" s="3">
        <v>67</v>
      </c>
      <c r="G880" s="3">
        <v>49312</v>
      </c>
      <c r="H880" s="3" t="s">
        <v>2974</v>
      </c>
    </row>
    <row r="881" spans="1:8" x14ac:dyDescent="0.35">
      <c r="A881" t="s">
        <v>120</v>
      </c>
      <c r="B881" s="26" t="s">
        <v>36</v>
      </c>
      <c r="C881" s="20">
        <v>42825</v>
      </c>
      <c r="D881" t="s">
        <v>62</v>
      </c>
      <c r="E881" s="3">
        <v>1000</v>
      </c>
      <c r="F881" s="3">
        <v>33</v>
      </c>
      <c r="G881" s="3">
        <v>29040</v>
      </c>
      <c r="H881" s="3" t="s">
        <v>2968</v>
      </c>
    </row>
    <row r="882" spans="1:8" x14ac:dyDescent="0.35">
      <c r="A882" t="s">
        <v>87</v>
      </c>
      <c r="B882" s="26" t="s">
        <v>14</v>
      </c>
      <c r="C882" s="20">
        <v>41873</v>
      </c>
      <c r="D882" t="s">
        <v>37</v>
      </c>
      <c r="E882" s="3">
        <v>50</v>
      </c>
      <c r="F882" s="3">
        <v>78</v>
      </c>
      <c r="G882" s="3">
        <v>3744</v>
      </c>
      <c r="H882" s="3" t="s">
        <v>2972</v>
      </c>
    </row>
    <row r="883" spans="1:8" x14ac:dyDescent="0.35">
      <c r="A883" t="s">
        <v>51</v>
      </c>
      <c r="B883" s="26" t="s">
        <v>25</v>
      </c>
      <c r="C883" s="20">
        <v>42628</v>
      </c>
      <c r="D883" t="s">
        <v>123</v>
      </c>
      <c r="E883" s="3">
        <v>50</v>
      </c>
      <c r="F883" s="3">
        <v>65</v>
      </c>
      <c r="G883" s="3">
        <v>3185</v>
      </c>
      <c r="H883" s="3" t="s">
        <v>2973</v>
      </c>
    </row>
    <row r="884" spans="1:8" x14ac:dyDescent="0.35">
      <c r="A884" t="s">
        <v>46</v>
      </c>
      <c r="B884" s="26" t="s">
        <v>25</v>
      </c>
      <c r="C884" s="20">
        <v>41737</v>
      </c>
      <c r="D884" t="s">
        <v>42</v>
      </c>
      <c r="E884" s="3">
        <v>30</v>
      </c>
      <c r="F884" s="3">
        <v>68</v>
      </c>
      <c r="G884" s="3">
        <v>1836</v>
      </c>
      <c r="H884" s="3" t="s">
        <v>2969</v>
      </c>
    </row>
    <row r="885" spans="1:8" x14ac:dyDescent="0.35">
      <c r="A885" t="s">
        <v>83</v>
      </c>
      <c r="B885" s="26" t="s">
        <v>14</v>
      </c>
      <c r="C885" s="20">
        <v>43423</v>
      </c>
      <c r="D885" t="s">
        <v>62</v>
      </c>
      <c r="E885" s="3">
        <v>1000</v>
      </c>
      <c r="F885" s="3">
        <v>93</v>
      </c>
      <c r="G885" s="3">
        <v>79050</v>
      </c>
      <c r="H885" s="3" t="s">
        <v>2975</v>
      </c>
    </row>
    <row r="886" spans="1:8" x14ac:dyDescent="0.35">
      <c r="A886" t="s">
        <v>229</v>
      </c>
      <c r="B886" s="26" t="s">
        <v>25</v>
      </c>
      <c r="C886" s="20">
        <v>42855</v>
      </c>
      <c r="D886" t="s">
        <v>62</v>
      </c>
      <c r="E886" s="3">
        <v>1000</v>
      </c>
      <c r="F886" s="3">
        <v>2</v>
      </c>
      <c r="G886" s="3">
        <v>1120</v>
      </c>
      <c r="H886" s="3" t="s">
        <v>2969</v>
      </c>
    </row>
    <row r="887" spans="1:8" x14ac:dyDescent="0.35">
      <c r="A887" t="s">
        <v>72</v>
      </c>
      <c r="B887" s="26" t="s">
        <v>36</v>
      </c>
      <c r="C887" s="20">
        <v>41780</v>
      </c>
      <c r="D887" t="s">
        <v>42</v>
      </c>
      <c r="E887" s="3">
        <v>30</v>
      </c>
      <c r="F887" s="3">
        <v>98</v>
      </c>
      <c r="G887" s="3">
        <v>2450</v>
      </c>
      <c r="H887" s="3" t="s">
        <v>2965</v>
      </c>
    </row>
    <row r="888" spans="1:8" x14ac:dyDescent="0.35">
      <c r="A888" t="s">
        <v>93</v>
      </c>
      <c r="B888" s="26" t="s">
        <v>36</v>
      </c>
      <c r="C888" s="20">
        <v>42445</v>
      </c>
      <c r="D888" t="s">
        <v>37</v>
      </c>
      <c r="E888" s="3">
        <v>50</v>
      </c>
      <c r="F888" s="3">
        <v>8</v>
      </c>
      <c r="G888" s="3">
        <v>368</v>
      </c>
      <c r="H888" s="3" t="s">
        <v>2968</v>
      </c>
    </row>
    <row r="889" spans="1:8" x14ac:dyDescent="0.35">
      <c r="A889" t="s">
        <v>51</v>
      </c>
      <c r="B889" s="26" t="s">
        <v>25</v>
      </c>
      <c r="C889" s="20">
        <v>42006</v>
      </c>
      <c r="D889" t="s">
        <v>47</v>
      </c>
      <c r="E889" s="3">
        <v>500</v>
      </c>
      <c r="F889" s="3">
        <v>55</v>
      </c>
      <c r="G889" s="3">
        <v>16775</v>
      </c>
      <c r="H889" s="3" t="s">
        <v>2966</v>
      </c>
    </row>
    <row r="890" spans="1:8" x14ac:dyDescent="0.35">
      <c r="A890" t="s">
        <v>272</v>
      </c>
      <c r="B890" s="26" t="s">
        <v>36</v>
      </c>
      <c r="C890" s="20">
        <v>43169</v>
      </c>
      <c r="D890" t="s">
        <v>123</v>
      </c>
      <c r="E890" s="3">
        <v>50</v>
      </c>
      <c r="F890" s="3">
        <v>7</v>
      </c>
      <c r="G890" s="3">
        <v>336</v>
      </c>
      <c r="H890" s="3" t="s">
        <v>2968</v>
      </c>
    </row>
    <row r="891" spans="1:8" x14ac:dyDescent="0.35">
      <c r="A891" t="s">
        <v>97</v>
      </c>
      <c r="B891" s="26" t="s">
        <v>14</v>
      </c>
      <c r="C891" s="20">
        <v>43150</v>
      </c>
      <c r="D891" t="s">
        <v>47</v>
      </c>
      <c r="E891" s="3">
        <v>500</v>
      </c>
      <c r="F891" s="3">
        <v>93</v>
      </c>
      <c r="G891" s="3">
        <v>40455</v>
      </c>
      <c r="H891" s="3" t="s">
        <v>2967</v>
      </c>
    </row>
    <row r="892" spans="1:8" x14ac:dyDescent="0.35">
      <c r="A892" t="s">
        <v>30</v>
      </c>
      <c r="B892" s="26" t="s">
        <v>14</v>
      </c>
      <c r="C892" s="20">
        <v>43114</v>
      </c>
      <c r="D892" t="s">
        <v>73</v>
      </c>
      <c r="E892" s="3">
        <v>500</v>
      </c>
      <c r="F892" s="3">
        <v>80</v>
      </c>
      <c r="G892" s="3">
        <v>40000</v>
      </c>
      <c r="H892" s="3" t="s">
        <v>2966</v>
      </c>
    </row>
    <row r="893" spans="1:8" x14ac:dyDescent="0.35">
      <c r="A893" t="s">
        <v>109</v>
      </c>
      <c r="B893" s="26" t="s">
        <v>20</v>
      </c>
      <c r="C893" s="20">
        <v>42636</v>
      </c>
      <c r="D893" t="s">
        <v>105</v>
      </c>
      <c r="E893" s="3">
        <v>70</v>
      </c>
      <c r="F893" s="3">
        <v>83</v>
      </c>
      <c r="G893" s="3">
        <v>5478</v>
      </c>
      <c r="H893" s="3" t="s">
        <v>2973</v>
      </c>
    </row>
    <row r="894" spans="1:8" x14ac:dyDescent="0.35">
      <c r="A894" t="s">
        <v>35</v>
      </c>
      <c r="B894" s="26" t="s">
        <v>36</v>
      </c>
      <c r="C894" s="20">
        <v>42834</v>
      </c>
      <c r="D894" t="s">
        <v>105</v>
      </c>
      <c r="E894" s="3">
        <v>70</v>
      </c>
      <c r="F894" s="3">
        <v>6</v>
      </c>
      <c r="G894" s="3">
        <v>420</v>
      </c>
      <c r="H894" s="3" t="s">
        <v>2969</v>
      </c>
    </row>
    <row r="895" spans="1:8" x14ac:dyDescent="0.35">
      <c r="A895" t="s">
        <v>72</v>
      </c>
      <c r="B895" s="26" t="s">
        <v>36</v>
      </c>
      <c r="C895" s="20">
        <v>42721</v>
      </c>
      <c r="D895" t="s">
        <v>15</v>
      </c>
      <c r="E895" s="3">
        <v>80</v>
      </c>
      <c r="F895" s="3">
        <v>94</v>
      </c>
      <c r="G895" s="3">
        <v>7426</v>
      </c>
      <c r="H895" s="3" t="s">
        <v>2976</v>
      </c>
    </row>
    <row r="896" spans="1:8" x14ac:dyDescent="0.35">
      <c r="A896" t="s">
        <v>148</v>
      </c>
      <c r="B896" s="26" t="s">
        <v>14</v>
      </c>
      <c r="C896" s="20">
        <v>42769</v>
      </c>
      <c r="D896" t="s">
        <v>42</v>
      </c>
      <c r="E896" s="3">
        <v>30</v>
      </c>
      <c r="F896" s="3">
        <v>17</v>
      </c>
      <c r="G896" s="3">
        <v>476</v>
      </c>
      <c r="H896" s="3" t="s">
        <v>2967</v>
      </c>
    </row>
    <row r="897" spans="1:8" x14ac:dyDescent="0.35">
      <c r="A897" t="s">
        <v>148</v>
      </c>
      <c r="B897" s="26" t="s">
        <v>14</v>
      </c>
      <c r="C897" s="20">
        <v>41905</v>
      </c>
      <c r="D897" t="s">
        <v>47</v>
      </c>
      <c r="E897" s="3">
        <v>500</v>
      </c>
      <c r="F897" s="3">
        <v>51</v>
      </c>
      <c r="G897" s="3">
        <v>24735</v>
      </c>
      <c r="H897" s="3" t="s">
        <v>2973</v>
      </c>
    </row>
    <row r="898" spans="1:8" x14ac:dyDescent="0.35">
      <c r="A898" t="s">
        <v>243</v>
      </c>
      <c r="B898" s="26" t="s">
        <v>14</v>
      </c>
      <c r="C898" s="20">
        <v>42413</v>
      </c>
      <c r="D898" t="s">
        <v>105</v>
      </c>
      <c r="E898" s="3">
        <v>70</v>
      </c>
      <c r="F898" s="3">
        <v>58</v>
      </c>
      <c r="G898" s="3">
        <v>3886</v>
      </c>
      <c r="H898" s="3" t="s">
        <v>2967</v>
      </c>
    </row>
    <row r="899" spans="1:8" x14ac:dyDescent="0.35">
      <c r="A899" t="s">
        <v>189</v>
      </c>
      <c r="B899" s="26" t="s">
        <v>14</v>
      </c>
      <c r="C899" s="20">
        <v>42864</v>
      </c>
      <c r="D899" t="s">
        <v>31</v>
      </c>
      <c r="E899" s="3">
        <v>150</v>
      </c>
      <c r="F899" s="3">
        <v>3</v>
      </c>
      <c r="G899" s="3">
        <v>429</v>
      </c>
      <c r="H899" s="3" t="s">
        <v>2965</v>
      </c>
    </row>
    <row r="900" spans="1:8" x14ac:dyDescent="0.35">
      <c r="A900" t="s">
        <v>35</v>
      </c>
      <c r="B900" s="26" t="s">
        <v>36</v>
      </c>
      <c r="C900" s="20">
        <v>42775</v>
      </c>
      <c r="D900" t="s">
        <v>62</v>
      </c>
      <c r="E900" s="3">
        <v>1000</v>
      </c>
      <c r="F900" s="3">
        <v>52</v>
      </c>
      <c r="G900" s="3">
        <v>29640</v>
      </c>
      <c r="H900" s="3" t="s">
        <v>2967</v>
      </c>
    </row>
    <row r="901" spans="1:8" x14ac:dyDescent="0.35">
      <c r="A901" t="s">
        <v>172</v>
      </c>
      <c r="B901" s="26" t="s">
        <v>14</v>
      </c>
      <c r="C901" s="20">
        <v>43303</v>
      </c>
      <c r="D901" t="s">
        <v>116</v>
      </c>
      <c r="E901" s="3">
        <v>250</v>
      </c>
      <c r="F901" s="3">
        <v>66</v>
      </c>
      <c r="G901" s="3">
        <v>15510</v>
      </c>
      <c r="H901" s="3" t="s">
        <v>2971</v>
      </c>
    </row>
    <row r="902" spans="1:8" x14ac:dyDescent="0.35">
      <c r="A902" t="s">
        <v>266</v>
      </c>
      <c r="B902" s="26" t="s">
        <v>14</v>
      </c>
      <c r="C902" s="20">
        <v>41959</v>
      </c>
      <c r="D902" t="s">
        <v>56</v>
      </c>
      <c r="E902" s="3">
        <v>800</v>
      </c>
      <c r="F902" s="3">
        <v>100</v>
      </c>
      <c r="G902" s="3">
        <v>76000</v>
      </c>
      <c r="H902" s="3" t="s">
        <v>2975</v>
      </c>
    </row>
    <row r="903" spans="1:8" x14ac:dyDescent="0.35">
      <c r="A903" t="s">
        <v>83</v>
      </c>
      <c r="B903" s="26" t="s">
        <v>14</v>
      </c>
      <c r="C903" s="20">
        <v>42074</v>
      </c>
      <c r="D903" t="s">
        <v>42</v>
      </c>
      <c r="E903" s="3">
        <v>30</v>
      </c>
      <c r="F903" s="3">
        <v>33</v>
      </c>
      <c r="G903" s="3">
        <v>759</v>
      </c>
      <c r="H903" s="3" t="s">
        <v>2968</v>
      </c>
    </row>
    <row r="904" spans="1:8" x14ac:dyDescent="0.35">
      <c r="A904" t="s">
        <v>109</v>
      </c>
      <c r="B904" s="26" t="s">
        <v>20</v>
      </c>
      <c r="C904" s="20">
        <v>43407</v>
      </c>
      <c r="D904" t="s">
        <v>42</v>
      </c>
      <c r="E904" s="3">
        <v>30</v>
      </c>
      <c r="F904" s="3">
        <v>13</v>
      </c>
      <c r="G904" s="3">
        <v>338</v>
      </c>
      <c r="H904" s="3" t="s">
        <v>2975</v>
      </c>
    </row>
    <row r="905" spans="1:8" x14ac:dyDescent="0.35">
      <c r="A905" t="s">
        <v>41</v>
      </c>
      <c r="B905" s="26" t="s">
        <v>36</v>
      </c>
      <c r="C905" s="20">
        <v>41739</v>
      </c>
      <c r="D905" t="s">
        <v>105</v>
      </c>
      <c r="E905" s="3">
        <v>70</v>
      </c>
      <c r="F905" s="3">
        <v>44</v>
      </c>
      <c r="G905" s="3">
        <v>2508</v>
      </c>
      <c r="H905" s="3" t="s">
        <v>2969</v>
      </c>
    </row>
    <row r="906" spans="1:8" x14ac:dyDescent="0.35">
      <c r="A906" t="s">
        <v>30</v>
      </c>
      <c r="B906" s="26" t="s">
        <v>14</v>
      </c>
      <c r="C906" s="20">
        <v>42877</v>
      </c>
      <c r="D906" t="s">
        <v>56</v>
      </c>
      <c r="E906" s="3">
        <v>800</v>
      </c>
      <c r="F906" s="3">
        <v>88</v>
      </c>
      <c r="G906" s="3">
        <v>45056</v>
      </c>
      <c r="H906" s="3" t="s">
        <v>2965</v>
      </c>
    </row>
    <row r="907" spans="1:8" x14ac:dyDescent="0.35">
      <c r="A907" t="s">
        <v>35</v>
      </c>
      <c r="B907" s="26" t="s">
        <v>36</v>
      </c>
      <c r="C907" s="20">
        <v>42786</v>
      </c>
      <c r="D907" t="s">
        <v>73</v>
      </c>
      <c r="E907" s="3">
        <v>500</v>
      </c>
      <c r="F907" s="3">
        <v>73</v>
      </c>
      <c r="G907" s="3">
        <v>36500</v>
      </c>
      <c r="H907" s="3" t="s">
        <v>2967</v>
      </c>
    </row>
    <row r="908" spans="1:8" x14ac:dyDescent="0.35">
      <c r="A908" t="s">
        <v>109</v>
      </c>
      <c r="B908" s="26" t="s">
        <v>20</v>
      </c>
      <c r="C908" s="20">
        <v>43123</v>
      </c>
      <c r="D908" t="s">
        <v>26</v>
      </c>
      <c r="E908" s="3">
        <v>700</v>
      </c>
      <c r="F908" s="3">
        <v>30</v>
      </c>
      <c r="G908" s="3">
        <v>18270</v>
      </c>
      <c r="H908" s="3" t="s">
        <v>2966</v>
      </c>
    </row>
    <row r="909" spans="1:8" x14ac:dyDescent="0.35">
      <c r="A909" t="s">
        <v>257</v>
      </c>
      <c r="B909" s="26" t="s">
        <v>14</v>
      </c>
      <c r="C909" s="20">
        <v>43438</v>
      </c>
      <c r="D909" t="s">
        <v>37</v>
      </c>
      <c r="E909" s="3">
        <v>50</v>
      </c>
      <c r="F909" s="3">
        <v>18</v>
      </c>
      <c r="G909" s="3">
        <v>864</v>
      </c>
      <c r="H909" s="3" t="s">
        <v>2976</v>
      </c>
    </row>
    <row r="910" spans="1:8" x14ac:dyDescent="0.35">
      <c r="A910" t="s">
        <v>109</v>
      </c>
      <c r="B910" s="26" t="s">
        <v>20</v>
      </c>
      <c r="C910" s="20">
        <v>43105</v>
      </c>
      <c r="D910" t="s">
        <v>42</v>
      </c>
      <c r="E910" s="3">
        <v>30</v>
      </c>
      <c r="F910" s="3">
        <v>26</v>
      </c>
      <c r="G910" s="3">
        <v>676</v>
      </c>
      <c r="H910" s="3" t="s">
        <v>2966</v>
      </c>
    </row>
    <row r="911" spans="1:8" x14ac:dyDescent="0.35">
      <c r="A911" t="s">
        <v>51</v>
      </c>
      <c r="B911" s="26" t="s">
        <v>25</v>
      </c>
      <c r="C911" s="20">
        <v>41754</v>
      </c>
      <c r="D911" t="s">
        <v>73</v>
      </c>
      <c r="E911" s="3">
        <v>500</v>
      </c>
      <c r="F911" s="3">
        <v>38</v>
      </c>
      <c r="G911" s="3">
        <v>19000</v>
      </c>
      <c r="H911" s="3" t="s">
        <v>2969</v>
      </c>
    </row>
    <row r="912" spans="1:8" x14ac:dyDescent="0.35">
      <c r="A912" t="s">
        <v>66</v>
      </c>
      <c r="B912" s="26" t="s">
        <v>36</v>
      </c>
      <c r="C912" s="20">
        <v>42640</v>
      </c>
      <c r="D912" t="s">
        <v>56</v>
      </c>
      <c r="E912" s="3">
        <v>800</v>
      </c>
      <c r="F912" s="3">
        <v>68</v>
      </c>
      <c r="G912" s="3">
        <v>45152</v>
      </c>
      <c r="H912" s="3" t="s">
        <v>2973</v>
      </c>
    </row>
    <row r="913" spans="1:8" x14ac:dyDescent="0.35">
      <c r="A913" t="s">
        <v>326</v>
      </c>
      <c r="B913" s="26" t="s">
        <v>14</v>
      </c>
      <c r="C913" s="20">
        <v>43142</v>
      </c>
      <c r="D913" t="s">
        <v>26</v>
      </c>
      <c r="E913" s="3">
        <v>700</v>
      </c>
      <c r="F913" s="3">
        <v>49</v>
      </c>
      <c r="G913" s="3">
        <v>33271</v>
      </c>
      <c r="H913" s="3" t="s">
        <v>2967</v>
      </c>
    </row>
    <row r="914" spans="1:8" x14ac:dyDescent="0.35">
      <c r="A914" t="s">
        <v>109</v>
      </c>
      <c r="B914" s="26" t="s">
        <v>20</v>
      </c>
      <c r="C914" s="20">
        <v>41758</v>
      </c>
      <c r="D914" t="s">
        <v>116</v>
      </c>
      <c r="E914" s="3">
        <v>250</v>
      </c>
      <c r="F914" s="3">
        <v>51</v>
      </c>
      <c r="G914" s="3">
        <v>10098</v>
      </c>
      <c r="H914" s="3" t="s">
        <v>2969</v>
      </c>
    </row>
    <row r="915" spans="1:8" x14ac:dyDescent="0.35">
      <c r="A915" t="s">
        <v>229</v>
      </c>
      <c r="B915" s="26" t="s">
        <v>25</v>
      </c>
      <c r="C915" s="20">
        <v>42124</v>
      </c>
      <c r="D915" t="s">
        <v>73</v>
      </c>
      <c r="E915" s="3">
        <v>500</v>
      </c>
      <c r="F915" s="3">
        <v>89</v>
      </c>
      <c r="G915" s="3">
        <v>44500</v>
      </c>
      <c r="H915" s="3" t="s">
        <v>2969</v>
      </c>
    </row>
    <row r="916" spans="1:8" x14ac:dyDescent="0.35">
      <c r="A916" t="s">
        <v>55</v>
      </c>
      <c r="B916" s="26" t="s">
        <v>14</v>
      </c>
      <c r="C916" s="20">
        <v>41979</v>
      </c>
      <c r="D916" t="s">
        <v>73</v>
      </c>
      <c r="E916" s="3">
        <v>500</v>
      </c>
      <c r="F916" s="3">
        <v>78</v>
      </c>
      <c r="G916" s="3">
        <v>39000</v>
      </c>
      <c r="H916" s="3" t="s">
        <v>2976</v>
      </c>
    </row>
    <row r="917" spans="1:8" x14ac:dyDescent="0.35">
      <c r="A917" t="s">
        <v>51</v>
      </c>
      <c r="B917" s="26" t="s">
        <v>25</v>
      </c>
      <c r="C917" s="20">
        <v>42033</v>
      </c>
      <c r="D917" t="s">
        <v>47</v>
      </c>
      <c r="E917" s="3">
        <v>500</v>
      </c>
      <c r="F917" s="3">
        <v>78</v>
      </c>
      <c r="G917" s="3">
        <v>35100</v>
      </c>
      <c r="H917" s="3" t="s">
        <v>2966</v>
      </c>
    </row>
    <row r="918" spans="1:8" x14ac:dyDescent="0.35">
      <c r="A918" t="s">
        <v>148</v>
      </c>
      <c r="B918" s="26" t="s">
        <v>14</v>
      </c>
      <c r="C918" s="20">
        <v>42828</v>
      </c>
      <c r="D918" t="s">
        <v>42</v>
      </c>
      <c r="E918" s="3">
        <v>30</v>
      </c>
      <c r="F918" s="3">
        <v>52</v>
      </c>
      <c r="G918" s="3">
        <v>1508</v>
      </c>
      <c r="H918" s="3" t="s">
        <v>2969</v>
      </c>
    </row>
    <row r="919" spans="1:8" x14ac:dyDescent="0.35">
      <c r="A919" t="s">
        <v>109</v>
      </c>
      <c r="B919" s="26" t="s">
        <v>20</v>
      </c>
      <c r="C919" s="20">
        <v>42368</v>
      </c>
      <c r="D919" t="s">
        <v>73</v>
      </c>
      <c r="E919" s="3">
        <v>500</v>
      </c>
      <c r="F919" s="3">
        <v>56</v>
      </c>
      <c r="G919" s="3">
        <v>28000</v>
      </c>
      <c r="H919" s="3" t="s">
        <v>2976</v>
      </c>
    </row>
    <row r="920" spans="1:8" x14ac:dyDescent="0.35">
      <c r="A920" t="s">
        <v>61</v>
      </c>
      <c r="B920" s="26" t="s">
        <v>14</v>
      </c>
      <c r="C920" s="20">
        <v>42967</v>
      </c>
      <c r="D920" t="s">
        <v>116</v>
      </c>
      <c r="E920" s="3">
        <v>250</v>
      </c>
      <c r="F920" s="3">
        <v>32</v>
      </c>
      <c r="G920" s="3">
        <v>7200</v>
      </c>
      <c r="H920" s="3" t="s">
        <v>2972</v>
      </c>
    </row>
    <row r="921" spans="1:8" x14ac:dyDescent="0.35">
      <c r="A921" t="s">
        <v>13</v>
      </c>
      <c r="B921" s="26" t="s">
        <v>14</v>
      </c>
      <c r="C921" s="20">
        <v>42264</v>
      </c>
      <c r="D921" t="s">
        <v>15</v>
      </c>
      <c r="E921" s="3">
        <v>80</v>
      </c>
      <c r="F921" s="3">
        <v>23</v>
      </c>
      <c r="G921" s="3">
        <v>1794</v>
      </c>
      <c r="H921" s="3" t="s">
        <v>2973</v>
      </c>
    </row>
    <row r="922" spans="1:8" x14ac:dyDescent="0.35">
      <c r="A922" t="s">
        <v>30</v>
      </c>
      <c r="B922" s="26" t="s">
        <v>14</v>
      </c>
      <c r="C922" s="20">
        <v>42324</v>
      </c>
      <c r="D922" t="s">
        <v>123</v>
      </c>
      <c r="E922" s="3">
        <v>50</v>
      </c>
      <c r="F922" s="3">
        <v>8</v>
      </c>
      <c r="G922" s="3">
        <v>256</v>
      </c>
      <c r="H922" s="3" t="s">
        <v>2975</v>
      </c>
    </row>
    <row r="923" spans="1:8" x14ac:dyDescent="0.35">
      <c r="A923" t="s">
        <v>402</v>
      </c>
      <c r="B923" s="26" t="s">
        <v>14</v>
      </c>
      <c r="C923" s="20">
        <v>41975</v>
      </c>
      <c r="D923" t="s">
        <v>123</v>
      </c>
      <c r="E923" s="3">
        <v>50</v>
      </c>
      <c r="F923" s="3">
        <v>72</v>
      </c>
      <c r="G923" s="3">
        <v>2952</v>
      </c>
      <c r="H923" s="3" t="s">
        <v>2976</v>
      </c>
    </row>
    <row r="924" spans="1:8" x14ac:dyDescent="0.35">
      <c r="A924" t="s">
        <v>24</v>
      </c>
      <c r="B924" s="26" t="s">
        <v>25</v>
      </c>
      <c r="C924" s="20">
        <v>43265</v>
      </c>
      <c r="D924" t="s">
        <v>105</v>
      </c>
      <c r="E924" s="3">
        <v>70</v>
      </c>
      <c r="F924" s="3">
        <v>37</v>
      </c>
      <c r="G924" s="3">
        <v>2220</v>
      </c>
      <c r="H924" s="3" t="s">
        <v>2970</v>
      </c>
    </row>
    <row r="925" spans="1:8" x14ac:dyDescent="0.35">
      <c r="A925" t="s">
        <v>93</v>
      </c>
      <c r="B925" s="26" t="s">
        <v>36</v>
      </c>
      <c r="C925" s="20">
        <v>41741</v>
      </c>
      <c r="D925" t="s">
        <v>105</v>
      </c>
      <c r="E925" s="3">
        <v>70</v>
      </c>
      <c r="F925" s="3">
        <v>33</v>
      </c>
      <c r="G925" s="3">
        <v>2277</v>
      </c>
      <c r="H925" s="3" t="s">
        <v>2969</v>
      </c>
    </row>
    <row r="926" spans="1:8" x14ac:dyDescent="0.35">
      <c r="A926" t="s">
        <v>55</v>
      </c>
      <c r="B926" s="26" t="s">
        <v>14</v>
      </c>
      <c r="C926" s="20">
        <v>43289</v>
      </c>
      <c r="D926" t="s">
        <v>47</v>
      </c>
      <c r="E926" s="3">
        <v>500</v>
      </c>
      <c r="F926" s="3">
        <v>26</v>
      </c>
      <c r="G926" s="3">
        <v>12740</v>
      </c>
      <c r="H926" s="3" t="s">
        <v>2971</v>
      </c>
    </row>
    <row r="927" spans="1:8" x14ac:dyDescent="0.35">
      <c r="A927" t="s">
        <v>93</v>
      </c>
      <c r="B927" s="26" t="s">
        <v>36</v>
      </c>
      <c r="C927" s="20">
        <v>43133</v>
      </c>
      <c r="D927" t="s">
        <v>105</v>
      </c>
      <c r="E927" s="3">
        <v>70</v>
      </c>
      <c r="F927" s="3">
        <v>67</v>
      </c>
      <c r="G927" s="3">
        <v>4623</v>
      </c>
      <c r="H927" s="3" t="s">
        <v>2967</v>
      </c>
    </row>
    <row r="928" spans="1:8" x14ac:dyDescent="0.35">
      <c r="A928" t="s">
        <v>101</v>
      </c>
      <c r="B928" s="26" t="s">
        <v>14</v>
      </c>
      <c r="C928" s="20">
        <v>43290</v>
      </c>
      <c r="D928" t="s">
        <v>62</v>
      </c>
      <c r="E928" s="3">
        <v>1000</v>
      </c>
      <c r="F928" s="3">
        <v>81</v>
      </c>
      <c r="G928" s="3">
        <v>51840</v>
      </c>
      <c r="H928" s="3" t="s">
        <v>2971</v>
      </c>
    </row>
    <row r="929" spans="1:8" x14ac:dyDescent="0.35">
      <c r="A929" t="s">
        <v>66</v>
      </c>
      <c r="B929" s="26" t="s">
        <v>36</v>
      </c>
      <c r="C929" s="20">
        <v>41941</v>
      </c>
      <c r="D929" t="s">
        <v>62</v>
      </c>
      <c r="E929" s="3">
        <v>1000</v>
      </c>
      <c r="F929" s="3">
        <v>53</v>
      </c>
      <c r="G929" s="3">
        <v>53000</v>
      </c>
      <c r="H929" s="3" t="s">
        <v>2974</v>
      </c>
    </row>
    <row r="930" spans="1:8" x14ac:dyDescent="0.35">
      <c r="A930" t="s">
        <v>243</v>
      </c>
      <c r="B930" s="26" t="s">
        <v>14</v>
      </c>
      <c r="C930" s="20">
        <v>43314</v>
      </c>
      <c r="D930" t="s">
        <v>15</v>
      </c>
      <c r="E930" s="3">
        <v>80</v>
      </c>
      <c r="F930" s="3">
        <v>43</v>
      </c>
      <c r="G930" s="3">
        <v>3010</v>
      </c>
      <c r="H930" s="3" t="s">
        <v>2972</v>
      </c>
    </row>
    <row r="931" spans="1:8" x14ac:dyDescent="0.35">
      <c r="A931" t="s">
        <v>46</v>
      </c>
      <c r="B931" s="26" t="s">
        <v>25</v>
      </c>
      <c r="C931" s="20">
        <v>43093</v>
      </c>
      <c r="D931" t="s">
        <v>31</v>
      </c>
      <c r="E931" s="3">
        <v>150</v>
      </c>
      <c r="F931" s="3">
        <v>38</v>
      </c>
      <c r="G931" s="3">
        <v>5130</v>
      </c>
      <c r="H931" s="3" t="s">
        <v>2976</v>
      </c>
    </row>
    <row r="932" spans="1:8" x14ac:dyDescent="0.35">
      <c r="A932" t="s">
        <v>176</v>
      </c>
      <c r="B932" s="26" t="s">
        <v>14</v>
      </c>
      <c r="C932" s="20">
        <v>43313</v>
      </c>
      <c r="D932" t="s">
        <v>26</v>
      </c>
      <c r="E932" s="3">
        <v>700</v>
      </c>
      <c r="F932" s="3">
        <v>22</v>
      </c>
      <c r="G932" s="3">
        <v>13706</v>
      </c>
      <c r="H932" s="3" t="s">
        <v>2972</v>
      </c>
    </row>
    <row r="933" spans="1:8" x14ac:dyDescent="0.35">
      <c r="A933" t="s">
        <v>87</v>
      </c>
      <c r="B933" s="26" t="s">
        <v>14</v>
      </c>
      <c r="C933" s="20">
        <v>42549</v>
      </c>
      <c r="D933" t="s">
        <v>116</v>
      </c>
      <c r="E933" s="3">
        <v>250</v>
      </c>
      <c r="F933" s="3">
        <v>23</v>
      </c>
      <c r="G933" s="3">
        <v>5635</v>
      </c>
      <c r="H933" s="3" t="s">
        <v>2970</v>
      </c>
    </row>
    <row r="934" spans="1:8" x14ac:dyDescent="0.35">
      <c r="A934" t="s">
        <v>266</v>
      </c>
      <c r="B934" s="26" t="s">
        <v>14</v>
      </c>
      <c r="C934" s="20">
        <v>42748</v>
      </c>
      <c r="D934" t="s">
        <v>47</v>
      </c>
      <c r="E934" s="3">
        <v>500</v>
      </c>
      <c r="F934" s="3">
        <v>42</v>
      </c>
      <c r="G934" s="3">
        <v>21000</v>
      </c>
      <c r="H934" s="3" t="s">
        <v>2966</v>
      </c>
    </row>
    <row r="935" spans="1:8" x14ac:dyDescent="0.35">
      <c r="A935" t="s">
        <v>148</v>
      </c>
      <c r="B935" s="26" t="s">
        <v>14</v>
      </c>
      <c r="C935" s="20">
        <v>42873</v>
      </c>
      <c r="D935" t="s">
        <v>26</v>
      </c>
      <c r="E935" s="3">
        <v>700</v>
      </c>
      <c r="F935" s="3">
        <v>21</v>
      </c>
      <c r="G935" s="3">
        <v>14700</v>
      </c>
      <c r="H935" s="3" t="s">
        <v>2965</v>
      </c>
    </row>
    <row r="936" spans="1:8" x14ac:dyDescent="0.35">
      <c r="A936" t="s">
        <v>101</v>
      </c>
      <c r="B936" s="26" t="s">
        <v>14</v>
      </c>
      <c r="C936" s="20">
        <v>42913</v>
      </c>
      <c r="D936" t="s">
        <v>47</v>
      </c>
      <c r="E936" s="3">
        <v>500</v>
      </c>
      <c r="F936" s="3">
        <v>46</v>
      </c>
      <c r="G936" s="3">
        <v>22080</v>
      </c>
      <c r="H936" s="3" t="s">
        <v>2970</v>
      </c>
    </row>
    <row r="937" spans="1:8" x14ac:dyDescent="0.35">
      <c r="A937" t="s">
        <v>101</v>
      </c>
      <c r="B937" s="26" t="s">
        <v>14</v>
      </c>
      <c r="C937" s="20">
        <v>43140</v>
      </c>
      <c r="D937" t="s">
        <v>116</v>
      </c>
      <c r="E937" s="3">
        <v>250</v>
      </c>
      <c r="F937" s="3">
        <v>24</v>
      </c>
      <c r="G937" s="3">
        <v>5832</v>
      </c>
      <c r="H937" s="3" t="s">
        <v>2967</v>
      </c>
    </row>
    <row r="938" spans="1:8" x14ac:dyDescent="0.35">
      <c r="A938" t="s">
        <v>51</v>
      </c>
      <c r="B938" s="26" t="s">
        <v>25</v>
      </c>
      <c r="C938" s="20">
        <v>42783</v>
      </c>
      <c r="D938" t="s">
        <v>62</v>
      </c>
      <c r="E938" s="3">
        <v>1000</v>
      </c>
      <c r="F938" s="3">
        <v>50</v>
      </c>
      <c r="G938" s="3">
        <v>47500</v>
      </c>
      <c r="H938" s="3" t="s">
        <v>2967</v>
      </c>
    </row>
    <row r="939" spans="1:8" x14ac:dyDescent="0.35">
      <c r="A939" t="s">
        <v>83</v>
      </c>
      <c r="B939" s="26" t="s">
        <v>14</v>
      </c>
      <c r="C939" s="20">
        <v>42799</v>
      </c>
      <c r="D939" t="s">
        <v>123</v>
      </c>
      <c r="E939" s="3">
        <v>50</v>
      </c>
      <c r="F939" s="3">
        <v>45</v>
      </c>
      <c r="G939" s="3">
        <v>2115</v>
      </c>
      <c r="H939" s="3" t="s">
        <v>2968</v>
      </c>
    </row>
    <row r="940" spans="1:8" x14ac:dyDescent="0.35">
      <c r="A940" t="s">
        <v>109</v>
      </c>
      <c r="B940" s="26" t="s">
        <v>20</v>
      </c>
      <c r="C940" s="20">
        <v>41910</v>
      </c>
      <c r="D940" t="s">
        <v>42</v>
      </c>
      <c r="E940" s="3">
        <v>30</v>
      </c>
      <c r="F940" s="3">
        <v>43</v>
      </c>
      <c r="G940" s="3">
        <v>1161</v>
      </c>
      <c r="H940" s="3" t="s">
        <v>2973</v>
      </c>
    </row>
    <row r="941" spans="1:8" x14ac:dyDescent="0.35">
      <c r="A941" t="s">
        <v>243</v>
      </c>
      <c r="B941" s="26" t="s">
        <v>14</v>
      </c>
      <c r="C941" s="20">
        <v>43180</v>
      </c>
      <c r="D941" t="s">
        <v>42</v>
      </c>
      <c r="E941" s="3">
        <v>30</v>
      </c>
      <c r="F941" s="3">
        <v>48</v>
      </c>
      <c r="G941" s="3">
        <v>1392</v>
      </c>
      <c r="H941" s="3" t="s">
        <v>2968</v>
      </c>
    </row>
    <row r="942" spans="1:8" x14ac:dyDescent="0.35">
      <c r="A942" t="s">
        <v>326</v>
      </c>
      <c r="B942" s="26" t="s">
        <v>14</v>
      </c>
      <c r="C942" s="20">
        <v>43404</v>
      </c>
      <c r="D942" t="s">
        <v>15</v>
      </c>
      <c r="E942" s="3">
        <v>80</v>
      </c>
      <c r="F942" s="3">
        <v>22</v>
      </c>
      <c r="G942" s="3">
        <v>1672</v>
      </c>
      <c r="H942" s="3" t="s">
        <v>2974</v>
      </c>
    </row>
    <row r="943" spans="1:8" x14ac:dyDescent="0.35">
      <c r="A943" t="s">
        <v>326</v>
      </c>
      <c r="B943" s="26" t="s">
        <v>14</v>
      </c>
      <c r="C943" s="20">
        <v>43105</v>
      </c>
      <c r="D943" t="s">
        <v>105</v>
      </c>
      <c r="E943" s="3">
        <v>70</v>
      </c>
      <c r="F943" s="3">
        <v>65</v>
      </c>
      <c r="G943" s="3">
        <v>4485</v>
      </c>
      <c r="H943" s="3" t="s">
        <v>2966</v>
      </c>
    </row>
    <row r="944" spans="1:8" x14ac:dyDescent="0.35">
      <c r="A944" t="s">
        <v>109</v>
      </c>
      <c r="B944" s="26" t="s">
        <v>20</v>
      </c>
      <c r="C944" s="20">
        <v>42384</v>
      </c>
      <c r="D944" t="s">
        <v>15</v>
      </c>
      <c r="E944" s="3">
        <v>80</v>
      </c>
      <c r="F944" s="3">
        <v>66</v>
      </c>
      <c r="G944" s="3">
        <v>5016</v>
      </c>
      <c r="H944" s="3" t="s">
        <v>2966</v>
      </c>
    </row>
    <row r="945" spans="1:8" x14ac:dyDescent="0.35">
      <c r="A945" t="s">
        <v>83</v>
      </c>
      <c r="B945" s="26" t="s">
        <v>14</v>
      </c>
      <c r="C945" s="20">
        <v>42303</v>
      </c>
      <c r="D945" t="s">
        <v>47</v>
      </c>
      <c r="E945" s="3">
        <v>500</v>
      </c>
      <c r="F945" s="3">
        <v>81</v>
      </c>
      <c r="G945" s="3">
        <v>34830</v>
      </c>
      <c r="H945" s="3" t="s">
        <v>2974</v>
      </c>
    </row>
    <row r="946" spans="1:8" x14ac:dyDescent="0.35">
      <c r="A946" t="s">
        <v>101</v>
      </c>
      <c r="B946" s="26" t="s">
        <v>14</v>
      </c>
      <c r="C946" s="20">
        <v>43235</v>
      </c>
      <c r="D946" t="s">
        <v>42</v>
      </c>
      <c r="E946" s="3">
        <v>30</v>
      </c>
      <c r="F946" s="3">
        <v>87</v>
      </c>
      <c r="G946" s="3">
        <v>2436</v>
      </c>
      <c r="H946" s="3" t="s">
        <v>2965</v>
      </c>
    </row>
    <row r="947" spans="1:8" x14ac:dyDescent="0.35">
      <c r="A947" t="s">
        <v>93</v>
      </c>
      <c r="B947" s="26" t="s">
        <v>36</v>
      </c>
      <c r="C947" s="20">
        <v>42661</v>
      </c>
      <c r="D947" t="s">
        <v>37</v>
      </c>
      <c r="E947" s="3">
        <v>50</v>
      </c>
      <c r="F947" s="3">
        <v>19</v>
      </c>
      <c r="G947" s="3">
        <v>855</v>
      </c>
      <c r="H947" s="3" t="s">
        <v>2974</v>
      </c>
    </row>
    <row r="948" spans="1:8" x14ac:dyDescent="0.35">
      <c r="A948" t="s">
        <v>93</v>
      </c>
      <c r="B948" s="26" t="s">
        <v>36</v>
      </c>
      <c r="C948" s="20">
        <v>41685</v>
      </c>
      <c r="D948" t="s">
        <v>105</v>
      </c>
      <c r="E948" s="3">
        <v>70</v>
      </c>
      <c r="F948" s="3">
        <v>66</v>
      </c>
      <c r="G948" s="3">
        <v>3762</v>
      </c>
      <c r="H948" s="3" t="s">
        <v>2967</v>
      </c>
    </row>
    <row r="949" spans="1:8" x14ac:dyDescent="0.35">
      <c r="A949" t="s">
        <v>229</v>
      </c>
      <c r="B949" s="26" t="s">
        <v>25</v>
      </c>
      <c r="C949" s="20">
        <v>42544</v>
      </c>
      <c r="D949" t="s">
        <v>62</v>
      </c>
      <c r="E949" s="3">
        <v>1000</v>
      </c>
      <c r="F949" s="3">
        <v>95</v>
      </c>
      <c r="G949" s="3">
        <v>69350</v>
      </c>
      <c r="H949" s="3" t="s">
        <v>2970</v>
      </c>
    </row>
    <row r="950" spans="1:8" x14ac:dyDescent="0.35">
      <c r="A950" t="s">
        <v>207</v>
      </c>
      <c r="B950" s="26" t="s">
        <v>25</v>
      </c>
      <c r="C950" s="20">
        <v>42907</v>
      </c>
      <c r="D950" t="s">
        <v>62</v>
      </c>
      <c r="E950" s="3">
        <v>1000</v>
      </c>
      <c r="F950" s="3">
        <v>6</v>
      </c>
      <c r="G950" s="3">
        <v>4260</v>
      </c>
      <c r="H950" s="3" t="s">
        <v>2970</v>
      </c>
    </row>
    <row r="951" spans="1:8" x14ac:dyDescent="0.35">
      <c r="A951" t="s">
        <v>55</v>
      </c>
      <c r="B951" s="26" t="s">
        <v>14</v>
      </c>
      <c r="C951" s="20">
        <v>42948</v>
      </c>
      <c r="D951" t="s">
        <v>47</v>
      </c>
      <c r="E951" s="3">
        <v>500</v>
      </c>
      <c r="F951" s="3">
        <v>65</v>
      </c>
      <c r="G951" s="3">
        <v>32500</v>
      </c>
      <c r="H951" s="3" t="s">
        <v>2972</v>
      </c>
    </row>
    <row r="952" spans="1:8" x14ac:dyDescent="0.35">
      <c r="A952" t="s">
        <v>207</v>
      </c>
      <c r="B952" s="26" t="s">
        <v>25</v>
      </c>
      <c r="C952" s="20">
        <v>42868</v>
      </c>
      <c r="D952" t="s">
        <v>26</v>
      </c>
      <c r="E952" s="3">
        <v>700</v>
      </c>
      <c r="F952" s="3">
        <v>77</v>
      </c>
      <c r="G952" s="3">
        <v>53361</v>
      </c>
      <c r="H952" s="3" t="s">
        <v>2965</v>
      </c>
    </row>
    <row r="953" spans="1:8" x14ac:dyDescent="0.35">
      <c r="A953" t="s">
        <v>109</v>
      </c>
      <c r="B953" s="26" t="s">
        <v>20</v>
      </c>
      <c r="C953" s="20">
        <v>41988</v>
      </c>
      <c r="D953" t="s">
        <v>15</v>
      </c>
      <c r="E953" s="3">
        <v>80</v>
      </c>
      <c r="F953" s="3">
        <v>88</v>
      </c>
      <c r="G953" s="3">
        <v>4928</v>
      </c>
      <c r="H953" s="3" t="s">
        <v>2976</v>
      </c>
    </row>
    <row r="954" spans="1:8" x14ac:dyDescent="0.35">
      <c r="A954" t="s">
        <v>41</v>
      </c>
      <c r="B954" s="26" t="s">
        <v>36</v>
      </c>
      <c r="C954" s="20">
        <v>41813</v>
      </c>
      <c r="D954" t="s">
        <v>42</v>
      </c>
      <c r="E954" s="3">
        <v>30</v>
      </c>
      <c r="F954" s="3">
        <v>3</v>
      </c>
      <c r="G954" s="3">
        <v>81</v>
      </c>
      <c r="H954" s="3" t="s">
        <v>2970</v>
      </c>
    </row>
    <row r="955" spans="1:8" x14ac:dyDescent="0.35">
      <c r="A955" t="s">
        <v>51</v>
      </c>
      <c r="B955" s="26" t="s">
        <v>25</v>
      </c>
      <c r="C955" s="20">
        <v>41807</v>
      </c>
      <c r="D955" t="s">
        <v>105</v>
      </c>
      <c r="E955" s="3">
        <v>70</v>
      </c>
      <c r="F955" s="3">
        <v>55</v>
      </c>
      <c r="G955" s="3">
        <v>3685</v>
      </c>
      <c r="H955" s="3" t="s">
        <v>2970</v>
      </c>
    </row>
    <row r="956" spans="1:8" x14ac:dyDescent="0.35">
      <c r="A956" t="s">
        <v>109</v>
      </c>
      <c r="B956" s="26" t="s">
        <v>20</v>
      </c>
      <c r="C956" s="20">
        <v>42326</v>
      </c>
      <c r="D956" t="s">
        <v>123</v>
      </c>
      <c r="E956" s="3">
        <v>50</v>
      </c>
      <c r="F956" s="3">
        <v>58</v>
      </c>
      <c r="G956" s="3">
        <v>1914</v>
      </c>
      <c r="H956" s="3" t="s">
        <v>2975</v>
      </c>
    </row>
    <row r="957" spans="1:8" x14ac:dyDescent="0.35">
      <c r="A957" t="s">
        <v>272</v>
      </c>
      <c r="B957" s="26" t="s">
        <v>36</v>
      </c>
      <c r="C957" s="20">
        <v>41876</v>
      </c>
      <c r="D957" t="s">
        <v>15</v>
      </c>
      <c r="E957" s="3">
        <v>80</v>
      </c>
      <c r="F957" s="3">
        <v>31</v>
      </c>
      <c r="G957" s="3">
        <v>2418</v>
      </c>
      <c r="H957" s="3" t="s">
        <v>2972</v>
      </c>
    </row>
    <row r="958" spans="1:8" x14ac:dyDescent="0.35">
      <c r="A958" t="s">
        <v>51</v>
      </c>
      <c r="B958" s="26" t="s">
        <v>25</v>
      </c>
      <c r="C958" s="20">
        <v>42051</v>
      </c>
      <c r="D958" t="s">
        <v>37</v>
      </c>
      <c r="E958" s="3">
        <v>50</v>
      </c>
      <c r="F958" s="3">
        <v>25</v>
      </c>
      <c r="G958" s="3">
        <v>1225</v>
      </c>
      <c r="H958" s="3" t="s">
        <v>2967</v>
      </c>
    </row>
    <row r="959" spans="1:8" x14ac:dyDescent="0.35">
      <c r="A959" t="s">
        <v>172</v>
      </c>
      <c r="B959" s="26" t="s">
        <v>14</v>
      </c>
      <c r="C959" s="20">
        <v>43144</v>
      </c>
      <c r="D959" t="s">
        <v>15</v>
      </c>
      <c r="E959" s="3">
        <v>80</v>
      </c>
      <c r="F959" s="3">
        <v>96</v>
      </c>
      <c r="G959" s="3">
        <v>6624</v>
      </c>
      <c r="H959" s="3" t="s">
        <v>2967</v>
      </c>
    </row>
    <row r="960" spans="1:8" x14ac:dyDescent="0.35">
      <c r="A960" t="s">
        <v>402</v>
      </c>
      <c r="B960" s="26" t="s">
        <v>14</v>
      </c>
      <c r="C960" s="20">
        <v>42258</v>
      </c>
      <c r="D960" t="s">
        <v>123</v>
      </c>
      <c r="E960" s="3">
        <v>50</v>
      </c>
      <c r="F960" s="3">
        <v>7</v>
      </c>
      <c r="G960" s="3">
        <v>224</v>
      </c>
      <c r="H960" s="3" t="s">
        <v>2973</v>
      </c>
    </row>
    <row r="961" spans="1:8" x14ac:dyDescent="0.35">
      <c r="A961" t="s">
        <v>51</v>
      </c>
      <c r="B961" s="26" t="s">
        <v>25</v>
      </c>
      <c r="C961" s="20">
        <v>42378</v>
      </c>
      <c r="D961" t="s">
        <v>62</v>
      </c>
      <c r="E961" s="3">
        <v>1000</v>
      </c>
      <c r="F961" s="3">
        <v>37</v>
      </c>
      <c r="G961" s="3">
        <v>21460</v>
      </c>
      <c r="H961" s="3" t="s">
        <v>2966</v>
      </c>
    </row>
    <row r="962" spans="1:8" x14ac:dyDescent="0.35">
      <c r="A962" t="s">
        <v>243</v>
      </c>
      <c r="B962" s="26" t="s">
        <v>14</v>
      </c>
      <c r="C962" s="20">
        <v>42546</v>
      </c>
      <c r="D962" t="s">
        <v>26</v>
      </c>
      <c r="E962" s="3">
        <v>700</v>
      </c>
      <c r="F962" s="3">
        <v>84</v>
      </c>
      <c r="G962" s="3">
        <v>51156</v>
      </c>
      <c r="H962" s="3" t="s">
        <v>2970</v>
      </c>
    </row>
    <row r="963" spans="1:8" x14ac:dyDescent="0.35">
      <c r="A963" t="s">
        <v>148</v>
      </c>
      <c r="B963" s="26" t="s">
        <v>14</v>
      </c>
      <c r="C963" s="20">
        <v>42835</v>
      </c>
      <c r="D963" t="s">
        <v>47</v>
      </c>
      <c r="E963" s="3">
        <v>500</v>
      </c>
      <c r="F963" s="3">
        <v>42</v>
      </c>
      <c r="G963" s="3">
        <v>20160</v>
      </c>
      <c r="H963" s="3" t="s">
        <v>2969</v>
      </c>
    </row>
    <row r="964" spans="1:8" x14ac:dyDescent="0.35">
      <c r="A964" t="s">
        <v>83</v>
      </c>
      <c r="B964" s="26" t="s">
        <v>14</v>
      </c>
      <c r="C964" s="20">
        <v>42626</v>
      </c>
      <c r="D964" t="s">
        <v>123</v>
      </c>
      <c r="E964" s="3">
        <v>50</v>
      </c>
      <c r="F964" s="3">
        <v>5</v>
      </c>
      <c r="G964" s="3">
        <v>225</v>
      </c>
      <c r="H964" s="3" t="s">
        <v>2973</v>
      </c>
    </row>
    <row r="965" spans="1:8" x14ac:dyDescent="0.35">
      <c r="A965" t="s">
        <v>93</v>
      </c>
      <c r="B965" s="26" t="s">
        <v>36</v>
      </c>
      <c r="C965" s="20">
        <v>42530</v>
      </c>
      <c r="D965" t="s">
        <v>37</v>
      </c>
      <c r="E965" s="3">
        <v>50</v>
      </c>
      <c r="F965" s="3">
        <v>64</v>
      </c>
      <c r="G965" s="3">
        <v>2368</v>
      </c>
      <c r="H965" s="3" t="s">
        <v>2970</v>
      </c>
    </row>
    <row r="966" spans="1:8" x14ac:dyDescent="0.35">
      <c r="A966" t="s">
        <v>55</v>
      </c>
      <c r="B966" s="26" t="s">
        <v>14</v>
      </c>
      <c r="C966" s="20">
        <v>42531</v>
      </c>
      <c r="D966" t="s">
        <v>47</v>
      </c>
      <c r="E966" s="3">
        <v>500</v>
      </c>
      <c r="F966" s="3">
        <v>32</v>
      </c>
      <c r="G966" s="3">
        <v>14560</v>
      </c>
      <c r="H966" s="3" t="s">
        <v>2970</v>
      </c>
    </row>
    <row r="967" spans="1:8" x14ac:dyDescent="0.35">
      <c r="A967" t="s">
        <v>61</v>
      </c>
      <c r="B967" s="26" t="s">
        <v>14</v>
      </c>
      <c r="C967" s="20">
        <v>42616</v>
      </c>
      <c r="D967" t="s">
        <v>123</v>
      </c>
      <c r="E967" s="3">
        <v>50</v>
      </c>
      <c r="F967" s="3">
        <v>71</v>
      </c>
      <c r="G967" s="3">
        <v>3053</v>
      </c>
      <c r="H967" s="3" t="s">
        <v>2973</v>
      </c>
    </row>
    <row r="968" spans="1:8" x14ac:dyDescent="0.35">
      <c r="A968" t="s">
        <v>55</v>
      </c>
      <c r="B968" s="26" t="s">
        <v>14</v>
      </c>
      <c r="C968" s="20">
        <v>43014</v>
      </c>
      <c r="D968" t="s">
        <v>62</v>
      </c>
      <c r="E968" s="3">
        <v>1000</v>
      </c>
      <c r="F968" s="3">
        <v>59</v>
      </c>
      <c r="G968" s="3">
        <v>46020</v>
      </c>
      <c r="H968" s="3" t="s">
        <v>2974</v>
      </c>
    </row>
    <row r="969" spans="1:8" x14ac:dyDescent="0.35">
      <c r="A969" t="s">
        <v>266</v>
      </c>
      <c r="B969" s="26" t="s">
        <v>14</v>
      </c>
      <c r="C969" s="20">
        <v>42995</v>
      </c>
      <c r="D969" t="s">
        <v>62</v>
      </c>
      <c r="E969" s="3">
        <v>1000</v>
      </c>
      <c r="F969" s="3">
        <v>14</v>
      </c>
      <c r="G969" s="3">
        <v>9380</v>
      </c>
      <c r="H969" s="3" t="s">
        <v>2973</v>
      </c>
    </row>
    <row r="970" spans="1:8" x14ac:dyDescent="0.35">
      <c r="A970" t="s">
        <v>19</v>
      </c>
      <c r="B970" s="26" t="s">
        <v>20</v>
      </c>
      <c r="C970" s="20">
        <v>42291</v>
      </c>
      <c r="D970" t="s">
        <v>15</v>
      </c>
      <c r="E970" s="3">
        <v>80</v>
      </c>
      <c r="F970" s="3">
        <v>68</v>
      </c>
      <c r="G970" s="3">
        <v>5236</v>
      </c>
      <c r="H970" s="3" t="s">
        <v>2974</v>
      </c>
    </row>
    <row r="971" spans="1:8" x14ac:dyDescent="0.35">
      <c r="A971" t="s">
        <v>51</v>
      </c>
      <c r="B971" s="26" t="s">
        <v>25</v>
      </c>
      <c r="C971" s="20">
        <v>42981</v>
      </c>
      <c r="D971" t="s">
        <v>42</v>
      </c>
      <c r="E971" s="3">
        <v>30</v>
      </c>
      <c r="F971" s="3">
        <v>23</v>
      </c>
      <c r="G971" s="3">
        <v>667</v>
      </c>
      <c r="H971" s="3" t="s">
        <v>2973</v>
      </c>
    </row>
    <row r="972" spans="1:8" x14ac:dyDescent="0.35">
      <c r="A972" t="s">
        <v>93</v>
      </c>
      <c r="B972" s="26" t="s">
        <v>36</v>
      </c>
      <c r="C972" s="20">
        <v>41745</v>
      </c>
      <c r="D972" t="s">
        <v>116</v>
      </c>
      <c r="E972" s="3">
        <v>250</v>
      </c>
      <c r="F972" s="3">
        <v>89</v>
      </c>
      <c r="G972" s="3">
        <v>20025</v>
      </c>
      <c r="H972" s="3" t="s">
        <v>2969</v>
      </c>
    </row>
    <row r="973" spans="1:8" x14ac:dyDescent="0.35">
      <c r="A973" t="s">
        <v>129</v>
      </c>
      <c r="B973" s="26" t="s">
        <v>14</v>
      </c>
      <c r="C973" s="20">
        <v>43354</v>
      </c>
      <c r="D973" t="s">
        <v>116</v>
      </c>
      <c r="E973" s="3">
        <v>250</v>
      </c>
      <c r="F973" s="3">
        <v>69</v>
      </c>
      <c r="G973" s="3">
        <v>15732</v>
      </c>
      <c r="H973" s="3" t="s">
        <v>2973</v>
      </c>
    </row>
    <row r="974" spans="1:8" x14ac:dyDescent="0.35">
      <c r="A974" t="s">
        <v>257</v>
      </c>
      <c r="B974" s="26" t="s">
        <v>14</v>
      </c>
      <c r="C974" s="20">
        <v>41824</v>
      </c>
      <c r="D974" t="s">
        <v>116</v>
      </c>
      <c r="E974" s="3">
        <v>250</v>
      </c>
      <c r="F974" s="3">
        <v>33</v>
      </c>
      <c r="G974" s="3">
        <v>7425</v>
      </c>
      <c r="H974" s="3" t="s">
        <v>2971</v>
      </c>
    </row>
    <row r="975" spans="1:8" x14ac:dyDescent="0.35">
      <c r="A975" t="s">
        <v>257</v>
      </c>
      <c r="B975" s="26" t="s">
        <v>14</v>
      </c>
      <c r="C975" s="20">
        <v>43031</v>
      </c>
      <c r="D975" t="s">
        <v>42</v>
      </c>
      <c r="E975" s="3">
        <v>30</v>
      </c>
      <c r="F975" s="3">
        <v>86</v>
      </c>
      <c r="G975" s="3">
        <v>2408</v>
      </c>
      <c r="H975" s="3" t="s">
        <v>2974</v>
      </c>
    </row>
    <row r="976" spans="1:8" x14ac:dyDescent="0.35">
      <c r="A976" t="s">
        <v>19</v>
      </c>
      <c r="B976" s="26" t="s">
        <v>20</v>
      </c>
      <c r="C976" s="20">
        <v>43413</v>
      </c>
      <c r="D976" t="s">
        <v>15</v>
      </c>
      <c r="E976" s="3">
        <v>80</v>
      </c>
      <c r="F976" s="3">
        <v>39</v>
      </c>
      <c r="G976" s="3">
        <v>2808</v>
      </c>
      <c r="H976" s="3" t="s">
        <v>2975</v>
      </c>
    </row>
    <row r="977" spans="1:8" x14ac:dyDescent="0.35">
      <c r="A977" t="s">
        <v>41</v>
      </c>
      <c r="B977" s="26" t="s">
        <v>36</v>
      </c>
      <c r="C977" s="20">
        <v>41821</v>
      </c>
      <c r="D977" t="s">
        <v>105</v>
      </c>
      <c r="E977" s="3">
        <v>70</v>
      </c>
      <c r="F977" s="3">
        <v>99</v>
      </c>
      <c r="G977" s="3">
        <v>6138</v>
      </c>
      <c r="H977" s="3" t="s">
        <v>2971</v>
      </c>
    </row>
    <row r="978" spans="1:8" x14ac:dyDescent="0.35">
      <c r="A978" t="s">
        <v>97</v>
      </c>
      <c r="B978" s="26" t="s">
        <v>14</v>
      </c>
      <c r="C978" s="20">
        <v>43106</v>
      </c>
      <c r="D978" t="s">
        <v>123</v>
      </c>
      <c r="E978" s="3">
        <v>50</v>
      </c>
      <c r="F978" s="3">
        <v>32</v>
      </c>
      <c r="G978" s="3">
        <v>992</v>
      </c>
      <c r="H978" s="3" t="s">
        <v>2966</v>
      </c>
    </row>
    <row r="979" spans="1:8" x14ac:dyDescent="0.35">
      <c r="A979" t="s">
        <v>172</v>
      </c>
      <c r="B979" s="26" t="s">
        <v>14</v>
      </c>
      <c r="C979" s="20">
        <v>42159</v>
      </c>
      <c r="D979" t="s">
        <v>116</v>
      </c>
      <c r="E979" s="3">
        <v>250</v>
      </c>
      <c r="F979" s="3">
        <v>51</v>
      </c>
      <c r="G979" s="3">
        <v>9690</v>
      </c>
      <c r="H979" s="3" t="s">
        <v>2970</v>
      </c>
    </row>
    <row r="980" spans="1:8" x14ac:dyDescent="0.35">
      <c r="A980" t="s">
        <v>79</v>
      </c>
      <c r="B980" s="26" t="s">
        <v>36</v>
      </c>
      <c r="C980" s="20">
        <v>42477</v>
      </c>
      <c r="D980" t="s">
        <v>15</v>
      </c>
      <c r="E980" s="3">
        <v>80</v>
      </c>
      <c r="F980" s="3">
        <v>35</v>
      </c>
      <c r="G980" s="3">
        <v>2730</v>
      </c>
      <c r="H980" s="3" t="s">
        <v>2969</v>
      </c>
    </row>
    <row r="981" spans="1:8" x14ac:dyDescent="0.35">
      <c r="A981" t="s">
        <v>93</v>
      </c>
      <c r="B981" s="26" t="s">
        <v>36</v>
      </c>
      <c r="C981" s="20">
        <v>41697</v>
      </c>
      <c r="D981" t="s">
        <v>26</v>
      </c>
      <c r="E981" s="3">
        <v>700</v>
      </c>
      <c r="F981" s="3">
        <v>30</v>
      </c>
      <c r="G981" s="3">
        <v>19530</v>
      </c>
      <c r="H981" s="3" t="s">
        <v>2967</v>
      </c>
    </row>
    <row r="982" spans="1:8" x14ac:dyDescent="0.35">
      <c r="A982" t="s">
        <v>257</v>
      </c>
      <c r="B982" s="26" t="s">
        <v>14</v>
      </c>
      <c r="C982" s="20">
        <v>43127</v>
      </c>
      <c r="D982" t="s">
        <v>15</v>
      </c>
      <c r="E982" s="3">
        <v>80</v>
      </c>
      <c r="F982" s="3">
        <v>54</v>
      </c>
      <c r="G982" s="3">
        <v>3780</v>
      </c>
      <c r="H982" s="3" t="s">
        <v>2966</v>
      </c>
    </row>
    <row r="983" spans="1:8" x14ac:dyDescent="0.35">
      <c r="A983" t="s">
        <v>109</v>
      </c>
      <c r="B983" s="26" t="s">
        <v>20</v>
      </c>
      <c r="C983" s="20">
        <v>41902</v>
      </c>
      <c r="D983" t="s">
        <v>105</v>
      </c>
      <c r="E983" s="3">
        <v>70</v>
      </c>
      <c r="F983" s="3">
        <v>20</v>
      </c>
      <c r="G983" s="3">
        <v>1280</v>
      </c>
      <c r="H983" s="3" t="s">
        <v>2973</v>
      </c>
    </row>
    <row r="984" spans="1:8" x14ac:dyDescent="0.35">
      <c r="A984" t="s">
        <v>87</v>
      </c>
      <c r="B984" s="26" t="s">
        <v>14</v>
      </c>
      <c r="C984" s="20">
        <v>43272</v>
      </c>
      <c r="D984" t="s">
        <v>42</v>
      </c>
      <c r="E984" s="3">
        <v>30</v>
      </c>
      <c r="F984" s="3">
        <v>3</v>
      </c>
      <c r="G984" s="3">
        <v>90</v>
      </c>
      <c r="H984" s="3" t="s">
        <v>2970</v>
      </c>
    </row>
    <row r="985" spans="1:8" x14ac:dyDescent="0.35">
      <c r="A985" t="s">
        <v>72</v>
      </c>
      <c r="B985" s="26" t="s">
        <v>36</v>
      </c>
      <c r="C985" s="20">
        <v>41967</v>
      </c>
      <c r="D985" t="s">
        <v>73</v>
      </c>
      <c r="E985" s="3">
        <v>500</v>
      </c>
      <c r="F985" s="3">
        <v>62</v>
      </c>
      <c r="G985" s="3">
        <v>30380</v>
      </c>
      <c r="H985" s="3" t="s">
        <v>2975</v>
      </c>
    </row>
    <row r="986" spans="1:8" x14ac:dyDescent="0.35">
      <c r="A986" t="s">
        <v>148</v>
      </c>
      <c r="B986" s="26" t="s">
        <v>14</v>
      </c>
      <c r="C986" s="20">
        <v>43018</v>
      </c>
      <c r="D986" t="s">
        <v>31</v>
      </c>
      <c r="E986" s="3">
        <v>150</v>
      </c>
      <c r="F986" s="3">
        <v>61</v>
      </c>
      <c r="G986" s="3">
        <v>8418</v>
      </c>
      <c r="H986" s="3" t="s">
        <v>2974</v>
      </c>
    </row>
    <row r="987" spans="1:8" x14ac:dyDescent="0.35">
      <c r="A987" t="s">
        <v>207</v>
      </c>
      <c r="B987" s="26" t="s">
        <v>25</v>
      </c>
      <c r="C987" s="20">
        <v>43012</v>
      </c>
      <c r="D987" t="s">
        <v>116</v>
      </c>
      <c r="E987" s="3">
        <v>250</v>
      </c>
      <c r="F987" s="3">
        <v>75</v>
      </c>
      <c r="G987" s="3">
        <v>17625</v>
      </c>
      <c r="H987" s="3" t="s">
        <v>2974</v>
      </c>
    </row>
    <row r="988" spans="1:8" x14ac:dyDescent="0.35">
      <c r="A988" t="s">
        <v>41</v>
      </c>
      <c r="B988" s="26" t="s">
        <v>36</v>
      </c>
      <c r="C988" s="20">
        <v>42112</v>
      </c>
      <c r="D988" t="s">
        <v>73</v>
      </c>
      <c r="E988" s="3">
        <v>500</v>
      </c>
      <c r="F988" s="3">
        <v>97</v>
      </c>
      <c r="G988" s="3">
        <v>48500</v>
      </c>
      <c r="H988" s="3" t="s">
        <v>2969</v>
      </c>
    </row>
    <row r="989" spans="1:8" x14ac:dyDescent="0.35">
      <c r="A989" t="s">
        <v>83</v>
      </c>
      <c r="B989" s="26" t="s">
        <v>14</v>
      </c>
      <c r="C989" s="20">
        <v>42764</v>
      </c>
      <c r="D989" t="s">
        <v>56</v>
      </c>
      <c r="E989" s="3">
        <v>800</v>
      </c>
      <c r="F989" s="3">
        <v>32</v>
      </c>
      <c r="G989" s="3">
        <v>19712</v>
      </c>
      <c r="H989" s="3" t="s">
        <v>2966</v>
      </c>
    </row>
    <row r="990" spans="1:8" x14ac:dyDescent="0.35">
      <c r="A990" t="s">
        <v>402</v>
      </c>
      <c r="B990" s="26" t="s">
        <v>14</v>
      </c>
      <c r="C990" s="20">
        <v>42671</v>
      </c>
      <c r="D990" t="s">
        <v>56</v>
      </c>
      <c r="E990" s="3">
        <v>800</v>
      </c>
      <c r="F990" s="3">
        <v>58</v>
      </c>
      <c r="G990" s="3">
        <v>38512</v>
      </c>
      <c r="H990" s="3" t="s">
        <v>2974</v>
      </c>
    </row>
    <row r="991" spans="1:8" x14ac:dyDescent="0.35">
      <c r="A991" t="s">
        <v>83</v>
      </c>
      <c r="B991" s="26" t="s">
        <v>14</v>
      </c>
      <c r="C991" s="20">
        <v>41726</v>
      </c>
      <c r="D991" t="s">
        <v>73</v>
      </c>
      <c r="E991" s="3">
        <v>500</v>
      </c>
      <c r="F991" s="3">
        <v>39</v>
      </c>
      <c r="G991" s="3">
        <v>19500</v>
      </c>
      <c r="H991" s="3" t="s">
        <v>2968</v>
      </c>
    </row>
    <row r="992" spans="1:8" x14ac:dyDescent="0.35">
      <c r="A992" t="s">
        <v>402</v>
      </c>
      <c r="B992" s="26" t="s">
        <v>14</v>
      </c>
      <c r="C992" s="20">
        <v>43019</v>
      </c>
      <c r="D992" t="s">
        <v>37</v>
      </c>
      <c r="E992" s="3">
        <v>50</v>
      </c>
      <c r="F992" s="3">
        <v>18</v>
      </c>
      <c r="G992" s="3">
        <v>828</v>
      </c>
      <c r="H992" s="3" t="s">
        <v>2974</v>
      </c>
    </row>
    <row r="993" spans="1:8" x14ac:dyDescent="0.35">
      <c r="A993" t="s">
        <v>41</v>
      </c>
      <c r="B993" s="26" t="s">
        <v>36</v>
      </c>
      <c r="C993" s="20">
        <v>42385</v>
      </c>
      <c r="D993" t="s">
        <v>31</v>
      </c>
      <c r="E993" s="3">
        <v>150</v>
      </c>
      <c r="F993" s="3">
        <v>72</v>
      </c>
      <c r="G993" s="3">
        <v>9936</v>
      </c>
      <c r="H993" s="3" t="s">
        <v>2966</v>
      </c>
    </row>
    <row r="994" spans="1:8" x14ac:dyDescent="0.35">
      <c r="A994" t="s">
        <v>41</v>
      </c>
      <c r="B994" s="26" t="s">
        <v>36</v>
      </c>
      <c r="C994" s="20">
        <v>41670</v>
      </c>
      <c r="D994" t="s">
        <v>42</v>
      </c>
      <c r="E994" s="3">
        <v>30</v>
      </c>
      <c r="F994" s="3">
        <v>16</v>
      </c>
      <c r="G994" s="3">
        <v>448</v>
      </c>
      <c r="H994" s="3" t="s">
        <v>2966</v>
      </c>
    </row>
    <row r="995" spans="1:8" x14ac:dyDescent="0.35">
      <c r="A995" t="s">
        <v>229</v>
      </c>
      <c r="B995" s="26" t="s">
        <v>25</v>
      </c>
      <c r="C995" s="20">
        <v>42373</v>
      </c>
      <c r="D995" t="s">
        <v>123</v>
      </c>
      <c r="E995" s="3">
        <v>50</v>
      </c>
      <c r="F995" s="3">
        <v>7</v>
      </c>
      <c r="G995" s="3">
        <v>343</v>
      </c>
      <c r="H995" s="3" t="s">
        <v>2966</v>
      </c>
    </row>
    <row r="996" spans="1:8" x14ac:dyDescent="0.35">
      <c r="A996" t="s">
        <v>109</v>
      </c>
      <c r="B996" s="26" t="s">
        <v>20</v>
      </c>
      <c r="C996" s="20">
        <v>43419</v>
      </c>
      <c r="D996" t="s">
        <v>42</v>
      </c>
      <c r="E996" s="3">
        <v>30</v>
      </c>
      <c r="F996" s="3">
        <v>14</v>
      </c>
      <c r="G996" s="3">
        <v>406</v>
      </c>
      <c r="H996" s="3" t="s">
        <v>2975</v>
      </c>
    </row>
    <row r="997" spans="1:8" x14ac:dyDescent="0.35">
      <c r="A997" t="s">
        <v>72</v>
      </c>
      <c r="B997" s="26" t="s">
        <v>36</v>
      </c>
      <c r="C997" s="20">
        <v>42938</v>
      </c>
      <c r="D997" t="s">
        <v>116</v>
      </c>
      <c r="E997" s="3">
        <v>250</v>
      </c>
      <c r="F997" s="3">
        <v>36</v>
      </c>
      <c r="G997" s="3">
        <v>8568</v>
      </c>
      <c r="H997" s="3" t="s">
        <v>2971</v>
      </c>
    </row>
    <row r="998" spans="1:8" x14ac:dyDescent="0.35">
      <c r="A998" t="s">
        <v>30</v>
      </c>
      <c r="B998" s="26" t="s">
        <v>14</v>
      </c>
      <c r="C998" s="20">
        <v>43230</v>
      </c>
      <c r="D998" t="s">
        <v>15</v>
      </c>
      <c r="E998" s="3">
        <v>80</v>
      </c>
      <c r="F998" s="3">
        <v>6</v>
      </c>
      <c r="G998" s="3">
        <v>480</v>
      </c>
      <c r="H998" s="3" t="s">
        <v>2965</v>
      </c>
    </row>
    <row r="999" spans="1:8" x14ac:dyDescent="0.35">
      <c r="A999" t="s">
        <v>148</v>
      </c>
      <c r="B999" s="26" t="s">
        <v>14</v>
      </c>
      <c r="C999" s="20">
        <v>42668</v>
      </c>
      <c r="D999" t="s">
        <v>73</v>
      </c>
      <c r="E999" s="3">
        <v>500</v>
      </c>
      <c r="F999" s="3">
        <v>80</v>
      </c>
      <c r="G999" s="3">
        <v>39600</v>
      </c>
      <c r="H999" s="3" t="s">
        <v>2974</v>
      </c>
    </row>
    <row r="1000" spans="1:8" x14ac:dyDescent="0.35">
      <c r="A1000" t="s">
        <v>66</v>
      </c>
      <c r="B1000" s="26" t="s">
        <v>36</v>
      </c>
      <c r="C1000" s="20">
        <v>42144</v>
      </c>
      <c r="D1000" t="s">
        <v>31</v>
      </c>
      <c r="E1000" s="3">
        <v>150</v>
      </c>
      <c r="F1000" s="3">
        <v>93</v>
      </c>
      <c r="G1000" s="3">
        <v>13578</v>
      </c>
      <c r="H1000" s="3" t="s">
        <v>2965</v>
      </c>
    </row>
    <row r="1001" spans="1:8" x14ac:dyDescent="0.35">
      <c r="A1001" t="s">
        <v>189</v>
      </c>
      <c r="B1001" s="26" t="s">
        <v>14</v>
      </c>
      <c r="C1001" s="20">
        <v>42709</v>
      </c>
      <c r="D1001" t="s">
        <v>15</v>
      </c>
      <c r="E1001" s="3">
        <v>80</v>
      </c>
      <c r="F1001" s="3">
        <v>92</v>
      </c>
      <c r="G1001" s="3">
        <v>6440</v>
      </c>
      <c r="H1001" s="3" t="s">
        <v>2976</v>
      </c>
    </row>
    <row r="1002" spans="1:8" x14ac:dyDescent="0.35">
      <c r="A1002" t="s">
        <v>13</v>
      </c>
      <c r="B1002" s="26" t="s">
        <v>14</v>
      </c>
      <c r="C1002" s="20">
        <v>42026</v>
      </c>
      <c r="D1002" t="s">
        <v>62</v>
      </c>
      <c r="E1002" s="3">
        <v>1000</v>
      </c>
      <c r="F1002" s="3">
        <v>84</v>
      </c>
      <c r="G1002" s="3">
        <v>81480</v>
      </c>
      <c r="H1002" s="3" t="s">
        <v>2966</v>
      </c>
    </row>
    <row r="1003" spans="1:8" x14ac:dyDescent="0.35">
      <c r="A1003" t="s">
        <v>109</v>
      </c>
      <c r="B1003" s="26" t="s">
        <v>20</v>
      </c>
      <c r="C1003" s="20">
        <v>41995</v>
      </c>
      <c r="D1003" t="s">
        <v>62</v>
      </c>
      <c r="E1003" s="3">
        <v>1000</v>
      </c>
      <c r="F1003" s="3">
        <v>11</v>
      </c>
      <c r="G1003" s="3">
        <v>7590</v>
      </c>
      <c r="H1003" s="3" t="s">
        <v>2976</v>
      </c>
    </row>
    <row r="1004" spans="1:8" x14ac:dyDescent="0.35">
      <c r="A1004" t="s">
        <v>19</v>
      </c>
      <c r="B1004" s="26" t="s">
        <v>20</v>
      </c>
      <c r="C1004" s="20">
        <v>42412</v>
      </c>
      <c r="D1004" t="s">
        <v>37</v>
      </c>
      <c r="E1004" s="3">
        <v>50</v>
      </c>
      <c r="F1004" s="3">
        <v>18</v>
      </c>
      <c r="G1004" s="3">
        <v>774</v>
      </c>
      <c r="H1004" s="3" t="s">
        <v>2967</v>
      </c>
    </row>
    <row r="1005" spans="1:8" x14ac:dyDescent="0.35">
      <c r="A1005" t="s">
        <v>152</v>
      </c>
      <c r="B1005" s="26" t="s">
        <v>14</v>
      </c>
      <c r="C1005" s="20">
        <v>41702</v>
      </c>
      <c r="D1005" t="s">
        <v>62</v>
      </c>
      <c r="E1005" s="3">
        <v>1000</v>
      </c>
      <c r="F1005" s="3">
        <v>9</v>
      </c>
      <c r="G1005" s="3">
        <v>5850</v>
      </c>
      <c r="H1005" s="3" t="s">
        <v>2968</v>
      </c>
    </row>
    <row r="1006" spans="1:8" x14ac:dyDescent="0.35">
      <c r="A1006" t="s">
        <v>148</v>
      </c>
      <c r="B1006" s="26" t="s">
        <v>14</v>
      </c>
      <c r="C1006" s="20">
        <v>42929</v>
      </c>
      <c r="D1006" t="s">
        <v>62</v>
      </c>
      <c r="E1006" s="3">
        <v>1000</v>
      </c>
      <c r="F1006" s="3">
        <v>34</v>
      </c>
      <c r="G1006" s="3">
        <v>17680</v>
      </c>
      <c r="H1006" s="3" t="s">
        <v>2971</v>
      </c>
    </row>
    <row r="1007" spans="1:8" x14ac:dyDescent="0.35">
      <c r="A1007" t="s">
        <v>13</v>
      </c>
      <c r="B1007" s="26" t="s">
        <v>14</v>
      </c>
      <c r="C1007" s="20">
        <v>42745</v>
      </c>
      <c r="D1007" t="s">
        <v>31</v>
      </c>
      <c r="E1007" s="3">
        <v>150</v>
      </c>
      <c r="F1007" s="3">
        <v>77</v>
      </c>
      <c r="G1007" s="3">
        <v>11473</v>
      </c>
      <c r="H1007" s="3" t="s">
        <v>2966</v>
      </c>
    </row>
    <row r="1008" spans="1:8" x14ac:dyDescent="0.35">
      <c r="A1008" t="s">
        <v>109</v>
      </c>
      <c r="B1008" s="26" t="s">
        <v>20</v>
      </c>
      <c r="C1008" s="20">
        <v>42031</v>
      </c>
      <c r="D1008" t="s">
        <v>26</v>
      </c>
      <c r="E1008" s="3">
        <v>700</v>
      </c>
      <c r="F1008" s="3">
        <v>14</v>
      </c>
      <c r="G1008" s="3">
        <v>9310</v>
      </c>
      <c r="H1008" s="3" t="s">
        <v>2966</v>
      </c>
    </row>
    <row r="1009" spans="1:8" x14ac:dyDescent="0.35">
      <c r="A1009" t="s">
        <v>109</v>
      </c>
      <c r="B1009" s="26" t="s">
        <v>20</v>
      </c>
      <c r="C1009" s="20">
        <v>42142</v>
      </c>
      <c r="D1009" t="s">
        <v>26</v>
      </c>
      <c r="E1009" s="3">
        <v>700</v>
      </c>
      <c r="F1009" s="3">
        <v>69</v>
      </c>
      <c r="G1009" s="3">
        <v>38640</v>
      </c>
      <c r="H1009" s="3" t="s">
        <v>2965</v>
      </c>
    </row>
    <row r="1010" spans="1:8" x14ac:dyDescent="0.35">
      <c r="A1010" t="s">
        <v>41</v>
      </c>
      <c r="B1010" s="26" t="s">
        <v>36</v>
      </c>
      <c r="C1010" s="20">
        <v>42629</v>
      </c>
      <c r="D1010" t="s">
        <v>37</v>
      </c>
      <c r="E1010" s="3">
        <v>50</v>
      </c>
      <c r="F1010" s="3">
        <v>2</v>
      </c>
      <c r="G1010" s="3">
        <v>88</v>
      </c>
      <c r="H1010" s="3" t="s">
        <v>2973</v>
      </c>
    </row>
    <row r="1011" spans="1:8" x14ac:dyDescent="0.35">
      <c r="A1011" t="s">
        <v>109</v>
      </c>
      <c r="B1011" s="26" t="s">
        <v>20</v>
      </c>
      <c r="C1011" s="20">
        <v>42402</v>
      </c>
      <c r="D1011" t="s">
        <v>62</v>
      </c>
      <c r="E1011" s="3">
        <v>1000</v>
      </c>
      <c r="F1011" s="3">
        <v>72</v>
      </c>
      <c r="G1011" s="3">
        <v>54720</v>
      </c>
      <c r="H1011" s="3" t="s">
        <v>2967</v>
      </c>
    </row>
    <row r="1012" spans="1:8" x14ac:dyDescent="0.35">
      <c r="A1012" t="s">
        <v>109</v>
      </c>
      <c r="B1012" s="26" t="s">
        <v>20</v>
      </c>
      <c r="C1012" s="20">
        <v>42707</v>
      </c>
      <c r="D1012" t="s">
        <v>116</v>
      </c>
      <c r="E1012" s="3">
        <v>250</v>
      </c>
      <c r="F1012" s="3">
        <v>39</v>
      </c>
      <c r="G1012" s="3">
        <v>8892</v>
      </c>
      <c r="H1012" s="3" t="s">
        <v>2976</v>
      </c>
    </row>
    <row r="1013" spans="1:8" x14ac:dyDescent="0.35">
      <c r="A1013" t="s">
        <v>101</v>
      </c>
      <c r="B1013" s="26" t="s">
        <v>14</v>
      </c>
      <c r="C1013" s="20">
        <v>42927</v>
      </c>
      <c r="D1013" t="s">
        <v>116</v>
      </c>
      <c r="E1013" s="3">
        <v>250</v>
      </c>
      <c r="F1013" s="3">
        <v>17</v>
      </c>
      <c r="G1013" s="3">
        <v>4216</v>
      </c>
      <c r="H1013" s="3" t="s">
        <v>2971</v>
      </c>
    </row>
    <row r="1014" spans="1:8" x14ac:dyDescent="0.35">
      <c r="A1014" t="s">
        <v>207</v>
      </c>
      <c r="B1014" s="26" t="s">
        <v>25</v>
      </c>
      <c r="C1014" s="20">
        <v>41718</v>
      </c>
      <c r="D1014" t="s">
        <v>37</v>
      </c>
      <c r="E1014" s="3">
        <v>50</v>
      </c>
      <c r="F1014" s="3">
        <v>77</v>
      </c>
      <c r="G1014" s="3">
        <v>3003</v>
      </c>
      <c r="H1014" s="3" t="s">
        <v>2968</v>
      </c>
    </row>
    <row r="1015" spans="1:8" x14ac:dyDescent="0.35">
      <c r="A1015" t="s">
        <v>326</v>
      </c>
      <c r="B1015" s="26" t="s">
        <v>14</v>
      </c>
      <c r="C1015" s="20">
        <v>41662</v>
      </c>
      <c r="D1015" t="s">
        <v>116</v>
      </c>
      <c r="E1015" s="3">
        <v>250</v>
      </c>
      <c r="F1015" s="3">
        <v>49</v>
      </c>
      <c r="G1015" s="3">
        <v>12152</v>
      </c>
      <c r="H1015" s="3" t="s">
        <v>2966</v>
      </c>
    </row>
    <row r="1016" spans="1:8" x14ac:dyDescent="0.35">
      <c r="A1016" t="s">
        <v>243</v>
      </c>
      <c r="B1016" s="26" t="s">
        <v>14</v>
      </c>
      <c r="C1016" s="20">
        <v>42630</v>
      </c>
      <c r="D1016" t="s">
        <v>116</v>
      </c>
      <c r="E1016" s="3">
        <v>250</v>
      </c>
      <c r="F1016" s="3">
        <v>20</v>
      </c>
      <c r="G1016" s="3">
        <v>5000</v>
      </c>
      <c r="H1016" s="3" t="s">
        <v>2973</v>
      </c>
    </row>
    <row r="1017" spans="1:8" x14ac:dyDescent="0.35">
      <c r="A1017" t="s">
        <v>109</v>
      </c>
      <c r="B1017" s="26" t="s">
        <v>20</v>
      </c>
      <c r="C1017" s="20">
        <v>42860</v>
      </c>
      <c r="D1017" t="s">
        <v>37</v>
      </c>
      <c r="E1017" s="3">
        <v>50</v>
      </c>
      <c r="F1017" s="3">
        <v>62</v>
      </c>
      <c r="G1017" s="3">
        <v>2976</v>
      </c>
      <c r="H1017" s="3" t="s">
        <v>2965</v>
      </c>
    </row>
    <row r="1018" spans="1:8" x14ac:dyDescent="0.35">
      <c r="A1018" t="s">
        <v>176</v>
      </c>
      <c r="B1018" s="26" t="s">
        <v>14</v>
      </c>
      <c r="C1018" s="20">
        <v>42389</v>
      </c>
      <c r="D1018" t="s">
        <v>62</v>
      </c>
      <c r="E1018" s="3">
        <v>1000</v>
      </c>
      <c r="F1018" s="3">
        <v>37</v>
      </c>
      <c r="G1018" s="3">
        <v>21830</v>
      </c>
      <c r="H1018" s="3" t="s">
        <v>2966</v>
      </c>
    </row>
    <row r="1019" spans="1:8" x14ac:dyDescent="0.35">
      <c r="A1019" t="s">
        <v>55</v>
      </c>
      <c r="B1019" s="26" t="s">
        <v>14</v>
      </c>
      <c r="C1019" s="20">
        <v>42851</v>
      </c>
      <c r="D1019" t="s">
        <v>15</v>
      </c>
      <c r="E1019" s="3">
        <v>80</v>
      </c>
      <c r="F1019" s="3">
        <v>11</v>
      </c>
      <c r="G1019" s="3">
        <v>836</v>
      </c>
      <c r="H1019" s="3" t="s">
        <v>2969</v>
      </c>
    </row>
    <row r="1020" spans="1:8" x14ac:dyDescent="0.35">
      <c r="A1020" t="s">
        <v>46</v>
      </c>
      <c r="B1020" s="26" t="s">
        <v>25</v>
      </c>
      <c r="C1020" s="20">
        <v>41905</v>
      </c>
      <c r="D1020" t="s">
        <v>47</v>
      </c>
      <c r="E1020" s="3">
        <v>500</v>
      </c>
      <c r="F1020" s="3">
        <v>87</v>
      </c>
      <c r="G1020" s="3">
        <v>41760</v>
      </c>
      <c r="H1020" s="3" t="s">
        <v>2973</v>
      </c>
    </row>
    <row r="1021" spans="1:8" x14ac:dyDescent="0.35">
      <c r="A1021" t="s">
        <v>152</v>
      </c>
      <c r="B1021" s="26" t="s">
        <v>14</v>
      </c>
      <c r="C1021" s="20">
        <v>42411</v>
      </c>
      <c r="D1021" t="s">
        <v>56</v>
      </c>
      <c r="E1021" s="3">
        <v>800</v>
      </c>
      <c r="F1021" s="3">
        <v>20</v>
      </c>
      <c r="G1021" s="3">
        <v>14400</v>
      </c>
      <c r="H1021" s="3" t="s">
        <v>2967</v>
      </c>
    </row>
    <row r="1022" spans="1:8" x14ac:dyDescent="0.35">
      <c r="A1022" t="s">
        <v>66</v>
      </c>
      <c r="B1022" s="26" t="s">
        <v>36</v>
      </c>
      <c r="C1022" s="20">
        <v>43344</v>
      </c>
      <c r="D1022" t="s">
        <v>105</v>
      </c>
      <c r="E1022" s="3">
        <v>70</v>
      </c>
      <c r="F1022" s="3">
        <v>71</v>
      </c>
      <c r="G1022" s="3">
        <v>4899</v>
      </c>
      <c r="H1022" s="3" t="s">
        <v>2973</v>
      </c>
    </row>
    <row r="1023" spans="1:8" x14ac:dyDescent="0.35">
      <c r="A1023" t="s">
        <v>83</v>
      </c>
      <c r="B1023" s="26" t="s">
        <v>14</v>
      </c>
      <c r="C1023" s="20">
        <v>42723</v>
      </c>
      <c r="D1023" t="s">
        <v>105</v>
      </c>
      <c r="E1023" s="3">
        <v>70</v>
      </c>
      <c r="F1023" s="3">
        <v>97</v>
      </c>
      <c r="G1023" s="3">
        <v>5820</v>
      </c>
      <c r="H1023" s="3" t="s">
        <v>2976</v>
      </c>
    </row>
    <row r="1024" spans="1:8" x14ac:dyDescent="0.35">
      <c r="A1024" t="s">
        <v>436</v>
      </c>
      <c r="B1024" s="26" t="s">
        <v>25</v>
      </c>
      <c r="C1024" s="20">
        <v>42083</v>
      </c>
      <c r="D1024" t="s">
        <v>37</v>
      </c>
      <c r="E1024" s="3">
        <v>50</v>
      </c>
      <c r="F1024" s="3">
        <v>98</v>
      </c>
      <c r="G1024" s="3">
        <v>4312</v>
      </c>
      <c r="H1024" s="3" t="s">
        <v>2968</v>
      </c>
    </row>
    <row r="1025" spans="1:8" x14ac:dyDescent="0.35">
      <c r="A1025" t="s">
        <v>272</v>
      </c>
      <c r="B1025" s="26" t="s">
        <v>36</v>
      </c>
      <c r="C1025" s="20">
        <v>43269</v>
      </c>
      <c r="D1025" t="s">
        <v>15</v>
      </c>
      <c r="E1025" s="3">
        <v>80</v>
      </c>
      <c r="F1025" s="3">
        <v>87</v>
      </c>
      <c r="G1025" s="3">
        <v>6438</v>
      </c>
      <c r="H1025" s="3" t="s">
        <v>2970</v>
      </c>
    </row>
    <row r="1026" spans="1:8" x14ac:dyDescent="0.35">
      <c r="A1026" t="s">
        <v>101</v>
      </c>
      <c r="B1026" s="26" t="s">
        <v>14</v>
      </c>
      <c r="C1026" s="20">
        <v>43144</v>
      </c>
      <c r="D1026" t="s">
        <v>105</v>
      </c>
      <c r="E1026" s="3">
        <v>70</v>
      </c>
      <c r="F1026" s="3">
        <v>23</v>
      </c>
      <c r="G1026" s="3">
        <v>1564</v>
      </c>
      <c r="H1026" s="3" t="s">
        <v>2967</v>
      </c>
    </row>
    <row r="1027" spans="1:8" x14ac:dyDescent="0.35">
      <c r="A1027" t="s">
        <v>402</v>
      </c>
      <c r="B1027" s="26" t="s">
        <v>14</v>
      </c>
      <c r="C1027" s="20">
        <v>42448</v>
      </c>
      <c r="D1027" t="s">
        <v>105</v>
      </c>
      <c r="E1027" s="3">
        <v>70</v>
      </c>
      <c r="F1027" s="3">
        <v>90</v>
      </c>
      <c r="G1027" s="3">
        <v>5940</v>
      </c>
      <c r="H1027" s="3" t="s">
        <v>2968</v>
      </c>
    </row>
    <row r="1028" spans="1:8" x14ac:dyDescent="0.35">
      <c r="A1028" t="s">
        <v>51</v>
      </c>
      <c r="B1028" s="26" t="s">
        <v>25</v>
      </c>
      <c r="C1028" s="20">
        <v>43037</v>
      </c>
      <c r="D1028" t="s">
        <v>31</v>
      </c>
      <c r="E1028" s="3">
        <v>150</v>
      </c>
      <c r="F1028" s="3">
        <v>6</v>
      </c>
      <c r="G1028" s="3">
        <v>864</v>
      </c>
      <c r="H1028" s="3" t="s">
        <v>2974</v>
      </c>
    </row>
    <row r="1029" spans="1:8" x14ac:dyDescent="0.35">
      <c r="A1029" t="s">
        <v>79</v>
      </c>
      <c r="B1029" s="26" t="s">
        <v>36</v>
      </c>
      <c r="C1029" s="20">
        <v>42729</v>
      </c>
      <c r="D1029" t="s">
        <v>105</v>
      </c>
      <c r="E1029" s="3">
        <v>70</v>
      </c>
      <c r="F1029" s="3">
        <v>98</v>
      </c>
      <c r="G1029" s="3">
        <v>6370</v>
      </c>
      <c r="H1029" s="3" t="s">
        <v>2976</v>
      </c>
    </row>
    <row r="1030" spans="1:8" x14ac:dyDescent="0.35">
      <c r="A1030" t="s">
        <v>41</v>
      </c>
      <c r="B1030" s="26" t="s">
        <v>36</v>
      </c>
      <c r="C1030" s="20">
        <v>41750</v>
      </c>
      <c r="D1030" t="s">
        <v>62</v>
      </c>
      <c r="E1030" s="3">
        <v>1000</v>
      </c>
      <c r="F1030" s="3">
        <v>5</v>
      </c>
      <c r="G1030" s="3">
        <v>3150</v>
      </c>
      <c r="H1030" s="3" t="s">
        <v>2969</v>
      </c>
    </row>
    <row r="1031" spans="1:8" x14ac:dyDescent="0.35">
      <c r="A1031" t="s">
        <v>152</v>
      </c>
      <c r="B1031" s="26" t="s">
        <v>14</v>
      </c>
      <c r="C1031" s="20">
        <v>42323</v>
      </c>
      <c r="D1031" t="s">
        <v>31</v>
      </c>
      <c r="E1031" s="3">
        <v>150</v>
      </c>
      <c r="F1031" s="3">
        <v>84</v>
      </c>
      <c r="G1031" s="3">
        <v>9492</v>
      </c>
      <c r="H1031" s="3" t="s">
        <v>2975</v>
      </c>
    </row>
    <row r="1032" spans="1:8" x14ac:dyDescent="0.35">
      <c r="A1032" t="s">
        <v>176</v>
      </c>
      <c r="B1032" s="26" t="s">
        <v>14</v>
      </c>
      <c r="C1032" s="20">
        <v>42034</v>
      </c>
      <c r="D1032" t="s">
        <v>73</v>
      </c>
      <c r="E1032" s="3">
        <v>500</v>
      </c>
      <c r="F1032" s="3">
        <v>82</v>
      </c>
      <c r="G1032" s="3">
        <v>40180</v>
      </c>
      <c r="H1032" s="3" t="s">
        <v>2966</v>
      </c>
    </row>
    <row r="1033" spans="1:8" x14ac:dyDescent="0.35">
      <c r="A1033" t="s">
        <v>109</v>
      </c>
      <c r="B1033" s="26" t="s">
        <v>20</v>
      </c>
      <c r="C1033" s="20">
        <v>42511</v>
      </c>
      <c r="D1033" t="s">
        <v>37</v>
      </c>
      <c r="E1033" s="3">
        <v>50</v>
      </c>
      <c r="F1033" s="3">
        <v>9</v>
      </c>
      <c r="G1033" s="3">
        <v>414</v>
      </c>
      <c r="H1033" s="3" t="s">
        <v>2965</v>
      </c>
    </row>
    <row r="1034" spans="1:8" x14ac:dyDescent="0.35">
      <c r="A1034" t="s">
        <v>266</v>
      </c>
      <c r="B1034" s="26" t="s">
        <v>14</v>
      </c>
      <c r="C1034" s="20">
        <v>42567</v>
      </c>
      <c r="D1034" t="s">
        <v>26</v>
      </c>
      <c r="E1034" s="3">
        <v>700</v>
      </c>
      <c r="F1034" s="3">
        <v>26</v>
      </c>
      <c r="G1034" s="3">
        <v>17472</v>
      </c>
      <c r="H1034" s="3" t="s">
        <v>2971</v>
      </c>
    </row>
    <row r="1035" spans="1:8" x14ac:dyDescent="0.35">
      <c r="A1035" t="s">
        <v>101</v>
      </c>
      <c r="B1035" s="26" t="s">
        <v>14</v>
      </c>
      <c r="C1035" s="20">
        <v>42863</v>
      </c>
      <c r="D1035" t="s">
        <v>123</v>
      </c>
      <c r="E1035" s="3">
        <v>50</v>
      </c>
      <c r="F1035" s="3">
        <v>99</v>
      </c>
      <c r="G1035" s="3">
        <v>4752</v>
      </c>
      <c r="H1035" s="3" t="s">
        <v>2965</v>
      </c>
    </row>
    <row r="1036" spans="1:8" x14ac:dyDescent="0.35">
      <c r="A1036" t="s">
        <v>93</v>
      </c>
      <c r="B1036" s="26" t="s">
        <v>36</v>
      </c>
      <c r="C1036" s="20">
        <v>41756</v>
      </c>
      <c r="D1036" t="s">
        <v>73</v>
      </c>
      <c r="E1036" s="3">
        <v>500</v>
      </c>
      <c r="F1036" s="3">
        <v>67</v>
      </c>
      <c r="G1036" s="3">
        <v>32830</v>
      </c>
      <c r="H1036" s="3" t="s">
        <v>2969</v>
      </c>
    </row>
    <row r="1037" spans="1:8" x14ac:dyDescent="0.35">
      <c r="A1037" t="s">
        <v>207</v>
      </c>
      <c r="B1037" s="26" t="s">
        <v>25</v>
      </c>
      <c r="C1037" s="20">
        <v>42074</v>
      </c>
      <c r="D1037" t="s">
        <v>105</v>
      </c>
      <c r="E1037" s="3">
        <v>70</v>
      </c>
      <c r="F1037" s="3">
        <v>89</v>
      </c>
      <c r="G1037" s="3">
        <v>5162</v>
      </c>
      <c r="H1037" s="3" t="s">
        <v>2968</v>
      </c>
    </row>
    <row r="1038" spans="1:8" x14ac:dyDescent="0.35">
      <c r="A1038" t="s">
        <v>172</v>
      </c>
      <c r="B1038" s="26" t="s">
        <v>14</v>
      </c>
      <c r="C1038" s="20">
        <v>42414</v>
      </c>
      <c r="D1038" t="s">
        <v>105</v>
      </c>
      <c r="E1038" s="3">
        <v>70</v>
      </c>
      <c r="F1038" s="3">
        <v>62</v>
      </c>
      <c r="G1038" s="3">
        <v>3720</v>
      </c>
      <c r="H1038" s="3" t="s">
        <v>2967</v>
      </c>
    </row>
    <row r="1039" spans="1:8" x14ac:dyDescent="0.35">
      <c r="A1039" t="s">
        <v>229</v>
      </c>
      <c r="B1039" s="26" t="s">
        <v>25</v>
      </c>
      <c r="C1039" s="20">
        <v>41887</v>
      </c>
      <c r="D1039" t="s">
        <v>56</v>
      </c>
      <c r="E1039" s="3">
        <v>800</v>
      </c>
      <c r="F1039" s="3">
        <v>62</v>
      </c>
      <c r="G1039" s="3">
        <v>42656</v>
      </c>
      <c r="H1039" s="3" t="s">
        <v>2973</v>
      </c>
    </row>
    <row r="1040" spans="1:8" x14ac:dyDescent="0.35">
      <c r="A1040" t="s">
        <v>148</v>
      </c>
      <c r="B1040" s="26" t="s">
        <v>14</v>
      </c>
      <c r="C1040" s="20">
        <v>42061</v>
      </c>
      <c r="D1040" t="s">
        <v>116</v>
      </c>
      <c r="E1040" s="3">
        <v>250</v>
      </c>
      <c r="F1040" s="3">
        <v>22</v>
      </c>
      <c r="G1040" s="3">
        <v>3410</v>
      </c>
      <c r="H1040" s="3" t="s">
        <v>2967</v>
      </c>
    </row>
    <row r="1041" spans="1:8" x14ac:dyDescent="0.35">
      <c r="A1041" t="s">
        <v>87</v>
      </c>
      <c r="B1041" s="26" t="s">
        <v>14</v>
      </c>
      <c r="C1041" s="20">
        <v>41861</v>
      </c>
      <c r="D1041" t="s">
        <v>26</v>
      </c>
      <c r="E1041" s="3">
        <v>700</v>
      </c>
      <c r="F1041" s="3">
        <v>96</v>
      </c>
      <c r="G1041" s="3">
        <v>48384</v>
      </c>
      <c r="H1041" s="3" t="s">
        <v>2972</v>
      </c>
    </row>
    <row r="1042" spans="1:8" x14ac:dyDescent="0.35">
      <c r="A1042" t="s">
        <v>148</v>
      </c>
      <c r="B1042" s="26" t="s">
        <v>14</v>
      </c>
      <c r="C1042" s="20">
        <v>41745</v>
      </c>
      <c r="D1042" t="s">
        <v>26</v>
      </c>
      <c r="E1042" s="3">
        <v>700</v>
      </c>
      <c r="F1042" s="3">
        <v>51</v>
      </c>
      <c r="G1042" s="3">
        <v>26061</v>
      </c>
      <c r="H1042" s="3" t="s">
        <v>2969</v>
      </c>
    </row>
    <row r="1043" spans="1:8" x14ac:dyDescent="0.35">
      <c r="A1043" t="s">
        <v>24</v>
      </c>
      <c r="B1043" s="26" t="s">
        <v>25</v>
      </c>
      <c r="C1043" s="20">
        <v>43326</v>
      </c>
      <c r="D1043" t="s">
        <v>116</v>
      </c>
      <c r="E1043" s="3">
        <v>250</v>
      </c>
      <c r="F1043" s="3">
        <v>74</v>
      </c>
      <c r="G1043" s="3">
        <v>18500</v>
      </c>
      <c r="H1043" s="3" t="s">
        <v>2972</v>
      </c>
    </row>
    <row r="1044" spans="1:8" x14ac:dyDescent="0.35">
      <c r="A1044" t="s">
        <v>243</v>
      </c>
      <c r="B1044" s="26" t="s">
        <v>14</v>
      </c>
      <c r="C1044" s="20">
        <v>43247</v>
      </c>
      <c r="D1044" t="s">
        <v>37</v>
      </c>
      <c r="E1044" s="3">
        <v>50</v>
      </c>
      <c r="F1044" s="3">
        <v>83</v>
      </c>
      <c r="G1044" s="3">
        <v>4150</v>
      </c>
      <c r="H1044" s="3" t="s">
        <v>2965</v>
      </c>
    </row>
    <row r="1045" spans="1:8" x14ac:dyDescent="0.35">
      <c r="A1045" t="s">
        <v>61</v>
      </c>
      <c r="B1045" s="26" t="s">
        <v>14</v>
      </c>
      <c r="C1045" s="20">
        <v>42474</v>
      </c>
      <c r="D1045" t="s">
        <v>31</v>
      </c>
      <c r="E1045" s="3">
        <v>150</v>
      </c>
      <c r="F1045" s="3">
        <v>75</v>
      </c>
      <c r="G1045" s="3">
        <v>10125</v>
      </c>
      <c r="H1045" s="3" t="s">
        <v>2969</v>
      </c>
    </row>
    <row r="1046" spans="1:8" x14ac:dyDescent="0.35">
      <c r="A1046" t="s">
        <v>30</v>
      </c>
      <c r="B1046" s="26" t="s">
        <v>14</v>
      </c>
      <c r="C1046" s="20">
        <v>43050</v>
      </c>
      <c r="D1046" t="s">
        <v>105</v>
      </c>
      <c r="E1046" s="3">
        <v>70</v>
      </c>
      <c r="F1046" s="3">
        <v>84</v>
      </c>
      <c r="G1046" s="3">
        <v>5712</v>
      </c>
      <c r="H1046" s="3" t="s">
        <v>2975</v>
      </c>
    </row>
    <row r="1047" spans="1:8" x14ac:dyDescent="0.35">
      <c r="A1047" t="s">
        <v>109</v>
      </c>
      <c r="B1047" s="26" t="s">
        <v>20</v>
      </c>
      <c r="C1047" s="20">
        <v>42095</v>
      </c>
      <c r="D1047" t="s">
        <v>62</v>
      </c>
      <c r="E1047" s="3">
        <v>1000</v>
      </c>
      <c r="F1047" s="3">
        <v>86</v>
      </c>
      <c r="G1047" s="3">
        <v>58480</v>
      </c>
      <c r="H1047" s="3" t="s">
        <v>2969</v>
      </c>
    </row>
    <row r="1048" spans="1:8" x14ac:dyDescent="0.35">
      <c r="A1048" t="s">
        <v>189</v>
      </c>
      <c r="B1048" s="26" t="s">
        <v>14</v>
      </c>
      <c r="C1048" s="20">
        <v>41850</v>
      </c>
      <c r="D1048" t="s">
        <v>105</v>
      </c>
      <c r="E1048" s="3">
        <v>70</v>
      </c>
      <c r="F1048" s="3">
        <v>16</v>
      </c>
      <c r="G1048" s="3">
        <v>1040</v>
      </c>
      <c r="H1048" s="3" t="s">
        <v>2971</v>
      </c>
    </row>
    <row r="1049" spans="1:8" x14ac:dyDescent="0.35">
      <c r="A1049" t="s">
        <v>152</v>
      </c>
      <c r="B1049" s="26" t="s">
        <v>14</v>
      </c>
      <c r="C1049" s="20">
        <v>43006</v>
      </c>
      <c r="D1049" t="s">
        <v>56</v>
      </c>
      <c r="E1049" s="3">
        <v>800</v>
      </c>
      <c r="F1049" s="3">
        <v>64</v>
      </c>
      <c r="G1049" s="3">
        <v>31232</v>
      </c>
      <c r="H1049" s="3" t="s">
        <v>2973</v>
      </c>
    </row>
    <row r="1050" spans="1:8" x14ac:dyDescent="0.35">
      <c r="A1050" t="s">
        <v>109</v>
      </c>
      <c r="B1050" s="26" t="s">
        <v>20</v>
      </c>
      <c r="C1050" s="20">
        <v>42431</v>
      </c>
      <c r="D1050" t="s">
        <v>42</v>
      </c>
      <c r="E1050" s="3">
        <v>30</v>
      </c>
      <c r="F1050" s="3">
        <v>65</v>
      </c>
      <c r="G1050" s="3">
        <v>1755</v>
      </c>
      <c r="H1050" s="3" t="s">
        <v>2968</v>
      </c>
    </row>
    <row r="1051" spans="1:8" x14ac:dyDescent="0.35">
      <c r="A1051" t="s">
        <v>46</v>
      </c>
      <c r="B1051" s="26" t="s">
        <v>25</v>
      </c>
      <c r="C1051" s="20">
        <v>41862</v>
      </c>
      <c r="D1051" t="s">
        <v>56</v>
      </c>
      <c r="E1051" s="3">
        <v>800</v>
      </c>
      <c r="F1051" s="3">
        <v>90</v>
      </c>
      <c r="G1051" s="3">
        <v>40320</v>
      </c>
      <c r="H1051" s="3" t="s">
        <v>2972</v>
      </c>
    </row>
    <row r="1052" spans="1:8" x14ac:dyDescent="0.35">
      <c r="A1052" t="s">
        <v>207</v>
      </c>
      <c r="B1052" s="26" t="s">
        <v>25</v>
      </c>
      <c r="C1052" s="20">
        <v>43182</v>
      </c>
      <c r="D1052" t="s">
        <v>42</v>
      </c>
      <c r="E1052" s="3">
        <v>30</v>
      </c>
      <c r="F1052" s="3">
        <v>18</v>
      </c>
      <c r="G1052" s="3">
        <v>522</v>
      </c>
      <c r="H1052" s="3" t="s">
        <v>2968</v>
      </c>
    </row>
    <row r="1053" spans="1:8" x14ac:dyDescent="0.35">
      <c r="A1053" t="s">
        <v>229</v>
      </c>
      <c r="B1053" s="26" t="s">
        <v>25</v>
      </c>
      <c r="C1053" s="20">
        <v>43244</v>
      </c>
      <c r="D1053" t="s">
        <v>26</v>
      </c>
      <c r="E1053" s="3">
        <v>700</v>
      </c>
      <c r="F1053" s="3">
        <v>45</v>
      </c>
      <c r="G1053" s="3">
        <v>29295</v>
      </c>
      <c r="H1053" s="3" t="s">
        <v>2965</v>
      </c>
    </row>
    <row r="1054" spans="1:8" x14ac:dyDescent="0.35">
      <c r="A1054" t="s">
        <v>207</v>
      </c>
      <c r="B1054" s="26" t="s">
        <v>25</v>
      </c>
      <c r="C1054" s="20">
        <v>42682</v>
      </c>
      <c r="D1054" t="s">
        <v>47</v>
      </c>
      <c r="E1054" s="3">
        <v>500</v>
      </c>
      <c r="F1054" s="3">
        <v>90</v>
      </c>
      <c r="G1054" s="3">
        <v>42300</v>
      </c>
      <c r="H1054" s="3" t="s">
        <v>2975</v>
      </c>
    </row>
    <row r="1055" spans="1:8" x14ac:dyDescent="0.35">
      <c r="A1055" t="s">
        <v>109</v>
      </c>
      <c r="B1055" s="26" t="s">
        <v>20</v>
      </c>
      <c r="C1055" s="20">
        <v>43208</v>
      </c>
      <c r="D1055" t="s">
        <v>105</v>
      </c>
      <c r="E1055" s="3">
        <v>70</v>
      </c>
      <c r="F1055" s="3">
        <v>58</v>
      </c>
      <c r="G1055" s="3">
        <v>3886</v>
      </c>
      <c r="H1055" s="3" t="s">
        <v>2969</v>
      </c>
    </row>
    <row r="1056" spans="1:8" x14ac:dyDescent="0.35">
      <c r="A1056" t="s">
        <v>148</v>
      </c>
      <c r="B1056" s="26" t="s">
        <v>14</v>
      </c>
      <c r="C1056" s="20">
        <v>43407</v>
      </c>
      <c r="D1056" t="s">
        <v>26</v>
      </c>
      <c r="E1056" s="3">
        <v>700</v>
      </c>
      <c r="F1056" s="3">
        <v>74</v>
      </c>
      <c r="G1056" s="3">
        <v>47138</v>
      </c>
      <c r="H1056" s="3" t="s">
        <v>2975</v>
      </c>
    </row>
    <row r="1057" spans="1:8" x14ac:dyDescent="0.35">
      <c r="A1057" t="s">
        <v>19</v>
      </c>
      <c r="B1057" s="26" t="s">
        <v>20</v>
      </c>
      <c r="C1057" s="20">
        <v>42137</v>
      </c>
      <c r="D1057" t="s">
        <v>62</v>
      </c>
      <c r="E1057" s="3">
        <v>1000</v>
      </c>
      <c r="F1057" s="3">
        <v>55</v>
      </c>
      <c r="G1057" s="3">
        <v>37400</v>
      </c>
      <c r="H1057" s="3" t="s">
        <v>2965</v>
      </c>
    </row>
    <row r="1058" spans="1:8" x14ac:dyDescent="0.35">
      <c r="A1058" t="s">
        <v>120</v>
      </c>
      <c r="B1058" s="26" t="s">
        <v>36</v>
      </c>
      <c r="C1058" s="20">
        <v>42555</v>
      </c>
      <c r="D1058" t="s">
        <v>26</v>
      </c>
      <c r="E1058" s="3">
        <v>700</v>
      </c>
      <c r="F1058" s="3">
        <v>4</v>
      </c>
      <c r="G1058" s="3">
        <v>2772</v>
      </c>
      <c r="H1058" s="3" t="s">
        <v>2971</v>
      </c>
    </row>
    <row r="1059" spans="1:8" x14ac:dyDescent="0.35">
      <c r="A1059" t="s">
        <v>51</v>
      </c>
      <c r="B1059" s="26" t="s">
        <v>25</v>
      </c>
      <c r="C1059" s="20">
        <v>41932</v>
      </c>
      <c r="D1059" t="s">
        <v>73</v>
      </c>
      <c r="E1059" s="3">
        <v>500</v>
      </c>
      <c r="F1059" s="3">
        <v>25</v>
      </c>
      <c r="G1059" s="3">
        <v>12375</v>
      </c>
      <c r="H1059" s="3" t="s">
        <v>2974</v>
      </c>
    </row>
    <row r="1060" spans="1:8" x14ac:dyDescent="0.35">
      <c r="A1060" t="s">
        <v>436</v>
      </c>
      <c r="B1060" s="26" t="s">
        <v>25</v>
      </c>
      <c r="C1060" s="20">
        <v>42842</v>
      </c>
      <c r="D1060" t="s">
        <v>37</v>
      </c>
      <c r="E1060" s="3">
        <v>50</v>
      </c>
      <c r="F1060" s="3">
        <v>91</v>
      </c>
      <c r="G1060" s="3">
        <v>4186</v>
      </c>
      <c r="H1060" s="3" t="s">
        <v>2969</v>
      </c>
    </row>
    <row r="1061" spans="1:8" x14ac:dyDescent="0.35">
      <c r="A1061" t="s">
        <v>19</v>
      </c>
      <c r="B1061" s="26" t="s">
        <v>20</v>
      </c>
      <c r="C1061" s="20">
        <v>43410</v>
      </c>
      <c r="D1061" t="s">
        <v>123</v>
      </c>
      <c r="E1061" s="3">
        <v>50</v>
      </c>
      <c r="F1061" s="3">
        <v>80</v>
      </c>
      <c r="G1061" s="3">
        <v>3920</v>
      </c>
      <c r="H1061" s="3" t="s">
        <v>2975</v>
      </c>
    </row>
    <row r="1062" spans="1:8" x14ac:dyDescent="0.35">
      <c r="A1062" t="s">
        <v>93</v>
      </c>
      <c r="B1062" s="26" t="s">
        <v>36</v>
      </c>
      <c r="C1062" s="20">
        <v>42795</v>
      </c>
      <c r="D1062" t="s">
        <v>47</v>
      </c>
      <c r="E1062" s="3">
        <v>500</v>
      </c>
      <c r="F1062" s="3">
        <v>91</v>
      </c>
      <c r="G1062" s="3">
        <v>41405</v>
      </c>
      <c r="H1062" s="3" t="s">
        <v>2968</v>
      </c>
    </row>
    <row r="1063" spans="1:8" x14ac:dyDescent="0.35">
      <c r="A1063" t="s">
        <v>61</v>
      </c>
      <c r="B1063" s="26" t="s">
        <v>14</v>
      </c>
      <c r="C1063" s="20">
        <v>42577</v>
      </c>
      <c r="D1063" t="s">
        <v>73</v>
      </c>
      <c r="E1063" s="3">
        <v>500</v>
      </c>
      <c r="F1063" s="3">
        <v>66</v>
      </c>
      <c r="G1063" s="3">
        <v>32340</v>
      </c>
      <c r="H1063" s="3" t="s">
        <v>2971</v>
      </c>
    </row>
    <row r="1064" spans="1:8" x14ac:dyDescent="0.35">
      <c r="A1064" t="s">
        <v>19</v>
      </c>
      <c r="B1064" s="26" t="s">
        <v>20</v>
      </c>
      <c r="C1064" s="20">
        <v>42384</v>
      </c>
      <c r="D1064" t="s">
        <v>123</v>
      </c>
      <c r="E1064" s="3">
        <v>50</v>
      </c>
      <c r="F1064" s="3">
        <v>40</v>
      </c>
      <c r="G1064" s="3">
        <v>1880</v>
      </c>
      <c r="H1064" s="3" t="s">
        <v>2966</v>
      </c>
    </row>
    <row r="1065" spans="1:8" x14ac:dyDescent="0.35">
      <c r="A1065" t="s">
        <v>87</v>
      </c>
      <c r="B1065" s="26" t="s">
        <v>14</v>
      </c>
      <c r="C1065" s="20">
        <v>42039</v>
      </c>
      <c r="D1065" t="s">
        <v>26</v>
      </c>
      <c r="E1065" s="3">
        <v>700</v>
      </c>
      <c r="F1065" s="3">
        <v>65</v>
      </c>
      <c r="G1065" s="3">
        <v>43225</v>
      </c>
      <c r="H1065" s="3" t="s">
        <v>2967</v>
      </c>
    </row>
    <row r="1066" spans="1:8" x14ac:dyDescent="0.35">
      <c r="A1066" t="s">
        <v>51</v>
      </c>
      <c r="B1066" s="26" t="s">
        <v>25</v>
      </c>
      <c r="C1066" s="20">
        <v>43261</v>
      </c>
      <c r="D1066" t="s">
        <v>123</v>
      </c>
      <c r="E1066" s="3">
        <v>50</v>
      </c>
      <c r="F1066" s="3">
        <v>29</v>
      </c>
      <c r="G1066" s="3">
        <v>1247</v>
      </c>
      <c r="H1066" s="3" t="s">
        <v>2970</v>
      </c>
    </row>
    <row r="1067" spans="1:8" x14ac:dyDescent="0.35">
      <c r="A1067" t="s">
        <v>55</v>
      </c>
      <c r="B1067" s="26" t="s">
        <v>14</v>
      </c>
      <c r="C1067" s="20">
        <v>42942</v>
      </c>
      <c r="D1067" t="s">
        <v>116</v>
      </c>
      <c r="E1067" s="3">
        <v>250</v>
      </c>
      <c r="F1067" s="3">
        <v>22</v>
      </c>
      <c r="G1067" s="3">
        <v>5346</v>
      </c>
      <c r="H1067" s="3" t="s">
        <v>2971</v>
      </c>
    </row>
    <row r="1068" spans="1:8" x14ac:dyDescent="0.35">
      <c r="A1068" t="s">
        <v>129</v>
      </c>
      <c r="B1068" s="26" t="s">
        <v>14</v>
      </c>
      <c r="C1068" s="20">
        <v>42707</v>
      </c>
      <c r="D1068" t="s">
        <v>15</v>
      </c>
      <c r="E1068" s="3">
        <v>80</v>
      </c>
      <c r="F1068" s="3">
        <v>5</v>
      </c>
      <c r="G1068" s="3">
        <v>395</v>
      </c>
      <c r="H1068" s="3" t="s">
        <v>2976</v>
      </c>
    </row>
    <row r="1069" spans="1:8" x14ac:dyDescent="0.35">
      <c r="A1069" t="s">
        <v>101</v>
      </c>
      <c r="B1069" s="26" t="s">
        <v>14</v>
      </c>
      <c r="C1069" s="20">
        <v>41835</v>
      </c>
      <c r="D1069" t="s">
        <v>116</v>
      </c>
      <c r="E1069" s="3">
        <v>250</v>
      </c>
      <c r="F1069" s="3">
        <v>16</v>
      </c>
      <c r="G1069" s="3">
        <v>3680</v>
      </c>
      <c r="H1069" s="3" t="s">
        <v>2971</v>
      </c>
    </row>
    <row r="1070" spans="1:8" x14ac:dyDescent="0.35">
      <c r="A1070" t="s">
        <v>19</v>
      </c>
      <c r="B1070" s="26" t="s">
        <v>20</v>
      </c>
      <c r="C1070" s="20">
        <v>42910</v>
      </c>
      <c r="D1070" t="s">
        <v>105</v>
      </c>
      <c r="E1070" s="3">
        <v>70</v>
      </c>
      <c r="F1070" s="3">
        <v>78</v>
      </c>
      <c r="G1070" s="3">
        <v>5226</v>
      </c>
      <c r="H1070" s="3" t="s">
        <v>2970</v>
      </c>
    </row>
    <row r="1071" spans="1:8" x14ac:dyDescent="0.35">
      <c r="A1071" t="s">
        <v>83</v>
      </c>
      <c r="B1071" s="26" t="s">
        <v>14</v>
      </c>
      <c r="C1071" s="20">
        <v>43461</v>
      </c>
      <c r="D1071" t="s">
        <v>116</v>
      </c>
      <c r="E1071" s="3">
        <v>250</v>
      </c>
      <c r="F1071" s="3">
        <v>29</v>
      </c>
      <c r="G1071" s="3">
        <v>6177</v>
      </c>
      <c r="H1071" s="3" t="s">
        <v>2976</v>
      </c>
    </row>
    <row r="1072" spans="1:8" x14ac:dyDescent="0.35">
      <c r="A1072" t="s">
        <v>97</v>
      </c>
      <c r="B1072" s="26" t="s">
        <v>14</v>
      </c>
      <c r="C1072" s="20">
        <v>43298</v>
      </c>
      <c r="D1072" t="s">
        <v>15</v>
      </c>
      <c r="E1072" s="3">
        <v>80</v>
      </c>
      <c r="F1072" s="3">
        <v>84</v>
      </c>
      <c r="G1072" s="3">
        <v>6636</v>
      </c>
      <c r="H1072" s="3" t="s">
        <v>2971</v>
      </c>
    </row>
    <row r="1073" spans="1:8" x14ac:dyDescent="0.35">
      <c r="A1073" t="s">
        <v>189</v>
      </c>
      <c r="B1073" s="26" t="s">
        <v>14</v>
      </c>
      <c r="C1073" s="20">
        <v>42703</v>
      </c>
      <c r="D1073" t="s">
        <v>62</v>
      </c>
      <c r="E1073" s="3">
        <v>1000</v>
      </c>
      <c r="F1073" s="3">
        <v>66</v>
      </c>
      <c r="G1073" s="3">
        <v>46200</v>
      </c>
      <c r="H1073" s="3" t="s">
        <v>2975</v>
      </c>
    </row>
    <row r="1074" spans="1:8" x14ac:dyDescent="0.35">
      <c r="A1074" t="s">
        <v>41</v>
      </c>
      <c r="B1074" s="26" t="s">
        <v>36</v>
      </c>
      <c r="C1074" s="20">
        <v>42436</v>
      </c>
      <c r="D1074" t="s">
        <v>47</v>
      </c>
      <c r="E1074" s="3">
        <v>500</v>
      </c>
      <c r="F1074" s="3">
        <v>35</v>
      </c>
      <c r="G1074" s="3">
        <v>15575</v>
      </c>
      <c r="H1074" s="3" t="s">
        <v>2968</v>
      </c>
    </row>
    <row r="1075" spans="1:8" x14ac:dyDescent="0.35">
      <c r="A1075" t="s">
        <v>72</v>
      </c>
      <c r="B1075" s="26" t="s">
        <v>36</v>
      </c>
      <c r="C1075" s="20">
        <v>42837</v>
      </c>
      <c r="D1075" t="s">
        <v>123</v>
      </c>
      <c r="E1075" s="3">
        <v>50</v>
      </c>
      <c r="F1075" s="3">
        <v>91</v>
      </c>
      <c r="G1075" s="3">
        <v>4277</v>
      </c>
      <c r="H1075" s="3" t="s">
        <v>2969</v>
      </c>
    </row>
    <row r="1076" spans="1:8" x14ac:dyDescent="0.35">
      <c r="A1076" t="s">
        <v>243</v>
      </c>
      <c r="B1076" s="26" t="s">
        <v>14</v>
      </c>
      <c r="C1076" s="20">
        <v>41713</v>
      </c>
      <c r="D1076" t="s">
        <v>31</v>
      </c>
      <c r="E1076" s="3">
        <v>150</v>
      </c>
      <c r="F1076" s="3">
        <v>86</v>
      </c>
      <c r="G1076" s="3">
        <v>11266</v>
      </c>
      <c r="H1076" s="3" t="s">
        <v>2968</v>
      </c>
    </row>
    <row r="1077" spans="1:8" x14ac:dyDescent="0.35">
      <c r="A1077" t="s">
        <v>243</v>
      </c>
      <c r="B1077" s="26" t="s">
        <v>14</v>
      </c>
      <c r="C1077" s="20">
        <v>43174</v>
      </c>
      <c r="D1077" t="s">
        <v>26</v>
      </c>
      <c r="E1077" s="3">
        <v>700</v>
      </c>
      <c r="F1077" s="3">
        <v>16</v>
      </c>
      <c r="G1077" s="3">
        <v>9856</v>
      </c>
      <c r="H1077" s="3" t="s">
        <v>2968</v>
      </c>
    </row>
    <row r="1078" spans="1:8" x14ac:dyDescent="0.35">
      <c r="A1078" t="s">
        <v>93</v>
      </c>
      <c r="B1078" s="26" t="s">
        <v>36</v>
      </c>
      <c r="C1078" s="20">
        <v>43427</v>
      </c>
      <c r="D1078" t="s">
        <v>37</v>
      </c>
      <c r="E1078" s="3">
        <v>50</v>
      </c>
      <c r="F1078" s="3">
        <v>55</v>
      </c>
      <c r="G1078" s="3">
        <v>2530</v>
      </c>
      <c r="H1078" s="3" t="s">
        <v>2975</v>
      </c>
    </row>
    <row r="1079" spans="1:8" x14ac:dyDescent="0.35">
      <c r="A1079" t="s">
        <v>120</v>
      </c>
      <c r="B1079" s="26" t="s">
        <v>36</v>
      </c>
      <c r="C1079" s="20">
        <v>43213</v>
      </c>
      <c r="D1079" t="s">
        <v>47</v>
      </c>
      <c r="E1079" s="3">
        <v>500</v>
      </c>
      <c r="F1079" s="3">
        <v>65</v>
      </c>
      <c r="G1079" s="3">
        <v>31200</v>
      </c>
      <c r="H1079" s="3" t="s">
        <v>2969</v>
      </c>
    </row>
    <row r="1080" spans="1:8" x14ac:dyDescent="0.35">
      <c r="A1080" t="s">
        <v>93</v>
      </c>
      <c r="B1080" s="26" t="s">
        <v>36</v>
      </c>
      <c r="C1080" s="20">
        <v>42095</v>
      </c>
      <c r="D1080" t="s">
        <v>123</v>
      </c>
      <c r="E1080" s="3">
        <v>50</v>
      </c>
      <c r="F1080" s="3">
        <v>83</v>
      </c>
      <c r="G1080" s="3">
        <v>3901</v>
      </c>
      <c r="H1080" s="3" t="s">
        <v>2969</v>
      </c>
    </row>
    <row r="1081" spans="1:8" x14ac:dyDescent="0.35">
      <c r="A1081" t="s">
        <v>55</v>
      </c>
      <c r="B1081" s="26" t="s">
        <v>14</v>
      </c>
      <c r="C1081" s="20">
        <v>42190</v>
      </c>
      <c r="D1081" t="s">
        <v>31</v>
      </c>
      <c r="E1081" s="3">
        <v>150</v>
      </c>
      <c r="F1081" s="3">
        <v>3</v>
      </c>
      <c r="G1081" s="3">
        <v>438</v>
      </c>
      <c r="H1081" s="3" t="s">
        <v>2971</v>
      </c>
    </row>
    <row r="1082" spans="1:8" x14ac:dyDescent="0.35">
      <c r="A1082" t="s">
        <v>148</v>
      </c>
      <c r="B1082" s="26" t="s">
        <v>14</v>
      </c>
      <c r="C1082" s="20">
        <v>42655</v>
      </c>
      <c r="D1082" t="s">
        <v>105</v>
      </c>
      <c r="E1082" s="3">
        <v>70</v>
      </c>
      <c r="F1082" s="3">
        <v>83</v>
      </c>
      <c r="G1082" s="3">
        <v>5561</v>
      </c>
      <c r="H1082" s="3" t="s">
        <v>2974</v>
      </c>
    </row>
    <row r="1083" spans="1:8" x14ac:dyDescent="0.35">
      <c r="A1083" t="s">
        <v>120</v>
      </c>
      <c r="B1083" s="26" t="s">
        <v>36</v>
      </c>
      <c r="C1083" s="20">
        <v>43083</v>
      </c>
      <c r="D1083" t="s">
        <v>73</v>
      </c>
      <c r="E1083" s="3">
        <v>500</v>
      </c>
      <c r="F1083" s="3">
        <v>63</v>
      </c>
      <c r="G1083" s="3">
        <v>31185</v>
      </c>
      <c r="H1083" s="3" t="s">
        <v>2976</v>
      </c>
    </row>
    <row r="1084" spans="1:8" x14ac:dyDescent="0.35">
      <c r="A1084" t="s">
        <v>79</v>
      </c>
      <c r="B1084" s="26" t="s">
        <v>36</v>
      </c>
      <c r="C1084" s="20">
        <v>41881</v>
      </c>
      <c r="D1084" t="s">
        <v>105</v>
      </c>
      <c r="E1084" s="3">
        <v>70</v>
      </c>
      <c r="F1084" s="3">
        <v>99</v>
      </c>
      <c r="G1084" s="3">
        <v>5643</v>
      </c>
      <c r="H1084" s="3" t="s">
        <v>2972</v>
      </c>
    </row>
    <row r="1085" spans="1:8" x14ac:dyDescent="0.35">
      <c r="A1085" t="s">
        <v>266</v>
      </c>
      <c r="B1085" s="26" t="s">
        <v>14</v>
      </c>
      <c r="C1085" s="20">
        <v>43290</v>
      </c>
      <c r="D1085" t="s">
        <v>123</v>
      </c>
      <c r="E1085" s="3">
        <v>50</v>
      </c>
      <c r="F1085" s="3">
        <v>60</v>
      </c>
      <c r="G1085" s="3">
        <v>2820</v>
      </c>
      <c r="H1085" s="3" t="s">
        <v>2971</v>
      </c>
    </row>
    <row r="1086" spans="1:8" x14ac:dyDescent="0.35">
      <c r="A1086" t="s">
        <v>243</v>
      </c>
      <c r="B1086" s="26" t="s">
        <v>14</v>
      </c>
      <c r="C1086" s="20">
        <v>41821</v>
      </c>
      <c r="D1086" t="s">
        <v>31</v>
      </c>
      <c r="E1086" s="3">
        <v>150</v>
      </c>
      <c r="F1086" s="3">
        <v>60</v>
      </c>
      <c r="G1086" s="3">
        <v>7500</v>
      </c>
      <c r="H1086" s="3" t="s">
        <v>2971</v>
      </c>
    </row>
    <row r="1087" spans="1:8" x14ac:dyDescent="0.35">
      <c r="A1087" t="s">
        <v>35</v>
      </c>
      <c r="B1087" s="26" t="s">
        <v>36</v>
      </c>
      <c r="C1087" s="20">
        <v>42311</v>
      </c>
      <c r="D1087" t="s">
        <v>37</v>
      </c>
      <c r="E1087" s="3">
        <v>50</v>
      </c>
      <c r="F1087" s="3">
        <v>79</v>
      </c>
      <c r="G1087" s="3">
        <v>2686</v>
      </c>
      <c r="H1087" s="3" t="s">
        <v>2975</v>
      </c>
    </row>
    <row r="1088" spans="1:8" x14ac:dyDescent="0.35">
      <c r="A1088" t="s">
        <v>41</v>
      </c>
      <c r="B1088" s="26" t="s">
        <v>36</v>
      </c>
      <c r="C1088" s="20">
        <v>41673</v>
      </c>
      <c r="D1088" t="s">
        <v>26</v>
      </c>
      <c r="E1088" s="3">
        <v>700</v>
      </c>
      <c r="F1088" s="3">
        <v>49</v>
      </c>
      <c r="G1088" s="3">
        <v>26411</v>
      </c>
      <c r="H1088" s="3" t="s">
        <v>2967</v>
      </c>
    </row>
    <row r="1089" spans="1:8" x14ac:dyDescent="0.35">
      <c r="A1089" t="s">
        <v>436</v>
      </c>
      <c r="B1089" s="26" t="s">
        <v>25</v>
      </c>
      <c r="C1089" s="20">
        <v>42760</v>
      </c>
      <c r="D1089" t="s">
        <v>26</v>
      </c>
      <c r="E1089" s="3">
        <v>700</v>
      </c>
      <c r="F1089" s="3">
        <v>7</v>
      </c>
      <c r="G1089" s="3">
        <v>4851</v>
      </c>
      <c r="H1089" s="3" t="s">
        <v>2966</v>
      </c>
    </row>
    <row r="1090" spans="1:8" x14ac:dyDescent="0.35">
      <c r="A1090" t="s">
        <v>13</v>
      </c>
      <c r="B1090" s="26" t="s">
        <v>14</v>
      </c>
      <c r="C1090" s="20">
        <v>43425</v>
      </c>
      <c r="D1090" t="s">
        <v>31</v>
      </c>
      <c r="E1090" s="3">
        <v>150</v>
      </c>
      <c r="F1090" s="3">
        <v>86</v>
      </c>
      <c r="G1090" s="3">
        <v>12642</v>
      </c>
      <c r="H1090" s="3" t="s">
        <v>2975</v>
      </c>
    </row>
    <row r="1091" spans="1:8" x14ac:dyDescent="0.35">
      <c r="A1091" t="s">
        <v>176</v>
      </c>
      <c r="B1091" s="26" t="s">
        <v>14</v>
      </c>
      <c r="C1091" s="20">
        <v>41823</v>
      </c>
      <c r="D1091" t="s">
        <v>123</v>
      </c>
      <c r="E1091" s="3">
        <v>50</v>
      </c>
      <c r="F1091" s="3">
        <v>89</v>
      </c>
      <c r="G1091" s="3">
        <v>3738</v>
      </c>
      <c r="H1091" s="3" t="s">
        <v>2971</v>
      </c>
    </row>
    <row r="1092" spans="1:8" x14ac:dyDescent="0.35">
      <c r="A1092" t="s">
        <v>30</v>
      </c>
      <c r="B1092" s="26" t="s">
        <v>14</v>
      </c>
      <c r="C1092" s="20">
        <v>42667</v>
      </c>
      <c r="D1092" t="s">
        <v>123</v>
      </c>
      <c r="E1092" s="3">
        <v>50</v>
      </c>
      <c r="F1092" s="3">
        <v>58</v>
      </c>
      <c r="G1092" s="3">
        <v>2552</v>
      </c>
      <c r="H1092" s="3" t="s">
        <v>2974</v>
      </c>
    </row>
    <row r="1093" spans="1:8" x14ac:dyDescent="0.35">
      <c r="A1093" t="s">
        <v>83</v>
      </c>
      <c r="B1093" s="26" t="s">
        <v>14</v>
      </c>
      <c r="C1093" s="20">
        <v>43224</v>
      </c>
      <c r="D1093" t="s">
        <v>123</v>
      </c>
      <c r="E1093" s="3">
        <v>50</v>
      </c>
      <c r="F1093" s="3">
        <v>46</v>
      </c>
      <c r="G1093" s="3">
        <v>2254</v>
      </c>
      <c r="H1093" s="3" t="s">
        <v>2965</v>
      </c>
    </row>
    <row r="1094" spans="1:8" x14ac:dyDescent="0.35">
      <c r="A1094" t="s">
        <v>13</v>
      </c>
      <c r="B1094" s="26" t="s">
        <v>14</v>
      </c>
      <c r="C1094" s="20">
        <v>43338</v>
      </c>
      <c r="D1094" t="s">
        <v>15</v>
      </c>
      <c r="E1094" s="3">
        <v>80</v>
      </c>
      <c r="F1094" s="3">
        <v>27</v>
      </c>
      <c r="G1094" s="3">
        <v>2106</v>
      </c>
      <c r="H1094" s="3" t="s">
        <v>2972</v>
      </c>
    </row>
    <row r="1095" spans="1:8" x14ac:dyDescent="0.35">
      <c r="A1095" t="s">
        <v>109</v>
      </c>
      <c r="B1095" s="26" t="s">
        <v>20</v>
      </c>
      <c r="C1095" s="20">
        <v>43058</v>
      </c>
      <c r="D1095" t="s">
        <v>123</v>
      </c>
      <c r="E1095" s="3">
        <v>50</v>
      </c>
      <c r="F1095" s="3">
        <v>12</v>
      </c>
      <c r="G1095" s="3">
        <v>576</v>
      </c>
      <c r="H1095" s="3" t="s">
        <v>2975</v>
      </c>
    </row>
    <row r="1096" spans="1:8" x14ac:dyDescent="0.35">
      <c r="A1096" t="s">
        <v>109</v>
      </c>
      <c r="B1096" s="26" t="s">
        <v>20</v>
      </c>
      <c r="C1096" s="20">
        <v>43144</v>
      </c>
      <c r="D1096" t="s">
        <v>31</v>
      </c>
      <c r="E1096" s="3">
        <v>150</v>
      </c>
      <c r="F1096" s="3">
        <v>58</v>
      </c>
      <c r="G1096" s="3">
        <v>8526</v>
      </c>
      <c r="H1096" s="3" t="s">
        <v>2967</v>
      </c>
    </row>
    <row r="1097" spans="1:8" x14ac:dyDescent="0.35">
      <c r="A1097" t="s">
        <v>55</v>
      </c>
      <c r="B1097" s="26" t="s">
        <v>14</v>
      </c>
      <c r="C1097" s="20">
        <v>42229</v>
      </c>
      <c r="D1097" t="s">
        <v>62</v>
      </c>
      <c r="E1097" s="3">
        <v>1000</v>
      </c>
      <c r="F1097" s="3">
        <v>32</v>
      </c>
      <c r="G1097" s="3">
        <v>19840</v>
      </c>
      <c r="H1097" s="3" t="s">
        <v>2972</v>
      </c>
    </row>
    <row r="1098" spans="1:8" x14ac:dyDescent="0.35">
      <c r="A1098" t="s">
        <v>129</v>
      </c>
      <c r="B1098" s="26" t="s">
        <v>14</v>
      </c>
      <c r="C1098" s="20">
        <v>43144</v>
      </c>
      <c r="D1098" t="s">
        <v>73</v>
      </c>
      <c r="E1098" s="3">
        <v>500</v>
      </c>
      <c r="F1098" s="3">
        <v>44</v>
      </c>
      <c r="G1098" s="3">
        <v>21780</v>
      </c>
      <c r="H1098" s="3" t="s">
        <v>2967</v>
      </c>
    </row>
    <row r="1099" spans="1:8" x14ac:dyDescent="0.35">
      <c r="A1099" t="s">
        <v>41</v>
      </c>
      <c r="B1099" s="26" t="s">
        <v>36</v>
      </c>
      <c r="C1099" s="20">
        <v>43189</v>
      </c>
      <c r="D1099" t="s">
        <v>123</v>
      </c>
      <c r="E1099" s="3">
        <v>50</v>
      </c>
      <c r="F1099" s="3">
        <v>71</v>
      </c>
      <c r="G1099" s="3">
        <v>3337</v>
      </c>
      <c r="H1099" s="3" t="s">
        <v>2968</v>
      </c>
    </row>
    <row r="1100" spans="1:8" x14ac:dyDescent="0.35">
      <c r="A1100" t="s">
        <v>93</v>
      </c>
      <c r="B1100" s="26" t="s">
        <v>36</v>
      </c>
      <c r="C1100" s="20">
        <v>42578</v>
      </c>
      <c r="D1100" t="s">
        <v>56</v>
      </c>
      <c r="E1100" s="3">
        <v>800</v>
      </c>
      <c r="F1100" s="3">
        <v>56</v>
      </c>
      <c r="G1100" s="3">
        <v>41664</v>
      </c>
      <c r="H1100" s="3" t="s">
        <v>2971</v>
      </c>
    </row>
    <row r="1101" spans="1:8" x14ac:dyDescent="0.35">
      <c r="A1101" t="s">
        <v>51</v>
      </c>
      <c r="B1101" s="26" t="s">
        <v>25</v>
      </c>
      <c r="C1101" s="20">
        <v>42959</v>
      </c>
      <c r="D1101" t="s">
        <v>47</v>
      </c>
      <c r="E1101" s="3">
        <v>500</v>
      </c>
      <c r="F1101" s="3">
        <v>48</v>
      </c>
      <c r="G1101" s="3">
        <v>23520</v>
      </c>
      <c r="H1101" s="3" t="s">
        <v>2972</v>
      </c>
    </row>
    <row r="1102" spans="1:8" x14ac:dyDescent="0.35">
      <c r="A1102" t="s">
        <v>176</v>
      </c>
      <c r="B1102" s="26" t="s">
        <v>14</v>
      </c>
      <c r="C1102" s="20">
        <v>42112</v>
      </c>
      <c r="D1102" t="s">
        <v>56</v>
      </c>
      <c r="E1102" s="3">
        <v>800</v>
      </c>
      <c r="F1102" s="3">
        <v>88</v>
      </c>
      <c r="G1102" s="3">
        <v>50688</v>
      </c>
      <c r="H1102" s="3" t="s">
        <v>2969</v>
      </c>
    </row>
    <row r="1103" spans="1:8" x14ac:dyDescent="0.35">
      <c r="A1103" t="s">
        <v>148</v>
      </c>
      <c r="B1103" s="26" t="s">
        <v>14</v>
      </c>
      <c r="C1103" s="20">
        <v>43269</v>
      </c>
      <c r="D1103" t="s">
        <v>47</v>
      </c>
      <c r="E1103" s="3">
        <v>500</v>
      </c>
      <c r="F1103" s="3">
        <v>24</v>
      </c>
      <c r="G1103" s="3">
        <v>10920</v>
      </c>
      <c r="H1103" s="3" t="s">
        <v>2970</v>
      </c>
    </row>
    <row r="1104" spans="1:8" x14ac:dyDescent="0.35">
      <c r="A1104" t="s">
        <v>229</v>
      </c>
      <c r="B1104" s="26" t="s">
        <v>25</v>
      </c>
      <c r="C1104" s="20">
        <v>41858</v>
      </c>
      <c r="D1104" t="s">
        <v>31</v>
      </c>
      <c r="E1104" s="3">
        <v>150</v>
      </c>
      <c r="F1104" s="3">
        <v>26</v>
      </c>
      <c r="G1104" s="3">
        <v>3510</v>
      </c>
      <c r="H1104" s="3" t="s">
        <v>2972</v>
      </c>
    </row>
    <row r="1105" spans="1:8" x14ac:dyDescent="0.35">
      <c r="A1105" t="s">
        <v>13</v>
      </c>
      <c r="B1105" s="26" t="s">
        <v>14</v>
      </c>
      <c r="C1105" s="20">
        <v>43220</v>
      </c>
      <c r="D1105" t="s">
        <v>73</v>
      </c>
      <c r="E1105" s="3">
        <v>500</v>
      </c>
      <c r="F1105" s="3">
        <v>86</v>
      </c>
      <c r="G1105" s="3">
        <v>42140</v>
      </c>
      <c r="H1105" s="3" t="s">
        <v>2969</v>
      </c>
    </row>
    <row r="1106" spans="1:8" x14ac:dyDescent="0.35">
      <c r="A1106" t="s">
        <v>272</v>
      </c>
      <c r="B1106" s="26" t="s">
        <v>36</v>
      </c>
      <c r="C1106" s="20">
        <v>41798</v>
      </c>
      <c r="D1106" t="s">
        <v>73</v>
      </c>
      <c r="E1106" s="3">
        <v>500</v>
      </c>
      <c r="F1106" s="3">
        <v>19</v>
      </c>
      <c r="G1106" s="3">
        <v>9405</v>
      </c>
      <c r="H1106" s="3" t="s">
        <v>2970</v>
      </c>
    </row>
    <row r="1107" spans="1:8" x14ac:dyDescent="0.35">
      <c r="A1107" t="s">
        <v>61</v>
      </c>
      <c r="B1107" s="26" t="s">
        <v>14</v>
      </c>
      <c r="C1107" s="20">
        <v>42878</v>
      </c>
      <c r="D1107" t="s">
        <v>123</v>
      </c>
      <c r="E1107" s="3">
        <v>50</v>
      </c>
      <c r="F1107" s="3">
        <v>6</v>
      </c>
      <c r="G1107" s="3">
        <v>270</v>
      </c>
      <c r="H1107" s="3" t="s">
        <v>2965</v>
      </c>
    </row>
    <row r="1108" spans="1:8" x14ac:dyDescent="0.35">
      <c r="A1108" t="s">
        <v>51</v>
      </c>
      <c r="B1108" s="26" t="s">
        <v>25</v>
      </c>
      <c r="C1108" s="20">
        <v>42991</v>
      </c>
      <c r="D1108" t="s">
        <v>42</v>
      </c>
      <c r="E1108" s="3">
        <v>30</v>
      </c>
      <c r="F1108" s="3">
        <v>71</v>
      </c>
      <c r="G1108" s="3">
        <v>1988</v>
      </c>
      <c r="H1108" s="3" t="s">
        <v>2973</v>
      </c>
    </row>
    <row r="1109" spans="1:8" x14ac:dyDescent="0.35">
      <c r="A1109" t="s">
        <v>326</v>
      </c>
      <c r="B1109" s="26" t="s">
        <v>14</v>
      </c>
      <c r="C1109" s="20">
        <v>43151</v>
      </c>
      <c r="D1109" t="s">
        <v>56</v>
      </c>
      <c r="E1109" s="3">
        <v>800</v>
      </c>
      <c r="F1109" s="3">
        <v>36</v>
      </c>
      <c r="G1109" s="3">
        <v>16992</v>
      </c>
      <c r="H1109" s="3" t="s">
        <v>2967</v>
      </c>
    </row>
    <row r="1110" spans="1:8" x14ac:dyDescent="0.35">
      <c r="A1110" t="s">
        <v>148</v>
      </c>
      <c r="B1110" s="26" t="s">
        <v>14</v>
      </c>
      <c r="C1110" s="20">
        <v>42809</v>
      </c>
      <c r="D1110" t="s">
        <v>62</v>
      </c>
      <c r="E1110" s="3">
        <v>1000</v>
      </c>
      <c r="F1110" s="3">
        <v>50</v>
      </c>
      <c r="G1110" s="3">
        <v>34000</v>
      </c>
      <c r="H1110" s="3" t="s">
        <v>2968</v>
      </c>
    </row>
    <row r="1111" spans="1:8" x14ac:dyDescent="0.35">
      <c r="A1111" t="s">
        <v>129</v>
      </c>
      <c r="B1111" s="26" t="s">
        <v>14</v>
      </c>
      <c r="C1111" s="20">
        <v>42790</v>
      </c>
      <c r="D1111" t="s">
        <v>31</v>
      </c>
      <c r="E1111" s="3">
        <v>150</v>
      </c>
      <c r="F1111" s="3">
        <v>48</v>
      </c>
      <c r="G1111" s="3">
        <v>7200</v>
      </c>
      <c r="H1111" s="3" t="s">
        <v>2967</v>
      </c>
    </row>
    <row r="1112" spans="1:8" x14ac:dyDescent="0.35">
      <c r="A1112" t="s">
        <v>229</v>
      </c>
      <c r="B1112" s="26" t="s">
        <v>25</v>
      </c>
      <c r="C1112" s="20">
        <v>43056</v>
      </c>
      <c r="D1112" t="s">
        <v>42</v>
      </c>
      <c r="E1112" s="3">
        <v>30</v>
      </c>
      <c r="F1112" s="3">
        <v>10</v>
      </c>
      <c r="G1112" s="3">
        <v>280</v>
      </c>
      <c r="H1112" s="3" t="s">
        <v>2975</v>
      </c>
    </row>
    <row r="1113" spans="1:8" x14ac:dyDescent="0.35">
      <c r="A1113" t="s">
        <v>51</v>
      </c>
      <c r="B1113" s="26" t="s">
        <v>25</v>
      </c>
      <c r="C1113" s="20">
        <v>42892</v>
      </c>
      <c r="D1113" t="s">
        <v>47</v>
      </c>
      <c r="E1113" s="3">
        <v>500</v>
      </c>
      <c r="F1113" s="3">
        <v>86</v>
      </c>
      <c r="G1113" s="3">
        <v>38700</v>
      </c>
      <c r="H1113" s="3" t="s">
        <v>2970</v>
      </c>
    </row>
    <row r="1114" spans="1:8" x14ac:dyDescent="0.35">
      <c r="A1114" t="s">
        <v>189</v>
      </c>
      <c r="B1114" s="26" t="s">
        <v>14</v>
      </c>
      <c r="C1114" s="20">
        <v>42959</v>
      </c>
      <c r="D1114" t="s">
        <v>31</v>
      </c>
      <c r="E1114" s="3">
        <v>150</v>
      </c>
      <c r="F1114" s="3">
        <v>50</v>
      </c>
      <c r="G1114" s="3">
        <v>7450</v>
      </c>
      <c r="H1114" s="3" t="s">
        <v>2972</v>
      </c>
    </row>
    <row r="1115" spans="1:8" x14ac:dyDescent="0.35">
      <c r="A1115" t="s">
        <v>51</v>
      </c>
      <c r="B1115" s="26" t="s">
        <v>25</v>
      </c>
      <c r="C1115" s="20">
        <v>42226</v>
      </c>
      <c r="D1115" t="s">
        <v>15</v>
      </c>
      <c r="E1115" s="3">
        <v>80</v>
      </c>
      <c r="F1115" s="3">
        <v>34</v>
      </c>
      <c r="G1115" s="3">
        <v>1802</v>
      </c>
      <c r="H1115" s="3" t="s">
        <v>2972</v>
      </c>
    </row>
    <row r="1116" spans="1:8" x14ac:dyDescent="0.35">
      <c r="A1116" t="s">
        <v>13</v>
      </c>
      <c r="B1116" s="26" t="s">
        <v>14</v>
      </c>
      <c r="C1116" s="20">
        <v>42961</v>
      </c>
      <c r="D1116" t="s">
        <v>47</v>
      </c>
      <c r="E1116" s="3">
        <v>500</v>
      </c>
      <c r="F1116" s="3">
        <v>66</v>
      </c>
      <c r="G1116" s="3">
        <v>31680</v>
      </c>
      <c r="H1116" s="3" t="s">
        <v>2972</v>
      </c>
    </row>
    <row r="1117" spans="1:8" x14ac:dyDescent="0.35">
      <c r="A1117" t="s">
        <v>24</v>
      </c>
      <c r="B1117" s="26" t="s">
        <v>25</v>
      </c>
      <c r="C1117" s="20">
        <v>42381</v>
      </c>
      <c r="D1117" t="s">
        <v>47</v>
      </c>
      <c r="E1117" s="3">
        <v>500</v>
      </c>
      <c r="F1117" s="3">
        <v>56</v>
      </c>
      <c r="G1117" s="3">
        <v>27720</v>
      </c>
      <c r="H1117" s="3" t="s">
        <v>2966</v>
      </c>
    </row>
    <row r="1118" spans="1:8" x14ac:dyDescent="0.35">
      <c r="A1118" t="s">
        <v>13</v>
      </c>
      <c r="B1118" s="26" t="s">
        <v>14</v>
      </c>
      <c r="C1118" s="20">
        <v>41642</v>
      </c>
      <c r="D1118" t="s">
        <v>123</v>
      </c>
      <c r="E1118" s="3">
        <v>50</v>
      </c>
      <c r="F1118" s="3">
        <v>11</v>
      </c>
      <c r="G1118" s="3">
        <v>528</v>
      </c>
      <c r="H1118" s="3" t="s">
        <v>2966</v>
      </c>
    </row>
    <row r="1119" spans="1:8" x14ac:dyDescent="0.35">
      <c r="A1119" t="s">
        <v>207</v>
      </c>
      <c r="B1119" s="26" t="s">
        <v>25</v>
      </c>
      <c r="C1119" s="20">
        <v>41970</v>
      </c>
      <c r="D1119" t="s">
        <v>37</v>
      </c>
      <c r="E1119" s="3">
        <v>50</v>
      </c>
      <c r="F1119" s="3">
        <v>43</v>
      </c>
      <c r="G1119" s="3">
        <v>1935</v>
      </c>
      <c r="H1119" s="3" t="s">
        <v>2975</v>
      </c>
    </row>
    <row r="1120" spans="1:8" x14ac:dyDescent="0.35">
      <c r="A1120" t="s">
        <v>229</v>
      </c>
      <c r="B1120" s="26" t="s">
        <v>25</v>
      </c>
      <c r="C1120" s="20">
        <v>42505</v>
      </c>
      <c r="D1120" t="s">
        <v>15</v>
      </c>
      <c r="E1120" s="3">
        <v>80</v>
      </c>
      <c r="F1120" s="3">
        <v>16</v>
      </c>
      <c r="G1120" s="3">
        <v>1184</v>
      </c>
      <c r="H1120" s="3" t="s">
        <v>2965</v>
      </c>
    </row>
    <row r="1121" spans="1:8" x14ac:dyDescent="0.35">
      <c r="A1121" t="s">
        <v>152</v>
      </c>
      <c r="B1121" s="26" t="s">
        <v>14</v>
      </c>
      <c r="C1121" s="20">
        <v>42486</v>
      </c>
      <c r="D1121" t="s">
        <v>56</v>
      </c>
      <c r="E1121" s="3">
        <v>800</v>
      </c>
      <c r="F1121" s="3">
        <v>15</v>
      </c>
      <c r="G1121" s="3">
        <v>8880</v>
      </c>
      <c r="H1121" s="3" t="s">
        <v>2969</v>
      </c>
    </row>
    <row r="1122" spans="1:8" x14ac:dyDescent="0.35">
      <c r="A1122" t="s">
        <v>83</v>
      </c>
      <c r="B1122" s="26" t="s">
        <v>14</v>
      </c>
      <c r="C1122" s="20">
        <v>42718</v>
      </c>
      <c r="D1122" t="s">
        <v>15</v>
      </c>
      <c r="E1122" s="3">
        <v>80</v>
      </c>
      <c r="F1122" s="3">
        <v>86</v>
      </c>
      <c r="G1122" s="3">
        <v>6364</v>
      </c>
      <c r="H1122" s="3" t="s">
        <v>2976</v>
      </c>
    </row>
    <row r="1123" spans="1:8" x14ac:dyDescent="0.35">
      <c r="A1123" t="s">
        <v>129</v>
      </c>
      <c r="B1123" s="26" t="s">
        <v>14</v>
      </c>
      <c r="C1123" s="20">
        <v>42143</v>
      </c>
      <c r="D1123" t="s">
        <v>42</v>
      </c>
      <c r="E1123" s="3">
        <v>30</v>
      </c>
      <c r="F1123" s="3">
        <v>21</v>
      </c>
      <c r="G1123" s="3">
        <v>420</v>
      </c>
      <c r="H1123" s="3" t="s">
        <v>2965</v>
      </c>
    </row>
    <row r="1124" spans="1:8" x14ac:dyDescent="0.35">
      <c r="A1124" t="s">
        <v>46</v>
      </c>
      <c r="B1124" s="26" t="s">
        <v>25</v>
      </c>
      <c r="C1124" s="20">
        <v>42887</v>
      </c>
      <c r="D1124" t="s">
        <v>31</v>
      </c>
      <c r="E1124" s="3">
        <v>150</v>
      </c>
      <c r="F1124" s="3">
        <v>31</v>
      </c>
      <c r="G1124" s="3">
        <v>4278</v>
      </c>
      <c r="H1124" s="3" t="s">
        <v>2970</v>
      </c>
    </row>
    <row r="1125" spans="1:8" x14ac:dyDescent="0.35">
      <c r="A1125" t="s">
        <v>61</v>
      </c>
      <c r="B1125" s="26" t="s">
        <v>14</v>
      </c>
      <c r="C1125" s="20">
        <v>43428</v>
      </c>
      <c r="D1125" t="s">
        <v>42</v>
      </c>
      <c r="E1125" s="3">
        <v>30</v>
      </c>
      <c r="F1125" s="3">
        <v>23</v>
      </c>
      <c r="G1125" s="3">
        <v>690</v>
      </c>
      <c r="H1125" s="3" t="s">
        <v>2975</v>
      </c>
    </row>
    <row r="1126" spans="1:8" x14ac:dyDescent="0.35">
      <c r="A1126" t="s">
        <v>172</v>
      </c>
      <c r="B1126" s="26" t="s">
        <v>14</v>
      </c>
      <c r="C1126" s="20">
        <v>42461</v>
      </c>
      <c r="D1126" t="s">
        <v>116</v>
      </c>
      <c r="E1126" s="3">
        <v>250</v>
      </c>
      <c r="F1126" s="3">
        <v>47</v>
      </c>
      <c r="G1126" s="3">
        <v>10575</v>
      </c>
      <c r="H1126" s="3" t="s">
        <v>2969</v>
      </c>
    </row>
    <row r="1127" spans="1:8" x14ac:dyDescent="0.35">
      <c r="A1127" t="s">
        <v>13</v>
      </c>
      <c r="B1127" s="26" t="s">
        <v>14</v>
      </c>
      <c r="C1127" s="20">
        <v>43169</v>
      </c>
      <c r="D1127" t="s">
        <v>31</v>
      </c>
      <c r="E1127" s="3">
        <v>150</v>
      </c>
      <c r="F1127" s="3">
        <v>64</v>
      </c>
      <c r="G1127" s="3">
        <v>9152</v>
      </c>
      <c r="H1127" s="3" t="s">
        <v>2968</v>
      </c>
    </row>
    <row r="1128" spans="1:8" x14ac:dyDescent="0.35">
      <c r="A1128" t="s">
        <v>189</v>
      </c>
      <c r="B1128" s="26" t="s">
        <v>14</v>
      </c>
      <c r="C1128" s="20">
        <v>42095</v>
      </c>
      <c r="D1128" t="s">
        <v>26</v>
      </c>
      <c r="E1128" s="3">
        <v>700</v>
      </c>
      <c r="F1128" s="3">
        <v>63</v>
      </c>
      <c r="G1128" s="3">
        <v>42777</v>
      </c>
      <c r="H1128" s="3" t="s">
        <v>2969</v>
      </c>
    </row>
    <row r="1129" spans="1:8" x14ac:dyDescent="0.35">
      <c r="A1129" t="s">
        <v>402</v>
      </c>
      <c r="B1129" s="26" t="s">
        <v>14</v>
      </c>
      <c r="C1129" s="20">
        <v>41862</v>
      </c>
      <c r="D1129" t="s">
        <v>73</v>
      </c>
      <c r="E1129" s="3">
        <v>500</v>
      </c>
      <c r="F1129" s="3">
        <v>61</v>
      </c>
      <c r="G1129" s="3">
        <v>30195</v>
      </c>
      <c r="H1129" s="3" t="s">
        <v>2972</v>
      </c>
    </row>
    <row r="1130" spans="1:8" x14ac:dyDescent="0.35">
      <c r="A1130" t="s">
        <v>109</v>
      </c>
      <c r="B1130" s="26" t="s">
        <v>20</v>
      </c>
      <c r="C1130" s="20">
        <v>41899</v>
      </c>
      <c r="D1130" t="s">
        <v>47</v>
      </c>
      <c r="E1130" s="3">
        <v>500</v>
      </c>
      <c r="F1130" s="3">
        <v>23</v>
      </c>
      <c r="G1130" s="3">
        <v>9200</v>
      </c>
      <c r="H1130" s="3" t="s">
        <v>2973</v>
      </c>
    </row>
    <row r="1131" spans="1:8" x14ac:dyDescent="0.35">
      <c r="A1131" t="s">
        <v>109</v>
      </c>
      <c r="B1131" s="26" t="s">
        <v>20</v>
      </c>
      <c r="C1131" s="20">
        <v>43235</v>
      </c>
      <c r="D1131" t="s">
        <v>37</v>
      </c>
      <c r="E1131" s="3">
        <v>50</v>
      </c>
      <c r="F1131" s="3">
        <v>35</v>
      </c>
      <c r="G1131" s="3">
        <v>1680</v>
      </c>
      <c r="H1131" s="3" t="s">
        <v>2965</v>
      </c>
    </row>
    <row r="1132" spans="1:8" x14ac:dyDescent="0.35">
      <c r="A1132" t="s">
        <v>83</v>
      </c>
      <c r="B1132" s="26" t="s">
        <v>14</v>
      </c>
      <c r="C1132" s="20">
        <v>42172</v>
      </c>
      <c r="D1132" t="s">
        <v>42</v>
      </c>
      <c r="E1132" s="3">
        <v>30</v>
      </c>
      <c r="F1132" s="3">
        <v>41</v>
      </c>
      <c r="G1132" s="3">
        <v>779</v>
      </c>
      <c r="H1132" s="3" t="s">
        <v>2970</v>
      </c>
    </row>
    <row r="1133" spans="1:8" x14ac:dyDescent="0.35">
      <c r="A1133" t="s">
        <v>129</v>
      </c>
      <c r="B1133" s="26" t="s">
        <v>14</v>
      </c>
      <c r="C1133" s="20">
        <v>41746</v>
      </c>
      <c r="D1133" t="s">
        <v>42</v>
      </c>
      <c r="E1133" s="3">
        <v>30</v>
      </c>
      <c r="F1133" s="3">
        <v>12</v>
      </c>
      <c r="G1133" s="3">
        <v>264</v>
      </c>
      <c r="H1133" s="3" t="s">
        <v>2969</v>
      </c>
    </row>
    <row r="1134" spans="1:8" x14ac:dyDescent="0.35">
      <c r="A1134" t="s">
        <v>30</v>
      </c>
      <c r="B1134" s="26" t="s">
        <v>14</v>
      </c>
      <c r="C1134" s="20">
        <v>42801</v>
      </c>
      <c r="D1134" t="s">
        <v>73</v>
      </c>
      <c r="E1134" s="3">
        <v>500</v>
      </c>
      <c r="F1134" s="3">
        <v>88</v>
      </c>
      <c r="G1134" s="3">
        <v>44000</v>
      </c>
      <c r="H1134" s="3" t="s">
        <v>2968</v>
      </c>
    </row>
    <row r="1135" spans="1:8" x14ac:dyDescent="0.35">
      <c r="A1135" t="s">
        <v>109</v>
      </c>
      <c r="B1135" s="26" t="s">
        <v>20</v>
      </c>
      <c r="C1135" s="20">
        <v>42943</v>
      </c>
      <c r="D1135" t="s">
        <v>37</v>
      </c>
      <c r="E1135" s="3">
        <v>50</v>
      </c>
      <c r="F1135" s="3">
        <v>66</v>
      </c>
      <c r="G1135" s="3">
        <v>3300</v>
      </c>
      <c r="H1135" s="3" t="s">
        <v>2971</v>
      </c>
    </row>
    <row r="1136" spans="1:8" x14ac:dyDescent="0.35">
      <c r="A1136" t="s">
        <v>120</v>
      </c>
      <c r="B1136" s="26" t="s">
        <v>36</v>
      </c>
      <c r="C1136" s="20">
        <v>41855</v>
      </c>
      <c r="D1136" t="s">
        <v>123</v>
      </c>
      <c r="E1136" s="3">
        <v>50</v>
      </c>
      <c r="F1136" s="3">
        <v>84</v>
      </c>
      <c r="G1136" s="3">
        <v>4200</v>
      </c>
      <c r="H1136" s="3" t="s">
        <v>2972</v>
      </c>
    </row>
    <row r="1137" spans="1:8" x14ac:dyDescent="0.35">
      <c r="A1137" t="s">
        <v>109</v>
      </c>
      <c r="B1137" s="26" t="s">
        <v>20</v>
      </c>
      <c r="C1137" s="20">
        <v>42705</v>
      </c>
      <c r="D1137" t="s">
        <v>62</v>
      </c>
      <c r="E1137" s="3">
        <v>1000</v>
      </c>
      <c r="F1137" s="3">
        <v>2</v>
      </c>
      <c r="G1137" s="3">
        <v>1420</v>
      </c>
      <c r="H1137" s="3" t="s">
        <v>2976</v>
      </c>
    </row>
    <row r="1138" spans="1:8" x14ac:dyDescent="0.35">
      <c r="A1138" t="s">
        <v>129</v>
      </c>
      <c r="B1138" s="26" t="s">
        <v>14</v>
      </c>
      <c r="C1138" s="20">
        <v>43433</v>
      </c>
      <c r="D1138" t="s">
        <v>15</v>
      </c>
      <c r="E1138" s="3">
        <v>80</v>
      </c>
      <c r="F1138" s="3">
        <v>57</v>
      </c>
      <c r="G1138" s="3">
        <v>4218</v>
      </c>
      <c r="H1138" s="3" t="s">
        <v>2975</v>
      </c>
    </row>
    <row r="1139" spans="1:8" x14ac:dyDescent="0.35">
      <c r="A1139" t="s">
        <v>83</v>
      </c>
      <c r="B1139" s="26" t="s">
        <v>14</v>
      </c>
      <c r="C1139" s="20">
        <v>42457</v>
      </c>
      <c r="D1139" t="s">
        <v>123</v>
      </c>
      <c r="E1139" s="3">
        <v>50</v>
      </c>
      <c r="F1139" s="3">
        <v>8</v>
      </c>
      <c r="G1139" s="3">
        <v>400</v>
      </c>
      <c r="H1139" s="3" t="s">
        <v>2968</v>
      </c>
    </row>
    <row r="1140" spans="1:8" x14ac:dyDescent="0.35">
      <c r="A1140" t="s">
        <v>109</v>
      </c>
      <c r="B1140" s="26" t="s">
        <v>20</v>
      </c>
      <c r="C1140" s="20">
        <v>41745</v>
      </c>
      <c r="D1140" t="s">
        <v>116</v>
      </c>
      <c r="E1140" s="3">
        <v>250</v>
      </c>
      <c r="F1140" s="3">
        <v>78</v>
      </c>
      <c r="G1140" s="3">
        <v>16224</v>
      </c>
      <c r="H1140" s="3" t="s">
        <v>2969</v>
      </c>
    </row>
    <row r="1141" spans="1:8" x14ac:dyDescent="0.35">
      <c r="A1141" t="s">
        <v>93</v>
      </c>
      <c r="B1141" s="26" t="s">
        <v>36</v>
      </c>
      <c r="C1141" s="20">
        <v>42796</v>
      </c>
      <c r="D1141" t="s">
        <v>123</v>
      </c>
      <c r="E1141" s="3">
        <v>50</v>
      </c>
      <c r="F1141" s="3">
        <v>57</v>
      </c>
      <c r="G1141" s="3">
        <v>2622</v>
      </c>
      <c r="H1141" s="3" t="s">
        <v>2968</v>
      </c>
    </row>
    <row r="1142" spans="1:8" x14ac:dyDescent="0.35">
      <c r="A1142" t="s">
        <v>83</v>
      </c>
      <c r="B1142" s="26" t="s">
        <v>14</v>
      </c>
      <c r="C1142" s="20">
        <v>42046</v>
      </c>
      <c r="D1142" t="s">
        <v>56</v>
      </c>
      <c r="E1142" s="3">
        <v>800</v>
      </c>
      <c r="F1142" s="3">
        <v>74</v>
      </c>
      <c r="G1142" s="3">
        <v>55056</v>
      </c>
      <c r="H1142" s="3" t="s">
        <v>2967</v>
      </c>
    </row>
    <row r="1143" spans="1:8" x14ac:dyDescent="0.35">
      <c r="A1143" t="s">
        <v>66</v>
      </c>
      <c r="B1143" s="26" t="s">
        <v>36</v>
      </c>
      <c r="C1143" s="20">
        <v>42839</v>
      </c>
      <c r="D1143" t="s">
        <v>15</v>
      </c>
      <c r="E1143" s="3">
        <v>80</v>
      </c>
      <c r="F1143" s="3">
        <v>69</v>
      </c>
      <c r="G1143" s="3">
        <v>5244</v>
      </c>
      <c r="H1143" s="3" t="s">
        <v>2969</v>
      </c>
    </row>
    <row r="1144" spans="1:8" x14ac:dyDescent="0.35">
      <c r="A1144" t="s">
        <v>120</v>
      </c>
      <c r="B1144" s="26" t="s">
        <v>36</v>
      </c>
      <c r="C1144" s="20">
        <v>42889</v>
      </c>
      <c r="D1144" t="s">
        <v>31</v>
      </c>
      <c r="E1144" s="3">
        <v>150</v>
      </c>
      <c r="F1144" s="3">
        <v>8</v>
      </c>
      <c r="G1144" s="3">
        <v>1168</v>
      </c>
      <c r="H1144" s="3" t="s">
        <v>2970</v>
      </c>
    </row>
    <row r="1145" spans="1:8" x14ac:dyDescent="0.35">
      <c r="A1145" t="s">
        <v>41</v>
      </c>
      <c r="B1145" s="26" t="s">
        <v>36</v>
      </c>
      <c r="C1145" s="20">
        <v>43416</v>
      </c>
      <c r="D1145" t="s">
        <v>47</v>
      </c>
      <c r="E1145" s="3">
        <v>500</v>
      </c>
      <c r="F1145" s="3">
        <v>50</v>
      </c>
      <c r="G1145" s="3">
        <v>23750</v>
      </c>
      <c r="H1145" s="3" t="s">
        <v>2975</v>
      </c>
    </row>
    <row r="1146" spans="1:8" x14ac:dyDescent="0.35">
      <c r="A1146" t="s">
        <v>243</v>
      </c>
      <c r="B1146" s="26" t="s">
        <v>14</v>
      </c>
      <c r="C1146" s="20">
        <v>42690</v>
      </c>
      <c r="D1146" t="s">
        <v>15</v>
      </c>
      <c r="E1146" s="3">
        <v>80</v>
      </c>
      <c r="F1146" s="3">
        <v>95</v>
      </c>
      <c r="G1146" s="3">
        <v>6460</v>
      </c>
      <c r="H1146" s="3" t="s">
        <v>2975</v>
      </c>
    </row>
    <row r="1147" spans="1:8" x14ac:dyDescent="0.35">
      <c r="A1147" t="s">
        <v>326</v>
      </c>
      <c r="B1147" s="26" t="s">
        <v>14</v>
      </c>
      <c r="C1147" s="20">
        <v>42235</v>
      </c>
      <c r="D1147" t="s">
        <v>73</v>
      </c>
      <c r="E1147" s="3">
        <v>500</v>
      </c>
      <c r="F1147" s="3">
        <v>43</v>
      </c>
      <c r="G1147" s="3">
        <v>21500</v>
      </c>
      <c r="H1147" s="3" t="s">
        <v>2972</v>
      </c>
    </row>
    <row r="1148" spans="1:8" x14ac:dyDescent="0.35">
      <c r="A1148" t="s">
        <v>257</v>
      </c>
      <c r="B1148" s="26" t="s">
        <v>14</v>
      </c>
      <c r="C1148" s="20">
        <v>41700</v>
      </c>
      <c r="D1148" t="s">
        <v>116</v>
      </c>
      <c r="E1148" s="3">
        <v>250</v>
      </c>
      <c r="F1148" s="3">
        <v>92</v>
      </c>
      <c r="G1148" s="3">
        <v>22356</v>
      </c>
      <c r="H1148" s="3" t="s">
        <v>2968</v>
      </c>
    </row>
    <row r="1149" spans="1:8" x14ac:dyDescent="0.35">
      <c r="A1149" t="s">
        <v>24</v>
      </c>
      <c r="B1149" s="26" t="s">
        <v>25</v>
      </c>
      <c r="C1149" s="20">
        <v>42483</v>
      </c>
      <c r="D1149" t="s">
        <v>62</v>
      </c>
      <c r="E1149" s="3">
        <v>1000</v>
      </c>
      <c r="F1149" s="3">
        <v>28</v>
      </c>
      <c r="G1149" s="3">
        <v>14000</v>
      </c>
      <c r="H1149" s="3" t="s">
        <v>2969</v>
      </c>
    </row>
    <row r="1150" spans="1:8" x14ac:dyDescent="0.35">
      <c r="A1150" t="s">
        <v>51</v>
      </c>
      <c r="B1150" s="26" t="s">
        <v>25</v>
      </c>
      <c r="C1150" s="20">
        <v>43355</v>
      </c>
      <c r="D1150" t="s">
        <v>62</v>
      </c>
      <c r="E1150" s="3">
        <v>1000</v>
      </c>
      <c r="F1150" s="3">
        <v>7</v>
      </c>
      <c r="G1150" s="3">
        <v>4900</v>
      </c>
      <c r="H1150" s="3" t="s">
        <v>2973</v>
      </c>
    </row>
    <row r="1151" spans="1:8" x14ac:dyDescent="0.35">
      <c r="A1151" t="s">
        <v>402</v>
      </c>
      <c r="B1151" s="26" t="s">
        <v>14</v>
      </c>
      <c r="C1151" s="20">
        <v>43218</v>
      </c>
      <c r="D1151" t="s">
        <v>15</v>
      </c>
      <c r="E1151" s="3">
        <v>80</v>
      </c>
      <c r="F1151" s="3">
        <v>43</v>
      </c>
      <c r="G1151" s="3">
        <v>2494</v>
      </c>
      <c r="H1151" s="3" t="s">
        <v>2969</v>
      </c>
    </row>
    <row r="1152" spans="1:8" x14ac:dyDescent="0.35">
      <c r="A1152" t="s">
        <v>176</v>
      </c>
      <c r="B1152" s="26" t="s">
        <v>14</v>
      </c>
      <c r="C1152" s="20">
        <v>42077</v>
      </c>
      <c r="D1152" t="s">
        <v>56</v>
      </c>
      <c r="E1152" s="3">
        <v>800</v>
      </c>
      <c r="F1152" s="3">
        <v>27</v>
      </c>
      <c r="G1152" s="3">
        <v>17928</v>
      </c>
      <c r="H1152" s="3" t="s">
        <v>2968</v>
      </c>
    </row>
    <row r="1153" spans="1:8" x14ac:dyDescent="0.35">
      <c r="A1153" t="s">
        <v>55</v>
      </c>
      <c r="B1153" s="26" t="s">
        <v>14</v>
      </c>
      <c r="C1153" s="20">
        <v>41681</v>
      </c>
      <c r="D1153" t="s">
        <v>105</v>
      </c>
      <c r="E1153" s="3">
        <v>70</v>
      </c>
      <c r="F1153" s="3">
        <v>40</v>
      </c>
      <c r="G1153" s="3">
        <v>2760</v>
      </c>
      <c r="H1153" s="3" t="s">
        <v>2967</v>
      </c>
    </row>
    <row r="1154" spans="1:8" x14ac:dyDescent="0.35">
      <c r="A1154" t="s">
        <v>51</v>
      </c>
      <c r="B1154" s="26" t="s">
        <v>25</v>
      </c>
      <c r="C1154" s="20">
        <v>41954</v>
      </c>
      <c r="D1154" t="s">
        <v>123</v>
      </c>
      <c r="E1154" s="3">
        <v>50</v>
      </c>
      <c r="F1154" s="3">
        <v>75</v>
      </c>
      <c r="G1154" s="3">
        <v>3750</v>
      </c>
      <c r="H1154" s="3" t="s">
        <v>2975</v>
      </c>
    </row>
    <row r="1155" spans="1:8" x14ac:dyDescent="0.35">
      <c r="A1155" t="s">
        <v>272</v>
      </c>
      <c r="B1155" s="26" t="s">
        <v>36</v>
      </c>
      <c r="C1155" s="20">
        <v>41689</v>
      </c>
      <c r="D1155" t="s">
        <v>15</v>
      </c>
      <c r="E1155" s="3">
        <v>80</v>
      </c>
      <c r="F1155" s="3">
        <v>44</v>
      </c>
      <c r="G1155" s="3">
        <v>3300</v>
      </c>
      <c r="H1155" s="3" t="s">
        <v>2967</v>
      </c>
    </row>
    <row r="1156" spans="1:8" x14ac:dyDescent="0.35">
      <c r="A1156" t="s">
        <v>13</v>
      </c>
      <c r="B1156" s="26" t="s">
        <v>14</v>
      </c>
      <c r="C1156" s="20">
        <v>42875</v>
      </c>
      <c r="D1156" t="s">
        <v>15</v>
      </c>
      <c r="E1156" s="3">
        <v>80</v>
      </c>
      <c r="F1156" s="3">
        <v>69</v>
      </c>
      <c r="G1156" s="3">
        <v>5244</v>
      </c>
      <c r="H1156" s="3" t="s">
        <v>2965</v>
      </c>
    </row>
    <row r="1157" spans="1:8" x14ac:dyDescent="0.35">
      <c r="A1157" t="s">
        <v>72</v>
      </c>
      <c r="B1157" s="26" t="s">
        <v>36</v>
      </c>
      <c r="C1157" s="20">
        <v>42143</v>
      </c>
      <c r="D1157" t="s">
        <v>116</v>
      </c>
      <c r="E1157" s="3">
        <v>250</v>
      </c>
      <c r="F1157" s="3">
        <v>7</v>
      </c>
      <c r="G1157" s="3">
        <v>1330</v>
      </c>
      <c r="H1157" s="3" t="s">
        <v>2965</v>
      </c>
    </row>
    <row r="1158" spans="1:8" x14ac:dyDescent="0.35">
      <c r="A1158" t="s">
        <v>243</v>
      </c>
      <c r="B1158" s="26" t="s">
        <v>14</v>
      </c>
      <c r="C1158" s="20">
        <v>42737</v>
      </c>
      <c r="D1158" t="s">
        <v>62</v>
      </c>
      <c r="E1158" s="3">
        <v>1000</v>
      </c>
      <c r="F1158" s="3">
        <v>53</v>
      </c>
      <c r="G1158" s="3">
        <v>34450</v>
      </c>
      <c r="H1158" s="3" t="s">
        <v>2966</v>
      </c>
    </row>
    <row r="1159" spans="1:8" x14ac:dyDescent="0.35">
      <c r="A1159" t="s">
        <v>41</v>
      </c>
      <c r="B1159" s="26" t="s">
        <v>36</v>
      </c>
      <c r="C1159" s="20">
        <v>42346</v>
      </c>
      <c r="D1159" t="s">
        <v>15</v>
      </c>
      <c r="E1159" s="3">
        <v>80</v>
      </c>
      <c r="F1159" s="3">
        <v>5</v>
      </c>
      <c r="G1159" s="3">
        <v>290</v>
      </c>
      <c r="H1159" s="3" t="s">
        <v>2976</v>
      </c>
    </row>
    <row r="1160" spans="1:8" x14ac:dyDescent="0.35">
      <c r="A1160" t="s">
        <v>41</v>
      </c>
      <c r="B1160" s="26" t="s">
        <v>36</v>
      </c>
      <c r="C1160" s="20">
        <v>41642</v>
      </c>
      <c r="D1160" t="s">
        <v>116</v>
      </c>
      <c r="E1160" s="3">
        <v>250</v>
      </c>
      <c r="F1160" s="3">
        <v>21</v>
      </c>
      <c r="G1160" s="3">
        <v>4935</v>
      </c>
      <c r="H1160" s="3" t="s">
        <v>2966</v>
      </c>
    </row>
    <row r="1161" spans="1:8" x14ac:dyDescent="0.35">
      <c r="A1161" t="s">
        <v>189</v>
      </c>
      <c r="B1161" s="26" t="s">
        <v>14</v>
      </c>
      <c r="C1161" s="20">
        <v>42452</v>
      </c>
      <c r="D1161" t="s">
        <v>47</v>
      </c>
      <c r="E1161" s="3">
        <v>500</v>
      </c>
      <c r="F1161" s="3">
        <v>24</v>
      </c>
      <c r="G1161" s="3">
        <v>10560</v>
      </c>
      <c r="H1161" s="3" t="s">
        <v>2968</v>
      </c>
    </row>
    <row r="1162" spans="1:8" x14ac:dyDescent="0.35">
      <c r="A1162" t="s">
        <v>129</v>
      </c>
      <c r="B1162" s="26" t="s">
        <v>14</v>
      </c>
      <c r="C1162" s="20">
        <v>43029</v>
      </c>
      <c r="D1162" t="s">
        <v>123</v>
      </c>
      <c r="E1162" s="3">
        <v>50</v>
      </c>
      <c r="F1162" s="3">
        <v>42</v>
      </c>
      <c r="G1162" s="3">
        <v>1932</v>
      </c>
      <c r="H1162" s="3" t="s">
        <v>2974</v>
      </c>
    </row>
    <row r="1163" spans="1:8" x14ac:dyDescent="0.35">
      <c r="A1163" t="s">
        <v>109</v>
      </c>
      <c r="B1163" s="26" t="s">
        <v>20</v>
      </c>
      <c r="C1163" s="20">
        <v>43258</v>
      </c>
      <c r="D1163" t="s">
        <v>105</v>
      </c>
      <c r="E1163" s="3">
        <v>70</v>
      </c>
      <c r="F1163" s="3">
        <v>74</v>
      </c>
      <c r="G1163" s="3">
        <v>4662</v>
      </c>
      <c r="H1163" s="3" t="s">
        <v>2970</v>
      </c>
    </row>
    <row r="1164" spans="1:8" x14ac:dyDescent="0.35">
      <c r="A1164" t="s">
        <v>229</v>
      </c>
      <c r="B1164" s="26" t="s">
        <v>25</v>
      </c>
      <c r="C1164" s="20">
        <v>43173</v>
      </c>
      <c r="D1164" t="s">
        <v>31</v>
      </c>
      <c r="E1164" s="3">
        <v>150</v>
      </c>
      <c r="F1164" s="3">
        <v>48</v>
      </c>
      <c r="G1164" s="3">
        <v>6144</v>
      </c>
      <c r="H1164" s="3" t="s">
        <v>2968</v>
      </c>
    </row>
    <row r="1165" spans="1:8" x14ac:dyDescent="0.35">
      <c r="A1165" t="s">
        <v>66</v>
      </c>
      <c r="B1165" s="26" t="s">
        <v>36</v>
      </c>
      <c r="C1165" s="20">
        <v>42715</v>
      </c>
      <c r="D1165" t="s">
        <v>31</v>
      </c>
      <c r="E1165" s="3">
        <v>150</v>
      </c>
      <c r="F1165" s="3">
        <v>4</v>
      </c>
      <c r="G1165" s="3">
        <v>600</v>
      </c>
      <c r="H1165" s="3" t="s">
        <v>2976</v>
      </c>
    </row>
    <row r="1166" spans="1:8" x14ac:dyDescent="0.35">
      <c r="A1166" t="s">
        <v>13</v>
      </c>
      <c r="B1166" s="26" t="s">
        <v>14</v>
      </c>
      <c r="C1166" s="20">
        <v>42778</v>
      </c>
      <c r="D1166" t="s">
        <v>47</v>
      </c>
      <c r="E1166" s="3">
        <v>500</v>
      </c>
      <c r="F1166" s="3">
        <v>13</v>
      </c>
      <c r="G1166" s="3">
        <v>6305</v>
      </c>
      <c r="H1166" s="3" t="s">
        <v>2967</v>
      </c>
    </row>
    <row r="1167" spans="1:8" x14ac:dyDescent="0.35">
      <c r="A1167" t="s">
        <v>87</v>
      </c>
      <c r="B1167" s="26" t="s">
        <v>14</v>
      </c>
      <c r="C1167" s="20">
        <v>42881</v>
      </c>
      <c r="D1167" t="s">
        <v>116</v>
      </c>
      <c r="E1167" s="3">
        <v>250</v>
      </c>
      <c r="F1167" s="3">
        <v>66</v>
      </c>
      <c r="G1167" s="3">
        <v>15180</v>
      </c>
      <c r="H1167" s="3" t="s">
        <v>2965</v>
      </c>
    </row>
    <row r="1168" spans="1:8" x14ac:dyDescent="0.35">
      <c r="A1168" t="s">
        <v>55</v>
      </c>
      <c r="B1168" s="26" t="s">
        <v>14</v>
      </c>
      <c r="C1168" s="20">
        <v>42643</v>
      </c>
      <c r="D1168" t="s">
        <v>105</v>
      </c>
      <c r="E1168" s="3">
        <v>70</v>
      </c>
      <c r="F1168" s="3">
        <v>100</v>
      </c>
      <c r="G1168" s="3">
        <v>6200</v>
      </c>
      <c r="H1168" s="3" t="s">
        <v>2973</v>
      </c>
    </row>
    <row r="1169" spans="1:8" x14ac:dyDescent="0.35">
      <c r="A1169" t="s">
        <v>66</v>
      </c>
      <c r="B1169" s="26" t="s">
        <v>36</v>
      </c>
      <c r="C1169" s="20">
        <v>42924</v>
      </c>
      <c r="D1169" t="s">
        <v>26</v>
      </c>
      <c r="E1169" s="3">
        <v>700</v>
      </c>
      <c r="F1169" s="3">
        <v>97</v>
      </c>
      <c r="G1169" s="3">
        <v>64505</v>
      </c>
      <c r="H1169" s="3" t="s">
        <v>2971</v>
      </c>
    </row>
    <row r="1170" spans="1:8" x14ac:dyDescent="0.35">
      <c r="A1170" t="s">
        <v>109</v>
      </c>
      <c r="B1170" s="26" t="s">
        <v>20</v>
      </c>
      <c r="C1170" s="20">
        <v>43038</v>
      </c>
      <c r="D1170" t="s">
        <v>37</v>
      </c>
      <c r="E1170" s="3">
        <v>50</v>
      </c>
      <c r="F1170" s="3">
        <v>87</v>
      </c>
      <c r="G1170" s="3">
        <v>4350</v>
      </c>
      <c r="H1170" s="3" t="s">
        <v>2974</v>
      </c>
    </row>
    <row r="1171" spans="1:8" x14ac:dyDescent="0.35">
      <c r="A1171" t="s">
        <v>189</v>
      </c>
      <c r="B1171" s="26" t="s">
        <v>14</v>
      </c>
      <c r="C1171" s="20">
        <v>41795</v>
      </c>
      <c r="D1171" t="s">
        <v>15</v>
      </c>
      <c r="E1171" s="3">
        <v>80</v>
      </c>
      <c r="F1171" s="3">
        <v>43</v>
      </c>
      <c r="G1171" s="3">
        <v>2408</v>
      </c>
      <c r="H1171" s="3" t="s">
        <v>2970</v>
      </c>
    </row>
    <row r="1172" spans="1:8" x14ac:dyDescent="0.35">
      <c r="A1172" t="s">
        <v>97</v>
      </c>
      <c r="B1172" s="26" t="s">
        <v>14</v>
      </c>
      <c r="C1172" s="20">
        <v>43281</v>
      </c>
      <c r="D1172" t="s">
        <v>105</v>
      </c>
      <c r="E1172" s="3">
        <v>70</v>
      </c>
      <c r="F1172" s="3">
        <v>7</v>
      </c>
      <c r="G1172" s="3">
        <v>455</v>
      </c>
      <c r="H1172" s="3" t="s">
        <v>2970</v>
      </c>
    </row>
    <row r="1173" spans="1:8" x14ac:dyDescent="0.35">
      <c r="A1173" t="s">
        <v>436</v>
      </c>
      <c r="B1173" s="26" t="s">
        <v>25</v>
      </c>
      <c r="C1173" s="20">
        <v>42508</v>
      </c>
      <c r="D1173" t="s">
        <v>37</v>
      </c>
      <c r="E1173" s="3">
        <v>50</v>
      </c>
      <c r="F1173" s="3">
        <v>38</v>
      </c>
      <c r="G1173" s="3">
        <v>1634</v>
      </c>
      <c r="H1173" s="3" t="s">
        <v>2965</v>
      </c>
    </row>
    <row r="1174" spans="1:8" x14ac:dyDescent="0.35">
      <c r="A1174" t="s">
        <v>72</v>
      </c>
      <c r="B1174" s="26" t="s">
        <v>36</v>
      </c>
      <c r="C1174" s="20">
        <v>42288</v>
      </c>
      <c r="D1174" t="s">
        <v>31</v>
      </c>
      <c r="E1174" s="3">
        <v>150</v>
      </c>
      <c r="F1174" s="3">
        <v>56</v>
      </c>
      <c r="G1174" s="3">
        <v>7056</v>
      </c>
      <c r="H1174" s="3" t="s">
        <v>2974</v>
      </c>
    </row>
    <row r="1175" spans="1:8" x14ac:dyDescent="0.35">
      <c r="A1175" t="s">
        <v>41</v>
      </c>
      <c r="B1175" s="26" t="s">
        <v>36</v>
      </c>
      <c r="C1175" s="20">
        <v>42035</v>
      </c>
      <c r="D1175" t="s">
        <v>47</v>
      </c>
      <c r="E1175" s="3">
        <v>500</v>
      </c>
      <c r="F1175" s="3">
        <v>67</v>
      </c>
      <c r="G1175" s="3">
        <v>24120</v>
      </c>
      <c r="H1175" s="3" t="s">
        <v>2966</v>
      </c>
    </row>
    <row r="1176" spans="1:8" x14ac:dyDescent="0.35">
      <c r="A1176" t="s">
        <v>229</v>
      </c>
      <c r="B1176" s="26" t="s">
        <v>25</v>
      </c>
      <c r="C1176" s="20">
        <v>42622</v>
      </c>
      <c r="D1176" t="s">
        <v>15</v>
      </c>
      <c r="E1176" s="3">
        <v>80</v>
      </c>
      <c r="F1176" s="3">
        <v>6</v>
      </c>
      <c r="G1176" s="3">
        <v>426</v>
      </c>
      <c r="H1176" s="3" t="s">
        <v>2973</v>
      </c>
    </row>
    <row r="1177" spans="1:8" x14ac:dyDescent="0.35">
      <c r="A1177" t="s">
        <v>109</v>
      </c>
      <c r="B1177" s="26" t="s">
        <v>20</v>
      </c>
      <c r="C1177" s="20">
        <v>41654</v>
      </c>
      <c r="D1177" t="s">
        <v>42</v>
      </c>
      <c r="E1177" s="3">
        <v>30</v>
      </c>
      <c r="F1177" s="3">
        <v>89</v>
      </c>
      <c r="G1177" s="3">
        <v>2581</v>
      </c>
      <c r="H1177" s="3" t="s">
        <v>2966</v>
      </c>
    </row>
    <row r="1178" spans="1:8" x14ac:dyDescent="0.35">
      <c r="A1178" t="s">
        <v>172</v>
      </c>
      <c r="B1178" s="26" t="s">
        <v>14</v>
      </c>
      <c r="C1178" s="20">
        <v>42733</v>
      </c>
      <c r="D1178" t="s">
        <v>116</v>
      </c>
      <c r="E1178" s="3">
        <v>250</v>
      </c>
      <c r="F1178" s="3">
        <v>55</v>
      </c>
      <c r="G1178" s="3">
        <v>13640</v>
      </c>
      <c r="H1178" s="3" t="s">
        <v>2976</v>
      </c>
    </row>
    <row r="1179" spans="1:8" x14ac:dyDescent="0.35">
      <c r="A1179" t="s">
        <v>93</v>
      </c>
      <c r="B1179" s="26" t="s">
        <v>36</v>
      </c>
      <c r="C1179" s="20">
        <v>43394</v>
      </c>
      <c r="D1179" t="s">
        <v>42</v>
      </c>
      <c r="E1179" s="3">
        <v>30</v>
      </c>
      <c r="F1179" s="3">
        <v>90</v>
      </c>
      <c r="G1179" s="3">
        <v>2430</v>
      </c>
      <c r="H1179" s="3" t="s">
        <v>2974</v>
      </c>
    </row>
    <row r="1180" spans="1:8" x14ac:dyDescent="0.35">
      <c r="A1180" t="s">
        <v>148</v>
      </c>
      <c r="B1180" s="26" t="s">
        <v>14</v>
      </c>
      <c r="C1180" s="20">
        <v>42948</v>
      </c>
      <c r="D1180" t="s">
        <v>105</v>
      </c>
      <c r="E1180" s="3">
        <v>70</v>
      </c>
      <c r="F1180" s="3">
        <v>3</v>
      </c>
      <c r="G1180" s="3">
        <v>198</v>
      </c>
      <c r="H1180" s="3" t="s">
        <v>2972</v>
      </c>
    </row>
    <row r="1181" spans="1:8" x14ac:dyDescent="0.35">
      <c r="A1181" t="s">
        <v>19</v>
      </c>
      <c r="B1181" s="26" t="s">
        <v>20</v>
      </c>
      <c r="C1181" s="20">
        <v>41904</v>
      </c>
      <c r="D1181" t="s">
        <v>37</v>
      </c>
      <c r="E1181" s="3">
        <v>50</v>
      </c>
      <c r="F1181" s="3">
        <v>89</v>
      </c>
      <c r="G1181" s="3">
        <v>4450</v>
      </c>
      <c r="H1181" s="3" t="s">
        <v>2973</v>
      </c>
    </row>
    <row r="1182" spans="1:8" x14ac:dyDescent="0.35">
      <c r="A1182" t="s">
        <v>152</v>
      </c>
      <c r="B1182" s="26" t="s">
        <v>14</v>
      </c>
      <c r="C1182" s="20">
        <v>42134</v>
      </c>
      <c r="D1182" t="s">
        <v>62</v>
      </c>
      <c r="E1182" s="3">
        <v>1000</v>
      </c>
      <c r="F1182" s="3">
        <v>92</v>
      </c>
      <c r="G1182" s="3">
        <v>63480</v>
      </c>
      <c r="H1182" s="3" t="s">
        <v>2965</v>
      </c>
    </row>
    <row r="1183" spans="1:8" x14ac:dyDescent="0.35">
      <c r="A1183" t="s">
        <v>109</v>
      </c>
      <c r="B1183" s="26" t="s">
        <v>20</v>
      </c>
      <c r="C1183" s="20">
        <v>42880</v>
      </c>
      <c r="D1183" t="s">
        <v>31</v>
      </c>
      <c r="E1183" s="3">
        <v>150</v>
      </c>
      <c r="F1183" s="3">
        <v>56</v>
      </c>
      <c r="G1183" s="3">
        <v>8400</v>
      </c>
      <c r="H1183" s="3" t="s">
        <v>2965</v>
      </c>
    </row>
    <row r="1184" spans="1:8" x14ac:dyDescent="0.35">
      <c r="A1184" t="s">
        <v>72</v>
      </c>
      <c r="B1184" s="26" t="s">
        <v>36</v>
      </c>
      <c r="C1184" s="20">
        <v>42227</v>
      </c>
      <c r="D1184" t="s">
        <v>26</v>
      </c>
      <c r="E1184" s="3">
        <v>700</v>
      </c>
      <c r="F1184" s="3">
        <v>57</v>
      </c>
      <c r="G1184" s="3">
        <v>31920</v>
      </c>
      <c r="H1184" s="3" t="s">
        <v>2972</v>
      </c>
    </row>
    <row r="1185" spans="1:8" x14ac:dyDescent="0.35">
      <c r="A1185" t="s">
        <v>51</v>
      </c>
      <c r="B1185" s="26" t="s">
        <v>25</v>
      </c>
      <c r="C1185" s="20">
        <v>41716</v>
      </c>
      <c r="D1185" t="s">
        <v>73</v>
      </c>
      <c r="E1185" s="3">
        <v>500</v>
      </c>
      <c r="F1185" s="3">
        <v>2</v>
      </c>
      <c r="G1185" s="3">
        <v>990</v>
      </c>
      <c r="H1185" s="3" t="s">
        <v>2968</v>
      </c>
    </row>
    <row r="1186" spans="1:8" x14ac:dyDescent="0.35">
      <c r="A1186" t="s">
        <v>109</v>
      </c>
      <c r="B1186" s="26" t="s">
        <v>20</v>
      </c>
      <c r="C1186" s="20">
        <v>42020</v>
      </c>
      <c r="D1186" t="s">
        <v>42</v>
      </c>
      <c r="E1186" s="3">
        <v>30</v>
      </c>
      <c r="F1186" s="3">
        <v>83</v>
      </c>
      <c r="G1186" s="3">
        <v>2490</v>
      </c>
      <c r="H1186" s="3" t="s">
        <v>2966</v>
      </c>
    </row>
    <row r="1187" spans="1:8" x14ac:dyDescent="0.35">
      <c r="A1187" t="s">
        <v>35</v>
      </c>
      <c r="B1187" s="26" t="s">
        <v>36</v>
      </c>
      <c r="C1187" s="20">
        <v>42339</v>
      </c>
      <c r="D1187" t="s">
        <v>31</v>
      </c>
      <c r="E1187" s="3">
        <v>150</v>
      </c>
      <c r="F1187" s="3">
        <v>48</v>
      </c>
      <c r="G1187" s="3">
        <v>6336</v>
      </c>
      <c r="H1187" s="3" t="s">
        <v>2976</v>
      </c>
    </row>
    <row r="1188" spans="1:8" x14ac:dyDescent="0.35">
      <c r="A1188" t="s">
        <v>46</v>
      </c>
      <c r="B1188" s="26" t="s">
        <v>25</v>
      </c>
      <c r="C1188" s="20">
        <v>41985</v>
      </c>
      <c r="D1188" t="s">
        <v>47</v>
      </c>
      <c r="E1188" s="3">
        <v>500</v>
      </c>
      <c r="F1188" s="3">
        <v>59</v>
      </c>
      <c r="G1188" s="3">
        <v>25075</v>
      </c>
      <c r="H1188" s="3" t="s">
        <v>2976</v>
      </c>
    </row>
    <row r="1189" spans="1:8" x14ac:dyDescent="0.35">
      <c r="A1189" t="s">
        <v>402</v>
      </c>
      <c r="B1189" s="26" t="s">
        <v>14</v>
      </c>
      <c r="C1189" s="20">
        <v>43075</v>
      </c>
      <c r="D1189" t="s">
        <v>62</v>
      </c>
      <c r="E1189" s="3">
        <v>1000</v>
      </c>
      <c r="F1189" s="3">
        <v>22</v>
      </c>
      <c r="G1189" s="3">
        <v>17380</v>
      </c>
      <c r="H1189" s="3" t="s">
        <v>2976</v>
      </c>
    </row>
    <row r="1190" spans="1:8" x14ac:dyDescent="0.35">
      <c r="A1190" t="s">
        <v>30</v>
      </c>
      <c r="B1190" s="26" t="s">
        <v>14</v>
      </c>
      <c r="C1190" s="20">
        <v>42535</v>
      </c>
      <c r="D1190" t="s">
        <v>62</v>
      </c>
      <c r="E1190" s="3">
        <v>1000</v>
      </c>
      <c r="F1190" s="3">
        <v>64</v>
      </c>
      <c r="G1190" s="3">
        <v>62720</v>
      </c>
      <c r="H1190" s="3" t="s">
        <v>2970</v>
      </c>
    </row>
    <row r="1191" spans="1:8" x14ac:dyDescent="0.35">
      <c r="A1191" t="s">
        <v>83</v>
      </c>
      <c r="B1191" s="26" t="s">
        <v>14</v>
      </c>
      <c r="C1191" s="20">
        <v>42102</v>
      </c>
      <c r="D1191" t="s">
        <v>47</v>
      </c>
      <c r="E1191" s="3">
        <v>500</v>
      </c>
      <c r="F1191" s="3">
        <v>11</v>
      </c>
      <c r="G1191" s="3">
        <v>3795</v>
      </c>
      <c r="H1191" s="3" t="s">
        <v>2969</v>
      </c>
    </row>
    <row r="1192" spans="1:8" x14ac:dyDescent="0.35">
      <c r="A1192" t="s">
        <v>30</v>
      </c>
      <c r="B1192" s="26" t="s">
        <v>14</v>
      </c>
      <c r="C1192" s="20">
        <v>42668</v>
      </c>
      <c r="D1192" t="s">
        <v>123</v>
      </c>
      <c r="E1192" s="3">
        <v>50</v>
      </c>
      <c r="F1192" s="3">
        <v>31</v>
      </c>
      <c r="G1192" s="3">
        <v>1364</v>
      </c>
      <c r="H1192" s="3" t="s">
        <v>2974</v>
      </c>
    </row>
    <row r="1193" spans="1:8" x14ac:dyDescent="0.35">
      <c r="A1193" t="s">
        <v>51</v>
      </c>
      <c r="B1193" s="26" t="s">
        <v>25</v>
      </c>
      <c r="C1193" s="20">
        <v>43130</v>
      </c>
      <c r="D1193" t="s">
        <v>123</v>
      </c>
      <c r="E1193" s="3">
        <v>50</v>
      </c>
      <c r="F1193" s="3">
        <v>62</v>
      </c>
      <c r="G1193" s="3">
        <v>2666</v>
      </c>
      <c r="H1193" s="3" t="s">
        <v>2966</v>
      </c>
    </row>
    <row r="1194" spans="1:8" x14ac:dyDescent="0.35">
      <c r="A1194" t="s">
        <v>272</v>
      </c>
      <c r="B1194" s="26" t="s">
        <v>36</v>
      </c>
      <c r="C1194" s="20">
        <v>43201</v>
      </c>
      <c r="D1194" t="s">
        <v>42</v>
      </c>
      <c r="E1194" s="3">
        <v>30</v>
      </c>
      <c r="F1194" s="3">
        <v>9</v>
      </c>
      <c r="G1194" s="3">
        <v>261</v>
      </c>
      <c r="H1194" s="3" t="s">
        <v>2969</v>
      </c>
    </row>
    <row r="1195" spans="1:8" x14ac:dyDescent="0.35">
      <c r="A1195" t="s">
        <v>272</v>
      </c>
      <c r="B1195" s="26" t="s">
        <v>36</v>
      </c>
      <c r="C1195" s="20">
        <v>42916</v>
      </c>
      <c r="D1195" t="s">
        <v>42</v>
      </c>
      <c r="E1195" s="3">
        <v>30</v>
      </c>
      <c r="F1195" s="3">
        <v>15</v>
      </c>
      <c r="G1195" s="3">
        <v>435</v>
      </c>
      <c r="H1195" s="3" t="s">
        <v>2970</v>
      </c>
    </row>
    <row r="1196" spans="1:8" x14ac:dyDescent="0.35">
      <c r="A1196" t="s">
        <v>109</v>
      </c>
      <c r="B1196" s="26" t="s">
        <v>20</v>
      </c>
      <c r="C1196" s="20">
        <v>42620</v>
      </c>
      <c r="D1196" t="s">
        <v>26</v>
      </c>
      <c r="E1196" s="3">
        <v>700</v>
      </c>
      <c r="F1196" s="3">
        <v>6</v>
      </c>
      <c r="G1196" s="3">
        <v>4200</v>
      </c>
      <c r="H1196" s="3" t="s">
        <v>2973</v>
      </c>
    </row>
    <row r="1197" spans="1:8" x14ac:dyDescent="0.35">
      <c r="A1197" t="s">
        <v>55</v>
      </c>
      <c r="B1197" s="26" t="s">
        <v>14</v>
      </c>
      <c r="C1197" s="20">
        <v>42044</v>
      </c>
      <c r="D1197" t="s">
        <v>116</v>
      </c>
      <c r="E1197" s="3">
        <v>250</v>
      </c>
      <c r="F1197" s="3">
        <v>47</v>
      </c>
      <c r="G1197" s="3">
        <v>11186</v>
      </c>
      <c r="H1197" s="3" t="s">
        <v>2967</v>
      </c>
    </row>
    <row r="1198" spans="1:8" x14ac:dyDescent="0.35">
      <c r="A1198" t="s">
        <v>61</v>
      </c>
      <c r="B1198" s="26" t="s">
        <v>14</v>
      </c>
      <c r="C1198" s="20">
        <v>42754</v>
      </c>
      <c r="D1198" t="s">
        <v>47</v>
      </c>
      <c r="E1198" s="3">
        <v>500</v>
      </c>
      <c r="F1198" s="3">
        <v>40</v>
      </c>
      <c r="G1198" s="3">
        <v>19400</v>
      </c>
      <c r="H1198" s="3" t="s">
        <v>2966</v>
      </c>
    </row>
    <row r="1199" spans="1:8" x14ac:dyDescent="0.35">
      <c r="A1199" t="s">
        <v>109</v>
      </c>
      <c r="B1199" s="26" t="s">
        <v>20</v>
      </c>
      <c r="C1199" s="20">
        <v>41785</v>
      </c>
      <c r="D1199" t="s">
        <v>56</v>
      </c>
      <c r="E1199" s="3">
        <v>800</v>
      </c>
      <c r="F1199" s="3">
        <v>34</v>
      </c>
      <c r="G1199" s="3">
        <v>15504</v>
      </c>
      <c r="H1199" s="3" t="s">
        <v>2965</v>
      </c>
    </row>
    <row r="1200" spans="1:8" x14ac:dyDescent="0.35">
      <c r="A1200" t="s">
        <v>109</v>
      </c>
      <c r="B1200" s="26" t="s">
        <v>20</v>
      </c>
      <c r="C1200" s="20">
        <v>42957</v>
      </c>
      <c r="D1200" t="s">
        <v>105</v>
      </c>
      <c r="E1200" s="3">
        <v>70</v>
      </c>
      <c r="F1200" s="3">
        <v>85</v>
      </c>
      <c r="G1200" s="3">
        <v>5610</v>
      </c>
      <c r="H1200" s="3" t="s">
        <v>2972</v>
      </c>
    </row>
    <row r="1201" spans="1:8" x14ac:dyDescent="0.35">
      <c r="A1201" t="s">
        <v>55</v>
      </c>
      <c r="B1201" s="26" t="s">
        <v>14</v>
      </c>
      <c r="C1201" s="20">
        <v>41831</v>
      </c>
      <c r="D1201" t="s">
        <v>42</v>
      </c>
      <c r="E1201" s="3">
        <v>30</v>
      </c>
      <c r="F1201" s="3">
        <v>6</v>
      </c>
      <c r="G1201" s="3">
        <v>180</v>
      </c>
      <c r="H1201" s="3" t="s">
        <v>2971</v>
      </c>
    </row>
    <row r="1202" spans="1:8" x14ac:dyDescent="0.35">
      <c r="A1202" t="s">
        <v>120</v>
      </c>
      <c r="B1202" s="26" t="s">
        <v>36</v>
      </c>
      <c r="C1202" s="20">
        <v>42686</v>
      </c>
      <c r="D1202" t="s">
        <v>42</v>
      </c>
      <c r="E1202" s="3">
        <v>30</v>
      </c>
      <c r="F1202" s="3">
        <v>61</v>
      </c>
      <c r="G1202" s="3">
        <v>1769</v>
      </c>
      <c r="H1202" s="3" t="s">
        <v>2975</v>
      </c>
    </row>
    <row r="1203" spans="1:8" x14ac:dyDescent="0.35">
      <c r="A1203" t="s">
        <v>148</v>
      </c>
      <c r="B1203" s="26" t="s">
        <v>14</v>
      </c>
      <c r="C1203" s="20">
        <v>42187</v>
      </c>
      <c r="D1203" t="s">
        <v>105</v>
      </c>
      <c r="E1203" s="3">
        <v>70</v>
      </c>
      <c r="F1203" s="3">
        <v>62</v>
      </c>
      <c r="G1203" s="3">
        <v>3844</v>
      </c>
      <c r="H1203" s="3" t="s">
        <v>2971</v>
      </c>
    </row>
    <row r="1204" spans="1:8" x14ac:dyDescent="0.35">
      <c r="A1204" t="s">
        <v>109</v>
      </c>
      <c r="B1204" s="26" t="s">
        <v>20</v>
      </c>
      <c r="C1204" s="20">
        <v>42188</v>
      </c>
      <c r="D1204" t="s">
        <v>73</v>
      </c>
      <c r="E1204" s="3">
        <v>500</v>
      </c>
      <c r="F1204" s="3">
        <v>39</v>
      </c>
      <c r="G1204" s="3">
        <v>19500</v>
      </c>
      <c r="H1204" s="3" t="s">
        <v>2971</v>
      </c>
    </row>
    <row r="1205" spans="1:8" x14ac:dyDescent="0.35">
      <c r="A1205" t="s">
        <v>19</v>
      </c>
      <c r="B1205" s="26" t="s">
        <v>20</v>
      </c>
      <c r="C1205" s="20">
        <v>42552</v>
      </c>
      <c r="D1205" t="s">
        <v>123</v>
      </c>
      <c r="E1205" s="3">
        <v>50</v>
      </c>
      <c r="F1205" s="3">
        <v>23</v>
      </c>
      <c r="G1205" s="3">
        <v>1035</v>
      </c>
      <c r="H1205" s="3" t="s">
        <v>2971</v>
      </c>
    </row>
    <row r="1206" spans="1:8" x14ac:dyDescent="0.35">
      <c r="A1206" t="s">
        <v>243</v>
      </c>
      <c r="B1206" s="26" t="s">
        <v>14</v>
      </c>
      <c r="C1206" s="20">
        <v>43175</v>
      </c>
      <c r="D1206" t="s">
        <v>26</v>
      </c>
      <c r="E1206" s="3">
        <v>700</v>
      </c>
      <c r="F1206" s="3">
        <v>100</v>
      </c>
      <c r="G1206" s="3">
        <v>62300</v>
      </c>
      <c r="H1206" s="3" t="s">
        <v>2968</v>
      </c>
    </row>
    <row r="1207" spans="1:8" x14ac:dyDescent="0.35">
      <c r="A1207" t="s">
        <v>72</v>
      </c>
      <c r="B1207" s="26" t="s">
        <v>36</v>
      </c>
      <c r="C1207" s="20">
        <v>42968</v>
      </c>
      <c r="D1207" t="s">
        <v>73</v>
      </c>
      <c r="E1207" s="3">
        <v>500</v>
      </c>
      <c r="F1207" s="3">
        <v>44</v>
      </c>
      <c r="G1207" s="3">
        <v>21560</v>
      </c>
      <c r="H1207" s="3" t="s">
        <v>2972</v>
      </c>
    </row>
    <row r="1208" spans="1:8" x14ac:dyDescent="0.35">
      <c r="A1208" t="s">
        <v>97</v>
      </c>
      <c r="B1208" s="26" t="s">
        <v>14</v>
      </c>
      <c r="C1208" s="20">
        <v>42900</v>
      </c>
      <c r="D1208" t="s">
        <v>123</v>
      </c>
      <c r="E1208" s="3">
        <v>50</v>
      </c>
      <c r="F1208" s="3">
        <v>85</v>
      </c>
      <c r="G1208" s="3">
        <v>1870</v>
      </c>
      <c r="H1208" s="3" t="s">
        <v>2970</v>
      </c>
    </row>
    <row r="1209" spans="1:8" x14ac:dyDescent="0.35">
      <c r="A1209" t="s">
        <v>207</v>
      </c>
      <c r="B1209" s="26" t="s">
        <v>25</v>
      </c>
      <c r="C1209" s="20">
        <v>43259</v>
      </c>
      <c r="D1209" t="s">
        <v>31</v>
      </c>
      <c r="E1209" s="3">
        <v>150</v>
      </c>
      <c r="F1209" s="3">
        <v>28</v>
      </c>
      <c r="G1209" s="3">
        <v>3612</v>
      </c>
      <c r="H1209" s="3" t="s">
        <v>2970</v>
      </c>
    </row>
    <row r="1210" spans="1:8" x14ac:dyDescent="0.35">
      <c r="A1210" t="s">
        <v>55</v>
      </c>
      <c r="B1210" s="26" t="s">
        <v>14</v>
      </c>
      <c r="C1210" s="20">
        <v>41856</v>
      </c>
      <c r="D1210" t="s">
        <v>15</v>
      </c>
      <c r="E1210" s="3">
        <v>80</v>
      </c>
      <c r="F1210" s="3">
        <v>76</v>
      </c>
      <c r="G1210" s="3">
        <v>5928</v>
      </c>
      <c r="H1210" s="3" t="s">
        <v>2972</v>
      </c>
    </row>
    <row r="1211" spans="1:8" x14ac:dyDescent="0.35">
      <c r="A1211" t="s">
        <v>129</v>
      </c>
      <c r="B1211" s="26" t="s">
        <v>14</v>
      </c>
      <c r="C1211" s="20">
        <v>41787</v>
      </c>
      <c r="D1211" t="s">
        <v>116</v>
      </c>
      <c r="E1211" s="3">
        <v>250</v>
      </c>
      <c r="F1211" s="3">
        <v>98</v>
      </c>
      <c r="G1211" s="3">
        <v>20384</v>
      </c>
      <c r="H1211" s="3" t="s">
        <v>2965</v>
      </c>
    </row>
    <row r="1212" spans="1:8" x14ac:dyDescent="0.35">
      <c r="A1212" t="s">
        <v>101</v>
      </c>
      <c r="B1212" s="26" t="s">
        <v>14</v>
      </c>
      <c r="C1212" s="20">
        <v>42147</v>
      </c>
      <c r="D1212" t="s">
        <v>123</v>
      </c>
      <c r="E1212" s="3">
        <v>50</v>
      </c>
      <c r="F1212" s="3">
        <v>27</v>
      </c>
      <c r="G1212" s="3">
        <v>999</v>
      </c>
      <c r="H1212" s="3" t="s">
        <v>2965</v>
      </c>
    </row>
    <row r="1213" spans="1:8" x14ac:dyDescent="0.35">
      <c r="A1213" t="s">
        <v>436</v>
      </c>
      <c r="B1213" s="26" t="s">
        <v>25</v>
      </c>
      <c r="C1213" s="20">
        <v>42005</v>
      </c>
      <c r="D1213" t="s">
        <v>31</v>
      </c>
      <c r="E1213" s="3">
        <v>150</v>
      </c>
      <c r="F1213" s="3">
        <v>74</v>
      </c>
      <c r="G1213" s="3">
        <v>10582</v>
      </c>
      <c r="H1213" s="3" t="s">
        <v>2966</v>
      </c>
    </row>
    <row r="1214" spans="1:8" x14ac:dyDescent="0.35">
      <c r="A1214" t="s">
        <v>19</v>
      </c>
      <c r="B1214" s="26" t="s">
        <v>20</v>
      </c>
      <c r="C1214" s="20">
        <v>42869</v>
      </c>
      <c r="D1214" t="s">
        <v>123</v>
      </c>
      <c r="E1214" s="3">
        <v>50</v>
      </c>
      <c r="F1214" s="3">
        <v>64</v>
      </c>
      <c r="G1214" s="3">
        <v>2944</v>
      </c>
      <c r="H1214" s="3" t="s">
        <v>2965</v>
      </c>
    </row>
    <row r="1215" spans="1:8" x14ac:dyDescent="0.35">
      <c r="A1215" t="s">
        <v>207</v>
      </c>
      <c r="B1215" s="26" t="s">
        <v>25</v>
      </c>
      <c r="C1215" s="20">
        <v>42301</v>
      </c>
      <c r="D1215" t="s">
        <v>42</v>
      </c>
      <c r="E1215" s="3">
        <v>30</v>
      </c>
      <c r="F1215" s="3">
        <v>39</v>
      </c>
      <c r="G1215" s="3">
        <v>1131</v>
      </c>
      <c r="H1215" s="3" t="s">
        <v>2974</v>
      </c>
    </row>
    <row r="1216" spans="1:8" x14ac:dyDescent="0.35">
      <c r="A1216" t="s">
        <v>272</v>
      </c>
      <c r="B1216" s="26" t="s">
        <v>36</v>
      </c>
      <c r="C1216" s="20">
        <v>43342</v>
      </c>
      <c r="D1216" t="s">
        <v>123</v>
      </c>
      <c r="E1216" s="3">
        <v>50</v>
      </c>
      <c r="F1216" s="3">
        <v>97</v>
      </c>
      <c r="G1216" s="3">
        <v>4268</v>
      </c>
      <c r="H1216" s="3" t="s">
        <v>2972</v>
      </c>
    </row>
    <row r="1217" spans="1:8" x14ac:dyDescent="0.35">
      <c r="A1217" t="s">
        <v>87</v>
      </c>
      <c r="B1217" s="26" t="s">
        <v>14</v>
      </c>
      <c r="C1217" s="20">
        <v>42990</v>
      </c>
      <c r="D1217" t="s">
        <v>42</v>
      </c>
      <c r="E1217" s="3">
        <v>30</v>
      </c>
      <c r="F1217" s="3">
        <v>90</v>
      </c>
      <c r="G1217" s="3">
        <v>2610</v>
      </c>
      <c r="H1217" s="3" t="s">
        <v>2973</v>
      </c>
    </row>
    <row r="1218" spans="1:8" x14ac:dyDescent="0.35">
      <c r="A1218" t="s">
        <v>148</v>
      </c>
      <c r="B1218" s="26" t="s">
        <v>14</v>
      </c>
      <c r="C1218" s="20">
        <v>41739</v>
      </c>
      <c r="D1218" t="s">
        <v>56</v>
      </c>
      <c r="E1218" s="3">
        <v>800</v>
      </c>
      <c r="F1218" s="3">
        <v>16</v>
      </c>
      <c r="G1218" s="3">
        <v>11520</v>
      </c>
      <c r="H1218" s="3" t="s">
        <v>2969</v>
      </c>
    </row>
    <row r="1219" spans="1:8" x14ac:dyDescent="0.35">
      <c r="A1219" t="s">
        <v>207</v>
      </c>
      <c r="B1219" s="26" t="s">
        <v>25</v>
      </c>
      <c r="C1219" s="20">
        <v>41769</v>
      </c>
      <c r="D1219" t="s">
        <v>47</v>
      </c>
      <c r="E1219" s="3">
        <v>500</v>
      </c>
      <c r="F1219" s="3">
        <v>73</v>
      </c>
      <c r="G1219" s="3">
        <v>31390</v>
      </c>
      <c r="H1219" s="3" t="s">
        <v>2965</v>
      </c>
    </row>
    <row r="1220" spans="1:8" x14ac:dyDescent="0.35">
      <c r="A1220" t="s">
        <v>243</v>
      </c>
      <c r="B1220" s="26" t="s">
        <v>14</v>
      </c>
      <c r="C1220" s="20">
        <v>42829</v>
      </c>
      <c r="D1220" t="s">
        <v>42</v>
      </c>
      <c r="E1220" s="3">
        <v>30</v>
      </c>
      <c r="F1220" s="3">
        <v>36</v>
      </c>
      <c r="G1220" s="3">
        <v>1044</v>
      </c>
      <c r="H1220" s="3" t="s">
        <v>2969</v>
      </c>
    </row>
    <row r="1221" spans="1:8" x14ac:dyDescent="0.35">
      <c r="A1221" t="s">
        <v>172</v>
      </c>
      <c r="B1221" s="26" t="s">
        <v>14</v>
      </c>
      <c r="C1221" s="20">
        <v>41665</v>
      </c>
      <c r="D1221" t="s">
        <v>105</v>
      </c>
      <c r="E1221" s="3">
        <v>70</v>
      </c>
      <c r="F1221" s="3">
        <v>91</v>
      </c>
      <c r="G1221" s="3">
        <v>4823</v>
      </c>
      <c r="H1221" s="3" t="s">
        <v>2966</v>
      </c>
    </row>
    <row r="1222" spans="1:8" x14ac:dyDescent="0.35">
      <c r="A1222" t="s">
        <v>109</v>
      </c>
      <c r="B1222" s="26" t="s">
        <v>20</v>
      </c>
      <c r="C1222" s="20">
        <v>41916</v>
      </c>
      <c r="D1222" t="s">
        <v>123</v>
      </c>
      <c r="E1222" s="3">
        <v>50</v>
      </c>
      <c r="F1222" s="3">
        <v>20</v>
      </c>
      <c r="G1222" s="3">
        <v>820</v>
      </c>
      <c r="H1222" s="3" t="s">
        <v>2974</v>
      </c>
    </row>
    <row r="1223" spans="1:8" x14ac:dyDescent="0.35">
      <c r="A1223" t="s">
        <v>109</v>
      </c>
      <c r="B1223" s="26" t="s">
        <v>20</v>
      </c>
      <c r="C1223" s="20">
        <v>42671</v>
      </c>
      <c r="D1223" t="s">
        <v>56</v>
      </c>
      <c r="E1223" s="3">
        <v>800</v>
      </c>
      <c r="F1223" s="3">
        <v>9</v>
      </c>
      <c r="G1223" s="3">
        <v>5400</v>
      </c>
      <c r="H1223" s="3" t="s">
        <v>2974</v>
      </c>
    </row>
    <row r="1224" spans="1:8" x14ac:dyDescent="0.35">
      <c r="A1224" t="s">
        <v>61</v>
      </c>
      <c r="B1224" s="26" t="s">
        <v>14</v>
      </c>
      <c r="C1224" s="20">
        <v>42622</v>
      </c>
      <c r="D1224" t="s">
        <v>31</v>
      </c>
      <c r="E1224" s="3">
        <v>150</v>
      </c>
      <c r="F1224" s="3">
        <v>87</v>
      </c>
      <c r="G1224" s="3">
        <v>12441</v>
      </c>
      <c r="H1224" s="3" t="s">
        <v>2973</v>
      </c>
    </row>
    <row r="1225" spans="1:8" x14ac:dyDescent="0.35">
      <c r="A1225" t="s">
        <v>93</v>
      </c>
      <c r="B1225" s="26" t="s">
        <v>36</v>
      </c>
      <c r="C1225" s="20">
        <v>42941</v>
      </c>
      <c r="D1225" t="s">
        <v>47</v>
      </c>
      <c r="E1225" s="3">
        <v>500</v>
      </c>
      <c r="F1225" s="3">
        <v>46</v>
      </c>
      <c r="G1225" s="3">
        <v>22080</v>
      </c>
      <c r="H1225" s="3" t="s">
        <v>2971</v>
      </c>
    </row>
    <row r="1226" spans="1:8" x14ac:dyDescent="0.35">
      <c r="A1226" t="s">
        <v>55</v>
      </c>
      <c r="B1226" s="26" t="s">
        <v>14</v>
      </c>
      <c r="C1226" s="20">
        <v>43234</v>
      </c>
      <c r="D1226" t="s">
        <v>73</v>
      </c>
      <c r="E1226" s="3">
        <v>500</v>
      </c>
      <c r="F1226" s="3">
        <v>49</v>
      </c>
      <c r="G1226" s="3">
        <v>24255</v>
      </c>
      <c r="H1226" s="3" t="s">
        <v>2965</v>
      </c>
    </row>
    <row r="1227" spans="1:8" x14ac:dyDescent="0.35">
      <c r="A1227" t="s">
        <v>326</v>
      </c>
      <c r="B1227" s="26" t="s">
        <v>14</v>
      </c>
      <c r="C1227" s="20">
        <v>41817</v>
      </c>
      <c r="D1227" t="s">
        <v>31</v>
      </c>
      <c r="E1227" s="3">
        <v>150</v>
      </c>
      <c r="F1227" s="3">
        <v>64</v>
      </c>
      <c r="G1227" s="3">
        <v>9408</v>
      </c>
      <c r="H1227" s="3" t="s">
        <v>2970</v>
      </c>
    </row>
    <row r="1228" spans="1:8" x14ac:dyDescent="0.35">
      <c r="A1228" t="s">
        <v>129</v>
      </c>
      <c r="B1228" s="26" t="s">
        <v>14</v>
      </c>
      <c r="C1228" s="20">
        <v>42715</v>
      </c>
      <c r="D1228" t="s">
        <v>123</v>
      </c>
      <c r="E1228" s="3">
        <v>50</v>
      </c>
      <c r="F1228" s="3">
        <v>78</v>
      </c>
      <c r="G1228" s="3">
        <v>3822</v>
      </c>
      <c r="H1228" s="3" t="s">
        <v>2976</v>
      </c>
    </row>
    <row r="1229" spans="1:8" x14ac:dyDescent="0.35">
      <c r="A1229" t="s">
        <v>172</v>
      </c>
      <c r="B1229" s="26" t="s">
        <v>14</v>
      </c>
      <c r="C1229" s="20">
        <v>42656</v>
      </c>
      <c r="D1229" t="s">
        <v>15</v>
      </c>
      <c r="E1229" s="3">
        <v>80</v>
      </c>
      <c r="F1229" s="3">
        <v>17</v>
      </c>
      <c r="G1229" s="3">
        <v>1173</v>
      </c>
      <c r="H1229" s="3" t="s">
        <v>2974</v>
      </c>
    </row>
    <row r="1230" spans="1:8" x14ac:dyDescent="0.35">
      <c r="A1230" t="s">
        <v>87</v>
      </c>
      <c r="B1230" s="26" t="s">
        <v>14</v>
      </c>
      <c r="C1230" s="20">
        <v>42428</v>
      </c>
      <c r="D1230" t="s">
        <v>42</v>
      </c>
      <c r="E1230" s="3">
        <v>30</v>
      </c>
      <c r="F1230" s="3">
        <v>2</v>
      </c>
      <c r="G1230" s="3">
        <v>52</v>
      </c>
      <c r="H1230" s="3" t="s">
        <v>2967</v>
      </c>
    </row>
    <row r="1231" spans="1:8" x14ac:dyDescent="0.35">
      <c r="A1231" t="s">
        <v>148</v>
      </c>
      <c r="B1231" s="26" t="s">
        <v>14</v>
      </c>
      <c r="C1231" s="20">
        <v>42393</v>
      </c>
      <c r="D1231" t="s">
        <v>56</v>
      </c>
      <c r="E1231" s="3">
        <v>800</v>
      </c>
      <c r="F1231" s="3">
        <v>39</v>
      </c>
      <c r="G1231" s="3">
        <v>23088</v>
      </c>
      <c r="H1231" s="3" t="s">
        <v>2966</v>
      </c>
    </row>
    <row r="1232" spans="1:8" x14ac:dyDescent="0.35">
      <c r="A1232" t="s">
        <v>41</v>
      </c>
      <c r="B1232" s="26" t="s">
        <v>36</v>
      </c>
      <c r="C1232" s="20">
        <v>41760</v>
      </c>
      <c r="D1232" t="s">
        <v>26</v>
      </c>
      <c r="E1232" s="3">
        <v>700</v>
      </c>
      <c r="F1232" s="3">
        <v>30</v>
      </c>
      <c r="G1232" s="3">
        <v>16800</v>
      </c>
      <c r="H1232" s="3" t="s">
        <v>2965</v>
      </c>
    </row>
    <row r="1233" spans="1:8" x14ac:dyDescent="0.35">
      <c r="A1233" t="s">
        <v>207</v>
      </c>
      <c r="B1233" s="26" t="s">
        <v>25</v>
      </c>
      <c r="C1233" s="20">
        <v>43368</v>
      </c>
      <c r="D1233" t="s">
        <v>123</v>
      </c>
      <c r="E1233" s="3">
        <v>50</v>
      </c>
      <c r="F1233" s="3">
        <v>39</v>
      </c>
      <c r="G1233" s="3">
        <v>1755</v>
      </c>
      <c r="H1233" s="3" t="s">
        <v>2973</v>
      </c>
    </row>
    <row r="1234" spans="1:8" x14ac:dyDescent="0.35">
      <c r="A1234" t="s">
        <v>79</v>
      </c>
      <c r="B1234" s="26" t="s">
        <v>36</v>
      </c>
      <c r="C1234" s="20">
        <v>42067</v>
      </c>
      <c r="D1234" t="s">
        <v>105</v>
      </c>
      <c r="E1234" s="3">
        <v>70</v>
      </c>
      <c r="F1234" s="3">
        <v>73</v>
      </c>
      <c r="G1234" s="3">
        <v>4891</v>
      </c>
      <c r="H1234" s="3" t="s">
        <v>2968</v>
      </c>
    </row>
    <row r="1235" spans="1:8" x14ac:dyDescent="0.35">
      <c r="A1235" t="s">
        <v>93</v>
      </c>
      <c r="B1235" s="26" t="s">
        <v>36</v>
      </c>
      <c r="C1235" s="20">
        <v>42620</v>
      </c>
      <c r="D1235" t="s">
        <v>116</v>
      </c>
      <c r="E1235" s="3">
        <v>250</v>
      </c>
      <c r="F1235" s="3">
        <v>48</v>
      </c>
      <c r="G1235" s="3">
        <v>11520</v>
      </c>
      <c r="H1235" s="3" t="s">
        <v>2973</v>
      </c>
    </row>
    <row r="1236" spans="1:8" x14ac:dyDescent="0.35">
      <c r="A1236" t="s">
        <v>46</v>
      </c>
      <c r="B1236" s="26" t="s">
        <v>25</v>
      </c>
      <c r="C1236" s="20">
        <v>42642</v>
      </c>
      <c r="D1236" t="s">
        <v>37</v>
      </c>
      <c r="E1236" s="3">
        <v>50</v>
      </c>
      <c r="F1236" s="3">
        <v>71</v>
      </c>
      <c r="G1236" s="3">
        <v>3266</v>
      </c>
      <c r="H1236" s="3" t="s">
        <v>2973</v>
      </c>
    </row>
    <row r="1237" spans="1:8" x14ac:dyDescent="0.35">
      <c r="A1237" t="s">
        <v>152</v>
      </c>
      <c r="B1237" s="26" t="s">
        <v>14</v>
      </c>
      <c r="C1237" s="20">
        <v>43436</v>
      </c>
      <c r="D1237" t="s">
        <v>116</v>
      </c>
      <c r="E1237" s="3">
        <v>250</v>
      </c>
      <c r="F1237" s="3">
        <v>38</v>
      </c>
      <c r="G1237" s="3">
        <v>9120</v>
      </c>
      <c r="H1237" s="3" t="s">
        <v>2976</v>
      </c>
    </row>
    <row r="1238" spans="1:8" x14ac:dyDescent="0.35">
      <c r="A1238" t="s">
        <v>207</v>
      </c>
      <c r="B1238" s="26" t="s">
        <v>25</v>
      </c>
      <c r="C1238" s="20">
        <v>42005</v>
      </c>
      <c r="D1238" t="s">
        <v>116</v>
      </c>
      <c r="E1238" s="3">
        <v>250</v>
      </c>
      <c r="F1238" s="3">
        <v>10</v>
      </c>
      <c r="G1238" s="3">
        <v>2200</v>
      </c>
      <c r="H1238" s="3" t="s">
        <v>2966</v>
      </c>
    </row>
    <row r="1239" spans="1:8" x14ac:dyDescent="0.35">
      <c r="A1239" t="s">
        <v>83</v>
      </c>
      <c r="B1239" s="26" t="s">
        <v>14</v>
      </c>
      <c r="C1239" s="20">
        <v>42265</v>
      </c>
      <c r="D1239" t="s">
        <v>37</v>
      </c>
      <c r="E1239" s="3">
        <v>50</v>
      </c>
      <c r="F1239" s="3">
        <v>35</v>
      </c>
      <c r="G1239" s="3">
        <v>1190</v>
      </c>
      <c r="H1239" s="3" t="s">
        <v>2973</v>
      </c>
    </row>
    <row r="1240" spans="1:8" x14ac:dyDescent="0.35">
      <c r="A1240" t="s">
        <v>24</v>
      </c>
      <c r="B1240" s="26" t="s">
        <v>25</v>
      </c>
      <c r="C1240" s="20">
        <v>43082</v>
      </c>
      <c r="D1240" t="s">
        <v>73</v>
      </c>
      <c r="E1240" s="3">
        <v>500</v>
      </c>
      <c r="F1240" s="3">
        <v>92</v>
      </c>
      <c r="G1240" s="3">
        <v>45080</v>
      </c>
      <c r="H1240" s="3" t="s">
        <v>2976</v>
      </c>
    </row>
    <row r="1241" spans="1:8" x14ac:dyDescent="0.35">
      <c r="A1241" t="s">
        <v>72</v>
      </c>
      <c r="B1241" s="26" t="s">
        <v>36</v>
      </c>
      <c r="C1241" s="20">
        <v>43070</v>
      </c>
      <c r="D1241" t="s">
        <v>56</v>
      </c>
      <c r="E1241" s="3">
        <v>800</v>
      </c>
      <c r="F1241" s="3">
        <v>100</v>
      </c>
      <c r="G1241" s="3">
        <v>60800</v>
      </c>
      <c r="H1241" s="3" t="s">
        <v>2976</v>
      </c>
    </row>
    <row r="1242" spans="1:8" x14ac:dyDescent="0.35">
      <c r="A1242" t="s">
        <v>109</v>
      </c>
      <c r="B1242" s="26" t="s">
        <v>20</v>
      </c>
      <c r="C1242" s="20">
        <v>43397</v>
      </c>
      <c r="D1242" t="s">
        <v>42</v>
      </c>
      <c r="E1242" s="3">
        <v>30</v>
      </c>
      <c r="F1242" s="3">
        <v>89</v>
      </c>
      <c r="G1242" s="3">
        <v>2581</v>
      </c>
      <c r="H1242" s="3" t="s">
        <v>2974</v>
      </c>
    </row>
    <row r="1243" spans="1:8" x14ac:dyDescent="0.35">
      <c r="A1243" t="s">
        <v>19</v>
      </c>
      <c r="B1243" s="26" t="s">
        <v>20</v>
      </c>
      <c r="C1243" s="20">
        <v>43094</v>
      </c>
      <c r="D1243" t="s">
        <v>116</v>
      </c>
      <c r="E1243" s="3">
        <v>250</v>
      </c>
      <c r="F1243" s="3">
        <v>53</v>
      </c>
      <c r="G1243" s="3">
        <v>12455</v>
      </c>
      <c r="H1243" s="3" t="s">
        <v>2976</v>
      </c>
    </row>
    <row r="1244" spans="1:8" x14ac:dyDescent="0.35">
      <c r="A1244" t="s">
        <v>176</v>
      </c>
      <c r="B1244" s="26" t="s">
        <v>14</v>
      </c>
      <c r="C1244" s="20">
        <v>42897</v>
      </c>
      <c r="D1244" t="s">
        <v>47</v>
      </c>
      <c r="E1244" s="3">
        <v>500</v>
      </c>
      <c r="F1244" s="3">
        <v>43</v>
      </c>
      <c r="G1244" s="3">
        <v>19995</v>
      </c>
      <c r="H1244" s="3" t="s">
        <v>2970</v>
      </c>
    </row>
    <row r="1245" spans="1:8" x14ac:dyDescent="0.35">
      <c r="A1245" t="s">
        <v>229</v>
      </c>
      <c r="B1245" s="26" t="s">
        <v>25</v>
      </c>
      <c r="C1245" s="20">
        <v>42652</v>
      </c>
      <c r="D1245" t="s">
        <v>31</v>
      </c>
      <c r="E1245" s="3">
        <v>150</v>
      </c>
      <c r="F1245" s="3">
        <v>49</v>
      </c>
      <c r="G1245" s="3">
        <v>6860</v>
      </c>
      <c r="H1245" s="3" t="s">
        <v>2974</v>
      </c>
    </row>
    <row r="1246" spans="1:8" x14ac:dyDescent="0.35">
      <c r="A1246" t="s">
        <v>229</v>
      </c>
      <c r="B1246" s="26" t="s">
        <v>25</v>
      </c>
      <c r="C1246" s="20">
        <v>43014</v>
      </c>
      <c r="D1246" t="s">
        <v>26</v>
      </c>
      <c r="E1246" s="3">
        <v>700</v>
      </c>
      <c r="F1246" s="3">
        <v>30</v>
      </c>
      <c r="G1246" s="3">
        <v>19740</v>
      </c>
      <c r="H1246" s="3" t="s">
        <v>2974</v>
      </c>
    </row>
    <row r="1247" spans="1:8" x14ac:dyDescent="0.35">
      <c r="A1247" t="s">
        <v>24</v>
      </c>
      <c r="B1247" s="26" t="s">
        <v>25</v>
      </c>
      <c r="C1247" s="20">
        <v>41791</v>
      </c>
      <c r="D1247" t="s">
        <v>62</v>
      </c>
      <c r="E1247" s="3">
        <v>1000</v>
      </c>
      <c r="F1247" s="3">
        <v>50</v>
      </c>
      <c r="G1247" s="3">
        <v>30000</v>
      </c>
      <c r="H1247" s="3" t="s">
        <v>2970</v>
      </c>
    </row>
    <row r="1248" spans="1:8" x14ac:dyDescent="0.35">
      <c r="A1248" t="s">
        <v>51</v>
      </c>
      <c r="B1248" s="26" t="s">
        <v>25</v>
      </c>
      <c r="C1248" s="20">
        <v>41872</v>
      </c>
      <c r="D1248" t="s">
        <v>123</v>
      </c>
      <c r="E1248" s="3">
        <v>50</v>
      </c>
      <c r="F1248" s="3">
        <v>21</v>
      </c>
      <c r="G1248" s="3">
        <v>924</v>
      </c>
      <c r="H1248" s="3" t="s">
        <v>2972</v>
      </c>
    </row>
    <row r="1249" spans="1:8" x14ac:dyDescent="0.35">
      <c r="A1249" t="s">
        <v>109</v>
      </c>
      <c r="B1249" s="26" t="s">
        <v>20</v>
      </c>
      <c r="C1249" s="20">
        <v>42511</v>
      </c>
      <c r="D1249" t="s">
        <v>56</v>
      </c>
      <c r="E1249" s="3">
        <v>800</v>
      </c>
      <c r="F1249" s="3">
        <v>1</v>
      </c>
      <c r="G1249" s="3">
        <v>544</v>
      </c>
      <c r="H1249" s="3" t="s">
        <v>2965</v>
      </c>
    </row>
    <row r="1250" spans="1:8" x14ac:dyDescent="0.35">
      <c r="A1250" t="s">
        <v>109</v>
      </c>
      <c r="B1250" s="26" t="s">
        <v>20</v>
      </c>
      <c r="C1250" s="20">
        <v>43067</v>
      </c>
      <c r="D1250" t="s">
        <v>105</v>
      </c>
      <c r="E1250" s="3">
        <v>70</v>
      </c>
      <c r="F1250" s="3">
        <v>90</v>
      </c>
      <c r="G1250" s="3">
        <v>6120</v>
      </c>
      <c r="H1250" s="3" t="s">
        <v>2975</v>
      </c>
    </row>
    <row r="1251" spans="1:8" x14ac:dyDescent="0.35">
      <c r="A1251" t="s">
        <v>120</v>
      </c>
      <c r="B1251" s="26" t="s">
        <v>36</v>
      </c>
      <c r="C1251" s="20">
        <v>42193</v>
      </c>
      <c r="D1251" t="s">
        <v>37</v>
      </c>
      <c r="E1251" s="3">
        <v>50</v>
      </c>
      <c r="F1251" s="3">
        <v>60</v>
      </c>
      <c r="G1251" s="3">
        <v>3000</v>
      </c>
      <c r="H1251" s="3" t="s">
        <v>2971</v>
      </c>
    </row>
    <row r="1252" spans="1:8" x14ac:dyDescent="0.35">
      <c r="A1252" t="s">
        <v>257</v>
      </c>
      <c r="B1252" s="26" t="s">
        <v>14</v>
      </c>
      <c r="C1252" s="20">
        <v>43161</v>
      </c>
      <c r="D1252" t="s">
        <v>31</v>
      </c>
      <c r="E1252" s="3">
        <v>150</v>
      </c>
      <c r="F1252" s="3">
        <v>93</v>
      </c>
      <c r="G1252" s="3">
        <v>12555</v>
      </c>
      <c r="H1252" s="3" t="s">
        <v>2968</v>
      </c>
    </row>
    <row r="1253" spans="1:8" x14ac:dyDescent="0.35">
      <c r="A1253" t="s">
        <v>55</v>
      </c>
      <c r="B1253" s="26" t="s">
        <v>14</v>
      </c>
      <c r="C1253" s="20">
        <v>43123</v>
      </c>
      <c r="D1253" t="s">
        <v>123</v>
      </c>
      <c r="E1253" s="3">
        <v>50</v>
      </c>
      <c r="F1253" s="3">
        <v>72</v>
      </c>
      <c r="G1253" s="3">
        <v>3600</v>
      </c>
      <c r="H1253" s="3" t="s">
        <v>2966</v>
      </c>
    </row>
    <row r="1254" spans="1:8" x14ac:dyDescent="0.35">
      <c r="A1254" t="s">
        <v>72</v>
      </c>
      <c r="B1254" s="26" t="s">
        <v>36</v>
      </c>
      <c r="C1254" s="20">
        <v>42347</v>
      </c>
      <c r="D1254" t="s">
        <v>37</v>
      </c>
      <c r="E1254" s="3">
        <v>50</v>
      </c>
      <c r="F1254" s="3">
        <v>24</v>
      </c>
      <c r="G1254" s="3">
        <v>792</v>
      </c>
      <c r="H1254" s="3" t="s">
        <v>2976</v>
      </c>
    </row>
    <row r="1255" spans="1:8" x14ac:dyDescent="0.35">
      <c r="A1255" t="s">
        <v>272</v>
      </c>
      <c r="B1255" s="26" t="s">
        <v>36</v>
      </c>
      <c r="C1255" s="20">
        <v>43008</v>
      </c>
      <c r="D1255" t="s">
        <v>37</v>
      </c>
      <c r="E1255" s="3">
        <v>50</v>
      </c>
      <c r="F1255" s="3">
        <v>62</v>
      </c>
      <c r="G1255" s="3">
        <v>2852</v>
      </c>
      <c r="H1255" s="3" t="s">
        <v>2973</v>
      </c>
    </row>
    <row r="1256" spans="1:8" x14ac:dyDescent="0.35">
      <c r="A1256" t="s">
        <v>97</v>
      </c>
      <c r="B1256" s="26" t="s">
        <v>14</v>
      </c>
      <c r="C1256" s="20">
        <v>41967</v>
      </c>
      <c r="D1256" t="s">
        <v>47</v>
      </c>
      <c r="E1256" s="3">
        <v>500</v>
      </c>
      <c r="F1256" s="3">
        <v>38</v>
      </c>
      <c r="G1256" s="3">
        <v>14060</v>
      </c>
      <c r="H1256" s="3" t="s">
        <v>2975</v>
      </c>
    </row>
    <row r="1257" spans="1:8" x14ac:dyDescent="0.35">
      <c r="A1257" t="s">
        <v>272</v>
      </c>
      <c r="B1257" s="26" t="s">
        <v>36</v>
      </c>
      <c r="C1257" s="20">
        <v>42066</v>
      </c>
      <c r="D1257" t="s">
        <v>26</v>
      </c>
      <c r="E1257" s="3">
        <v>700</v>
      </c>
      <c r="F1257" s="3">
        <v>58</v>
      </c>
      <c r="G1257" s="3">
        <v>25984</v>
      </c>
      <c r="H1257" s="3" t="s">
        <v>2968</v>
      </c>
    </row>
    <row r="1258" spans="1:8" x14ac:dyDescent="0.35">
      <c r="A1258" t="s">
        <v>72</v>
      </c>
      <c r="B1258" s="26" t="s">
        <v>36</v>
      </c>
      <c r="C1258" s="20">
        <v>43096</v>
      </c>
      <c r="D1258" t="s">
        <v>37</v>
      </c>
      <c r="E1258" s="3">
        <v>50</v>
      </c>
      <c r="F1258" s="3">
        <v>91</v>
      </c>
      <c r="G1258" s="3">
        <v>4368</v>
      </c>
      <c r="H1258" s="3" t="s">
        <v>2976</v>
      </c>
    </row>
    <row r="1259" spans="1:8" x14ac:dyDescent="0.35">
      <c r="A1259" t="s">
        <v>207</v>
      </c>
      <c r="B1259" s="26" t="s">
        <v>25</v>
      </c>
      <c r="C1259" s="20">
        <v>43178</v>
      </c>
      <c r="D1259" t="s">
        <v>73</v>
      </c>
      <c r="E1259" s="3">
        <v>500</v>
      </c>
      <c r="F1259" s="3">
        <v>75</v>
      </c>
      <c r="G1259" s="3">
        <v>36750</v>
      </c>
      <c r="H1259" s="3" t="s">
        <v>2968</v>
      </c>
    </row>
    <row r="1260" spans="1:8" x14ac:dyDescent="0.35">
      <c r="A1260" t="s">
        <v>13</v>
      </c>
      <c r="B1260" s="26" t="s">
        <v>14</v>
      </c>
      <c r="C1260" s="20">
        <v>42885</v>
      </c>
      <c r="D1260" t="s">
        <v>123</v>
      </c>
      <c r="E1260" s="3">
        <v>50</v>
      </c>
      <c r="F1260" s="3">
        <v>79</v>
      </c>
      <c r="G1260" s="3">
        <v>3871</v>
      </c>
      <c r="H1260" s="3" t="s">
        <v>2965</v>
      </c>
    </row>
    <row r="1261" spans="1:8" x14ac:dyDescent="0.35">
      <c r="A1261" t="s">
        <v>120</v>
      </c>
      <c r="B1261" s="26" t="s">
        <v>36</v>
      </c>
      <c r="C1261" s="20">
        <v>43037</v>
      </c>
      <c r="D1261" t="s">
        <v>56</v>
      </c>
      <c r="E1261" s="3">
        <v>800</v>
      </c>
      <c r="F1261" s="3">
        <v>47</v>
      </c>
      <c r="G1261" s="3">
        <v>28952</v>
      </c>
      <c r="H1261" s="3" t="s">
        <v>2974</v>
      </c>
    </row>
    <row r="1262" spans="1:8" x14ac:dyDescent="0.35">
      <c r="A1262" t="s">
        <v>46</v>
      </c>
      <c r="B1262" s="26" t="s">
        <v>25</v>
      </c>
      <c r="C1262" s="20">
        <v>43114</v>
      </c>
      <c r="D1262" t="s">
        <v>37</v>
      </c>
      <c r="E1262" s="3">
        <v>50</v>
      </c>
      <c r="F1262" s="3">
        <v>1</v>
      </c>
      <c r="G1262" s="3">
        <v>46</v>
      </c>
      <c r="H1262" s="3" t="s">
        <v>2966</v>
      </c>
    </row>
    <row r="1263" spans="1:8" x14ac:dyDescent="0.35">
      <c r="A1263" t="s">
        <v>109</v>
      </c>
      <c r="B1263" s="26" t="s">
        <v>20</v>
      </c>
      <c r="C1263" s="20">
        <v>42317</v>
      </c>
      <c r="D1263" t="s">
        <v>15</v>
      </c>
      <c r="E1263" s="3">
        <v>80</v>
      </c>
      <c r="F1263" s="3">
        <v>4</v>
      </c>
      <c r="G1263" s="3">
        <v>280</v>
      </c>
      <c r="H1263" s="3" t="s">
        <v>2975</v>
      </c>
    </row>
    <row r="1264" spans="1:8" x14ac:dyDescent="0.35">
      <c r="A1264" t="s">
        <v>87</v>
      </c>
      <c r="B1264" s="26" t="s">
        <v>14</v>
      </c>
      <c r="C1264" s="20">
        <v>42687</v>
      </c>
      <c r="D1264" t="s">
        <v>47</v>
      </c>
      <c r="E1264" s="3">
        <v>500</v>
      </c>
      <c r="F1264" s="3">
        <v>73</v>
      </c>
      <c r="G1264" s="3">
        <v>35770</v>
      </c>
      <c r="H1264" s="3" t="s">
        <v>2975</v>
      </c>
    </row>
    <row r="1265" spans="1:8" x14ac:dyDescent="0.35">
      <c r="A1265" t="s">
        <v>87</v>
      </c>
      <c r="B1265" s="26" t="s">
        <v>14</v>
      </c>
      <c r="C1265" s="20">
        <v>41891</v>
      </c>
      <c r="D1265" t="s">
        <v>116</v>
      </c>
      <c r="E1265" s="3">
        <v>250</v>
      </c>
      <c r="F1265" s="3">
        <v>69</v>
      </c>
      <c r="G1265" s="3">
        <v>13110</v>
      </c>
      <c r="H1265" s="3" t="s">
        <v>2973</v>
      </c>
    </row>
    <row r="1266" spans="1:8" x14ac:dyDescent="0.35">
      <c r="A1266" t="s">
        <v>101</v>
      </c>
      <c r="B1266" s="26" t="s">
        <v>14</v>
      </c>
      <c r="C1266" s="20">
        <v>43398</v>
      </c>
      <c r="D1266" t="s">
        <v>15</v>
      </c>
      <c r="E1266" s="3">
        <v>80</v>
      </c>
      <c r="F1266" s="3">
        <v>40</v>
      </c>
      <c r="G1266" s="3">
        <v>2720</v>
      </c>
      <c r="H1266" s="3" t="s">
        <v>2974</v>
      </c>
    </row>
    <row r="1267" spans="1:8" x14ac:dyDescent="0.35">
      <c r="A1267" t="s">
        <v>272</v>
      </c>
      <c r="B1267" s="26" t="s">
        <v>36</v>
      </c>
      <c r="C1267" s="20">
        <v>42564</v>
      </c>
      <c r="D1267" t="s">
        <v>37</v>
      </c>
      <c r="E1267" s="3">
        <v>50</v>
      </c>
      <c r="F1267" s="3">
        <v>56</v>
      </c>
      <c r="G1267" s="3">
        <v>2576</v>
      </c>
      <c r="H1267" s="3" t="s">
        <v>2971</v>
      </c>
    </row>
    <row r="1268" spans="1:8" x14ac:dyDescent="0.35">
      <c r="A1268" t="s">
        <v>257</v>
      </c>
      <c r="B1268" s="26" t="s">
        <v>14</v>
      </c>
      <c r="C1268" s="20">
        <v>41667</v>
      </c>
      <c r="D1268" t="s">
        <v>26</v>
      </c>
      <c r="E1268" s="3">
        <v>700</v>
      </c>
      <c r="F1268" s="3">
        <v>88</v>
      </c>
      <c r="G1268" s="3">
        <v>50512</v>
      </c>
      <c r="H1268" s="3" t="s">
        <v>2966</v>
      </c>
    </row>
    <row r="1269" spans="1:8" x14ac:dyDescent="0.35">
      <c r="A1269" t="s">
        <v>272</v>
      </c>
      <c r="B1269" s="26" t="s">
        <v>36</v>
      </c>
      <c r="C1269" s="20">
        <v>42839</v>
      </c>
      <c r="D1269" t="s">
        <v>15</v>
      </c>
      <c r="E1269" s="3">
        <v>80</v>
      </c>
      <c r="F1269" s="3">
        <v>85</v>
      </c>
      <c r="G1269" s="3">
        <v>6290</v>
      </c>
      <c r="H1269" s="3" t="s">
        <v>2969</v>
      </c>
    </row>
    <row r="1270" spans="1:8" x14ac:dyDescent="0.35">
      <c r="A1270" t="s">
        <v>51</v>
      </c>
      <c r="B1270" s="26" t="s">
        <v>25</v>
      </c>
      <c r="C1270" s="20">
        <v>43112</v>
      </c>
      <c r="D1270" t="s">
        <v>123</v>
      </c>
      <c r="E1270" s="3">
        <v>50</v>
      </c>
      <c r="F1270" s="3">
        <v>16</v>
      </c>
      <c r="G1270" s="3">
        <v>704</v>
      </c>
      <c r="H1270" s="3" t="s">
        <v>2966</v>
      </c>
    </row>
    <row r="1271" spans="1:8" x14ac:dyDescent="0.35">
      <c r="A1271" t="s">
        <v>120</v>
      </c>
      <c r="B1271" s="26" t="s">
        <v>36</v>
      </c>
      <c r="C1271" s="20">
        <v>42950</v>
      </c>
      <c r="D1271" t="s">
        <v>42</v>
      </c>
      <c r="E1271" s="3">
        <v>30</v>
      </c>
      <c r="F1271" s="3">
        <v>92</v>
      </c>
      <c r="G1271" s="3">
        <v>2760</v>
      </c>
      <c r="H1271" s="3" t="s">
        <v>2972</v>
      </c>
    </row>
    <row r="1272" spans="1:8" x14ac:dyDescent="0.35">
      <c r="A1272" t="s">
        <v>97</v>
      </c>
      <c r="B1272" s="26" t="s">
        <v>14</v>
      </c>
      <c r="C1272" s="20">
        <v>42934</v>
      </c>
      <c r="D1272" t="s">
        <v>73</v>
      </c>
      <c r="E1272" s="3">
        <v>500</v>
      </c>
      <c r="F1272" s="3">
        <v>98</v>
      </c>
      <c r="G1272" s="3">
        <v>49000</v>
      </c>
      <c r="H1272" s="3" t="s">
        <v>2971</v>
      </c>
    </row>
    <row r="1273" spans="1:8" x14ac:dyDescent="0.35">
      <c r="A1273" t="s">
        <v>109</v>
      </c>
      <c r="B1273" s="26" t="s">
        <v>20</v>
      </c>
      <c r="C1273" s="20">
        <v>41723</v>
      </c>
      <c r="D1273" t="s">
        <v>37</v>
      </c>
      <c r="E1273" s="3">
        <v>50</v>
      </c>
      <c r="F1273" s="3">
        <v>88</v>
      </c>
      <c r="G1273" s="3">
        <v>4136</v>
      </c>
      <c r="H1273" s="3" t="s">
        <v>2968</v>
      </c>
    </row>
    <row r="1274" spans="1:8" x14ac:dyDescent="0.35">
      <c r="A1274" t="s">
        <v>83</v>
      </c>
      <c r="B1274" s="26" t="s">
        <v>14</v>
      </c>
      <c r="C1274" s="20">
        <v>42853</v>
      </c>
      <c r="D1274" t="s">
        <v>37</v>
      </c>
      <c r="E1274" s="3">
        <v>50</v>
      </c>
      <c r="F1274" s="3">
        <v>14</v>
      </c>
      <c r="G1274" s="3">
        <v>644</v>
      </c>
      <c r="H1274" s="3" t="s">
        <v>2969</v>
      </c>
    </row>
    <row r="1275" spans="1:8" x14ac:dyDescent="0.35">
      <c r="A1275" t="s">
        <v>109</v>
      </c>
      <c r="B1275" s="26" t="s">
        <v>20</v>
      </c>
      <c r="C1275" s="20">
        <v>42662</v>
      </c>
      <c r="D1275" t="s">
        <v>37</v>
      </c>
      <c r="E1275" s="3">
        <v>50</v>
      </c>
      <c r="F1275" s="3">
        <v>58</v>
      </c>
      <c r="G1275" s="3">
        <v>2552</v>
      </c>
      <c r="H1275" s="3" t="s">
        <v>2974</v>
      </c>
    </row>
    <row r="1276" spans="1:8" x14ac:dyDescent="0.35">
      <c r="A1276" t="s">
        <v>24</v>
      </c>
      <c r="B1276" s="26" t="s">
        <v>25</v>
      </c>
      <c r="C1276" s="20">
        <v>41884</v>
      </c>
      <c r="D1276" t="s">
        <v>47</v>
      </c>
      <c r="E1276" s="3">
        <v>500</v>
      </c>
      <c r="F1276" s="3">
        <v>97</v>
      </c>
      <c r="G1276" s="3">
        <v>34435</v>
      </c>
      <c r="H1276" s="3" t="s">
        <v>2973</v>
      </c>
    </row>
    <row r="1277" spans="1:8" x14ac:dyDescent="0.35">
      <c r="A1277" t="s">
        <v>109</v>
      </c>
      <c r="B1277" s="26" t="s">
        <v>20</v>
      </c>
      <c r="C1277" s="20">
        <v>43124</v>
      </c>
      <c r="D1277" t="s">
        <v>47</v>
      </c>
      <c r="E1277" s="3">
        <v>500</v>
      </c>
      <c r="F1277" s="3">
        <v>54</v>
      </c>
      <c r="G1277" s="3">
        <v>26730</v>
      </c>
      <c r="H1277" s="3" t="s">
        <v>2966</v>
      </c>
    </row>
    <row r="1278" spans="1:8" x14ac:dyDescent="0.35">
      <c r="A1278" t="s">
        <v>229</v>
      </c>
      <c r="B1278" s="26" t="s">
        <v>25</v>
      </c>
      <c r="C1278" s="20">
        <v>42303</v>
      </c>
      <c r="D1278" t="s">
        <v>15</v>
      </c>
      <c r="E1278" s="3">
        <v>80</v>
      </c>
      <c r="F1278" s="3">
        <v>49</v>
      </c>
      <c r="G1278" s="3">
        <v>2989</v>
      </c>
      <c r="H1278" s="3" t="s">
        <v>2974</v>
      </c>
    </row>
    <row r="1279" spans="1:8" x14ac:dyDescent="0.35">
      <c r="A1279" t="s">
        <v>97</v>
      </c>
      <c r="B1279" s="26" t="s">
        <v>14</v>
      </c>
      <c r="C1279" s="20">
        <v>43424</v>
      </c>
      <c r="D1279" t="s">
        <v>73</v>
      </c>
      <c r="E1279" s="3">
        <v>500</v>
      </c>
      <c r="F1279" s="3">
        <v>72</v>
      </c>
      <c r="G1279" s="3">
        <v>35640</v>
      </c>
      <c r="H1279" s="3" t="s">
        <v>2975</v>
      </c>
    </row>
    <row r="1280" spans="1:8" x14ac:dyDescent="0.35">
      <c r="A1280" t="s">
        <v>61</v>
      </c>
      <c r="B1280" s="26" t="s">
        <v>14</v>
      </c>
      <c r="C1280" s="20">
        <v>43434</v>
      </c>
      <c r="D1280" t="s">
        <v>123</v>
      </c>
      <c r="E1280" s="3">
        <v>50</v>
      </c>
      <c r="F1280" s="3">
        <v>39</v>
      </c>
      <c r="G1280" s="3">
        <v>1872</v>
      </c>
      <c r="H1280" s="3" t="s">
        <v>2975</v>
      </c>
    </row>
    <row r="1281" spans="1:8" x14ac:dyDescent="0.35">
      <c r="A1281" t="s">
        <v>176</v>
      </c>
      <c r="B1281" s="26" t="s">
        <v>14</v>
      </c>
      <c r="C1281" s="20">
        <v>43188</v>
      </c>
      <c r="D1281" t="s">
        <v>56</v>
      </c>
      <c r="E1281" s="3">
        <v>800</v>
      </c>
      <c r="F1281" s="3">
        <v>70</v>
      </c>
      <c r="G1281" s="3">
        <v>36400</v>
      </c>
      <c r="H1281" s="3" t="s">
        <v>2968</v>
      </c>
    </row>
    <row r="1282" spans="1:8" x14ac:dyDescent="0.35">
      <c r="A1282" t="s">
        <v>272</v>
      </c>
      <c r="B1282" s="26" t="s">
        <v>36</v>
      </c>
      <c r="C1282" s="20">
        <v>41866</v>
      </c>
      <c r="D1282" t="s">
        <v>73</v>
      </c>
      <c r="E1282" s="3">
        <v>500</v>
      </c>
      <c r="F1282" s="3">
        <v>48</v>
      </c>
      <c r="G1282" s="3">
        <v>23520</v>
      </c>
      <c r="H1282" s="3" t="s">
        <v>2972</v>
      </c>
    </row>
    <row r="1283" spans="1:8" x14ac:dyDescent="0.35">
      <c r="A1283" t="s">
        <v>51</v>
      </c>
      <c r="B1283" s="26" t="s">
        <v>25</v>
      </c>
      <c r="C1283" s="20">
        <v>42932</v>
      </c>
      <c r="D1283" t="s">
        <v>26</v>
      </c>
      <c r="E1283" s="3">
        <v>700</v>
      </c>
      <c r="F1283" s="3">
        <v>5</v>
      </c>
      <c r="G1283" s="3">
        <v>3185</v>
      </c>
      <c r="H1283" s="3" t="s">
        <v>2971</v>
      </c>
    </row>
    <row r="1284" spans="1:8" x14ac:dyDescent="0.35">
      <c r="A1284" t="s">
        <v>257</v>
      </c>
      <c r="B1284" s="26" t="s">
        <v>14</v>
      </c>
      <c r="C1284" s="20">
        <v>41812</v>
      </c>
      <c r="D1284" t="s">
        <v>116</v>
      </c>
      <c r="E1284" s="3">
        <v>250</v>
      </c>
      <c r="F1284" s="3">
        <v>19</v>
      </c>
      <c r="G1284" s="3">
        <v>3857</v>
      </c>
      <c r="H1284" s="3" t="s">
        <v>2970</v>
      </c>
    </row>
    <row r="1285" spans="1:8" x14ac:dyDescent="0.35">
      <c r="A1285" t="s">
        <v>83</v>
      </c>
      <c r="B1285" s="26" t="s">
        <v>14</v>
      </c>
      <c r="C1285" s="20">
        <v>43452</v>
      </c>
      <c r="D1285" t="s">
        <v>47</v>
      </c>
      <c r="E1285" s="3">
        <v>500</v>
      </c>
      <c r="F1285" s="3">
        <v>55</v>
      </c>
      <c r="G1285" s="3">
        <v>27500</v>
      </c>
      <c r="H1285" s="3" t="s">
        <v>2976</v>
      </c>
    </row>
    <row r="1286" spans="1:8" x14ac:dyDescent="0.35">
      <c r="A1286" t="s">
        <v>152</v>
      </c>
      <c r="B1286" s="26" t="s">
        <v>14</v>
      </c>
      <c r="C1286" s="20">
        <v>42053</v>
      </c>
      <c r="D1286" t="s">
        <v>42</v>
      </c>
      <c r="E1286" s="3">
        <v>30</v>
      </c>
      <c r="F1286" s="3">
        <v>74</v>
      </c>
      <c r="G1286" s="3">
        <v>1480</v>
      </c>
      <c r="H1286" s="3" t="s">
        <v>2967</v>
      </c>
    </row>
    <row r="1287" spans="1:8" x14ac:dyDescent="0.35">
      <c r="A1287" t="s">
        <v>109</v>
      </c>
      <c r="B1287" s="26" t="s">
        <v>20</v>
      </c>
      <c r="C1287" s="20">
        <v>42462</v>
      </c>
      <c r="D1287" t="s">
        <v>73</v>
      </c>
      <c r="E1287" s="3">
        <v>500</v>
      </c>
      <c r="F1287" s="3">
        <v>15</v>
      </c>
      <c r="G1287" s="3">
        <v>7500</v>
      </c>
      <c r="H1287" s="3" t="s">
        <v>2969</v>
      </c>
    </row>
    <row r="1288" spans="1:8" x14ac:dyDescent="0.35">
      <c r="A1288" t="s">
        <v>41</v>
      </c>
      <c r="B1288" s="26" t="s">
        <v>36</v>
      </c>
      <c r="C1288" s="20">
        <v>42137</v>
      </c>
      <c r="D1288" t="s">
        <v>62</v>
      </c>
      <c r="E1288" s="3">
        <v>1000</v>
      </c>
      <c r="F1288" s="3">
        <v>57</v>
      </c>
      <c r="G1288" s="3">
        <v>51870</v>
      </c>
      <c r="H1288" s="3" t="s">
        <v>2965</v>
      </c>
    </row>
    <row r="1289" spans="1:8" x14ac:dyDescent="0.35">
      <c r="A1289" t="s">
        <v>172</v>
      </c>
      <c r="B1289" s="26" t="s">
        <v>14</v>
      </c>
      <c r="C1289" s="20">
        <v>42459</v>
      </c>
      <c r="D1289" t="s">
        <v>62</v>
      </c>
      <c r="E1289" s="3">
        <v>1000</v>
      </c>
      <c r="F1289" s="3">
        <v>67</v>
      </c>
      <c r="G1289" s="3">
        <v>64320</v>
      </c>
      <c r="H1289" s="3" t="s">
        <v>2968</v>
      </c>
    </row>
    <row r="1290" spans="1:8" x14ac:dyDescent="0.35">
      <c r="A1290" t="s">
        <v>272</v>
      </c>
      <c r="B1290" s="26" t="s">
        <v>36</v>
      </c>
      <c r="C1290" s="20">
        <v>41822</v>
      </c>
      <c r="D1290" t="s">
        <v>62</v>
      </c>
      <c r="E1290" s="3">
        <v>1000</v>
      </c>
      <c r="F1290" s="3">
        <v>16</v>
      </c>
      <c r="G1290" s="3">
        <v>8640</v>
      </c>
      <c r="H1290" s="3" t="s">
        <v>2971</v>
      </c>
    </row>
    <row r="1291" spans="1:8" x14ac:dyDescent="0.35">
      <c r="A1291" t="s">
        <v>109</v>
      </c>
      <c r="B1291" s="26" t="s">
        <v>20</v>
      </c>
      <c r="C1291" s="20">
        <v>43197</v>
      </c>
      <c r="D1291" t="s">
        <v>37</v>
      </c>
      <c r="E1291" s="3">
        <v>50</v>
      </c>
      <c r="F1291" s="3">
        <v>30</v>
      </c>
      <c r="G1291" s="3">
        <v>1470</v>
      </c>
      <c r="H1291" s="3" t="s">
        <v>2969</v>
      </c>
    </row>
    <row r="1292" spans="1:8" x14ac:dyDescent="0.35">
      <c r="A1292" t="s">
        <v>97</v>
      </c>
      <c r="B1292" s="26" t="s">
        <v>14</v>
      </c>
      <c r="C1292" s="20">
        <v>42936</v>
      </c>
      <c r="D1292" t="s">
        <v>37</v>
      </c>
      <c r="E1292" s="3">
        <v>50</v>
      </c>
      <c r="F1292" s="3">
        <v>50</v>
      </c>
      <c r="G1292" s="3">
        <v>2350</v>
      </c>
      <c r="H1292" s="3" t="s">
        <v>2971</v>
      </c>
    </row>
    <row r="1293" spans="1:8" x14ac:dyDescent="0.35">
      <c r="A1293" t="s">
        <v>61</v>
      </c>
      <c r="B1293" s="26" t="s">
        <v>14</v>
      </c>
      <c r="C1293" s="20">
        <v>42076</v>
      </c>
      <c r="D1293" t="s">
        <v>26</v>
      </c>
      <c r="E1293" s="3">
        <v>700</v>
      </c>
      <c r="F1293" s="3">
        <v>44</v>
      </c>
      <c r="G1293" s="3">
        <v>22484</v>
      </c>
      <c r="H1293" s="3" t="s">
        <v>2968</v>
      </c>
    </row>
    <row r="1294" spans="1:8" x14ac:dyDescent="0.35">
      <c r="A1294" t="s">
        <v>257</v>
      </c>
      <c r="B1294" s="26" t="s">
        <v>14</v>
      </c>
      <c r="C1294" s="20">
        <v>43386</v>
      </c>
      <c r="D1294" t="s">
        <v>56</v>
      </c>
      <c r="E1294" s="3">
        <v>800</v>
      </c>
      <c r="F1294" s="3">
        <v>79</v>
      </c>
      <c r="G1294" s="3">
        <v>54352</v>
      </c>
      <c r="H1294" s="3" t="s">
        <v>2974</v>
      </c>
    </row>
    <row r="1295" spans="1:8" x14ac:dyDescent="0.35">
      <c r="A1295" t="s">
        <v>55</v>
      </c>
      <c r="B1295" s="26" t="s">
        <v>14</v>
      </c>
      <c r="C1295" s="20">
        <v>43316</v>
      </c>
      <c r="D1295" t="s">
        <v>56</v>
      </c>
      <c r="E1295" s="3">
        <v>800</v>
      </c>
      <c r="F1295" s="3">
        <v>62</v>
      </c>
      <c r="G1295" s="3">
        <v>40176</v>
      </c>
      <c r="H1295" s="3" t="s">
        <v>2972</v>
      </c>
    </row>
    <row r="1296" spans="1:8" x14ac:dyDescent="0.35">
      <c r="A1296" t="s">
        <v>189</v>
      </c>
      <c r="B1296" s="26" t="s">
        <v>14</v>
      </c>
      <c r="C1296" s="20">
        <v>42884</v>
      </c>
      <c r="D1296" t="s">
        <v>42</v>
      </c>
      <c r="E1296" s="3">
        <v>30</v>
      </c>
      <c r="F1296" s="3">
        <v>47</v>
      </c>
      <c r="G1296" s="3">
        <v>1410</v>
      </c>
      <c r="H1296" s="3" t="s">
        <v>2965</v>
      </c>
    </row>
    <row r="1297" spans="1:8" x14ac:dyDescent="0.35">
      <c r="A1297" t="s">
        <v>229</v>
      </c>
      <c r="B1297" s="26" t="s">
        <v>25</v>
      </c>
      <c r="C1297" s="20">
        <v>41908</v>
      </c>
      <c r="D1297" t="s">
        <v>116</v>
      </c>
      <c r="E1297" s="3">
        <v>250</v>
      </c>
      <c r="F1297" s="3">
        <v>67</v>
      </c>
      <c r="G1297" s="3">
        <v>15410</v>
      </c>
      <c r="H1297" s="3" t="s">
        <v>2973</v>
      </c>
    </row>
    <row r="1298" spans="1:8" x14ac:dyDescent="0.35">
      <c r="A1298" t="s">
        <v>19</v>
      </c>
      <c r="B1298" s="26" t="s">
        <v>20</v>
      </c>
      <c r="C1298" s="20">
        <v>43428</v>
      </c>
      <c r="D1298" t="s">
        <v>123</v>
      </c>
      <c r="E1298" s="3">
        <v>50</v>
      </c>
      <c r="F1298" s="3">
        <v>62</v>
      </c>
      <c r="G1298" s="3">
        <v>2914</v>
      </c>
      <c r="H1298" s="3" t="s">
        <v>2975</v>
      </c>
    </row>
    <row r="1299" spans="1:8" x14ac:dyDescent="0.35">
      <c r="A1299" t="s">
        <v>257</v>
      </c>
      <c r="B1299" s="26" t="s">
        <v>14</v>
      </c>
      <c r="C1299" s="20">
        <v>42147</v>
      </c>
      <c r="D1299" t="s">
        <v>42</v>
      </c>
      <c r="E1299" s="3">
        <v>30</v>
      </c>
      <c r="F1299" s="3">
        <v>46</v>
      </c>
      <c r="G1299" s="3">
        <v>1150</v>
      </c>
      <c r="H1299" s="3" t="s">
        <v>2965</v>
      </c>
    </row>
    <row r="1300" spans="1:8" x14ac:dyDescent="0.35">
      <c r="A1300" t="s">
        <v>189</v>
      </c>
      <c r="B1300" s="26" t="s">
        <v>14</v>
      </c>
      <c r="C1300" s="20">
        <v>43022</v>
      </c>
      <c r="D1300" t="s">
        <v>105</v>
      </c>
      <c r="E1300" s="3">
        <v>70</v>
      </c>
      <c r="F1300" s="3">
        <v>4</v>
      </c>
      <c r="G1300" s="3">
        <v>268</v>
      </c>
      <c r="H1300" s="3" t="s">
        <v>2974</v>
      </c>
    </row>
    <row r="1301" spans="1:8" x14ac:dyDescent="0.35">
      <c r="A1301" t="s">
        <v>172</v>
      </c>
      <c r="B1301" s="26" t="s">
        <v>14</v>
      </c>
      <c r="C1301" s="20">
        <v>43250</v>
      </c>
      <c r="D1301" t="s">
        <v>62</v>
      </c>
      <c r="E1301" s="3">
        <v>1000</v>
      </c>
      <c r="F1301" s="3">
        <v>31</v>
      </c>
      <c r="G1301" s="3">
        <v>29140</v>
      </c>
      <c r="H1301" s="3" t="s">
        <v>2965</v>
      </c>
    </row>
    <row r="1302" spans="1:8" x14ac:dyDescent="0.35">
      <c r="A1302" t="s">
        <v>109</v>
      </c>
      <c r="B1302" s="26" t="s">
        <v>20</v>
      </c>
      <c r="C1302" s="20">
        <v>42301</v>
      </c>
      <c r="D1302" t="s">
        <v>47</v>
      </c>
      <c r="E1302" s="3">
        <v>500</v>
      </c>
      <c r="F1302" s="3">
        <v>10</v>
      </c>
      <c r="G1302" s="3">
        <v>4800</v>
      </c>
      <c r="H1302" s="3" t="s">
        <v>2974</v>
      </c>
    </row>
    <row r="1303" spans="1:8" x14ac:dyDescent="0.35">
      <c r="A1303" t="s">
        <v>97</v>
      </c>
      <c r="B1303" s="26" t="s">
        <v>14</v>
      </c>
      <c r="C1303" s="20">
        <v>43126</v>
      </c>
      <c r="D1303" t="s">
        <v>105</v>
      </c>
      <c r="E1303" s="3">
        <v>70</v>
      </c>
      <c r="F1303" s="3">
        <v>6</v>
      </c>
      <c r="G1303" s="3">
        <v>408</v>
      </c>
      <c r="H1303" s="3" t="s">
        <v>2966</v>
      </c>
    </row>
    <row r="1304" spans="1:8" x14ac:dyDescent="0.35">
      <c r="A1304" t="s">
        <v>101</v>
      </c>
      <c r="B1304" s="26" t="s">
        <v>14</v>
      </c>
      <c r="C1304" s="20">
        <v>43266</v>
      </c>
      <c r="D1304" t="s">
        <v>31</v>
      </c>
      <c r="E1304" s="3">
        <v>150</v>
      </c>
      <c r="F1304" s="3">
        <v>84</v>
      </c>
      <c r="G1304" s="3">
        <v>12348</v>
      </c>
      <c r="H1304" s="3" t="s">
        <v>2970</v>
      </c>
    </row>
    <row r="1305" spans="1:8" x14ac:dyDescent="0.35">
      <c r="A1305" t="s">
        <v>172</v>
      </c>
      <c r="B1305" s="26" t="s">
        <v>14</v>
      </c>
      <c r="C1305" s="20">
        <v>42915</v>
      </c>
      <c r="D1305" t="s">
        <v>15</v>
      </c>
      <c r="E1305" s="3">
        <v>80</v>
      </c>
      <c r="F1305" s="3">
        <v>42</v>
      </c>
      <c r="G1305" s="3">
        <v>3108</v>
      </c>
      <c r="H1305" s="3" t="s">
        <v>2970</v>
      </c>
    </row>
    <row r="1306" spans="1:8" x14ac:dyDescent="0.35">
      <c r="A1306" t="s">
        <v>109</v>
      </c>
      <c r="B1306" s="26" t="s">
        <v>20</v>
      </c>
      <c r="C1306" s="20">
        <v>42580</v>
      </c>
      <c r="D1306" t="s">
        <v>73</v>
      </c>
      <c r="E1306" s="3">
        <v>500</v>
      </c>
      <c r="F1306" s="3">
        <v>80</v>
      </c>
      <c r="G1306" s="3">
        <v>39200</v>
      </c>
      <c r="H1306" s="3" t="s">
        <v>2971</v>
      </c>
    </row>
    <row r="1307" spans="1:8" x14ac:dyDescent="0.35">
      <c r="A1307" t="s">
        <v>207</v>
      </c>
      <c r="B1307" s="26" t="s">
        <v>25</v>
      </c>
      <c r="C1307" s="20">
        <v>42509</v>
      </c>
      <c r="D1307" t="s">
        <v>73</v>
      </c>
      <c r="E1307" s="3">
        <v>500</v>
      </c>
      <c r="F1307" s="3">
        <v>76</v>
      </c>
      <c r="G1307" s="3">
        <v>37240</v>
      </c>
      <c r="H1307" s="3" t="s">
        <v>2965</v>
      </c>
    </row>
    <row r="1308" spans="1:8" x14ac:dyDescent="0.35">
      <c r="A1308" t="s">
        <v>120</v>
      </c>
      <c r="B1308" s="26" t="s">
        <v>36</v>
      </c>
      <c r="C1308" s="20">
        <v>41731</v>
      </c>
      <c r="D1308" t="s">
        <v>105</v>
      </c>
      <c r="E1308" s="3">
        <v>70</v>
      </c>
      <c r="F1308" s="3">
        <v>86</v>
      </c>
      <c r="G1308" s="3">
        <v>6020</v>
      </c>
      <c r="H1308" s="3" t="s">
        <v>2969</v>
      </c>
    </row>
    <row r="1309" spans="1:8" x14ac:dyDescent="0.35">
      <c r="A1309" t="s">
        <v>87</v>
      </c>
      <c r="B1309" s="26" t="s">
        <v>14</v>
      </c>
      <c r="C1309" s="20">
        <v>41972</v>
      </c>
      <c r="D1309" t="s">
        <v>73</v>
      </c>
      <c r="E1309" s="3">
        <v>500</v>
      </c>
      <c r="F1309" s="3">
        <v>63</v>
      </c>
      <c r="G1309" s="3">
        <v>31500</v>
      </c>
      <c r="H1309" s="3" t="s">
        <v>2975</v>
      </c>
    </row>
    <row r="1310" spans="1:8" x14ac:dyDescent="0.35">
      <c r="A1310" t="s">
        <v>79</v>
      </c>
      <c r="B1310" s="26" t="s">
        <v>36</v>
      </c>
      <c r="C1310" s="20">
        <v>42305</v>
      </c>
      <c r="D1310" t="s">
        <v>26</v>
      </c>
      <c r="E1310" s="3">
        <v>700</v>
      </c>
      <c r="F1310" s="3">
        <v>25</v>
      </c>
      <c r="G1310" s="3">
        <v>15750</v>
      </c>
      <c r="H1310" s="3" t="s">
        <v>2974</v>
      </c>
    </row>
    <row r="1311" spans="1:8" x14ac:dyDescent="0.35">
      <c r="A1311" t="s">
        <v>97</v>
      </c>
      <c r="B1311" s="26" t="s">
        <v>14</v>
      </c>
      <c r="C1311" s="20">
        <v>42170</v>
      </c>
      <c r="D1311" t="s">
        <v>37</v>
      </c>
      <c r="E1311" s="3">
        <v>50</v>
      </c>
      <c r="F1311" s="3">
        <v>67</v>
      </c>
      <c r="G1311" s="3">
        <v>3216</v>
      </c>
      <c r="H1311" s="3" t="s">
        <v>2970</v>
      </c>
    </row>
    <row r="1312" spans="1:8" x14ac:dyDescent="0.35">
      <c r="A1312" t="s">
        <v>243</v>
      </c>
      <c r="B1312" s="26" t="s">
        <v>14</v>
      </c>
      <c r="C1312" s="20">
        <v>43402</v>
      </c>
      <c r="D1312" t="s">
        <v>56</v>
      </c>
      <c r="E1312" s="3">
        <v>800</v>
      </c>
      <c r="F1312" s="3">
        <v>4</v>
      </c>
      <c r="G1312" s="3">
        <v>2944</v>
      </c>
      <c r="H1312" s="3" t="s">
        <v>2974</v>
      </c>
    </row>
    <row r="1313" spans="1:8" x14ac:dyDescent="0.35">
      <c r="A1313" t="s">
        <v>129</v>
      </c>
      <c r="B1313" s="26" t="s">
        <v>14</v>
      </c>
      <c r="C1313" s="20">
        <v>42819</v>
      </c>
      <c r="D1313" t="s">
        <v>56</v>
      </c>
      <c r="E1313" s="3">
        <v>800</v>
      </c>
      <c r="F1313" s="3">
        <v>14</v>
      </c>
      <c r="G1313" s="3">
        <v>10976</v>
      </c>
      <c r="H1313" s="3" t="s">
        <v>2968</v>
      </c>
    </row>
    <row r="1314" spans="1:8" x14ac:dyDescent="0.35">
      <c r="A1314" t="s">
        <v>152</v>
      </c>
      <c r="B1314" s="26" t="s">
        <v>14</v>
      </c>
      <c r="C1314" s="20">
        <v>42912</v>
      </c>
      <c r="D1314" t="s">
        <v>116</v>
      </c>
      <c r="E1314" s="3">
        <v>250</v>
      </c>
      <c r="F1314" s="3">
        <v>95</v>
      </c>
      <c r="G1314" s="3">
        <v>21850</v>
      </c>
      <c r="H1314" s="3" t="s">
        <v>2970</v>
      </c>
    </row>
    <row r="1315" spans="1:8" x14ac:dyDescent="0.35">
      <c r="A1315" t="s">
        <v>41</v>
      </c>
      <c r="B1315" s="26" t="s">
        <v>36</v>
      </c>
      <c r="C1315" s="20">
        <v>42675</v>
      </c>
      <c r="D1315" t="s">
        <v>105</v>
      </c>
      <c r="E1315" s="3">
        <v>70</v>
      </c>
      <c r="F1315" s="3">
        <v>47</v>
      </c>
      <c r="G1315" s="3">
        <v>2914</v>
      </c>
      <c r="H1315" s="3" t="s">
        <v>2975</v>
      </c>
    </row>
    <row r="1316" spans="1:8" x14ac:dyDescent="0.35">
      <c r="A1316" t="s">
        <v>24</v>
      </c>
      <c r="B1316" s="26" t="s">
        <v>25</v>
      </c>
      <c r="C1316" s="20">
        <v>41847</v>
      </c>
      <c r="D1316" t="s">
        <v>116</v>
      </c>
      <c r="E1316" s="3">
        <v>250</v>
      </c>
      <c r="F1316" s="3">
        <v>51</v>
      </c>
      <c r="G1316" s="3">
        <v>9843</v>
      </c>
      <c r="H1316" s="3" t="s">
        <v>2971</v>
      </c>
    </row>
    <row r="1317" spans="1:8" x14ac:dyDescent="0.35">
      <c r="A1317" t="s">
        <v>79</v>
      </c>
      <c r="B1317" s="26" t="s">
        <v>36</v>
      </c>
      <c r="C1317" s="20">
        <v>42076</v>
      </c>
      <c r="D1317" t="s">
        <v>73</v>
      </c>
      <c r="E1317" s="3">
        <v>500</v>
      </c>
      <c r="F1317" s="3">
        <v>53</v>
      </c>
      <c r="G1317" s="3">
        <v>26235</v>
      </c>
      <c r="H1317" s="3" t="s">
        <v>2968</v>
      </c>
    </row>
    <row r="1318" spans="1:8" x14ac:dyDescent="0.35">
      <c r="A1318" t="s">
        <v>152</v>
      </c>
      <c r="B1318" s="26" t="s">
        <v>14</v>
      </c>
      <c r="C1318" s="20">
        <v>41883</v>
      </c>
      <c r="D1318" t="s">
        <v>56</v>
      </c>
      <c r="E1318" s="3">
        <v>800</v>
      </c>
      <c r="F1318" s="3">
        <v>36</v>
      </c>
      <c r="G1318" s="3">
        <v>28224</v>
      </c>
      <c r="H1318" s="3" t="s">
        <v>2973</v>
      </c>
    </row>
    <row r="1319" spans="1:8" x14ac:dyDescent="0.35">
      <c r="A1319" t="s">
        <v>207</v>
      </c>
      <c r="B1319" s="26" t="s">
        <v>25</v>
      </c>
      <c r="C1319" s="20">
        <v>41989</v>
      </c>
      <c r="D1319" t="s">
        <v>15</v>
      </c>
      <c r="E1319" s="3">
        <v>80</v>
      </c>
      <c r="F1319" s="3">
        <v>44</v>
      </c>
      <c r="G1319" s="3">
        <v>2640</v>
      </c>
      <c r="H1319" s="3" t="s">
        <v>2976</v>
      </c>
    </row>
    <row r="1320" spans="1:8" x14ac:dyDescent="0.35">
      <c r="A1320" t="s">
        <v>129</v>
      </c>
      <c r="B1320" s="26" t="s">
        <v>14</v>
      </c>
      <c r="C1320" s="20">
        <v>43063</v>
      </c>
      <c r="D1320" t="s">
        <v>116</v>
      </c>
      <c r="E1320" s="3">
        <v>250</v>
      </c>
      <c r="F1320" s="3">
        <v>76</v>
      </c>
      <c r="G1320" s="3">
        <v>17860</v>
      </c>
      <c r="H1320" s="3" t="s">
        <v>2975</v>
      </c>
    </row>
    <row r="1321" spans="1:8" x14ac:dyDescent="0.35">
      <c r="A1321" t="s">
        <v>83</v>
      </c>
      <c r="B1321" s="26" t="s">
        <v>14</v>
      </c>
      <c r="C1321" s="20">
        <v>42364</v>
      </c>
      <c r="D1321" t="s">
        <v>116</v>
      </c>
      <c r="E1321" s="3">
        <v>250</v>
      </c>
      <c r="F1321" s="3">
        <v>70</v>
      </c>
      <c r="G1321" s="3">
        <v>15960</v>
      </c>
      <c r="H1321" s="3" t="s">
        <v>2976</v>
      </c>
    </row>
    <row r="1322" spans="1:8" x14ac:dyDescent="0.35">
      <c r="A1322" t="s">
        <v>148</v>
      </c>
      <c r="B1322" s="26" t="s">
        <v>14</v>
      </c>
      <c r="C1322" s="20">
        <v>42425</v>
      </c>
      <c r="D1322" t="s">
        <v>15</v>
      </c>
      <c r="E1322" s="3">
        <v>80</v>
      </c>
      <c r="F1322" s="3">
        <v>14</v>
      </c>
      <c r="G1322" s="3">
        <v>952</v>
      </c>
      <c r="H1322" s="3" t="s">
        <v>2967</v>
      </c>
    </row>
    <row r="1323" spans="1:8" x14ac:dyDescent="0.35">
      <c r="A1323" t="s">
        <v>129</v>
      </c>
      <c r="B1323" s="26" t="s">
        <v>14</v>
      </c>
      <c r="C1323" s="20">
        <v>42172</v>
      </c>
      <c r="D1323" t="s">
        <v>105</v>
      </c>
      <c r="E1323" s="3">
        <v>70</v>
      </c>
      <c r="F1323" s="3">
        <v>10</v>
      </c>
      <c r="G1323" s="3">
        <v>640</v>
      </c>
      <c r="H1323" s="3" t="s">
        <v>2970</v>
      </c>
    </row>
    <row r="1324" spans="1:8" x14ac:dyDescent="0.35">
      <c r="A1324" t="s">
        <v>13</v>
      </c>
      <c r="B1324" s="26" t="s">
        <v>14</v>
      </c>
      <c r="C1324" s="20">
        <v>42042</v>
      </c>
      <c r="D1324" t="s">
        <v>56</v>
      </c>
      <c r="E1324" s="3">
        <v>800</v>
      </c>
      <c r="F1324" s="3">
        <v>27</v>
      </c>
      <c r="G1324" s="3">
        <v>15552</v>
      </c>
      <c r="H1324" s="3" t="s">
        <v>2967</v>
      </c>
    </row>
    <row r="1325" spans="1:8" x14ac:dyDescent="0.35">
      <c r="A1325" t="s">
        <v>55</v>
      </c>
      <c r="B1325" s="26" t="s">
        <v>14</v>
      </c>
      <c r="C1325" s="20">
        <v>42917</v>
      </c>
      <c r="D1325" t="s">
        <v>37</v>
      </c>
      <c r="E1325" s="3">
        <v>50</v>
      </c>
      <c r="F1325" s="3">
        <v>76</v>
      </c>
      <c r="G1325" s="3">
        <v>3648</v>
      </c>
      <c r="H1325" s="3" t="s">
        <v>2971</v>
      </c>
    </row>
    <row r="1326" spans="1:8" x14ac:dyDescent="0.35">
      <c r="A1326" t="s">
        <v>326</v>
      </c>
      <c r="B1326" s="26" t="s">
        <v>14</v>
      </c>
      <c r="C1326" s="20">
        <v>41907</v>
      </c>
      <c r="D1326" t="s">
        <v>116</v>
      </c>
      <c r="E1326" s="3">
        <v>250</v>
      </c>
      <c r="F1326" s="3">
        <v>5</v>
      </c>
      <c r="G1326" s="3">
        <v>1240</v>
      </c>
      <c r="H1326" s="3" t="s">
        <v>2973</v>
      </c>
    </row>
    <row r="1327" spans="1:8" x14ac:dyDescent="0.35">
      <c r="A1327" t="s">
        <v>72</v>
      </c>
      <c r="B1327" s="26" t="s">
        <v>36</v>
      </c>
      <c r="C1327" s="20">
        <v>42339</v>
      </c>
      <c r="D1327" t="s">
        <v>26</v>
      </c>
      <c r="E1327" s="3">
        <v>700</v>
      </c>
      <c r="F1327" s="3">
        <v>18</v>
      </c>
      <c r="G1327" s="3">
        <v>10206</v>
      </c>
      <c r="H1327" s="3" t="s">
        <v>2976</v>
      </c>
    </row>
    <row r="1328" spans="1:8" x14ac:dyDescent="0.35">
      <c r="A1328" t="s">
        <v>72</v>
      </c>
      <c r="B1328" s="26" t="s">
        <v>36</v>
      </c>
      <c r="C1328" s="20">
        <v>42891</v>
      </c>
      <c r="D1328" t="s">
        <v>56</v>
      </c>
      <c r="E1328" s="3">
        <v>800</v>
      </c>
      <c r="F1328" s="3">
        <v>71</v>
      </c>
      <c r="G1328" s="3">
        <v>33512</v>
      </c>
      <c r="H1328" s="3" t="s">
        <v>2970</v>
      </c>
    </row>
    <row r="1329" spans="1:8" x14ac:dyDescent="0.35">
      <c r="A1329" t="s">
        <v>272</v>
      </c>
      <c r="B1329" s="26" t="s">
        <v>36</v>
      </c>
      <c r="C1329" s="20">
        <v>42171</v>
      </c>
      <c r="D1329" t="s">
        <v>26</v>
      </c>
      <c r="E1329" s="3">
        <v>700</v>
      </c>
      <c r="F1329" s="3">
        <v>9</v>
      </c>
      <c r="G1329" s="3">
        <v>5355</v>
      </c>
      <c r="H1329" s="3" t="s">
        <v>2970</v>
      </c>
    </row>
    <row r="1330" spans="1:8" x14ac:dyDescent="0.35">
      <c r="A1330" t="s">
        <v>120</v>
      </c>
      <c r="B1330" s="26" t="s">
        <v>36</v>
      </c>
      <c r="C1330" s="20">
        <v>42448</v>
      </c>
      <c r="D1330" t="s">
        <v>42</v>
      </c>
      <c r="E1330" s="3">
        <v>30</v>
      </c>
      <c r="F1330" s="3">
        <v>78</v>
      </c>
      <c r="G1330" s="3">
        <v>2262</v>
      </c>
      <c r="H1330" s="3" t="s">
        <v>2968</v>
      </c>
    </row>
    <row r="1331" spans="1:8" x14ac:dyDescent="0.35">
      <c r="A1331" t="s">
        <v>97</v>
      </c>
      <c r="B1331" s="26" t="s">
        <v>14</v>
      </c>
      <c r="C1331" s="20">
        <v>41970</v>
      </c>
      <c r="D1331" t="s">
        <v>123</v>
      </c>
      <c r="E1331" s="3">
        <v>50</v>
      </c>
      <c r="F1331" s="3">
        <v>25</v>
      </c>
      <c r="G1331" s="3">
        <v>900</v>
      </c>
      <c r="H1331" s="3" t="s">
        <v>2975</v>
      </c>
    </row>
    <row r="1332" spans="1:8" x14ac:dyDescent="0.35">
      <c r="A1332" t="s">
        <v>55</v>
      </c>
      <c r="B1332" s="26" t="s">
        <v>14</v>
      </c>
      <c r="C1332" s="20">
        <v>42022</v>
      </c>
      <c r="D1332" t="s">
        <v>37</v>
      </c>
      <c r="E1332" s="3">
        <v>50</v>
      </c>
      <c r="F1332" s="3">
        <v>47</v>
      </c>
      <c r="G1332" s="3">
        <v>1457</v>
      </c>
      <c r="H1332" s="3" t="s">
        <v>2966</v>
      </c>
    </row>
    <row r="1333" spans="1:8" x14ac:dyDescent="0.35">
      <c r="A1333" t="s">
        <v>83</v>
      </c>
      <c r="B1333" s="26" t="s">
        <v>14</v>
      </c>
      <c r="C1333" s="20">
        <v>42584</v>
      </c>
      <c r="D1333" t="s">
        <v>105</v>
      </c>
      <c r="E1333" s="3">
        <v>70</v>
      </c>
      <c r="F1333" s="3">
        <v>96</v>
      </c>
      <c r="G1333" s="3">
        <v>6528</v>
      </c>
      <c r="H1333" s="3" t="s">
        <v>2972</v>
      </c>
    </row>
    <row r="1334" spans="1:8" x14ac:dyDescent="0.35">
      <c r="A1334" t="s">
        <v>109</v>
      </c>
      <c r="B1334" s="26" t="s">
        <v>20</v>
      </c>
      <c r="C1334" s="20">
        <v>42994</v>
      </c>
      <c r="D1334" t="s">
        <v>26</v>
      </c>
      <c r="E1334" s="3">
        <v>700</v>
      </c>
      <c r="F1334" s="3">
        <v>21</v>
      </c>
      <c r="G1334" s="3">
        <v>14112</v>
      </c>
      <c r="H1334" s="3" t="s">
        <v>2973</v>
      </c>
    </row>
    <row r="1335" spans="1:8" x14ac:dyDescent="0.35">
      <c r="A1335" t="s">
        <v>41</v>
      </c>
      <c r="B1335" s="26" t="s">
        <v>36</v>
      </c>
      <c r="C1335" s="20">
        <v>42698</v>
      </c>
      <c r="D1335" t="s">
        <v>116</v>
      </c>
      <c r="E1335" s="3">
        <v>250</v>
      </c>
      <c r="F1335" s="3">
        <v>60</v>
      </c>
      <c r="G1335" s="3">
        <v>14400</v>
      </c>
      <c r="H1335" s="3" t="s">
        <v>2975</v>
      </c>
    </row>
    <row r="1336" spans="1:8" x14ac:dyDescent="0.35">
      <c r="A1336" t="s">
        <v>101</v>
      </c>
      <c r="B1336" s="26" t="s">
        <v>14</v>
      </c>
      <c r="C1336" s="20">
        <v>43373</v>
      </c>
      <c r="D1336" t="s">
        <v>56</v>
      </c>
      <c r="E1336" s="3">
        <v>800</v>
      </c>
      <c r="F1336" s="3">
        <v>60</v>
      </c>
      <c r="G1336" s="3">
        <v>41760</v>
      </c>
      <c r="H1336" s="3" t="s">
        <v>2973</v>
      </c>
    </row>
    <row r="1337" spans="1:8" x14ac:dyDescent="0.35">
      <c r="A1337" t="s">
        <v>79</v>
      </c>
      <c r="B1337" s="26" t="s">
        <v>36</v>
      </c>
      <c r="C1337" s="20">
        <v>43416</v>
      </c>
      <c r="D1337" t="s">
        <v>26</v>
      </c>
      <c r="E1337" s="3">
        <v>700</v>
      </c>
      <c r="F1337" s="3">
        <v>62</v>
      </c>
      <c r="G1337" s="3">
        <v>37324</v>
      </c>
      <c r="H1337" s="3" t="s">
        <v>2975</v>
      </c>
    </row>
    <row r="1338" spans="1:8" x14ac:dyDescent="0.35">
      <c r="A1338" t="s">
        <v>243</v>
      </c>
      <c r="B1338" s="26" t="s">
        <v>14</v>
      </c>
      <c r="C1338" s="20">
        <v>42418</v>
      </c>
      <c r="D1338" t="s">
        <v>37</v>
      </c>
      <c r="E1338" s="3">
        <v>50</v>
      </c>
      <c r="F1338" s="3">
        <v>77</v>
      </c>
      <c r="G1338" s="3">
        <v>3311</v>
      </c>
      <c r="H1338" s="3" t="s">
        <v>2967</v>
      </c>
    </row>
    <row r="1339" spans="1:8" x14ac:dyDescent="0.35">
      <c r="A1339" t="s">
        <v>24</v>
      </c>
      <c r="B1339" s="26" t="s">
        <v>25</v>
      </c>
      <c r="C1339" s="20">
        <v>42120</v>
      </c>
      <c r="D1339" t="s">
        <v>105</v>
      </c>
      <c r="E1339" s="3">
        <v>70</v>
      </c>
      <c r="F1339" s="3">
        <v>62</v>
      </c>
      <c r="G1339" s="3">
        <v>2604</v>
      </c>
      <c r="H1339" s="3" t="s">
        <v>2969</v>
      </c>
    </row>
    <row r="1340" spans="1:8" x14ac:dyDescent="0.35">
      <c r="A1340" t="s">
        <v>189</v>
      </c>
      <c r="B1340" s="26" t="s">
        <v>14</v>
      </c>
      <c r="C1340" s="20">
        <v>41821</v>
      </c>
      <c r="D1340" t="s">
        <v>42</v>
      </c>
      <c r="E1340" s="3">
        <v>30</v>
      </c>
      <c r="F1340" s="3">
        <v>91</v>
      </c>
      <c r="G1340" s="3">
        <v>2730</v>
      </c>
      <c r="H1340" s="3" t="s">
        <v>2971</v>
      </c>
    </row>
    <row r="1341" spans="1:8" x14ac:dyDescent="0.35">
      <c r="A1341" t="s">
        <v>266</v>
      </c>
      <c r="B1341" s="26" t="s">
        <v>14</v>
      </c>
      <c r="C1341" s="20">
        <v>43126</v>
      </c>
      <c r="D1341" t="s">
        <v>26</v>
      </c>
      <c r="E1341" s="3">
        <v>700</v>
      </c>
      <c r="F1341" s="3">
        <v>96</v>
      </c>
      <c r="G1341" s="3">
        <v>59808</v>
      </c>
      <c r="H1341" s="3" t="s">
        <v>2966</v>
      </c>
    </row>
    <row r="1342" spans="1:8" x14ac:dyDescent="0.35">
      <c r="A1342" t="s">
        <v>72</v>
      </c>
      <c r="B1342" s="26" t="s">
        <v>36</v>
      </c>
      <c r="C1342" s="20">
        <v>42488</v>
      </c>
      <c r="D1342" t="s">
        <v>15</v>
      </c>
      <c r="E1342" s="3">
        <v>80</v>
      </c>
      <c r="F1342" s="3">
        <v>71</v>
      </c>
      <c r="G1342" s="3">
        <v>5396</v>
      </c>
      <c r="H1342" s="3" t="s">
        <v>2969</v>
      </c>
    </row>
    <row r="1343" spans="1:8" x14ac:dyDescent="0.35">
      <c r="A1343" t="s">
        <v>51</v>
      </c>
      <c r="B1343" s="26" t="s">
        <v>25</v>
      </c>
      <c r="C1343" s="20">
        <v>42077</v>
      </c>
      <c r="D1343" t="s">
        <v>105</v>
      </c>
      <c r="E1343" s="3">
        <v>70</v>
      </c>
      <c r="F1343" s="3">
        <v>64</v>
      </c>
      <c r="G1343" s="3">
        <v>2880</v>
      </c>
      <c r="H1343" s="3" t="s">
        <v>2968</v>
      </c>
    </row>
    <row r="1344" spans="1:8" x14ac:dyDescent="0.35">
      <c r="A1344" t="s">
        <v>41</v>
      </c>
      <c r="B1344" s="26" t="s">
        <v>36</v>
      </c>
      <c r="C1344" s="20">
        <v>42170</v>
      </c>
      <c r="D1344" t="s">
        <v>56</v>
      </c>
      <c r="E1344" s="3">
        <v>800</v>
      </c>
      <c r="F1344" s="3">
        <v>6</v>
      </c>
      <c r="G1344" s="3">
        <v>4320</v>
      </c>
      <c r="H1344" s="3" t="s">
        <v>2970</v>
      </c>
    </row>
    <row r="1345" spans="1:8" x14ac:dyDescent="0.35">
      <c r="A1345" t="s">
        <v>109</v>
      </c>
      <c r="B1345" s="26" t="s">
        <v>20</v>
      </c>
      <c r="C1345" s="20">
        <v>42539</v>
      </c>
      <c r="D1345" t="s">
        <v>105</v>
      </c>
      <c r="E1345" s="3">
        <v>70</v>
      </c>
      <c r="F1345" s="3">
        <v>42</v>
      </c>
      <c r="G1345" s="3">
        <v>2646</v>
      </c>
      <c r="H1345" s="3" t="s">
        <v>2970</v>
      </c>
    </row>
    <row r="1346" spans="1:8" x14ac:dyDescent="0.35">
      <c r="A1346" t="s">
        <v>55</v>
      </c>
      <c r="B1346" s="26" t="s">
        <v>14</v>
      </c>
      <c r="C1346" s="20">
        <v>42742</v>
      </c>
      <c r="D1346" t="s">
        <v>31</v>
      </c>
      <c r="E1346" s="3">
        <v>150</v>
      </c>
      <c r="F1346" s="3">
        <v>7</v>
      </c>
      <c r="G1346" s="3">
        <v>1050</v>
      </c>
      <c r="H1346" s="3" t="s">
        <v>2966</v>
      </c>
    </row>
    <row r="1347" spans="1:8" x14ac:dyDescent="0.35">
      <c r="A1347" t="s">
        <v>83</v>
      </c>
      <c r="B1347" s="26" t="s">
        <v>14</v>
      </c>
      <c r="C1347" s="20">
        <v>42287</v>
      </c>
      <c r="D1347" t="s">
        <v>73</v>
      </c>
      <c r="E1347" s="3">
        <v>500</v>
      </c>
      <c r="F1347" s="3">
        <v>24</v>
      </c>
      <c r="G1347" s="3">
        <v>11760</v>
      </c>
      <c r="H1347" s="3" t="s">
        <v>2974</v>
      </c>
    </row>
    <row r="1348" spans="1:8" x14ac:dyDescent="0.35">
      <c r="A1348" t="s">
        <v>326</v>
      </c>
      <c r="B1348" s="26" t="s">
        <v>14</v>
      </c>
      <c r="C1348" s="20">
        <v>42655</v>
      </c>
      <c r="D1348" t="s">
        <v>47</v>
      </c>
      <c r="E1348" s="3">
        <v>500</v>
      </c>
      <c r="F1348" s="3">
        <v>19</v>
      </c>
      <c r="G1348" s="3">
        <v>9500</v>
      </c>
      <c r="H1348" s="3" t="s">
        <v>2974</v>
      </c>
    </row>
    <row r="1349" spans="1:8" x14ac:dyDescent="0.35">
      <c r="A1349" t="s">
        <v>72</v>
      </c>
      <c r="B1349" s="26" t="s">
        <v>36</v>
      </c>
      <c r="C1349" s="20">
        <v>42969</v>
      </c>
      <c r="D1349" t="s">
        <v>116</v>
      </c>
      <c r="E1349" s="3">
        <v>250</v>
      </c>
      <c r="F1349" s="3">
        <v>16</v>
      </c>
      <c r="G1349" s="3">
        <v>3600</v>
      </c>
      <c r="H1349" s="3" t="s">
        <v>2972</v>
      </c>
    </row>
    <row r="1350" spans="1:8" x14ac:dyDescent="0.35">
      <c r="A1350" t="s">
        <v>41</v>
      </c>
      <c r="B1350" s="26" t="s">
        <v>36</v>
      </c>
      <c r="C1350" s="20">
        <v>42280</v>
      </c>
      <c r="D1350" t="s">
        <v>37</v>
      </c>
      <c r="E1350" s="3">
        <v>50</v>
      </c>
      <c r="F1350" s="3">
        <v>35</v>
      </c>
      <c r="G1350" s="3">
        <v>1505</v>
      </c>
      <c r="H1350" s="3" t="s">
        <v>2974</v>
      </c>
    </row>
    <row r="1351" spans="1:8" x14ac:dyDescent="0.35">
      <c r="A1351" t="s">
        <v>176</v>
      </c>
      <c r="B1351" s="26" t="s">
        <v>14</v>
      </c>
      <c r="C1351" s="20">
        <v>42864</v>
      </c>
      <c r="D1351" t="s">
        <v>123</v>
      </c>
      <c r="E1351" s="3">
        <v>50</v>
      </c>
      <c r="F1351" s="3">
        <v>3</v>
      </c>
      <c r="G1351" s="3">
        <v>141</v>
      </c>
      <c r="H1351" s="3" t="s">
        <v>2965</v>
      </c>
    </row>
    <row r="1352" spans="1:8" x14ac:dyDescent="0.35">
      <c r="A1352" t="s">
        <v>41</v>
      </c>
      <c r="B1352" s="26" t="s">
        <v>36</v>
      </c>
      <c r="C1352" s="20">
        <v>42207</v>
      </c>
      <c r="D1352" t="s">
        <v>62</v>
      </c>
      <c r="E1352" s="3">
        <v>1000</v>
      </c>
      <c r="F1352" s="3">
        <v>98</v>
      </c>
      <c r="G1352" s="3">
        <v>85260</v>
      </c>
      <c r="H1352" s="3" t="s">
        <v>2971</v>
      </c>
    </row>
    <row r="1353" spans="1:8" x14ac:dyDescent="0.35">
      <c r="A1353" t="s">
        <v>35</v>
      </c>
      <c r="B1353" s="26" t="s">
        <v>36</v>
      </c>
      <c r="C1353" s="20">
        <v>42901</v>
      </c>
      <c r="D1353" t="s">
        <v>56</v>
      </c>
      <c r="E1353" s="3">
        <v>800</v>
      </c>
      <c r="F1353" s="3">
        <v>29</v>
      </c>
      <c r="G1353" s="3">
        <v>13224</v>
      </c>
      <c r="H1353" s="3" t="s">
        <v>2970</v>
      </c>
    </row>
    <row r="1354" spans="1:8" x14ac:dyDescent="0.35">
      <c r="A1354" t="s">
        <v>72</v>
      </c>
      <c r="B1354" s="26" t="s">
        <v>36</v>
      </c>
      <c r="C1354" s="20">
        <v>42182</v>
      </c>
      <c r="D1354" t="s">
        <v>26</v>
      </c>
      <c r="E1354" s="3">
        <v>700</v>
      </c>
      <c r="F1354" s="3">
        <v>78</v>
      </c>
      <c r="G1354" s="3">
        <v>40950</v>
      </c>
      <c r="H1354" s="3" t="s">
        <v>2970</v>
      </c>
    </row>
    <row r="1355" spans="1:8" x14ac:dyDescent="0.35">
      <c r="A1355" t="s">
        <v>72</v>
      </c>
      <c r="B1355" s="26" t="s">
        <v>36</v>
      </c>
      <c r="C1355" s="20">
        <v>42975</v>
      </c>
      <c r="D1355" t="s">
        <v>105</v>
      </c>
      <c r="E1355" s="3">
        <v>70</v>
      </c>
      <c r="F1355" s="3">
        <v>3</v>
      </c>
      <c r="G1355" s="3">
        <v>189</v>
      </c>
      <c r="H1355" s="3" t="s">
        <v>2972</v>
      </c>
    </row>
    <row r="1356" spans="1:8" x14ac:dyDescent="0.35">
      <c r="A1356" t="s">
        <v>109</v>
      </c>
      <c r="B1356" s="26" t="s">
        <v>20</v>
      </c>
      <c r="C1356" s="20">
        <v>41715</v>
      </c>
      <c r="D1356" t="s">
        <v>42</v>
      </c>
      <c r="E1356" s="3">
        <v>30</v>
      </c>
      <c r="F1356" s="3">
        <v>38</v>
      </c>
      <c r="G1356" s="3">
        <v>988</v>
      </c>
      <c r="H1356" s="3" t="s">
        <v>2968</v>
      </c>
    </row>
    <row r="1357" spans="1:8" x14ac:dyDescent="0.35">
      <c r="A1357" t="s">
        <v>109</v>
      </c>
      <c r="B1357" s="26" t="s">
        <v>20</v>
      </c>
      <c r="C1357" s="20">
        <v>41766</v>
      </c>
      <c r="D1357" t="s">
        <v>47</v>
      </c>
      <c r="E1357" s="3">
        <v>500</v>
      </c>
      <c r="F1357" s="3">
        <v>62</v>
      </c>
      <c r="G1357" s="3">
        <v>31000</v>
      </c>
      <c r="H1357" s="3" t="s">
        <v>2965</v>
      </c>
    </row>
    <row r="1358" spans="1:8" x14ac:dyDescent="0.35">
      <c r="A1358" t="s">
        <v>189</v>
      </c>
      <c r="B1358" s="26" t="s">
        <v>14</v>
      </c>
      <c r="C1358" s="20">
        <v>43287</v>
      </c>
      <c r="D1358" t="s">
        <v>42</v>
      </c>
      <c r="E1358" s="3">
        <v>30</v>
      </c>
      <c r="F1358" s="3">
        <v>49</v>
      </c>
      <c r="G1358" s="3">
        <v>1421</v>
      </c>
      <c r="H1358" s="3" t="s">
        <v>2971</v>
      </c>
    </row>
    <row r="1359" spans="1:8" x14ac:dyDescent="0.35">
      <c r="A1359" t="s">
        <v>109</v>
      </c>
      <c r="B1359" s="26" t="s">
        <v>20</v>
      </c>
      <c r="C1359" s="20">
        <v>41761</v>
      </c>
      <c r="D1359" t="s">
        <v>42</v>
      </c>
      <c r="E1359" s="3">
        <v>30</v>
      </c>
      <c r="F1359" s="3">
        <v>56</v>
      </c>
      <c r="G1359" s="3">
        <v>1288</v>
      </c>
      <c r="H1359" s="3" t="s">
        <v>2965</v>
      </c>
    </row>
    <row r="1360" spans="1:8" x14ac:dyDescent="0.35">
      <c r="A1360" t="s">
        <v>272</v>
      </c>
      <c r="B1360" s="26" t="s">
        <v>36</v>
      </c>
      <c r="C1360" s="20">
        <v>42655</v>
      </c>
      <c r="D1360" t="s">
        <v>73</v>
      </c>
      <c r="E1360" s="3">
        <v>500</v>
      </c>
      <c r="F1360" s="3">
        <v>2</v>
      </c>
      <c r="G1360" s="3">
        <v>990</v>
      </c>
      <c r="H1360" s="3" t="s">
        <v>2974</v>
      </c>
    </row>
    <row r="1361" spans="1:8" x14ac:dyDescent="0.35">
      <c r="A1361" t="s">
        <v>93</v>
      </c>
      <c r="B1361" s="26" t="s">
        <v>36</v>
      </c>
      <c r="C1361" s="20">
        <v>43019</v>
      </c>
      <c r="D1361" t="s">
        <v>47</v>
      </c>
      <c r="E1361" s="3">
        <v>500</v>
      </c>
      <c r="F1361" s="3">
        <v>1</v>
      </c>
      <c r="G1361" s="3">
        <v>480</v>
      </c>
      <c r="H1361" s="3" t="s">
        <v>2974</v>
      </c>
    </row>
    <row r="1362" spans="1:8" x14ac:dyDescent="0.35">
      <c r="A1362" t="s">
        <v>97</v>
      </c>
      <c r="B1362" s="26" t="s">
        <v>14</v>
      </c>
      <c r="C1362" s="20">
        <v>42083</v>
      </c>
      <c r="D1362" t="s">
        <v>62</v>
      </c>
      <c r="E1362" s="3">
        <v>1000</v>
      </c>
      <c r="F1362" s="3">
        <v>65</v>
      </c>
      <c r="G1362" s="3">
        <v>60450</v>
      </c>
      <c r="H1362" s="3" t="s">
        <v>2968</v>
      </c>
    </row>
    <row r="1363" spans="1:8" x14ac:dyDescent="0.35">
      <c r="A1363" t="s">
        <v>87</v>
      </c>
      <c r="B1363" s="26" t="s">
        <v>14</v>
      </c>
      <c r="C1363" s="20">
        <v>42202</v>
      </c>
      <c r="D1363" t="s">
        <v>31</v>
      </c>
      <c r="E1363" s="3">
        <v>150</v>
      </c>
      <c r="F1363" s="3">
        <v>70</v>
      </c>
      <c r="G1363" s="3">
        <v>7700</v>
      </c>
      <c r="H1363" s="3" t="s">
        <v>2971</v>
      </c>
    </row>
    <row r="1364" spans="1:8" x14ac:dyDescent="0.35">
      <c r="A1364" t="s">
        <v>109</v>
      </c>
      <c r="B1364" s="26" t="s">
        <v>20</v>
      </c>
      <c r="C1364" s="20">
        <v>41764</v>
      </c>
      <c r="D1364" t="s">
        <v>62</v>
      </c>
      <c r="E1364" s="3">
        <v>1000</v>
      </c>
      <c r="F1364" s="3">
        <v>56</v>
      </c>
      <c r="G1364" s="3">
        <v>50960</v>
      </c>
      <c r="H1364" s="3" t="s">
        <v>2965</v>
      </c>
    </row>
    <row r="1365" spans="1:8" x14ac:dyDescent="0.35">
      <c r="A1365" t="s">
        <v>83</v>
      </c>
      <c r="B1365" s="26" t="s">
        <v>14</v>
      </c>
      <c r="C1365" s="20">
        <v>42468</v>
      </c>
      <c r="D1365" t="s">
        <v>105</v>
      </c>
      <c r="E1365" s="3">
        <v>70</v>
      </c>
      <c r="F1365" s="3">
        <v>36</v>
      </c>
      <c r="G1365" s="3">
        <v>2484</v>
      </c>
      <c r="H1365" s="3" t="s">
        <v>2969</v>
      </c>
    </row>
    <row r="1366" spans="1:8" x14ac:dyDescent="0.35">
      <c r="A1366" t="s">
        <v>13</v>
      </c>
      <c r="B1366" s="26" t="s">
        <v>14</v>
      </c>
      <c r="C1366" s="20">
        <v>42011</v>
      </c>
      <c r="D1366" t="s">
        <v>26</v>
      </c>
      <c r="E1366" s="3">
        <v>700</v>
      </c>
      <c r="F1366" s="3">
        <v>80</v>
      </c>
      <c r="G1366" s="3">
        <v>53200</v>
      </c>
      <c r="H1366" s="3" t="s">
        <v>2966</v>
      </c>
    </row>
    <row r="1367" spans="1:8" x14ac:dyDescent="0.35">
      <c r="A1367" t="s">
        <v>61</v>
      </c>
      <c r="B1367" s="26" t="s">
        <v>14</v>
      </c>
      <c r="C1367" s="20">
        <v>43356</v>
      </c>
      <c r="D1367" t="s">
        <v>31</v>
      </c>
      <c r="E1367" s="3">
        <v>150</v>
      </c>
      <c r="F1367" s="3">
        <v>68</v>
      </c>
      <c r="G1367" s="3">
        <v>9724</v>
      </c>
      <c r="H1367" s="3" t="s">
        <v>2973</v>
      </c>
    </row>
    <row r="1368" spans="1:8" x14ac:dyDescent="0.35">
      <c r="A1368" t="s">
        <v>93</v>
      </c>
      <c r="B1368" s="26" t="s">
        <v>36</v>
      </c>
      <c r="C1368" s="20">
        <v>42454</v>
      </c>
      <c r="D1368" t="s">
        <v>26</v>
      </c>
      <c r="E1368" s="3">
        <v>700</v>
      </c>
      <c r="F1368" s="3">
        <v>17</v>
      </c>
      <c r="G1368" s="3">
        <v>11424</v>
      </c>
      <c r="H1368" s="3" t="s">
        <v>2968</v>
      </c>
    </row>
    <row r="1369" spans="1:8" x14ac:dyDescent="0.35">
      <c r="A1369" t="s">
        <v>109</v>
      </c>
      <c r="B1369" s="26" t="s">
        <v>20</v>
      </c>
      <c r="C1369" s="20">
        <v>42138</v>
      </c>
      <c r="D1369" t="s">
        <v>37</v>
      </c>
      <c r="E1369" s="3">
        <v>50</v>
      </c>
      <c r="F1369" s="3">
        <v>76</v>
      </c>
      <c r="G1369" s="3">
        <v>3420</v>
      </c>
      <c r="H1369" s="3" t="s">
        <v>2965</v>
      </c>
    </row>
    <row r="1370" spans="1:8" x14ac:dyDescent="0.35">
      <c r="A1370" t="s">
        <v>326</v>
      </c>
      <c r="B1370" s="26" t="s">
        <v>14</v>
      </c>
      <c r="C1370" s="20">
        <v>42460</v>
      </c>
      <c r="D1370" t="s">
        <v>105</v>
      </c>
      <c r="E1370" s="3">
        <v>70</v>
      </c>
      <c r="F1370" s="3">
        <v>24</v>
      </c>
      <c r="G1370" s="3">
        <v>1608</v>
      </c>
      <c r="H1370" s="3" t="s">
        <v>2968</v>
      </c>
    </row>
    <row r="1371" spans="1:8" x14ac:dyDescent="0.35">
      <c r="A1371" t="s">
        <v>72</v>
      </c>
      <c r="B1371" s="26" t="s">
        <v>36</v>
      </c>
      <c r="C1371" s="20">
        <v>42014</v>
      </c>
      <c r="D1371" t="s">
        <v>123</v>
      </c>
      <c r="E1371" s="3">
        <v>50</v>
      </c>
      <c r="F1371" s="3">
        <v>30</v>
      </c>
      <c r="G1371" s="3">
        <v>1140</v>
      </c>
      <c r="H1371" s="3" t="s">
        <v>2966</v>
      </c>
    </row>
    <row r="1372" spans="1:8" x14ac:dyDescent="0.35">
      <c r="A1372" t="s">
        <v>51</v>
      </c>
      <c r="B1372" s="26" t="s">
        <v>25</v>
      </c>
      <c r="C1372" s="20">
        <v>42288</v>
      </c>
      <c r="D1372" t="s">
        <v>73</v>
      </c>
      <c r="E1372" s="3">
        <v>500</v>
      </c>
      <c r="F1372" s="3">
        <v>22</v>
      </c>
      <c r="G1372" s="3">
        <v>10890</v>
      </c>
      <c r="H1372" s="3" t="s">
        <v>2974</v>
      </c>
    </row>
    <row r="1373" spans="1:8" x14ac:dyDescent="0.35">
      <c r="A1373" t="s">
        <v>51</v>
      </c>
      <c r="B1373" s="26" t="s">
        <v>25</v>
      </c>
      <c r="C1373" s="20">
        <v>43209</v>
      </c>
      <c r="D1373" t="s">
        <v>123</v>
      </c>
      <c r="E1373" s="3">
        <v>50</v>
      </c>
      <c r="F1373" s="3">
        <v>57</v>
      </c>
      <c r="G1373" s="3">
        <v>2451</v>
      </c>
      <c r="H1373" s="3" t="s">
        <v>2969</v>
      </c>
    </row>
    <row r="1374" spans="1:8" x14ac:dyDescent="0.35">
      <c r="A1374" t="s">
        <v>101</v>
      </c>
      <c r="B1374" s="26" t="s">
        <v>14</v>
      </c>
      <c r="C1374" s="20">
        <v>43280</v>
      </c>
      <c r="D1374" t="s">
        <v>62</v>
      </c>
      <c r="E1374" s="3">
        <v>1000</v>
      </c>
      <c r="F1374" s="3">
        <v>58</v>
      </c>
      <c r="G1374" s="3">
        <v>53940</v>
      </c>
      <c r="H1374" s="3" t="s">
        <v>2970</v>
      </c>
    </row>
    <row r="1375" spans="1:8" x14ac:dyDescent="0.35">
      <c r="A1375" t="s">
        <v>109</v>
      </c>
      <c r="B1375" s="26" t="s">
        <v>20</v>
      </c>
      <c r="C1375" s="20">
        <v>43176</v>
      </c>
      <c r="D1375" t="s">
        <v>73</v>
      </c>
      <c r="E1375" s="3">
        <v>500</v>
      </c>
      <c r="F1375" s="3">
        <v>88</v>
      </c>
      <c r="G1375" s="3">
        <v>43120</v>
      </c>
      <c r="H1375" s="3" t="s">
        <v>2968</v>
      </c>
    </row>
    <row r="1376" spans="1:8" x14ac:dyDescent="0.35">
      <c r="A1376" t="s">
        <v>41</v>
      </c>
      <c r="B1376" s="26" t="s">
        <v>36</v>
      </c>
      <c r="C1376" s="20">
        <v>43101</v>
      </c>
      <c r="D1376" t="s">
        <v>26</v>
      </c>
      <c r="E1376" s="3">
        <v>700</v>
      </c>
      <c r="F1376" s="3">
        <v>98</v>
      </c>
      <c r="G1376" s="3">
        <v>64484</v>
      </c>
      <c r="H1376" s="3" t="s">
        <v>2966</v>
      </c>
    </row>
    <row r="1377" spans="1:8" x14ac:dyDescent="0.35">
      <c r="A1377" t="s">
        <v>272</v>
      </c>
      <c r="B1377" s="26" t="s">
        <v>36</v>
      </c>
      <c r="C1377" s="20">
        <v>42845</v>
      </c>
      <c r="D1377" t="s">
        <v>37</v>
      </c>
      <c r="E1377" s="3">
        <v>50</v>
      </c>
      <c r="F1377" s="3">
        <v>25</v>
      </c>
      <c r="G1377" s="3">
        <v>1175</v>
      </c>
      <c r="H1377" s="3" t="s">
        <v>2969</v>
      </c>
    </row>
    <row r="1378" spans="1:8" x14ac:dyDescent="0.35">
      <c r="A1378" t="s">
        <v>46</v>
      </c>
      <c r="B1378" s="26" t="s">
        <v>25</v>
      </c>
      <c r="C1378" s="20">
        <v>42516</v>
      </c>
      <c r="D1378" t="s">
        <v>116</v>
      </c>
      <c r="E1378" s="3">
        <v>250</v>
      </c>
      <c r="F1378" s="3">
        <v>12</v>
      </c>
      <c r="G1378" s="3">
        <v>2640</v>
      </c>
      <c r="H1378" s="3" t="s">
        <v>2965</v>
      </c>
    </row>
    <row r="1379" spans="1:8" x14ac:dyDescent="0.35">
      <c r="A1379" t="s">
        <v>79</v>
      </c>
      <c r="B1379" s="26" t="s">
        <v>36</v>
      </c>
      <c r="C1379" s="20">
        <v>42806</v>
      </c>
      <c r="D1379" t="s">
        <v>62</v>
      </c>
      <c r="E1379" s="3">
        <v>1000</v>
      </c>
      <c r="F1379" s="3">
        <v>15</v>
      </c>
      <c r="G1379" s="3">
        <v>7800</v>
      </c>
      <c r="H1379" s="3" t="s">
        <v>2968</v>
      </c>
    </row>
    <row r="1380" spans="1:8" x14ac:dyDescent="0.35">
      <c r="A1380" t="s">
        <v>61</v>
      </c>
      <c r="B1380" s="26" t="s">
        <v>14</v>
      </c>
      <c r="C1380" s="20">
        <v>41787</v>
      </c>
      <c r="D1380" t="s">
        <v>62</v>
      </c>
      <c r="E1380" s="3">
        <v>1000</v>
      </c>
      <c r="F1380" s="3">
        <v>53</v>
      </c>
      <c r="G1380" s="3">
        <v>51940</v>
      </c>
      <c r="H1380" s="3" t="s">
        <v>2965</v>
      </c>
    </row>
    <row r="1381" spans="1:8" x14ac:dyDescent="0.35">
      <c r="A1381" t="s">
        <v>35</v>
      </c>
      <c r="B1381" s="26" t="s">
        <v>36</v>
      </c>
      <c r="C1381" s="20">
        <v>43285</v>
      </c>
      <c r="D1381" t="s">
        <v>73</v>
      </c>
      <c r="E1381" s="3">
        <v>500</v>
      </c>
      <c r="F1381" s="3">
        <v>10</v>
      </c>
      <c r="G1381" s="3">
        <v>4950</v>
      </c>
      <c r="H1381" s="3" t="s">
        <v>2971</v>
      </c>
    </row>
    <row r="1382" spans="1:8" x14ac:dyDescent="0.35">
      <c r="A1382" t="s">
        <v>35</v>
      </c>
      <c r="B1382" s="26" t="s">
        <v>36</v>
      </c>
      <c r="C1382" s="20">
        <v>41806</v>
      </c>
      <c r="D1382" t="s">
        <v>26</v>
      </c>
      <c r="E1382" s="3">
        <v>700</v>
      </c>
      <c r="F1382" s="3">
        <v>57</v>
      </c>
      <c r="G1382" s="3">
        <v>31122</v>
      </c>
      <c r="H1382" s="3" t="s">
        <v>2970</v>
      </c>
    </row>
    <row r="1383" spans="1:8" x14ac:dyDescent="0.35">
      <c r="A1383" t="s">
        <v>83</v>
      </c>
      <c r="B1383" s="26" t="s">
        <v>14</v>
      </c>
      <c r="C1383" s="20">
        <v>43063</v>
      </c>
      <c r="D1383" t="s">
        <v>26</v>
      </c>
      <c r="E1383" s="3">
        <v>700</v>
      </c>
      <c r="F1383" s="3">
        <v>95</v>
      </c>
      <c r="G1383" s="3">
        <v>65835</v>
      </c>
      <c r="H1383" s="3" t="s">
        <v>2975</v>
      </c>
    </row>
    <row r="1384" spans="1:8" x14ac:dyDescent="0.35">
      <c r="A1384" t="s">
        <v>93</v>
      </c>
      <c r="B1384" s="26" t="s">
        <v>36</v>
      </c>
      <c r="C1384" s="20">
        <v>42417</v>
      </c>
      <c r="D1384" t="s">
        <v>37</v>
      </c>
      <c r="E1384" s="3">
        <v>50</v>
      </c>
      <c r="F1384" s="3">
        <v>56</v>
      </c>
      <c r="G1384" s="3">
        <v>2520</v>
      </c>
      <c r="H1384" s="3" t="s">
        <v>2967</v>
      </c>
    </row>
    <row r="1385" spans="1:8" x14ac:dyDescent="0.35">
      <c r="A1385" t="s">
        <v>72</v>
      </c>
      <c r="B1385" s="26" t="s">
        <v>36</v>
      </c>
      <c r="C1385" s="20">
        <v>42654</v>
      </c>
      <c r="D1385" t="s">
        <v>26</v>
      </c>
      <c r="E1385" s="3">
        <v>700</v>
      </c>
      <c r="F1385" s="3">
        <v>95</v>
      </c>
      <c r="G1385" s="3">
        <v>56525</v>
      </c>
      <c r="H1385" s="3" t="s">
        <v>2974</v>
      </c>
    </row>
    <row r="1386" spans="1:8" x14ac:dyDescent="0.35">
      <c r="A1386" t="s">
        <v>402</v>
      </c>
      <c r="B1386" s="26" t="s">
        <v>14</v>
      </c>
      <c r="C1386" s="20">
        <v>43356</v>
      </c>
      <c r="D1386" t="s">
        <v>42</v>
      </c>
      <c r="E1386" s="3">
        <v>30</v>
      </c>
      <c r="F1386" s="3">
        <v>92</v>
      </c>
      <c r="G1386" s="3">
        <v>2668</v>
      </c>
      <c r="H1386" s="3" t="s">
        <v>2973</v>
      </c>
    </row>
    <row r="1387" spans="1:8" x14ac:dyDescent="0.35">
      <c r="A1387" t="s">
        <v>148</v>
      </c>
      <c r="B1387" s="26" t="s">
        <v>14</v>
      </c>
      <c r="C1387" s="20">
        <v>42420</v>
      </c>
      <c r="D1387" t="s">
        <v>42</v>
      </c>
      <c r="E1387" s="3">
        <v>30</v>
      </c>
      <c r="F1387" s="3">
        <v>90</v>
      </c>
      <c r="G1387" s="3">
        <v>2700</v>
      </c>
      <c r="H1387" s="3" t="s">
        <v>2967</v>
      </c>
    </row>
    <row r="1388" spans="1:8" x14ac:dyDescent="0.35">
      <c r="A1388" t="s">
        <v>72</v>
      </c>
      <c r="B1388" s="26" t="s">
        <v>36</v>
      </c>
      <c r="C1388" s="20">
        <v>41660</v>
      </c>
      <c r="D1388" t="s">
        <v>42</v>
      </c>
      <c r="E1388" s="3">
        <v>30</v>
      </c>
      <c r="F1388" s="3">
        <v>86</v>
      </c>
      <c r="G1388" s="3">
        <v>1978</v>
      </c>
      <c r="H1388" s="3" t="s">
        <v>2966</v>
      </c>
    </row>
    <row r="1389" spans="1:8" x14ac:dyDescent="0.35">
      <c r="A1389" t="s">
        <v>257</v>
      </c>
      <c r="B1389" s="26" t="s">
        <v>14</v>
      </c>
      <c r="C1389" s="20">
        <v>42943</v>
      </c>
      <c r="D1389" t="s">
        <v>15</v>
      </c>
      <c r="E1389" s="3">
        <v>80</v>
      </c>
      <c r="F1389" s="3">
        <v>53</v>
      </c>
      <c r="G1389" s="3">
        <v>3869</v>
      </c>
      <c r="H1389" s="3" t="s">
        <v>2971</v>
      </c>
    </row>
    <row r="1390" spans="1:8" x14ac:dyDescent="0.35">
      <c r="A1390" t="s">
        <v>176</v>
      </c>
      <c r="B1390" s="26" t="s">
        <v>14</v>
      </c>
      <c r="C1390" s="20">
        <v>42104</v>
      </c>
      <c r="D1390" t="s">
        <v>62</v>
      </c>
      <c r="E1390" s="3">
        <v>1000</v>
      </c>
      <c r="F1390" s="3">
        <v>15</v>
      </c>
      <c r="G1390" s="3">
        <v>14700</v>
      </c>
      <c r="H1390" s="3" t="s">
        <v>2969</v>
      </c>
    </row>
    <row r="1391" spans="1:8" x14ac:dyDescent="0.35">
      <c r="A1391" t="s">
        <v>55</v>
      </c>
      <c r="B1391" s="26" t="s">
        <v>14</v>
      </c>
      <c r="C1391" s="20">
        <v>42778</v>
      </c>
      <c r="D1391" t="s">
        <v>31</v>
      </c>
      <c r="E1391" s="3">
        <v>150</v>
      </c>
      <c r="F1391" s="3">
        <v>84</v>
      </c>
      <c r="G1391" s="3">
        <v>12600</v>
      </c>
      <c r="H1391" s="3" t="s">
        <v>2967</v>
      </c>
    </row>
    <row r="1392" spans="1:8" x14ac:dyDescent="0.35">
      <c r="A1392" t="s">
        <v>93</v>
      </c>
      <c r="B1392" s="26" t="s">
        <v>36</v>
      </c>
      <c r="C1392" s="20">
        <v>42031</v>
      </c>
      <c r="D1392" t="s">
        <v>105</v>
      </c>
      <c r="E1392" s="3">
        <v>70</v>
      </c>
      <c r="F1392" s="3">
        <v>14</v>
      </c>
      <c r="G1392" s="3">
        <v>448</v>
      </c>
      <c r="H1392" s="3" t="s">
        <v>2966</v>
      </c>
    </row>
    <row r="1393" spans="1:8" x14ac:dyDescent="0.35">
      <c r="A1393" t="s">
        <v>189</v>
      </c>
      <c r="B1393" s="26" t="s">
        <v>14</v>
      </c>
      <c r="C1393" s="20">
        <v>42927</v>
      </c>
      <c r="D1393" t="s">
        <v>26</v>
      </c>
      <c r="E1393" s="3">
        <v>700</v>
      </c>
      <c r="F1393" s="3">
        <v>8</v>
      </c>
      <c r="G1393" s="3">
        <v>5600</v>
      </c>
      <c r="H1393" s="3" t="s">
        <v>2971</v>
      </c>
    </row>
    <row r="1394" spans="1:8" x14ac:dyDescent="0.35">
      <c r="A1394" t="s">
        <v>101</v>
      </c>
      <c r="B1394" s="26" t="s">
        <v>14</v>
      </c>
      <c r="C1394" s="20">
        <v>43218</v>
      </c>
      <c r="D1394" t="s">
        <v>42</v>
      </c>
      <c r="E1394" s="3">
        <v>30</v>
      </c>
      <c r="F1394" s="3">
        <v>70</v>
      </c>
      <c r="G1394" s="3">
        <v>1820</v>
      </c>
      <c r="H1394" s="3" t="s">
        <v>2969</v>
      </c>
    </row>
    <row r="1395" spans="1:8" x14ac:dyDescent="0.35">
      <c r="A1395" t="s">
        <v>35</v>
      </c>
      <c r="B1395" s="26" t="s">
        <v>36</v>
      </c>
      <c r="C1395" s="20">
        <v>42212</v>
      </c>
      <c r="D1395" t="s">
        <v>56</v>
      </c>
      <c r="E1395" s="3">
        <v>800</v>
      </c>
      <c r="F1395" s="3">
        <v>79</v>
      </c>
      <c r="G1395" s="3">
        <v>49296</v>
      </c>
      <c r="H1395" s="3" t="s">
        <v>2971</v>
      </c>
    </row>
    <row r="1396" spans="1:8" x14ac:dyDescent="0.35">
      <c r="A1396" t="s">
        <v>109</v>
      </c>
      <c r="B1396" s="26" t="s">
        <v>20</v>
      </c>
      <c r="C1396" s="20">
        <v>43216</v>
      </c>
      <c r="D1396" t="s">
        <v>56</v>
      </c>
      <c r="E1396" s="3">
        <v>800</v>
      </c>
      <c r="F1396" s="3">
        <v>89</v>
      </c>
      <c r="G1396" s="3">
        <v>49840</v>
      </c>
      <c r="H1396" s="3" t="s">
        <v>2969</v>
      </c>
    </row>
    <row r="1397" spans="1:8" x14ac:dyDescent="0.35">
      <c r="A1397" t="s">
        <v>172</v>
      </c>
      <c r="B1397" s="26" t="s">
        <v>14</v>
      </c>
      <c r="C1397" s="20">
        <v>43115</v>
      </c>
      <c r="D1397" t="s">
        <v>62</v>
      </c>
      <c r="E1397" s="3">
        <v>1000</v>
      </c>
      <c r="F1397" s="3">
        <v>19</v>
      </c>
      <c r="G1397" s="3">
        <v>18430</v>
      </c>
      <c r="H1397" s="3" t="s">
        <v>2966</v>
      </c>
    </row>
    <row r="1398" spans="1:8" x14ac:dyDescent="0.35">
      <c r="A1398" t="s">
        <v>24</v>
      </c>
      <c r="B1398" s="26" t="s">
        <v>25</v>
      </c>
      <c r="C1398" s="20">
        <v>42006</v>
      </c>
      <c r="D1398" t="s">
        <v>15</v>
      </c>
      <c r="E1398" s="3">
        <v>80</v>
      </c>
      <c r="F1398" s="3">
        <v>91</v>
      </c>
      <c r="G1398" s="3">
        <v>6370</v>
      </c>
      <c r="H1398" s="3" t="s">
        <v>2966</v>
      </c>
    </row>
    <row r="1399" spans="1:8" x14ac:dyDescent="0.35">
      <c r="A1399" t="s">
        <v>72</v>
      </c>
      <c r="B1399" s="26" t="s">
        <v>36</v>
      </c>
      <c r="C1399" s="20">
        <v>43145</v>
      </c>
      <c r="D1399" t="s">
        <v>56</v>
      </c>
      <c r="E1399" s="3">
        <v>800</v>
      </c>
      <c r="F1399" s="3">
        <v>54</v>
      </c>
      <c r="G1399" s="3">
        <v>25920</v>
      </c>
      <c r="H1399" s="3" t="s">
        <v>2967</v>
      </c>
    </row>
    <row r="1400" spans="1:8" x14ac:dyDescent="0.35">
      <c r="A1400" t="s">
        <v>55</v>
      </c>
      <c r="B1400" s="26" t="s">
        <v>14</v>
      </c>
      <c r="C1400" s="20">
        <v>43205</v>
      </c>
      <c r="D1400" t="s">
        <v>47</v>
      </c>
      <c r="E1400" s="3">
        <v>500</v>
      </c>
      <c r="F1400" s="3">
        <v>90</v>
      </c>
      <c r="G1400" s="3">
        <v>40950</v>
      </c>
      <c r="H1400" s="3" t="s">
        <v>2969</v>
      </c>
    </row>
    <row r="1401" spans="1:8" x14ac:dyDescent="0.35">
      <c r="A1401" t="s">
        <v>93</v>
      </c>
      <c r="B1401" s="26" t="s">
        <v>36</v>
      </c>
      <c r="C1401" s="20">
        <v>43079</v>
      </c>
      <c r="D1401" t="s">
        <v>105</v>
      </c>
      <c r="E1401" s="3">
        <v>70</v>
      </c>
      <c r="F1401" s="3">
        <v>81</v>
      </c>
      <c r="G1401" s="3">
        <v>5589</v>
      </c>
      <c r="H1401" s="3" t="s">
        <v>2976</v>
      </c>
    </row>
    <row r="1402" spans="1:8" x14ac:dyDescent="0.35">
      <c r="A1402" t="s">
        <v>35</v>
      </c>
      <c r="B1402" s="26" t="s">
        <v>36</v>
      </c>
      <c r="C1402" s="20">
        <v>42982</v>
      </c>
      <c r="D1402" t="s">
        <v>105</v>
      </c>
      <c r="E1402" s="3">
        <v>70</v>
      </c>
      <c r="F1402" s="3">
        <v>8</v>
      </c>
      <c r="G1402" s="3">
        <v>504</v>
      </c>
      <c r="H1402" s="3" t="s">
        <v>2973</v>
      </c>
    </row>
    <row r="1403" spans="1:8" x14ac:dyDescent="0.35">
      <c r="A1403" t="s">
        <v>189</v>
      </c>
      <c r="B1403" s="26" t="s">
        <v>14</v>
      </c>
      <c r="C1403" s="20">
        <v>41658</v>
      </c>
      <c r="D1403" t="s">
        <v>37</v>
      </c>
      <c r="E1403" s="3">
        <v>50</v>
      </c>
      <c r="F1403" s="3">
        <v>37</v>
      </c>
      <c r="G1403" s="3">
        <v>1406</v>
      </c>
      <c r="H1403" s="3" t="s">
        <v>2966</v>
      </c>
    </row>
    <row r="1404" spans="1:8" x14ac:dyDescent="0.35">
      <c r="A1404" t="s">
        <v>148</v>
      </c>
      <c r="B1404" s="26" t="s">
        <v>14</v>
      </c>
      <c r="C1404" s="20">
        <v>42224</v>
      </c>
      <c r="D1404" t="s">
        <v>116</v>
      </c>
      <c r="E1404" s="3">
        <v>250</v>
      </c>
      <c r="F1404" s="3">
        <v>36</v>
      </c>
      <c r="G1404" s="3">
        <v>7200</v>
      </c>
      <c r="H1404" s="3" t="s">
        <v>2972</v>
      </c>
    </row>
    <row r="1405" spans="1:8" x14ac:dyDescent="0.35">
      <c r="A1405" t="s">
        <v>93</v>
      </c>
      <c r="B1405" s="26" t="s">
        <v>36</v>
      </c>
      <c r="C1405" s="20">
        <v>43215</v>
      </c>
      <c r="D1405" t="s">
        <v>105</v>
      </c>
      <c r="E1405" s="3">
        <v>70</v>
      </c>
      <c r="F1405" s="3">
        <v>31</v>
      </c>
      <c r="G1405" s="3">
        <v>2139</v>
      </c>
      <c r="H1405" s="3" t="s">
        <v>2969</v>
      </c>
    </row>
    <row r="1406" spans="1:8" x14ac:dyDescent="0.35">
      <c r="A1406" t="s">
        <v>51</v>
      </c>
      <c r="B1406" s="26" t="s">
        <v>25</v>
      </c>
      <c r="C1406" s="20">
        <v>43434</v>
      </c>
      <c r="D1406" t="s">
        <v>42</v>
      </c>
      <c r="E1406" s="3">
        <v>30</v>
      </c>
      <c r="F1406" s="3">
        <v>66</v>
      </c>
      <c r="G1406" s="3">
        <v>1716</v>
      </c>
      <c r="H1406" s="3" t="s">
        <v>2975</v>
      </c>
    </row>
    <row r="1407" spans="1:8" x14ac:dyDescent="0.35">
      <c r="A1407" t="s">
        <v>13</v>
      </c>
      <c r="B1407" s="26" t="s">
        <v>14</v>
      </c>
      <c r="C1407" s="20">
        <v>42134</v>
      </c>
      <c r="D1407" t="s">
        <v>42</v>
      </c>
      <c r="E1407" s="3">
        <v>30</v>
      </c>
      <c r="F1407" s="3">
        <v>40</v>
      </c>
      <c r="G1407" s="3">
        <v>1200</v>
      </c>
      <c r="H1407" s="3" t="s">
        <v>2965</v>
      </c>
    </row>
    <row r="1408" spans="1:8" x14ac:dyDescent="0.35">
      <c r="A1408" t="s">
        <v>97</v>
      </c>
      <c r="B1408" s="26" t="s">
        <v>14</v>
      </c>
      <c r="C1408" s="20">
        <v>42323</v>
      </c>
      <c r="D1408" t="s">
        <v>123</v>
      </c>
      <c r="E1408" s="3">
        <v>50</v>
      </c>
      <c r="F1408" s="3">
        <v>4</v>
      </c>
      <c r="G1408" s="3">
        <v>184</v>
      </c>
      <c r="H1408" s="3" t="s">
        <v>2975</v>
      </c>
    </row>
    <row r="1409" spans="1:8" x14ac:dyDescent="0.35">
      <c r="A1409" t="s">
        <v>189</v>
      </c>
      <c r="B1409" s="26" t="s">
        <v>14</v>
      </c>
      <c r="C1409" s="20">
        <v>42553</v>
      </c>
      <c r="D1409" t="s">
        <v>73</v>
      </c>
      <c r="E1409" s="3">
        <v>500</v>
      </c>
      <c r="F1409" s="3">
        <v>55</v>
      </c>
      <c r="G1409" s="3">
        <v>27500</v>
      </c>
      <c r="H1409" s="3" t="s">
        <v>2971</v>
      </c>
    </row>
    <row r="1410" spans="1:8" x14ac:dyDescent="0.35">
      <c r="A1410" t="s">
        <v>176</v>
      </c>
      <c r="B1410" s="26" t="s">
        <v>14</v>
      </c>
      <c r="C1410" s="20">
        <v>42375</v>
      </c>
      <c r="D1410" t="s">
        <v>26</v>
      </c>
      <c r="E1410" s="3">
        <v>700</v>
      </c>
      <c r="F1410" s="3">
        <v>16</v>
      </c>
      <c r="G1410" s="3">
        <v>10864</v>
      </c>
      <c r="H1410" s="3" t="s">
        <v>2966</v>
      </c>
    </row>
    <row r="1411" spans="1:8" x14ac:dyDescent="0.35">
      <c r="A1411" t="s">
        <v>101</v>
      </c>
      <c r="B1411" s="26" t="s">
        <v>14</v>
      </c>
      <c r="C1411" s="20">
        <v>42578</v>
      </c>
      <c r="D1411" t="s">
        <v>26</v>
      </c>
      <c r="E1411" s="3">
        <v>700</v>
      </c>
      <c r="F1411" s="3">
        <v>12</v>
      </c>
      <c r="G1411" s="3">
        <v>7560</v>
      </c>
      <c r="H1411" s="3" t="s">
        <v>2971</v>
      </c>
    </row>
    <row r="1412" spans="1:8" x14ac:dyDescent="0.35">
      <c r="A1412" t="s">
        <v>19</v>
      </c>
      <c r="B1412" s="26" t="s">
        <v>20</v>
      </c>
      <c r="C1412" s="20">
        <v>42793</v>
      </c>
      <c r="D1412" t="s">
        <v>105</v>
      </c>
      <c r="E1412" s="3">
        <v>70</v>
      </c>
      <c r="F1412" s="3">
        <v>1</v>
      </c>
      <c r="G1412" s="3">
        <v>65</v>
      </c>
      <c r="H1412" s="3" t="s">
        <v>2967</v>
      </c>
    </row>
    <row r="1413" spans="1:8" x14ac:dyDescent="0.35">
      <c r="A1413" t="s">
        <v>72</v>
      </c>
      <c r="B1413" s="26" t="s">
        <v>36</v>
      </c>
      <c r="C1413" s="20">
        <v>41985</v>
      </c>
      <c r="D1413" t="s">
        <v>73</v>
      </c>
      <c r="E1413" s="3">
        <v>500</v>
      </c>
      <c r="F1413" s="3">
        <v>3</v>
      </c>
      <c r="G1413" s="3">
        <v>1500</v>
      </c>
      <c r="H1413" s="3" t="s">
        <v>2976</v>
      </c>
    </row>
    <row r="1414" spans="1:8" x14ac:dyDescent="0.35">
      <c r="A1414" t="s">
        <v>402</v>
      </c>
      <c r="B1414" s="26" t="s">
        <v>14</v>
      </c>
      <c r="C1414" s="20">
        <v>41923</v>
      </c>
      <c r="D1414" t="s">
        <v>116</v>
      </c>
      <c r="E1414" s="3">
        <v>250</v>
      </c>
      <c r="F1414" s="3">
        <v>30</v>
      </c>
      <c r="G1414" s="3">
        <v>6000</v>
      </c>
      <c r="H1414" s="3" t="s">
        <v>2974</v>
      </c>
    </row>
    <row r="1415" spans="1:8" x14ac:dyDescent="0.35">
      <c r="A1415" t="s">
        <v>129</v>
      </c>
      <c r="B1415" s="26" t="s">
        <v>14</v>
      </c>
      <c r="C1415" s="20">
        <v>42225</v>
      </c>
      <c r="D1415" t="s">
        <v>73</v>
      </c>
      <c r="E1415" s="3">
        <v>500</v>
      </c>
      <c r="F1415" s="3">
        <v>100</v>
      </c>
      <c r="G1415" s="3">
        <v>49000</v>
      </c>
      <c r="H1415" s="3" t="s">
        <v>2972</v>
      </c>
    </row>
    <row r="1416" spans="1:8" x14ac:dyDescent="0.35">
      <c r="A1416" t="s">
        <v>229</v>
      </c>
      <c r="B1416" s="26" t="s">
        <v>25</v>
      </c>
      <c r="C1416" s="20">
        <v>42453</v>
      </c>
      <c r="D1416" t="s">
        <v>42</v>
      </c>
      <c r="E1416" s="3">
        <v>30</v>
      </c>
      <c r="F1416" s="3">
        <v>9</v>
      </c>
      <c r="G1416" s="3">
        <v>270</v>
      </c>
      <c r="H1416" s="3" t="s">
        <v>2968</v>
      </c>
    </row>
    <row r="1417" spans="1:8" x14ac:dyDescent="0.35">
      <c r="A1417" t="s">
        <v>109</v>
      </c>
      <c r="B1417" s="26" t="s">
        <v>20</v>
      </c>
      <c r="C1417" s="20">
        <v>41772</v>
      </c>
      <c r="D1417" t="s">
        <v>105</v>
      </c>
      <c r="E1417" s="3">
        <v>70</v>
      </c>
      <c r="F1417" s="3">
        <v>10</v>
      </c>
      <c r="G1417" s="3">
        <v>550</v>
      </c>
      <c r="H1417" s="3" t="s">
        <v>2965</v>
      </c>
    </row>
    <row r="1418" spans="1:8" x14ac:dyDescent="0.35">
      <c r="A1418" t="s">
        <v>152</v>
      </c>
      <c r="B1418" s="26" t="s">
        <v>14</v>
      </c>
      <c r="C1418" s="20">
        <v>42215</v>
      </c>
      <c r="D1418" t="s">
        <v>123</v>
      </c>
      <c r="E1418" s="3">
        <v>50</v>
      </c>
      <c r="F1418" s="3">
        <v>24</v>
      </c>
      <c r="G1418" s="3">
        <v>1008</v>
      </c>
      <c r="H1418" s="3" t="s">
        <v>2971</v>
      </c>
    </row>
    <row r="1419" spans="1:8" x14ac:dyDescent="0.35">
      <c r="A1419" t="s">
        <v>93</v>
      </c>
      <c r="B1419" s="26" t="s">
        <v>36</v>
      </c>
      <c r="C1419" s="20">
        <v>41947</v>
      </c>
      <c r="D1419" t="s">
        <v>42</v>
      </c>
      <c r="E1419" s="3">
        <v>30</v>
      </c>
      <c r="F1419" s="3">
        <v>44</v>
      </c>
      <c r="G1419" s="3">
        <v>1144</v>
      </c>
      <c r="H1419" s="3" t="s">
        <v>2975</v>
      </c>
    </row>
    <row r="1420" spans="1:8" x14ac:dyDescent="0.35">
      <c r="A1420" t="s">
        <v>243</v>
      </c>
      <c r="B1420" s="26" t="s">
        <v>14</v>
      </c>
      <c r="C1420" s="20">
        <v>41768</v>
      </c>
      <c r="D1420" t="s">
        <v>105</v>
      </c>
      <c r="E1420" s="3">
        <v>70</v>
      </c>
      <c r="F1420" s="3">
        <v>71</v>
      </c>
      <c r="G1420" s="3">
        <v>3763</v>
      </c>
      <c r="H1420" s="3" t="s">
        <v>2965</v>
      </c>
    </row>
    <row r="1421" spans="1:8" x14ac:dyDescent="0.35">
      <c r="A1421" t="s">
        <v>61</v>
      </c>
      <c r="B1421" s="26" t="s">
        <v>14</v>
      </c>
      <c r="C1421" s="20">
        <v>41693</v>
      </c>
      <c r="D1421" t="s">
        <v>73</v>
      </c>
      <c r="E1421" s="3">
        <v>500</v>
      </c>
      <c r="F1421" s="3">
        <v>86</v>
      </c>
      <c r="G1421" s="3">
        <v>42140</v>
      </c>
      <c r="H1421" s="3" t="s">
        <v>2967</v>
      </c>
    </row>
    <row r="1422" spans="1:8" x14ac:dyDescent="0.35">
      <c r="A1422" t="s">
        <v>172</v>
      </c>
      <c r="B1422" s="26" t="s">
        <v>14</v>
      </c>
      <c r="C1422" s="20">
        <v>42486</v>
      </c>
      <c r="D1422" t="s">
        <v>42</v>
      </c>
      <c r="E1422" s="3">
        <v>30</v>
      </c>
      <c r="F1422" s="3">
        <v>19</v>
      </c>
      <c r="G1422" s="3">
        <v>494</v>
      </c>
      <c r="H1422" s="3" t="s">
        <v>2969</v>
      </c>
    </row>
    <row r="1423" spans="1:8" x14ac:dyDescent="0.35">
      <c r="A1423" t="s">
        <v>272</v>
      </c>
      <c r="B1423" s="26" t="s">
        <v>36</v>
      </c>
      <c r="C1423" s="20">
        <v>42040</v>
      </c>
      <c r="D1423" t="s">
        <v>15</v>
      </c>
      <c r="E1423" s="3">
        <v>80</v>
      </c>
      <c r="F1423" s="3">
        <v>12</v>
      </c>
      <c r="G1423" s="3">
        <v>636</v>
      </c>
      <c r="H1423" s="3" t="s">
        <v>2967</v>
      </c>
    </row>
    <row r="1424" spans="1:8" x14ac:dyDescent="0.35">
      <c r="A1424" t="s">
        <v>436</v>
      </c>
      <c r="B1424" s="26" t="s">
        <v>25</v>
      </c>
      <c r="C1424" s="20">
        <v>43372</v>
      </c>
      <c r="D1424" t="s">
        <v>56</v>
      </c>
      <c r="E1424" s="3">
        <v>800</v>
      </c>
      <c r="F1424" s="3">
        <v>43</v>
      </c>
      <c r="G1424" s="3">
        <v>26488</v>
      </c>
      <c r="H1424" s="3" t="s">
        <v>2973</v>
      </c>
    </row>
    <row r="1425" spans="1:8" x14ac:dyDescent="0.35">
      <c r="A1425" t="s">
        <v>19</v>
      </c>
      <c r="B1425" s="26" t="s">
        <v>20</v>
      </c>
      <c r="C1425" s="20">
        <v>42483</v>
      </c>
      <c r="D1425" t="s">
        <v>116</v>
      </c>
      <c r="E1425" s="3">
        <v>250</v>
      </c>
      <c r="F1425" s="3">
        <v>56</v>
      </c>
      <c r="G1425" s="3">
        <v>12600</v>
      </c>
      <c r="H1425" s="3" t="s">
        <v>2969</v>
      </c>
    </row>
    <row r="1426" spans="1:8" x14ac:dyDescent="0.35">
      <c r="A1426" t="s">
        <v>436</v>
      </c>
      <c r="B1426" s="26" t="s">
        <v>25</v>
      </c>
      <c r="C1426" s="20">
        <v>42036</v>
      </c>
      <c r="D1426" t="s">
        <v>116</v>
      </c>
      <c r="E1426" s="3">
        <v>250</v>
      </c>
      <c r="F1426" s="3">
        <v>49</v>
      </c>
      <c r="G1426" s="3">
        <v>10535</v>
      </c>
      <c r="H1426" s="3" t="s">
        <v>2967</v>
      </c>
    </row>
    <row r="1427" spans="1:8" x14ac:dyDescent="0.35">
      <c r="A1427" t="s">
        <v>41</v>
      </c>
      <c r="B1427" s="26" t="s">
        <v>36</v>
      </c>
      <c r="C1427" s="20">
        <v>41945</v>
      </c>
      <c r="D1427" t="s">
        <v>56</v>
      </c>
      <c r="E1427" s="3">
        <v>800</v>
      </c>
      <c r="F1427" s="3">
        <v>21</v>
      </c>
      <c r="G1427" s="3">
        <v>14952</v>
      </c>
      <c r="H1427" s="3" t="s">
        <v>2975</v>
      </c>
    </row>
    <row r="1428" spans="1:8" x14ac:dyDescent="0.35">
      <c r="A1428" t="s">
        <v>109</v>
      </c>
      <c r="B1428" s="26" t="s">
        <v>20</v>
      </c>
      <c r="C1428" s="20">
        <v>43260</v>
      </c>
      <c r="D1428" t="s">
        <v>37</v>
      </c>
      <c r="E1428" s="3">
        <v>50</v>
      </c>
      <c r="F1428" s="3">
        <v>43</v>
      </c>
      <c r="G1428" s="3">
        <v>1978</v>
      </c>
      <c r="H1428" s="3" t="s">
        <v>2970</v>
      </c>
    </row>
    <row r="1429" spans="1:8" x14ac:dyDescent="0.35">
      <c r="A1429" t="s">
        <v>207</v>
      </c>
      <c r="B1429" s="26" t="s">
        <v>25</v>
      </c>
      <c r="C1429" s="20">
        <v>42365</v>
      </c>
      <c r="D1429" t="s">
        <v>62</v>
      </c>
      <c r="E1429" s="3">
        <v>1000</v>
      </c>
      <c r="F1429" s="3">
        <v>12</v>
      </c>
      <c r="G1429" s="3">
        <v>11520</v>
      </c>
      <c r="H1429" s="3" t="s">
        <v>2976</v>
      </c>
    </row>
    <row r="1430" spans="1:8" x14ac:dyDescent="0.35">
      <c r="A1430" t="s">
        <v>229</v>
      </c>
      <c r="B1430" s="26" t="s">
        <v>25</v>
      </c>
      <c r="C1430" s="20">
        <v>42801</v>
      </c>
      <c r="D1430" t="s">
        <v>116</v>
      </c>
      <c r="E1430" s="3">
        <v>250</v>
      </c>
      <c r="F1430" s="3">
        <v>79</v>
      </c>
      <c r="G1430" s="3">
        <v>19197</v>
      </c>
      <c r="H1430" s="3" t="s">
        <v>2968</v>
      </c>
    </row>
    <row r="1431" spans="1:8" x14ac:dyDescent="0.35">
      <c r="A1431" t="s">
        <v>120</v>
      </c>
      <c r="B1431" s="26" t="s">
        <v>36</v>
      </c>
      <c r="C1431" s="20">
        <v>42261</v>
      </c>
      <c r="D1431" t="s">
        <v>26</v>
      </c>
      <c r="E1431" s="3">
        <v>700</v>
      </c>
      <c r="F1431" s="3">
        <v>9</v>
      </c>
      <c r="G1431" s="3">
        <v>5985</v>
      </c>
      <c r="H1431" s="3" t="s">
        <v>2973</v>
      </c>
    </row>
    <row r="1432" spans="1:8" x14ac:dyDescent="0.35">
      <c r="A1432" t="s">
        <v>66</v>
      </c>
      <c r="B1432" s="26" t="s">
        <v>36</v>
      </c>
      <c r="C1432" s="20">
        <v>43228</v>
      </c>
      <c r="D1432" t="s">
        <v>42</v>
      </c>
      <c r="E1432" s="3">
        <v>30</v>
      </c>
      <c r="F1432" s="3">
        <v>94</v>
      </c>
      <c r="G1432" s="3">
        <v>2820</v>
      </c>
      <c r="H1432" s="3" t="s">
        <v>2965</v>
      </c>
    </row>
    <row r="1433" spans="1:8" x14ac:dyDescent="0.35">
      <c r="A1433" t="s">
        <v>24</v>
      </c>
      <c r="B1433" s="26" t="s">
        <v>25</v>
      </c>
      <c r="C1433" s="20">
        <v>42266</v>
      </c>
      <c r="D1433" t="s">
        <v>47</v>
      </c>
      <c r="E1433" s="3">
        <v>500</v>
      </c>
      <c r="F1433" s="3">
        <v>75</v>
      </c>
      <c r="G1433" s="3">
        <v>26250</v>
      </c>
      <c r="H1433" s="3" t="s">
        <v>2973</v>
      </c>
    </row>
    <row r="1434" spans="1:8" x14ac:dyDescent="0.35">
      <c r="A1434" t="s">
        <v>72</v>
      </c>
      <c r="B1434" s="26" t="s">
        <v>36</v>
      </c>
      <c r="C1434" s="20">
        <v>42390</v>
      </c>
      <c r="D1434" t="s">
        <v>42</v>
      </c>
      <c r="E1434" s="3">
        <v>30</v>
      </c>
      <c r="F1434" s="3">
        <v>91</v>
      </c>
      <c r="G1434" s="3">
        <v>2548</v>
      </c>
      <c r="H1434" s="3" t="s">
        <v>2966</v>
      </c>
    </row>
    <row r="1435" spans="1:8" x14ac:dyDescent="0.35">
      <c r="A1435" t="s">
        <v>109</v>
      </c>
      <c r="B1435" s="26" t="s">
        <v>20</v>
      </c>
      <c r="C1435" s="20">
        <v>42582</v>
      </c>
      <c r="D1435" t="s">
        <v>116</v>
      </c>
      <c r="E1435" s="3">
        <v>250</v>
      </c>
      <c r="F1435" s="3">
        <v>96</v>
      </c>
      <c r="G1435" s="3">
        <v>23520</v>
      </c>
      <c r="H1435" s="3" t="s">
        <v>2971</v>
      </c>
    </row>
    <row r="1436" spans="1:8" x14ac:dyDescent="0.35">
      <c r="A1436" t="s">
        <v>83</v>
      </c>
      <c r="B1436" s="26" t="s">
        <v>14</v>
      </c>
      <c r="C1436" s="20">
        <v>43095</v>
      </c>
      <c r="D1436" t="s">
        <v>31</v>
      </c>
      <c r="E1436" s="3">
        <v>150</v>
      </c>
      <c r="F1436" s="3">
        <v>51</v>
      </c>
      <c r="G1436" s="3">
        <v>7293</v>
      </c>
      <c r="H1436" s="3" t="s">
        <v>2976</v>
      </c>
    </row>
    <row r="1437" spans="1:8" x14ac:dyDescent="0.35">
      <c r="A1437" t="s">
        <v>272</v>
      </c>
      <c r="B1437" s="26" t="s">
        <v>36</v>
      </c>
      <c r="C1437" s="20">
        <v>43329</v>
      </c>
      <c r="D1437" t="s">
        <v>123</v>
      </c>
      <c r="E1437" s="3">
        <v>50</v>
      </c>
      <c r="F1437" s="3">
        <v>67</v>
      </c>
      <c r="G1437" s="3">
        <v>3283</v>
      </c>
      <c r="H1437" s="3" t="s">
        <v>2972</v>
      </c>
    </row>
    <row r="1438" spans="1:8" x14ac:dyDescent="0.35">
      <c r="A1438" t="s">
        <v>41</v>
      </c>
      <c r="B1438" s="26" t="s">
        <v>36</v>
      </c>
      <c r="C1438" s="20">
        <v>42838</v>
      </c>
      <c r="D1438" t="s">
        <v>37</v>
      </c>
      <c r="E1438" s="3">
        <v>50</v>
      </c>
      <c r="F1438" s="3">
        <v>85</v>
      </c>
      <c r="G1438" s="3">
        <v>4250</v>
      </c>
      <c r="H1438" s="3" t="s">
        <v>2969</v>
      </c>
    </row>
    <row r="1439" spans="1:8" x14ac:dyDescent="0.35">
      <c r="A1439" t="s">
        <v>66</v>
      </c>
      <c r="B1439" s="26" t="s">
        <v>36</v>
      </c>
      <c r="C1439" s="20">
        <v>42345</v>
      </c>
      <c r="D1439" t="s">
        <v>62</v>
      </c>
      <c r="E1439" s="3">
        <v>1000</v>
      </c>
      <c r="F1439" s="3">
        <v>55</v>
      </c>
      <c r="G1439" s="3">
        <v>51700</v>
      </c>
      <c r="H1439" s="3" t="s">
        <v>2976</v>
      </c>
    </row>
    <row r="1440" spans="1:8" x14ac:dyDescent="0.35">
      <c r="A1440" t="s">
        <v>129</v>
      </c>
      <c r="B1440" s="26" t="s">
        <v>14</v>
      </c>
      <c r="C1440" s="20">
        <v>42373</v>
      </c>
      <c r="D1440" t="s">
        <v>56</v>
      </c>
      <c r="E1440" s="3">
        <v>800</v>
      </c>
      <c r="F1440" s="3">
        <v>46</v>
      </c>
      <c r="G1440" s="3">
        <v>22080</v>
      </c>
      <c r="H1440" s="3" t="s">
        <v>2966</v>
      </c>
    </row>
    <row r="1441" spans="1:8" x14ac:dyDescent="0.35">
      <c r="A1441" t="s">
        <v>243</v>
      </c>
      <c r="B1441" s="26" t="s">
        <v>14</v>
      </c>
      <c r="C1441" s="20">
        <v>41794</v>
      </c>
      <c r="D1441" t="s">
        <v>116</v>
      </c>
      <c r="E1441" s="3">
        <v>250</v>
      </c>
      <c r="F1441" s="3">
        <v>69</v>
      </c>
      <c r="G1441" s="3">
        <v>13662</v>
      </c>
      <c r="H1441" s="3" t="s">
        <v>2970</v>
      </c>
    </row>
    <row r="1442" spans="1:8" x14ac:dyDescent="0.35">
      <c r="A1442" t="s">
        <v>176</v>
      </c>
      <c r="B1442" s="26" t="s">
        <v>14</v>
      </c>
      <c r="C1442" s="20">
        <v>43345</v>
      </c>
      <c r="D1442" t="s">
        <v>31</v>
      </c>
      <c r="E1442" s="3">
        <v>150</v>
      </c>
      <c r="F1442" s="3">
        <v>66</v>
      </c>
      <c r="G1442" s="3">
        <v>8646</v>
      </c>
      <c r="H1442" s="3" t="s">
        <v>2973</v>
      </c>
    </row>
    <row r="1443" spans="1:8" x14ac:dyDescent="0.35">
      <c r="A1443" t="s">
        <v>207</v>
      </c>
      <c r="B1443" s="26" t="s">
        <v>25</v>
      </c>
      <c r="C1443" s="20">
        <v>42931</v>
      </c>
      <c r="D1443" t="s">
        <v>62</v>
      </c>
      <c r="E1443" s="3">
        <v>1000</v>
      </c>
      <c r="F1443" s="3">
        <v>51</v>
      </c>
      <c r="G1443" s="3">
        <v>37230</v>
      </c>
      <c r="H1443" s="3" t="s">
        <v>2971</v>
      </c>
    </row>
    <row r="1444" spans="1:8" x14ac:dyDescent="0.35">
      <c r="A1444" t="s">
        <v>129</v>
      </c>
      <c r="B1444" s="26" t="s">
        <v>14</v>
      </c>
      <c r="C1444" s="20">
        <v>42685</v>
      </c>
      <c r="D1444" t="s">
        <v>56</v>
      </c>
      <c r="E1444" s="3">
        <v>800</v>
      </c>
      <c r="F1444" s="3">
        <v>32</v>
      </c>
      <c r="G1444" s="3">
        <v>18688</v>
      </c>
      <c r="H1444" s="3" t="s">
        <v>2975</v>
      </c>
    </row>
    <row r="1445" spans="1:8" x14ac:dyDescent="0.35">
      <c r="A1445" t="s">
        <v>109</v>
      </c>
      <c r="B1445" s="26" t="s">
        <v>20</v>
      </c>
      <c r="C1445" s="20">
        <v>43329</v>
      </c>
      <c r="D1445" t="s">
        <v>31</v>
      </c>
      <c r="E1445" s="3">
        <v>150</v>
      </c>
      <c r="F1445" s="3">
        <v>61</v>
      </c>
      <c r="G1445" s="3">
        <v>7808</v>
      </c>
      <c r="H1445" s="3" t="s">
        <v>2972</v>
      </c>
    </row>
    <row r="1446" spans="1:8" x14ac:dyDescent="0.35">
      <c r="A1446" t="s">
        <v>55</v>
      </c>
      <c r="B1446" s="26" t="s">
        <v>14</v>
      </c>
      <c r="C1446" s="20">
        <v>43056</v>
      </c>
      <c r="D1446" t="s">
        <v>62</v>
      </c>
      <c r="E1446" s="3">
        <v>1000</v>
      </c>
      <c r="F1446" s="3">
        <v>77</v>
      </c>
      <c r="G1446" s="3">
        <v>77000</v>
      </c>
      <c r="H1446" s="3" t="s">
        <v>2975</v>
      </c>
    </row>
    <row r="1447" spans="1:8" x14ac:dyDescent="0.35">
      <c r="A1447" t="s">
        <v>148</v>
      </c>
      <c r="B1447" s="26" t="s">
        <v>14</v>
      </c>
      <c r="C1447" s="20">
        <v>42936</v>
      </c>
      <c r="D1447" t="s">
        <v>37</v>
      </c>
      <c r="E1447" s="3">
        <v>50</v>
      </c>
      <c r="F1447" s="3">
        <v>26</v>
      </c>
      <c r="G1447" s="3">
        <v>1222</v>
      </c>
      <c r="H1447" s="3" t="s">
        <v>2971</v>
      </c>
    </row>
    <row r="1448" spans="1:8" x14ac:dyDescent="0.35">
      <c r="A1448" t="s">
        <v>83</v>
      </c>
      <c r="B1448" s="26" t="s">
        <v>14</v>
      </c>
      <c r="C1448" s="20">
        <v>43456</v>
      </c>
      <c r="D1448" t="s">
        <v>31</v>
      </c>
      <c r="E1448" s="3">
        <v>150</v>
      </c>
      <c r="F1448" s="3">
        <v>82</v>
      </c>
      <c r="G1448" s="3">
        <v>11808</v>
      </c>
      <c r="H1448" s="3" t="s">
        <v>2976</v>
      </c>
    </row>
    <row r="1449" spans="1:8" x14ac:dyDescent="0.35">
      <c r="A1449" t="s">
        <v>61</v>
      </c>
      <c r="B1449" s="26" t="s">
        <v>14</v>
      </c>
      <c r="C1449" s="20">
        <v>41651</v>
      </c>
      <c r="D1449" t="s">
        <v>42</v>
      </c>
      <c r="E1449" s="3">
        <v>30</v>
      </c>
      <c r="F1449" s="3">
        <v>16</v>
      </c>
      <c r="G1449" s="3">
        <v>464</v>
      </c>
      <c r="H1449" s="3" t="s">
        <v>2966</v>
      </c>
    </row>
    <row r="1450" spans="1:8" x14ac:dyDescent="0.35">
      <c r="A1450" t="s">
        <v>109</v>
      </c>
      <c r="B1450" s="26" t="s">
        <v>20</v>
      </c>
      <c r="C1450" s="20">
        <v>42563</v>
      </c>
      <c r="D1450" t="s">
        <v>37</v>
      </c>
      <c r="E1450" s="3">
        <v>50</v>
      </c>
      <c r="F1450" s="3">
        <v>10</v>
      </c>
      <c r="G1450" s="3">
        <v>440</v>
      </c>
      <c r="H1450" s="3" t="s">
        <v>2971</v>
      </c>
    </row>
    <row r="1451" spans="1:8" x14ac:dyDescent="0.35">
      <c r="A1451" t="s">
        <v>93</v>
      </c>
      <c r="B1451" s="26" t="s">
        <v>36</v>
      </c>
      <c r="C1451" s="20">
        <v>41663</v>
      </c>
      <c r="D1451" t="s">
        <v>47</v>
      </c>
      <c r="E1451" s="3">
        <v>500</v>
      </c>
      <c r="F1451" s="3">
        <v>75</v>
      </c>
      <c r="G1451" s="3">
        <v>26250</v>
      </c>
      <c r="H1451" s="3" t="s">
        <v>2966</v>
      </c>
    </row>
    <row r="1452" spans="1:8" x14ac:dyDescent="0.35">
      <c r="A1452" t="s">
        <v>97</v>
      </c>
      <c r="B1452" s="26" t="s">
        <v>14</v>
      </c>
      <c r="C1452" s="20">
        <v>42258</v>
      </c>
      <c r="D1452" t="s">
        <v>123</v>
      </c>
      <c r="E1452" s="3">
        <v>50</v>
      </c>
      <c r="F1452" s="3">
        <v>85</v>
      </c>
      <c r="G1452" s="3">
        <v>3570</v>
      </c>
      <c r="H1452" s="3" t="s">
        <v>2973</v>
      </c>
    </row>
    <row r="1453" spans="1:8" x14ac:dyDescent="0.35">
      <c r="A1453" t="s">
        <v>272</v>
      </c>
      <c r="B1453" s="26" t="s">
        <v>36</v>
      </c>
      <c r="C1453" s="20">
        <v>42701</v>
      </c>
      <c r="D1453" t="s">
        <v>116</v>
      </c>
      <c r="E1453" s="3">
        <v>250</v>
      </c>
      <c r="F1453" s="3">
        <v>61</v>
      </c>
      <c r="G1453" s="3">
        <v>13420</v>
      </c>
      <c r="H1453" s="3" t="s">
        <v>2975</v>
      </c>
    </row>
    <row r="1454" spans="1:8" x14ac:dyDescent="0.35">
      <c r="A1454" t="s">
        <v>87</v>
      </c>
      <c r="B1454" s="26" t="s">
        <v>14</v>
      </c>
      <c r="C1454" s="20">
        <v>42630</v>
      </c>
      <c r="D1454" t="s">
        <v>47</v>
      </c>
      <c r="E1454" s="3">
        <v>500</v>
      </c>
      <c r="F1454" s="3">
        <v>78</v>
      </c>
      <c r="G1454" s="3">
        <v>37830</v>
      </c>
      <c r="H1454" s="3" t="s">
        <v>2973</v>
      </c>
    </row>
    <row r="1455" spans="1:8" x14ac:dyDescent="0.35">
      <c r="A1455" t="s">
        <v>109</v>
      </c>
      <c r="B1455" s="26" t="s">
        <v>20</v>
      </c>
      <c r="C1455" s="20">
        <v>43347</v>
      </c>
      <c r="D1455" t="s">
        <v>26</v>
      </c>
      <c r="E1455" s="3">
        <v>700</v>
      </c>
      <c r="F1455" s="3">
        <v>95</v>
      </c>
      <c r="G1455" s="3">
        <v>63840</v>
      </c>
      <c r="H1455" s="3" t="s">
        <v>2973</v>
      </c>
    </row>
    <row r="1456" spans="1:8" x14ac:dyDescent="0.35">
      <c r="A1456" t="s">
        <v>97</v>
      </c>
      <c r="B1456" s="26" t="s">
        <v>14</v>
      </c>
      <c r="C1456" s="20">
        <v>42867</v>
      </c>
      <c r="D1456" t="s">
        <v>26</v>
      </c>
      <c r="E1456" s="3">
        <v>700</v>
      </c>
      <c r="F1456" s="3">
        <v>65</v>
      </c>
      <c r="G1456" s="3">
        <v>40950</v>
      </c>
      <c r="H1456" s="3" t="s">
        <v>2965</v>
      </c>
    </row>
    <row r="1457" spans="1:8" x14ac:dyDescent="0.35">
      <c r="A1457" t="s">
        <v>35</v>
      </c>
      <c r="B1457" s="26" t="s">
        <v>36</v>
      </c>
      <c r="C1457" s="20">
        <v>42669</v>
      </c>
      <c r="D1457" t="s">
        <v>56</v>
      </c>
      <c r="E1457" s="3">
        <v>800</v>
      </c>
      <c r="F1457" s="3">
        <v>32</v>
      </c>
      <c r="G1457" s="3">
        <v>22016</v>
      </c>
      <c r="H1457" s="3" t="s">
        <v>2974</v>
      </c>
    </row>
    <row r="1458" spans="1:8" x14ac:dyDescent="0.35">
      <c r="A1458" t="s">
        <v>41</v>
      </c>
      <c r="B1458" s="26" t="s">
        <v>36</v>
      </c>
      <c r="C1458" s="20">
        <v>41784</v>
      </c>
      <c r="D1458" t="s">
        <v>37</v>
      </c>
      <c r="E1458" s="3">
        <v>50</v>
      </c>
      <c r="F1458" s="3">
        <v>43</v>
      </c>
      <c r="G1458" s="3">
        <v>2064</v>
      </c>
      <c r="H1458" s="3" t="s">
        <v>2965</v>
      </c>
    </row>
    <row r="1459" spans="1:8" x14ac:dyDescent="0.35">
      <c r="A1459" t="s">
        <v>55</v>
      </c>
      <c r="B1459" s="26" t="s">
        <v>14</v>
      </c>
      <c r="C1459" s="20">
        <v>42879</v>
      </c>
      <c r="D1459" t="s">
        <v>105</v>
      </c>
      <c r="E1459" s="3">
        <v>70</v>
      </c>
      <c r="F1459" s="3">
        <v>64</v>
      </c>
      <c r="G1459" s="3">
        <v>4288</v>
      </c>
      <c r="H1459" s="3" t="s">
        <v>2965</v>
      </c>
    </row>
    <row r="1460" spans="1:8" x14ac:dyDescent="0.35">
      <c r="A1460" t="s">
        <v>189</v>
      </c>
      <c r="B1460" s="26" t="s">
        <v>14</v>
      </c>
      <c r="C1460" s="20">
        <v>42918</v>
      </c>
      <c r="D1460" t="s">
        <v>47</v>
      </c>
      <c r="E1460" s="3">
        <v>500</v>
      </c>
      <c r="F1460" s="3">
        <v>65</v>
      </c>
      <c r="G1460" s="3">
        <v>30550</v>
      </c>
      <c r="H1460" s="3" t="s">
        <v>2971</v>
      </c>
    </row>
    <row r="1461" spans="1:8" x14ac:dyDescent="0.35">
      <c r="A1461" t="s">
        <v>176</v>
      </c>
      <c r="B1461" s="26" t="s">
        <v>14</v>
      </c>
      <c r="C1461" s="20">
        <v>41901</v>
      </c>
      <c r="D1461" t="s">
        <v>116</v>
      </c>
      <c r="E1461" s="3">
        <v>250</v>
      </c>
      <c r="F1461" s="3">
        <v>100</v>
      </c>
      <c r="G1461" s="3">
        <v>24300</v>
      </c>
      <c r="H1461" s="3" t="s">
        <v>2973</v>
      </c>
    </row>
    <row r="1462" spans="1:8" x14ac:dyDescent="0.35">
      <c r="A1462" t="s">
        <v>109</v>
      </c>
      <c r="B1462" s="26" t="s">
        <v>20</v>
      </c>
      <c r="C1462" s="20">
        <v>43279</v>
      </c>
      <c r="D1462" t="s">
        <v>56</v>
      </c>
      <c r="E1462" s="3">
        <v>800</v>
      </c>
      <c r="F1462" s="3">
        <v>82</v>
      </c>
      <c r="G1462" s="3">
        <v>45264</v>
      </c>
      <c r="H1462" s="3" t="s">
        <v>2970</v>
      </c>
    </row>
    <row r="1463" spans="1:8" x14ac:dyDescent="0.35">
      <c r="A1463" t="s">
        <v>176</v>
      </c>
      <c r="B1463" s="26" t="s">
        <v>14</v>
      </c>
      <c r="C1463" s="20">
        <v>42654</v>
      </c>
      <c r="D1463" t="s">
        <v>73</v>
      </c>
      <c r="E1463" s="3">
        <v>500</v>
      </c>
      <c r="F1463" s="3">
        <v>1</v>
      </c>
      <c r="G1463" s="3">
        <v>490</v>
      </c>
      <c r="H1463" s="3" t="s">
        <v>2974</v>
      </c>
    </row>
    <row r="1464" spans="1:8" x14ac:dyDescent="0.35">
      <c r="A1464" t="s">
        <v>46</v>
      </c>
      <c r="B1464" s="26" t="s">
        <v>25</v>
      </c>
      <c r="C1464" s="20">
        <v>41690</v>
      </c>
      <c r="D1464" t="s">
        <v>15</v>
      </c>
      <c r="E1464" s="3">
        <v>80</v>
      </c>
      <c r="F1464" s="3">
        <v>83</v>
      </c>
      <c r="G1464" s="3">
        <v>5395</v>
      </c>
      <c r="H1464" s="3" t="s">
        <v>2967</v>
      </c>
    </row>
    <row r="1465" spans="1:8" x14ac:dyDescent="0.35">
      <c r="A1465" t="s">
        <v>257</v>
      </c>
      <c r="B1465" s="26" t="s">
        <v>14</v>
      </c>
      <c r="C1465" s="20">
        <v>42475</v>
      </c>
      <c r="D1465" t="s">
        <v>123</v>
      </c>
      <c r="E1465" s="3">
        <v>50</v>
      </c>
      <c r="F1465" s="3">
        <v>26</v>
      </c>
      <c r="G1465" s="3">
        <v>1118</v>
      </c>
      <c r="H1465" s="3" t="s">
        <v>2969</v>
      </c>
    </row>
    <row r="1466" spans="1:8" x14ac:dyDescent="0.35">
      <c r="A1466" t="s">
        <v>109</v>
      </c>
      <c r="B1466" s="26" t="s">
        <v>20</v>
      </c>
      <c r="C1466" s="20">
        <v>43190</v>
      </c>
      <c r="D1466" t="s">
        <v>56</v>
      </c>
      <c r="E1466" s="3">
        <v>800</v>
      </c>
      <c r="F1466" s="3">
        <v>64</v>
      </c>
      <c r="G1466" s="3">
        <v>39424</v>
      </c>
      <c r="H1466" s="3" t="s">
        <v>2968</v>
      </c>
    </row>
    <row r="1467" spans="1:8" x14ac:dyDescent="0.35">
      <c r="A1467" t="s">
        <v>229</v>
      </c>
      <c r="B1467" s="26" t="s">
        <v>25</v>
      </c>
      <c r="C1467" s="20">
        <v>42431</v>
      </c>
      <c r="D1467" t="s">
        <v>73</v>
      </c>
      <c r="E1467" s="3">
        <v>500</v>
      </c>
      <c r="F1467" s="3">
        <v>38</v>
      </c>
      <c r="G1467" s="3">
        <v>18620</v>
      </c>
      <c r="H1467" s="3" t="s">
        <v>2968</v>
      </c>
    </row>
    <row r="1468" spans="1:8" x14ac:dyDescent="0.35">
      <c r="A1468" t="s">
        <v>72</v>
      </c>
      <c r="B1468" s="26" t="s">
        <v>36</v>
      </c>
      <c r="C1468" s="20">
        <v>43242</v>
      </c>
      <c r="D1468" t="s">
        <v>42</v>
      </c>
      <c r="E1468" s="3">
        <v>30</v>
      </c>
      <c r="F1468" s="3">
        <v>53</v>
      </c>
      <c r="G1468" s="3">
        <v>1378</v>
      </c>
      <c r="H1468" s="3" t="s">
        <v>2965</v>
      </c>
    </row>
    <row r="1469" spans="1:8" x14ac:dyDescent="0.35">
      <c r="A1469" t="s">
        <v>148</v>
      </c>
      <c r="B1469" s="26" t="s">
        <v>14</v>
      </c>
      <c r="C1469" s="20">
        <v>43382</v>
      </c>
      <c r="D1469" t="s">
        <v>123</v>
      </c>
      <c r="E1469" s="3">
        <v>50</v>
      </c>
      <c r="F1469" s="3">
        <v>54</v>
      </c>
      <c r="G1469" s="3">
        <v>2592</v>
      </c>
      <c r="H1469" s="3" t="s">
        <v>2974</v>
      </c>
    </row>
    <row r="1470" spans="1:8" x14ac:dyDescent="0.35">
      <c r="A1470" t="s">
        <v>72</v>
      </c>
      <c r="B1470" s="26" t="s">
        <v>36</v>
      </c>
      <c r="C1470" s="20">
        <v>41690</v>
      </c>
      <c r="D1470" t="s">
        <v>56</v>
      </c>
      <c r="E1470" s="3">
        <v>800</v>
      </c>
      <c r="F1470" s="3">
        <v>82</v>
      </c>
      <c r="G1470" s="3">
        <v>49856</v>
      </c>
      <c r="H1470" s="3" t="s">
        <v>2967</v>
      </c>
    </row>
    <row r="1471" spans="1:8" x14ac:dyDescent="0.35">
      <c r="A1471" t="s">
        <v>41</v>
      </c>
      <c r="B1471" s="26" t="s">
        <v>36</v>
      </c>
      <c r="C1471" s="20">
        <v>42487</v>
      </c>
      <c r="D1471" t="s">
        <v>62</v>
      </c>
      <c r="E1471" s="3">
        <v>1000</v>
      </c>
      <c r="F1471" s="3">
        <v>96</v>
      </c>
      <c r="G1471" s="3">
        <v>65280</v>
      </c>
      <c r="H1471" s="3" t="s">
        <v>2969</v>
      </c>
    </row>
    <row r="1472" spans="1:8" x14ac:dyDescent="0.35">
      <c r="A1472" t="s">
        <v>109</v>
      </c>
      <c r="B1472" s="26" t="s">
        <v>20</v>
      </c>
      <c r="C1472" s="20">
        <v>42185</v>
      </c>
      <c r="D1472" t="s">
        <v>73</v>
      </c>
      <c r="E1472" s="3">
        <v>500</v>
      </c>
      <c r="F1472" s="3">
        <v>43</v>
      </c>
      <c r="G1472" s="3">
        <v>21500</v>
      </c>
      <c r="H1472" s="3" t="s">
        <v>2970</v>
      </c>
    </row>
    <row r="1473" spans="1:8" x14ac:dyDescent="0.35">
      <c r="A1473" t="s">
        <v>61</v>
      </c>
      <c r="B1473" s="26" t="s">
        <v>14</v>
      </c>
      <c r="C1473" s="20">
        <v>42268</v>
      </c>
      <c r="D1473" t="s">
        <v>26</v>
      </c>
      <c r="E1473" s="3">
        <v>700</v>
      </c>
      <c r="F1473" s="3">
        <v>82</v>
      </c>
      <c r="G1473" s="3">
        <v>37884</v>
      </c>
      <c r="H1473" s="3" t="s">
        <v>2973</v>
      </c>
    </row>
    <row r="1474" spans="1:8" x14ac:dyDescent="0.35">
      <c r="A1474" t="s">
        <v>101</v>
      </c>
      <c r="B1474" s="26" t="s">
        <v>14</v>
      </c>
      <c r="C1474" s="20">
        <v>42114</v>
      </c>
      <c r="D1474" t="s">
        <v>15</v>
      </c>
      <c r="E1474" s="3">
        <v>80</v>
      </c>
      <c r="F1474" s="3">
        <v>50</v>
      </c>
      <c r="G1474" s="3">
        <v>3450</v>
      </c>
      <c r="H1474" s="3" t="s">
        <v>2969</v>
      </c>
    </row>
    <row r="1475" spans="1:8" x14ac:dyDescent="0.35">
      <c r="A1475" t="s">
        <v>189</v>
      </c>
      <c r="B1475" s="26" t="s">
        <v>14</v>
      </c>
      <c r="C1475" s="20">
        <v>42121</v>
      </c>
      <c r="D1475" t="s">
        <v>105</v>
      </c>
      <c r="E1475" s="3">
        <v>70</v>
      </c>
      <c r="F1475" s="3">
        <v>11</v>
      </c>
      <c r="G1475" s="3">
        <v>517</v>
      </c>
      <c r="H1475" s="3" t="s">
        <v>2969</v>
      </c>
    </row>
    <row r="1476" spans="1:8" x14ac:dyDescent="0.35">
      <c r="A1476" t="s">
        <v>13</v>
      </c>
      <c r="B1476" s="26" t="s">
        <v>14</v>
      </c>
      <c r="C1476" s="20">
        <v>42512</v>
      </c>
      <c r="D1476" t="s">
        <v>47</v>
      </c>
      <c r="E1476" s="3">
        <v>500</v>
      </c>
      <c r="F1476" s="3">
        <v>66</v>
      </c>
      <c r="G1476" s="3">
        <v>32340</v>
      </c>
      <c r="H1476" s="3" t="s">
        <v>2965</v>
      </c>
    </row>
    <row r="1477" spans="1:8" x14ac:dyDescent="0.35">
      <c r="A1477" t="s">
        <v>66</v>
      </c>
      <c r="B1477" s="26" t="s">
        <v>36</v>
      </c>
      <c r="C1477" s="20">
        <v>42914</v>
      </c>
      <c r="D1477" t="s">
        <v>73</v>
      </c>
      <c r="E1477" s="3">
        <v>500</v>
      </c>
      <c r="F1477" s="3">
        <v>69</v>
      </c>
      <c r="G1477" s="3">
        <v>33810</v>
      </c>
      <c r="H1477" s="3" t="s">
        <v>2970</v>
      </c>
    </row>
    <row r="1478" spans="1:8" x14ac:dyDescent="0.35">
      <c r="A1478" t="s">
        <v>93</v>
      </c>
      <c r="B1478" s="26" t="s">
        <v>36</v>
      </c>
      <c r="C1478" s="20">
        <v>43189</v>
      </c>
      <c r="D1478" t="s">
        <v>15</v>
      </c>
      <c r="E1478" s="3">
        <v>80</v>
      </c>
      <c r="F1478" s="3">
        <v>80</v>
      </c>
      <c r="G1478" s="3">
        <v>6400</v>
      </c>
      <c r="H1478" s="3" t="s">
        <v>2968</v>
      </c>
    </row>
    <row r="1479" spans="1:8" x14ac:dyDescent="0.35">
      <c r="A1479" t="s">
        <v>129</v>
      </c>
      <c r="B1479" s="26" t="s">
        <v>14</v>
      </c>
      <c r="C1479" s="20">
        <v>42849</v>
      </c>
      <c r="D1479" t="s">
        <v>15</v>
      </c>
      <c r="E1479" s="3">
        <v>80</v>
      </c>
      <c r="F1479" s="3">
        <v>18</v>
      </c>
      <c r="G1479" s="3">
        <v>1368</v>
      </c>
      <c r="H1479" s="3" t="s">
        <v>2969</v>
      </c>
    </row>
    <row r="1480" spans="1:8" x14ac:dyDescent="0.35">
      <c r="A1480" t="s">
        <v>243</v>
      </c>
      <c r="B1480" s="26" t="s">
        <v>14</v>
      </c>
      <c r="C1480" s="20">
        <v>43163</v>
      </c>
      <c r="D1480" t="s">
        <v>26</v>
      </c>
      <c r="E1480" s="3">
        <v>700</v>
      </c>
      <c r="F1480" s="3">
        <v>53</v>
      </c>
      <c r="G1480" s="3">
        <v>36358</v>
      </c>
      <c r="H1480" s="3" t="s">
        <v>2968</v>
      </c>
    </row>
    <row r="1481" spans="1:8" x14ac:dyDescent="0.35">
      <c r="A1481" t="s">
        <v>176</v>
      </c>
      <c r="B1481" s="26" t="s">
        <v>14</v>
      </c>
      <c r="C1481" s="20">
        <v>41747</v>
      </c>
      <c r="D1481" t="s">
        <v>116</v>
      </c>
      <c r="E1481" s="3">
        <v>250</v>
      </c>
      <c r="F1481" s="3">
        <v>31</v>
      </c>
      <c r="G1481" s="3">
        <v>6913</v>
      </c>
      <c r="H1481" s="3" t="s">
        <v>2969</v>
      </c>
    </row>
    <row r="1482" spans="1:8" x14ac:dyDescent="0.35">
      <c r="A1482" t="s">
        <v>93</v>
      </c>
      <c r="B1482" s="26" t="s">
        <v>36</v>
      </c>
      <c r="C1482" s="20">
        <v>42219</v>
      </c>
      <c r="D1482" t="s">
        <v>116</v>
      </c>
      <c r="E1482" s="3">
        <v>250</v>
      </c>
      <c r="F1482" s="3">
        <v>83</v>
      </c>
      <c r="G1482" s="3">
        <v>14940</v>
      </c>
      <c r="H1482" s="3" t="s">
        <v>2972</v>
      </c>
    </row>
    <row r="1483" spans="1:8" x14ac:dyDescent="0.35">
      <c r="A1483" t="s">
        <v>207</v>
      </c>
      <c r="B1483" s="26" t="s">
        <v>25</v>
      </c>
      <c r="C1483" s="20">
        <v>42593</v>
      </c>
      <c r="D1483" t="s">
        <v>31</v>
      </c>
      <c r="E1483" s="3">
        <v>150</v>
      </c>
      <c r="F1483" s="3">
        <v>1</v>
      </c>
      <c r="G1483" s="3">
        <v>146</v>
      </c>
      <c r="H1483" s="3" t="s">
        <v>2972</v>
      </c>
    </row>
    <row r="1484" spans="1:8" x14ac:dyDescent="0.35">
      <c r="A1484" t="s">
        <v>207</v>
      </c>
      <c r="B1484" s="26" t="s">
        <v>25</v>
      </c>
      <c r="C1484" s="20">
        <v>42508</v>
      </c>
      <c r="D1484" t="s">
        <v>116</v>
      </c>
      <c r="E1484" s="3">
        <v>250</v>
      </c>
      <c r="F1484" s="3">
        <v>36</v>
      </c>
      <c r="G1484" s="3">
        <v>8460</v>
      </c>
      <c r="H1484" s="3" t="s">
        <v>2965</v>
      </c>
    </row>
    <row r="1485" spans="1:8" x14ac:dyDescent="0.35">
      <c r="A1485" t="s">
        <v>87</v>
      </c>
      <c r="B1485" s="26" t="s">
        <v>14</v>
      </c>
      <c r="C1485" s="20">
        <v>43414</v>
      </c>
      <c r="D1485" t="s">
        <v>56</v>
      </c>
      <c r="E1485" s="3">
        <v>800</v>
      </c>
      <c r="F1485" s="3">
        <v>6</v>
      </c>
      <c r="G1485" s="3">
        <v>2640</v>
      </c>
      <c r="H1485" s="3" t="s">
        <v>2975</v>
      </c>
    </row>
    <row r="1486" spans="1:8" x14ac:dyDescent="0.35">
      <c r="A1486" t="s">
        <v>72</v>
      </c>
      <c r="B1486" s="26" t="s">
        <v>36</v>
      </c>
      <c r="C1486" s="20">
        <v>42334</v>
      </c>
      <c r="D1486" t="s">
        <v>42</v>
      </c>
      <c r="E1486" s="3">
        <v>30</v>
      </c>
      <c r="F1486" s="3">
        <v>38</v>
      </c>
      <c r="G1486" s="3">
        <v>1064</v>
      </c>
      <c r="H1486" s="3" t="s">
        <v>2975</v>
      </c>
    </row>
    <row r="1487" spans="1:8" x14ac:dyDescent="0.35">
      <c r="A1487" t="s">
        <v>24</v>
      </c>
      <c r="B1487" s="26" t="s">
        <v>25</v>
      </c>
      <c r="C1487" s="20">
        <v>42465</v>
      </c>
      <c r="D1487" t="s">
        <v>116</v>
      </c>
      <c r="E1487" s="3">
        <v>250</v>
      </c>
      <c r="F1487" s="3">
        <v>10</v>
      </c>
      <c r="G1487" s="3">
        <v>2130</v>
      </c>
      <c r="H1487" s="3" t="s">
        <v>2969</v>
      </c>
    </row>
    <row r="1488" spans="1:8" x14ac:dyDescent="0.35">
      <c r="A1488" t="s">
        <v>109</v>
      </c>
      <c r="B1488" s="26" t="s">
        <v>20</v>
      </c>
      <c r="C1488" s="20">
        <v>42932</v>
      </c>
      <c r="D1488" t="s">
        <v>26</v>
      </c>
      <c r="E1488" s="3">
        <v>700</v>
      </c>
      <c r="F1488" s="3">
        <v>19</v>
      </c>
      <c r="G1488" s="3">
        <v>12635</v>
      </c>
      <c r="H1488" s="3" t="s">
        <v>2971</v>
      </c>
    </row>
    <row r="1489" spans="1:8" x14ac:dyDescent="0.35">
      <c r="A1489" t="s">
        <v>72</v>
      </c>
      <c r="B1489" s="26" t="s">
        <v>36</v>
      </c>
      <c r="C1489" s="20">
        <v>42846</v>
      </c>
      <c r="D1489" t="s">
        <v>73</v>
      </c>
      <c r="E1489" s="3">
        <v>500</v>
      </c>
      <c r="F1489" s="3">
        <v>70</v>
      </c>
      <c r="G1489" s="3">
        <v>34650</v>
      </c>
      <c r="H1489" s="3" t="s">
        <v>2969</v>
      </c>
    </row>
    <row r="1490" spans="1:8" x14ac:dyDescent="0.35">
      <c r="A1490" t="s">
        <v>101</v>
      </c>
      <c r="B1490" s="26" t="s">
        <v>14</v>
      </c>
      <c r="C1490" s="20">
        <v>41713</v>
      </c>
      <c r="D1490" t="s">
        <v>105</v>
      </c>
      <c r="E1490" s="3">
        <v>70</v>
      </c>
      <c r="F1490" s="3">
        <v>13</v>
      </c>
      <c r="G1490" s="3">
        <v>871</v>
      </c>
      <c r="H1490" s="3" t="s">
        <v>2968</v>
      </c>
    </row>
    <row r="1491" spans="1:8" x14ac:dyDescent="0.35">
      <c r="A1491" t="s">
        <v>257</v>
      </c>
      <c r="B1491" s="26" t="s">
        <v>14</v>
      </c>
      <c r="C1491" s="20">
        <v>41861</v>
      </c>
      <c r="D1491" t="s">
        <v>73</v>
      </c>
      <c r="E1491" s="3">
        <v>500</v>
      </c>
      <c r="F1491" s="3">
        <v>33</v>
      </c>
      <c r="G1491" s="3">
        <v>16170</v>
      </c>
      <c r="H1491" s="3" t="s">
        <v>2972</v>
      </c>
    </row>
    <row r="1492" spans="1:8" x14ac:dyDescent="0.35">
      <c r="A1492" t="s">
        <v>109</v>
      </c>
      <c r="B1492" s="26" t="s">
        <v>20</v>
      </c>
      <c r="C1492" s="20">
        <v>41847</v>
      </c>
      <c r="D1492" t="s">
        <v>73</v>
      </c>
      <c r="E1492" s="3">
        <v>500</v>
      </c>
      <c r="F1492" s="3">
        <v>66</v>
      </c>
      <c r="G1492" s="3">
        <v>32670</v>
      </c>
      <c r="H1492" s="3" t="s">
        <v>2971</v>
      </c>
    </row>
    <row r="1493" spans="1:8" x14ac:dyDescent="0.35">
      <c r="A1493" t="s">
        <v>109</v>
      </c>
      <c r="B1493" s="26" t="s">
        <v>20</v>
      </c>
      <c r="C1493" s="20">
        <v>43439</v>
      </c>
      <c r="D1493" t="s">
        <v>26</v>
      </c>
      <c r="E1493" s="3">
        <v>700</v>
      </c>
      <c r="F1493" s="3">
        <v>85</v>
      </c>
      <c r="G1493" s="3">
        <v>59500</v>
      </c>
      <c r="H1493" s="3" t="s">
        <v>2976</v>
      </c>
    </row>
    <row r="1494" spans="1:8" x14ac:dyDescent="0.35">
      <c r="A1494" t="s">
        <v>61</v>
      </c>
      <c r="B1494" s="26" t="s">
        <v>14</v>
      </c>
      <c r="C1494" s="20">
        <v>43216</v>
      </c>
      <c r="D1494" t="s">
        <v>123</v>
      </c>
      <c r="E1494" s="3">
        <v>50</v>
      </c>
      <c r="F1494" s="3">
        <v>86</v>
      </c>
      <c r="G1494" s="3">
        <v>3698</v>
      </c>
      <c r="H1494" s="3" t="s">
        <v>2969</v>
      </c>
    </row>
    <row r="1495" spans="1:8" x14ac:dyDescent="0.35">
      <c r="A1495" t="s">
        <v>19</v>
      </c>
      <c r="B1495" s="26" t="s">
        <v>20</v>
      </c>
      <c r="C1495" s="20">
        <v>42211</v>
      </c>
      <c r="D1495" t="s">
        <v>56</v>
      </c>
      <c r="E1495" s="3">
        <v>800</v>
      </c>
      <c r="F1495" s="3">
        <v>49</v>
      </c>
      <c r="G1495" s="3">
        <v>30184</v>
      </c>
      <c r="H1495" s="3" t="s">
        <v>2971</v>
      </c>
    </row>
    <row r="1496" spans="1:8" x14ac:dyDescent="0.35">
      <c r="A1496" t="s">
        <v>109</v>
      </c>
      <c r="B1496" s="26" t="s">
        <v>20</v>
      </c>
      <c r="C1496" s="20">
        <v>43271</v>
      </c>
      <c r="D1496" t="s">
        <v>116</v>
      </c>
      <c r="E1496" s="3">
        <v>250</v>
      </c>
      <c r="F1496" s="3">
        <v>93</v>
      </c>
      <c r="G1496" s="3">
        <v>22785</v>
      </c>
      <c r="H1496" s="3" t="s">
        <v>2970</v>
      </c>
    </row>
    <row r="1497" spans="1:8" x14ac:dyDescent="0.35">
      <c r="A1497" t="s">
        <v>83</v>
      </c>
      <c r="B1497" s="26" t="s">
        <v>14</v>
      </c>
      <c r="C1497" s="20">
        <v>43264</v>
      </c>
      <c r="D1497" t="s">
        <v>116</v>
      </c>
      <c r="E1497" s="3">
        <v>250</v>
      </c>
      <c r="F1497" s="3">
        <v>87</v>
      </c>
      <c r="G1497" s="3">
        <v>19401</v>
      </c>
      <c r="H1497" s="3" t="s">
        <v>2970</v>
      </c>
    </row>
    <row r="1498" spans="1:8" x14ac:dyDescent="0.35">
      <c r="A1498" t="s">
        <v>176</v>
      </c>
      <c r="B1498" s="26" t="s">
        <v>14</v>
      </c>
      <c r="C1498" s="20">
        <v>43295</v>
      </c>
      <c r="D1498" t="s">
        <v>15</v>
      </c>
      <c r="E1498" s="3">
        <v>80</v>
      </c>
      <c r="F1498" s="3">
        <v>42</v>
      </c>
      <c r="G1498" s="3">
        <v>3066</v>
      </c>
      <c r="H1498" s="3" t="s">
        <v>2971</v>
      </c>
    </row>
    <row r="1499" spans="1:8" x14ac:dyDescent="0.35">
      <c r="A1499" t="s">
        <v>101</v>
      </c>
      <c r="B1499" s="26" t="s">
        <v>14</v>
      </c>
      <c r="C1499" s="20">
        <v>41774</v>
      </c>
      <c r="D1499" t="s">
        <v>105</v>
      </c>
      <c r="E1499" s="3">
        <v>70</v>
      </c>
      <c r="F1499" s="3">
        <v>77</v>
      </c>
      <c r="G1499" s="3">
        <v>5159</v>
      </c>
      <c r="H1499" s="3" t="s">
        <v>2965</v>
      </c>
    </row>
    <row r="1500" spans="1:8" x14ac:dyDescent="0.35">
      <c r="A1500" t="s">
        <v>97</v>
      </c>
      <c r="B1500" s="26" t="s">
        <v>14</v>
      </c>
      <c r="C1500" s="20">
        <v>41680</v>
      </c>
      <c r="D1500" t="s">
        <v>42</v>
      </c>
      <c r="E1500" s="3">
        <v>30</v>
      </c>
      <c r="F1500" s="3">
        <v>96</v>
      </c>
      <c r="G1500" s="3">
        <v>2880</v>
      </c>
      <c r="H1500" s="3" t="s">
        <v>2967</v>
      </c>
    </row>
    <row r="1501" spans="1:8" x14ac:dyDescent="0.35">
      <c r="A1501" t="s">
        <v>109</v>
      </c>
      <c r="B1501" s="26" t="s">
        <v>20</v>
      </c>
      <c r="C1501" s="20">
        <v>42372</v>
      </c>
      <c r="D1501" t="s">
        <v>123</v>
      </c>
      <c r="E1501" s="3">
        <v>50</v>
      </c>
      <c r="F1501" s="3">
        <v>94</v>
      </c>
      <c r="G1501" s="3">
        <v>4606</v>
      </c>
      <c r="H1501" s="3" t="s">
        <v>2966</v>
      </c>
    </row>
    <row r="1502" spans="1:8" x14ac:dyDescent="0.35">
      <c r="A1502" t="s">
        <v>266</v>
      </c>
      <c r="B1502" s="26" t="s">
        <v>14</v>
      </c>
      <c r="C1502" s="20">
        <v>41939</v>
      </c>
      <c r="D1502" t="s">
        <v>73</v>
      </c>
      <c r="E1502" s="3">
        <v>500</v>
      </c>
      <c r="F1502" s="3">
        <v>81</v>
      </c>
      <c r="G1502" s="3">
        <v>40095</v>
      </c>
      <c r="H1502" s="3" t="s">
        <v>2974</v>
      </c>
    </row>
    <row r="1503" spans="1:8" x14ac:dyDescent="0.35">
      <c r="A1503" t="s">
        <v>55</v>
      </c>
      <c r="B1503" s="26" t="s">
        <v>14</v>
      </c>
      <c r="C1503" s="20">
        <v>42992</v>
      </c>
      <c r="D1503" t="s">
        <v>47</v>
      </c>
      <c r="E1503" s="3">
        <v>500</v>
      </c>
      <c r="F1503" s="3">
        <v>14</v>
      </c>
      <c r="G1503" s="3">
        <v>6790</v>
      </c>
      <c r="H1503" s="3" t="s">
        <v>2973</v>
      </c>
    </row>
    <row r="1504" spans="1:8" x14ac:dyDescent="0.35">
      <c r="A1504" t="s">
        <v>109</v>
      </c>
      <c r="B1504" s="26" t="s">
        <v>20</v>
      </c>
      <c r="C1504" s="20">
        <v>42033</v>
      </c>
      <c r="D1504" t="s">
        <v>31</v>
      </c>
      <c r="E1504" s="3">
        <v>150</v>
      </c>
      <c r="F1504" s="3">
        <v>65</v>
      </c>
      <c r="G1504" s="3">
        <v>7540</v>
      </c>
      <c r="H1504" s="3" t="s">
        <v>2966</v>
      </c>
    </row>
    <row r="1505" spans="1:8" x14ac:dyDescent="0.35">
      <c r="A1505" t="s">
        <v>19</v>
      </c>
      <c r="B1505" s="26" t="s">
        <v>20</v>
      </c>
      <c r="C1505" s="20">
        <v>42242</v>
      </c>
      <c r="D1505" t="s">
        <v>26</v>
      </c>
      <c r="E1505" s="3">
        <v>700</v>
      </c>
      <c r="F1505" s="3">
        <v>95</v>
      </c>
      <c r="G1505" s="3">
        <v>62510</v>
      </c>
      <c r="H1505" s="3" t="s">
        <v>2972</v>
      </c>
    </row>
    <row r="1506" spans="1:8" x14ac:dyDescent="0.35">
      <c r="A1506" t="s">
        <v>61</v>
      </c>
      <c r="B1506" s="26" t="s">
        <v>14</v>
      </c>
      <c r="C1506" s="20">
        <v>42477</v>
      </c>
      <c r="D1506" t="s">
        <v>42</v>
      </c>
      <c r="E1506" s="3">
        <v>30</v>
      </c>
      <c r="F1506" s="3">
        <v>60</v>
      </c>
      <c r="G1506" s="3">
        <v>1620</v>
      </c>
      <c r="H1506" s="3" t="s">
        <v>2969</v>
      </c>
    </row>
    <row r="1507" spans="1:8" x14ac:dyDescent="0.35">
      <c r="A1507" t="s">
        <v>13</v>
      </c>
      <c r="B1507" s="26" t="s">
        <v>14</v>
      </c>
      <c r="C1507" s="20">
        <v>41757</v>
      </c>
      <c r="D1507" t="s">
        <v>56</v>
      </c>
      <c r="E1507" s="3">
        <v>800</v>
      </c>
      <c r="F1507" s="3">
        <v>23</v>
      </c>
      <c r="G1507" s="3">
        <v>13984</v>
      </c>
      <c r="H1507" s="3" t="s">
        <v>2969</v>
      </c>
    </row>
    <row r="1508" spans="1:8" x14ac:dyDescent="0.35">
      <c r="A1508" t="s">
        <v>41</v>
      </c>
      <c r="B1508" s="26" t="s">
        <v>36</v>
      </c>
      <c r="C1508" s="20">
        <v>42465</v>
      </c>
      <c r="D1508" t="s">
        <v>37</v>
      </c>
      <c r="E1508" s="3">
        <v>50</v>
      </c>
      <c r="F1508" s="3">
        <v>7</v>
      </c>
      <c r="G1508" s="3">
        <v>343</v>
      </c>
      <c r="H1508" s="3" t="s">
        <v>2969</v>
      </c>
    </row>
    <row r="1509" spans="1:8" x14ac:dyDescent="0.35">
      <c r="A1509" t="s">
        <v>207</v>
      </c>
      <c r="B1509" s="26" t="s">
        <v>25</v>
      </c>
      <c r="C1509" s="20">
        <v>42652</v>
      </c>
      <c r="D1509" t="s">
        <v>15</v>
      </c>
      <c r="E1509" s="3">
        <v>80</v>
      </c>
      <c r="F1509" s="3">
        <v>68</v>
      </c>
      <c r="G1509" s="3">
        <v>4692</v>
      </c>
      <c r="H1509" s="3" t="s">
        <v>2974</v>
      </c>
    </row>
    <row r="1510" spans="1:8" x14ac:dyDescent="0.35">
      <c r="A1510" t="s">
        <v>272</v>
      </c>
      <c r="B1510" s="26" t="s">
        <v>36</v>
      </c>
      <c r="C1510" s="20">
        <v>42008</v>
      </c>
      <c r="D1510" t="s">
        <v>105</v>
      </c>
      <c r="E1510" s="3">
        <v>70</v>
      </c>
      <c r="F1510" s="3">
        <v>80</v>
      </c>
      <c r="G1510" s="3">
        <v>5120</v>
      </c>
      <c r="H1510" s="3" t="s">
        <v>2966</v>
      </c>
    </row>
    <row r="1511" spans="1:8" x14ac:dyDescent="0.35">
      <c r="A1511" t="s">
        <v>61</v>
      </c>
      <c r="B1511" s="26" t="s">
        <v>14</v>
      </c>
      <c r="C1511" s="20">
        <v>43368</v>
      </c>
      <c r="D1511" t="s">
        <v>42</v>
      </c>
      <c r="E1511" s="3">
        <v>30</v>
      </c>
      <c r="F1511" s="3">
        <v>58</v>
      </c>
      <c r="G1511" s="3">
        <v>1566</v>
      </c>
      <c r="H1511" s="3" t="s">
        <v>2973</v>
      </c>
    </row>
    <row r="1512" spans="1:8" x14ac:dyDescent="0.35">
      <c r="A1512" t="s">
        <v>97</v>
      </c>
      <c r="B1512" s="26" t="s">
        <v>14</v>
      </c>
      <c r="C1512" s="20">
        <v>41871</v>
      </c>
      <c r="D1512" t="s">
        <v>47</v>
      </c>
      <c r="E1512" s="3">
        <v>500</v>
      </c>
      <c r="F1512" s="3">
        <v>51</v>
      </c>
      <c r="G1512" s="3">
        <v>25500</v>
      </c>
      <c r="H1512" s="3" t="s">
        <v>2972</v>
      </c>
    </row>
    <row r="1513" spans="1:8" x14ac:dyDescent="0.35">
      <c r="A1513" t="s">
        <v>266</v>
      </c>
      <c r="B1513" s="26" t="s">
        <v>14</v>
      </c>
      <c r="C1513" s="20">
        <v>41918</v>
      </c>
      <c r="D1513" t="s">
        <v>15</v>
      </c>
      <c r="E1513" s="3">
        <v>80</v>
      </c>
      <c r="F1513" s="3">
        <v>3</v>
      </c>
      <c r="G1513" s="3">
        <v>180</v>
      </c>
      <c r="H1513" s="3" t="s">
        <v>2974</v>
      </c>
    </row>
    <row r="1514" spans="1:8" x14ac:dyDescent="0.35">
      <c r="A1514" t="s">
        <v>83</v>
      </c>
      <c r="B1514" s="26" t="s">
        <v>14</v>
      </c>
      <c r="C1514" s="20">
        <v>43404</v>
      </c>
      <c r="D1514" t="s">
        <v>26</v>
      </c>
      <c r="E1514" s="3">
        <v>700</v>
      </c>
      <c r="F1514" s="3">
        <v>40</v>
      </c>
      <c r="G1514" s="3">
        <v>25480</v>
      </c>
      <c r="H1514" s="3" t="s">
        <v>2974</v>
      </c>
    </row>
    <row r="1515" spans="1:8" x14ac:dyDescent="0.35">
      <c r="A1515" t="s">
        <v>93</v>
      </c>
      <c r="B1515" s="26" t="s">
        <v>36</v>
      </c>
      <c r="C1515" s="20">
        <v>41688</v>
      </c>
      <c r="D1515" t="s">
        <v>116</v>
      </c>
      <c r="E1515" s="3">
        <v>250</v>
      </c>
      <c r="F1515" s="3">
        <v>7</v>
      </c>
      <c r="G1515" s="3">
        <v>1246</v>
      </c>
      <c r="H1515" s="3" t="s">
        <v>2967</v>
      </c>
    </row>
    <row r="1516" spans="1:8" x14ac:dyDescent="0.35">
      <c r="A1516" t="s">
        <v>172</v>
      </c>
      <c r="B1516" s="26" t="s">
        <v>14</v>
      </c>
      <c r="C1516" s="20">
        <v>42332</v>
      </c>
      <c r="D1516" t="s">
        <v>73</v>
      </c>
      <c r="E1516" s="3">
        <v>500</v>
      </c>
      <c r="F1516" s="3">
        <v>84</v>
      </c>
      <c r="G1516" s="3">
        <v>42000</v>
      </c>
      <c r="H1516" s="3" t="s">
        <v>2975</v>
      </c>
    </row>
    <row r="1517" spans="1:8" x14ac:dyDescent="0.35">
      <c r="A1517" t="s">
        <v>83</v>
      </c>
      <c r="B1517" s="26" t="s">
        <v>14</v>
      </c>
      <c r="C1517" s="20">
        <v>42744</v>
      </c>
      <c r="D1517" t="s">
        <v>37</v>
      </c>
      <c r="E1517" s="3">
        <v>50</v>
      </c>
      <c r="F1517" s="3">
        <v>91</v>
      </c>
      <c r="G1517" s="3">
        <v>4277</v>
      </c>
      <c r="H1517" s="3" t="s">
        <v>2966</v>
      </c>
    </row>
    <row r="1518" spans="1:8" x14ac:dyDescent="0.35">
      <c r="A1518" t="s">
        <v>101</v>
      </c>
      <c r="B1518" s="26" t="s">
        <v>14</v>
      </c>
      <c r="C1518" s="20">
        <v>41935</v>
      </c>
      <c r="D1518" t="s">
        <v>47</v>
      </c>
      <c r="E1518" s="3">
        <v>500</v>
      </c>
      <c r="F1518" s="3">
        <v>47</v>
      </c>
      <c r="G1518" s="3">
        <v>19035</v>
      </c>
      <c r="H1518" s="3" t="s">
        <v>2974</v>
      </c>
    </row>
    <row r="1519" spans="1:8" x14ac:dyDescent="0.35">
      <c r="A1519" t="s">
        <v>152</v>
      </c>
      <c r="B1519" s="26" t="s">
        <v>14</v>
      </c>
      <c r="C1519" s="20">
        <v>43072</v>
      </c>
      <c r="D1519" t="s">
        <v>116</v>
      </c>
      <c r="E1519" s="3">
        <v>250</v>
      </c>
      <c r="F1519" s="3">
        <v>14</v>
      </c>
      <c r="G1519" s="3">
        <v>3430</v>
      </c>
      <c r="H1519" s="3" t="s">
        <v>2976</v>
      </c>
    </row>
    <row r="1520" spans="1:8" x14ac:dyDescent="0.35">
      <c r="A1520" t="s">
        <v>326</v>
      </c>
      <c r="B1520" s="26" t="s">
        <v>14</v>
      </c>
      <c r="C1520" s="20">
        <v>43184</v>
      </c>
      <c r="D1520" t="s">
        <v>15</v>
      </c>
      <c r="E1520" s="3">
        <v>80</v>
      </c>
      <c r="F1520" s="3">
        <v>89</v>
      </c>
      <c r="G1520" s="3">
        <v>6942</v>
      </c>
      <c r="H1520" s="3" t="s">
        <v>2968</v>
      </c>
    </row>
    <row r="1521" spans="1:8" x14ac:dyDescent="0.35">
      <c r="A1521" t="s">
        <v>207</v>
      </c>
      <c r="B1521" s="26" t="s">
        <v>25</v>
      </c>
      <c r="C1521" s="20">
        <v>42173</v>
      </c>
      <c r="D1521" t="s">
        <v>47</v>
      </c>
      <c r="E1521" s="3">
        <v>500</v>
      </c>
      <c r="F1521" s="3">
        <v>100</v>
      </c>
      <c r="G1521" s="3">
        <v>34500</v>
      </c>
      <c r="H1521" s="3" t="s">
        <v>2970</v>
      </c>
    </row>
    <row r="1522" spans="1:8" x14ac:dyDescent="0.35">
      <c r="A1522" t="s">
        <v>207</v>
      </c>
      <c r="B1522" s="26" t="s">
        <v>25</v>
      </c>
      <c r="C1522" s="20">
        <v>43360</v>
      </c>
      <c r="D1522" t="s">
        <v>62</v>
      </c>
      <c r="E1522" s="3">
        <v>1000</v>
      </c>
      <c r="F1522" s="3">
        <v>38</v>
      </c>
      <c r="G1522" s="3">
        <v>22420</v>
      </c>
      <c r="H1522" s="3" t="s">
        <v>2973</v>
      </c>
    </row>
    <row r="1523" spans="1:8" x14ac:dyDescent="0.35">
      <c r="A1523" t="s">
        <v>148</v>
      </c>
      <c r="B1523" s="26" t="s">
        <v>14</v>
      </c>
      <c r="C1523" s="20">
        <v>42245</v>
      </c>
      <c r="D1523" t="s">
        <v>116</v>
      </c>
      <c r="E1523" s="3">
        <v>250</v>
      </c>
      <c r="F1523" s="3">
        <v>88</v>
      </c>
      <c r="G1523" s="3">
        <v>20944</v>
      </c>
      <c r="H1523" s="3" t="s">
        <v>2972</v>
      </c>
    </row>
    <row r="1524" spans="1:8" x14ac:dyDescent="0.35">
      <c r="A1524" t="s">
        <v>148</v>
      </c>
      <c r="B1524" s="26" t="s">
        <v>14</v>
      </c>
      <c r="C1524" s="20">
        <v>43025</v>
      </c>
      <c r="D1524" t="s">
        <v>26</v>
      </c>
      <c r="E1524" s="3">
        <v>700</v>
      </c>
      <c r="F1524" s="3">
        <v>91</v>
      </c>
      <c r="G1524" s="3">
        <v>61152</v>
      </c>
      <c r="H1524" s="3" t="s">
        <v>2974</v>
      </c>
    </row>
    <row r="1525" spans="1:8" x14ac:dyDescent="0.35">
      <c r="A1525" t="s">
        <v>148</v>
      </c>
      <c r="B1525" s="26" t="s">
        <v>14</v>
      </c>
      <c r="C1525" s="20">
        <v>42962</v>
      </c>
      <c r="D1525" t="s">
        <v>73</v>
      </c>
      <c r="E1525" s="3">
        <v>500</v>
      </c>
      <c r="F1525" s="3">
        <v>38</v>
      </c>
      <c r="G1525" s="3">
        <v>19000</v>
      </c>
      <c r="H1525" s="3" t="s">
        <v>2972</v>
      </c>
    </row>
    <row r="1526" spans="1:8" x14ac:dyDescent="0.35">
      <c r="A1526" t="s">
        <v>35</v>
      </c>
      <c r="B1526" s="26" t="s">
        <v>36</v>
      </c>
      <c r="C1526" s="20">
        <v>42388</v>
      </c>
      <c r="D1526" t="s">
        <v>73</v>
      </c>
      <c r="E1526" s="3">
        <v>500</v>
      </c>
      <c r="F1526" s="3">
        <v>39</v>
      </c>
      <c r="G1526" s="3">
        <v>19305</v>
      </c>
      <c r="H1526" s="3" t="s">
        <v>2966</v>
      </c>
    </row>
    <row r="1527" spans="1:8" x14ac:dyDescent="0.35">
      <c r="A1527" t="s">
        <v>120</v>
      </c>
      <c r="B1527" s="26" t="s">
        <v>36</v>
      </c>
      <c r="C1527" s="20">
        <v>41667</v>
      </c>
      <c r="D1527" t="s">
        <v>42</v>
      </c>
      <c r="E1527" s="3">
        <v>30</v>
      </c>
      <c r="F1527" s="3">
        <v>80</v>
      </c>
      <c r="G1527" s="3">
        <v>2320</v>
      </c>
      <c r="H1527" s="3" t="s">
        <v>2966</v>
      </c>
    </row>
    <row r="1528" spans="1:8" x14ac:dyDescent="0.35">
      <c r="A1528" t="s">
        <v>35</v>
      </c>
      <c r="B1528" s="26" t="s">
        <v>36</v>
      </c>
      <c r="C1528" s="20">
        <v>42179</v>
      </c>
      <c r="D1528" t="s">
        <v>15</v>
      </c>
      <c r="E1528" s="3">
        <v>80</v>
      </c>
      <c r="F1528" s="3">
        <v>59</v>
      </c>
      <c r="G1528" s="3">
        <v>3245</v>
      </c>
      <c r="H1528" s="3" t="s">
        <v>2970</v>
      </c>
    </row>
    <row r="1529" spans="1:8" x14ac:dyDescent="0.35">
      <c r="A1529" t="s">
        <v>72</v>
      </c>
      <c r="B1529" s="26" t="s">
        <v>36</v>
      </c>
      <c r="C1529" s="20">
        <v>42052</v>
      </c>
      <c r="D1529" t="s">
        <v>56</v>
      </c>
      <c r="E1529" s="3">
        <v>800</v>
      </c>
      <c r="F1529" s="3">
        <v>29</v>
      </c>
      <c r="G1529" s="3">
        <v>17632</v>
      </c>
      <c r="H1529" s="3" t="s">
        <v>2967</v>
      </c>
    </row>
    <row r="1530" spans="1:8" x14ac:dyDescent="0.35">
      <c r="A1530" t="s">
        <v>109</v>
      </c>
      <c r="B1530" s="26" t="s">
        <v>20</v>
      </c>
      <c r="C1530" s="20">
        <v>42134</v>
      </c>
      <c r="D1530" t="s">
        <v>42</v>
      </c>
      <c r="E1530" s="3">
        <v>30</v>
      </c>
      <c r="F1530" s="3">
        <v>26</v>
      </c>
      <c r="G1530" s="3">
        <v>572</v>
      </c>
      <c r="H1530" s="3" t="s">
        <v>2965</v>
      </c>
    </row>
    <row r="1531" spans="1:8" x14ac:dyDescent="0.35">
      <c r="A1531" t="s">
        <v>41</v>
      </c>
      <c r="B1531" s="26" t="s">
        <v>36</v>
      </c>
      <c r="C1531" s="20">
        <v>41756</v>
      </c>
      <c r="D1531" t="s">
        <v>15</v>
      </c>
      <c r="E1531" s="3">
        <v>80</v>
      </c>
      <c r="F1531" s="3">
        <v>31</v>
      </c>
      <c r="G1531" s="3">
        <v>2139</v>
      </c>
      <c r="H1531" s="3" t="s">
        <v>2969</v>
      </c>
    </row>
    <row r="1532" spans="1:8" x14ac:dyDescent="0.35">
      <c r="A1532" t="s">
        <v>72</v>
      </c>
      <c r="B1532" s="26" t="s">
        <v>36</v>
      </c>
      <c r="C1532" s="20">
        <v>42381</v>
      </c>
      <c r="D1532" t="s">
        <v>26</v>
      </c>
      <c r="E1532" s="3">
        <v>700</v>
      </c>
      <c r="F1532" s="3">
        <v>80</v>
      </c>
      <c r="G1532" s="3">
        <v>53200</v>
      </c>
      <c r="H1532" s="3" t="s">
        <v>2966</v>
      </c>
    </row>
    <row r="1533" spans="1:8" x14ac:dyDescent="0.35">
      <c r="A1533" t="s">
        <v>30</v>
      </c>
      <c r="B1533" s="26" t="s">
        <v>14</v>
      </c>
      <c r="C1533" s="20">
        <v>42817</v>
      </c>
      <c r="D1533" t="s">
        <v>42</v>
      </c>
      <c r="E1533" s="3">
        <v>30</v>
      </c>
      <c r="F1533" s="3">
        <v>1</v>
      </c>
      <c r="G1533" s="3">
        <v>28</v>
      </c>
      <c r="H1533" s="3" t="s">
        <v>2968</v>
      </c>
    </row>
    <row r="1534" spans="1:8" x14ac:dyDescent="0.35">
      <c r="A1534" t="s">
        <v>109</v>
      </c>
      <c r="B1534" s="26" t="s">
        <v>20</v>
      </c>
      <c r="C1534" s="20">
        <v>43173</v>
      </c>
      <c r="D1534" t="s">
        <v>56</v>
      </c>
      <c r="E1534" s="3">
        <v>800</v>
      </c>
      <c r="F1534" s="3">
        <v>86</v>
      </c>
      <c r="G1534" s="3">
        <v>39904</v>
      </c>
      <c r="H1534" s="3" t="s">
        <v>2968</v>
      </c>
    </row>
    <row r="1535" spans="1:8" x14ac:dyDescent="0.35">
      <c r="A1535" t="s">
        <v>109</v>
      </c>
      <c r="B1535" s="26" t="s">
        <v>20</v>
      </c>
      <c r="C1535" s="20">
        <v>42981</v>
      </c>
      <c r="D1535" t="s">
        <v>56</v>
      </c>
      <c r="E1535" s="3">
        <v>800</v>
      </c>
      <c r="F1535" s="3">
        <v>90</v>
      </c>
      <c r="G1535" s="3">
        <v>52560</v>
      </c>
      <c r="H1535" s="3" t="s">
        <v>2973</v>
      </c>
    </row>
    <row r="1536" spans="1:8" x14ac:dyDescent="0.35">
      <c r="A1536" t="s">
        <v>152</v>
      </c>
      <c r="B1536" s="26" t="s">
        <v>14</v>
      </c>
      <c r="C1536" s="20">
        <v>42916</v>
      </c>
      <c r="D1536" t="s">
        <v>26</v>
      </c>
      <c r="E1536" s="3">
        <v>700</v>
      </c>
      <c r="F1536" s="3">
        <v>49</v>
      </c>
      <c r="G1536" s="3">
        <v>33614</v>
      </c>
      <c r="H1536" s="3" t="s">
        <v>2970</v>
      </c>
    </row>
    <row r="1537" spans="1:8" x14ac:dyDescent="0.35">
      <c r="A1537" t="s">
        <v>35</v>
      </c>
      <c r="B1537" s="26" t="s">
        <v>36</v>
      </c>
      <c r="C1537" s="20">
        <v>43288</v>
      </c>
      <c r="D1537" t="s">
        <v>116</v>
      </c>
      <c r="E1537" s="3">
        <v>250</v>
      </c>
      <c r="F1537" s="3">
        <v>75</v>
      </c>
      <c r="G1537" s="3">
        <v>15975</v>
      </c>
      <c r="H1537" s="3" t="s">
        <v>2971</v>
      </c>
    </row>
    <row r="1538" spans="1:8" x14ac:dyDescent="0.35">
      <c r="A1538" t="s">
        <v>109</v>
      </c>
      <c r="B1538" s="26" t="s">
        <v>20</v>
      </c>
      <c r="C1538" s="20">
        <v>43077</v>
      </c>
      <c r="D1538" t="s">
        <v>47</v>
      </c>
      <c r="E1538" s="3">
        <v>500</v>
      </c>
      <c r="F1538" s="3">
        <v>31</v>
      </c>
      <c r="G1538" s="3">
        <v>14570</v>
      </c>
      <c r="H1538" s="3" t="s">
        <v>2976</v>
      </c>
    </row>
    <row r="1539" spans="1:8" x14ac:dyDescent="0.35">
      <c r="A1539" t="s">
        <v>101</v>
      </c>
      <c r="B1539" s="26" t="s">
        <v>14</v>
      </c>
      <c r="C1539" s="20">
        <v>41770</v>
      </c>
      <c r="D1539" t="s">
        <v>56</v>
      </c>
      <c r="E1539" s="3">
        <v>800</v>
      </c>
      <c r="F1539" s="3">
        <v>31</v>
      </c>
      <c r="G1539" s="3">
        <v>20584</v>
      </c>
      <c r="H1539" s="3" t="s">
        <v>2965</v>
      </c>
    </row>
    <row r="1540" spans="1:8" x14ac:dyDescent="0.35">
      <c r="A1540" t="s">
        <v>272</v>
      </c>
      <c r="B1540" s="26" t="s">
        <v>36</v>
      </c>
      <c r="C1540" s="20">
        <v>41681</v>
      </c>
      <c r="D1540" t="s">
        <v>73</v>
      </c>
      <c r="E1540" s="3">
        <v>500</v>
      </c>
      <c r="F1540" s="3">
        <v>86</v>
      </c>
      <c r="G1540" s="3">
        <v>42570</v>
      </c>
      <c r="H1540" s="3" t="s">
        <v>2967</v>
      </c>
    </row>
    <row r="1541" spans="1:8" x14ac:dyDescent="0.35">
      <c r="A1541" t="s">
        <v>41</v>
      </c>
      <c r="B1541" s="26" t="s">
        <v>36</v>
      </c>
      <c r="C1541" s="20">
        <v>42616</v>
      </c>
      <c r="D1541" t="s">
        <v>15</v>
      </c>
      <c r="E1541" s="3">
        <v>80</v>
      </c>
      <c r="F1541" s="3">
        <v>8</v>
      </c>
      <c r="G1541" s="3">
        <v>576</v>
      </c>
      <c r="H1541" s="3" t="s">
        <v>2973</v>
      </c>
    </row>
    <row r="1542" spans="1:8" x14ac:dyDescent="0.35">
      <c r="A1542" t="s">
        <v>93</v>
      </c>
      <c r="B1542" s="26" t="s">
        <v>36</v>
      </c>
      <c r="C1542" s="20">
        <v>43344</v>
      </c>
      <c r="D1542" t="s">
        <v>105</v>
      </c>
      <c r="E1542" s="3">
        <v>70</v>
      </c>
      <c r="F1542" s="3">
        <v>8</v>
      </c>
      <c r="G1542" s="3">
        <v>520</v>
      </c>
      <c r="H1542" s="3" t="s">
        <v>2973</v>
      </c>
    </row>
    <row r="1543" spans="1:8" x14ac:dyDescent="0.35">
      <c r="A1543" t="s">
        <v>79</v>
      </c>
      <c r="B1543" s="26" t="s">
        <v>36</v>
      </c>
      <c r="C1543" s="20">
        <v>42137</v>
      </c>
      <c r="D1543" t="s">
        <v>116</v>
      </c>
      <c r="E1543" s="3">
        <v>250</v>
      </c>
      <c r="F1543" s="3">
        <v>73</v>
      </c>
      <c r="G1543" s="3">
        <v>11899</v>
      </c>
      <c r="H1543" s="3" t="s">
        <v>2965</v>
      </c>
    </row>
    <row r="1544" spans="1:8" x14ac:dyDescent="0.35">
      <c r="A1544" t="s">
        <v>101</v>
      </c>
      <c r="B1544" s="26" t="s">
        <v>14</v>
      </c>
      <c r="C1544" s="20">
        <v>43446</v>
      </c>
      <c r="D1544" t="s">
        <v>73</v>
      </c>
      <c r="E1544" s="3">
        <v>500</v>
      </c>
      <c r="F1544" s="3">
        <v>24</v>
      </c>
      <c r="G1544" s="3">
        <v>12000</v>
      </c>
      <c r="H1544" s="3" t="s">
        <v>2976</v>
      </c>
    </row>
    <row r="1545" spans="1:8" x14ac:dyDescent="0.35">
      <c r="A1545" t="s">
        <v>41</v>
      </c>
      <c r="B1545" s="26" t="s">
        <v>36</v>
      </c>
      <c r="C1545" s="20">
        <v>42041</v>
      </c>
      <c r="D1545" t="s">
        <v>26</v>
      </c>
      <c r="E1545" s="3">
        <v>700</v>
      </c>
      <c r="F1545" s="3">
        <v>46</v>
      </c>
      <c r="G1545" s="3">
        <v>20608</v>
      </c>
      <c r="H1545" s="3" t="s">
        <v>2967</v>
      </c>
    </row>
    <row r="1546" spans="1:8" x14ac:dyDescent="0.35">
      <c r="A1546" t="s">
        <v>83</v>
      </c>
      <c r="B1546" s="26" t="s">
        <v>14</v>
      </c>
      <c r="C1546" s="20">
        <v>43184</v>
      </c>
      <c r="D1546" t="s">
        <v>56</v>
      </c>
      <c r="E1546" s="3">
        <v>800</v>
      </c>
      <c r="F1546" s="3">
        <v>97</v>
      </c>
      <c r="G1546" s="3">
        <v>48112</v>
      </c>
      <c r="H1546" s="3" t="s">
        <v>2968</v>
      </c>
    </row>
    <row r="1547" spans="1:8" x14ac:dyDescent="0.35">
      <c r="A1547" t="s">
        <v>83</v>
      </c>
      <c r="B1547" s="26" t="s">
        <v>14</v>
      </c>
      <c r="C1547" s="20">
        <v>43464</v>
      </c>
      <c r="D1547" t="s">
        <v>42</v>
      </c>
      <c r="E1547" s="3">
        <v>30</v>
      </c>
      <c r="F1547" s="3">
        <v>88</v>
      </c>
      <c r="G1547" s="3">
        <v>2640</v>
      </c>
      <c r="H1547" s="3" t="s">
        <v>2976</v>
      </c>
    </row>
    <row r="1548" spans="1:8" x14ac:dyDescent="0.35">
      <c r="A1548" t="s">
        <v>109</v>
      </c>
      <c r="B1548" s="26" t="s">
        <v>20</v>
      </c>
      <c r="C1548" s="20">
        <v>42877</v>
      </c>
      <c r="D1548" t="s">
        <v>116</v>
      </c>
      <c r="E1548" s="3">
        <v>250</v>
      </c>
      <c r="F1548" s="3">
        <v>14</v>
      </c>
      <c r="G1548" s="3">
        <v>3430</v>
      </c>
      <c r="H1548" s="3" t="s">
        <v>2965</v>
      </c>
    </row>
    <row r="1549" spans="1:8" x14ac:dyDescent="0.35">
      <c r="A1549" t="s">
        <v>19</v>
      </c>
      <c r="B1549" s="26" t="s">
        <v>20</v>
      </c>
      <c r="C1549" s="20">
        <v>42895</v>
      </c>
      <c r="D1549" t="s">
        <v>56</v>
      </c>
      <c r="E1549" s="3">
        <v>800</v>
      </c>
      <c r="F1549" s="3">
        <v>64</v>
      </c>
      <c r="G1549" s="3">
        <v>36864</v>
      </c>
      <c r="H1549" s="3" t="s">
        <v>2970</v>
      </c>
    </row>
    <row r="1550" spans="1:8" x14ac:dyDescent="0.35">
      <c r="A1550" t="s">
        <v>436</v>
      </c>
      <c r="B1550" s="26" t="s">
        <v>25</v>
      </c>
      <c r="C1550" s="20">
        <v>42538</v>
      </c>
      <c r="D1550" t="s">
        <v>123</v>
      </c>
      <c r="E1550" s="3">
        <v>50</v>
      </c>
      <c r="F1550" s="3">
        <v>13</v>
      </c>
      <c r="G1550" s="3">
        <v>611</v>
      </c>
      <c r="H1550" s="3" t="s">
        <v>2970</v>
      </c>
    </row>
    <row r="1551" spans="1:8" x14ac:dyDescent="0.35">
      <c r="A1551" t="s">
        <v>436</v>
      </c>
      <c r="B1551" s="26" t="s">
        <v>25</v>
      </c>
      <c r="C1551" s="20">
        <v>43372</v>
      </c>
      <c r="D1551" t="s">
        <v>105</v>
      </c>
      <c r="E1551" s="3">
        <v>70</v>
      </c>
      <c r="F1551" s="3">
        <v>20</v>
      </c>
      <c r="G1551" s="3">
        <v>1320</v>
      </c>
      <c r="H1551" s="3" t="s">
        <v>2973</v>
      </c>
    </row>
    <row r="1552" spans="1:8" x14ac:dyDescent="0.35">
      <c r="A1552" t="s">
        <v>55</v>
      </c>
      <c r="B1552" s="26" t="s">
        <v>14</v>
      </c>
      <c r="C1552" s="20">
        <v>42532</v>
      </c>
      <c r="D1552" t="s">
        <v>47</v>
      </c>
      <c r="E1552" s="3">
        <v>500</v>
      </c>
      <c r="F1552" s="3">
        <v>94</v>
      </c>
      <c r="G1552" s="3">
        <v>45590</v>
      </c>
      <c r="H1552" s="3" t="s">
        <v>2970</v>
      </c>
    </row>
    <row r="1553" spans="1:8" x14ac:dyDescent="0.35">
      <c r="A1553" t="s">
        <v>120</v>
      </c>
      <c r="B1553" s="26" t="s">
        <v>36</v>
      </c>
      <c r="C1553" s="20">
        <v>42889</v>
      </c>
      <c r="D1553" t="s">
        <v>47</v>
      </c>
      <c r="E1553" s="3">
        <v>500</v>
      </c>
      <c r="F1553" s="3">
        <v>56</v>
      </c>
      <c r="G1553" s="3">
        <v>27720</v>
      </c>
      <c r="H1553" s="3" t="s">
        <v>2970</v>
      </c>
    </row>
    <row r="1554" spans="1:8" x14ac:dyDescent="0.35">
      <c r="A1554" t="s">
        <v>402</v>
      </c>
      <c r="B1554" s="26" t="s">
        <v>14</v>
      </c>
      <c r="C1554" s="20">
        <v>42994</v>
      </c>
      <c r="D1554" t="s">
        <v>123</v>
      </c>
      <c r="E1554" s="3">
        <v>50</v>
      </c>
      <c r="F1554" s="3">
        <v>74</v>
      </c>
      <c r="G1554" s="3">
        <v>3626</v>
      </c>
      <c r="H1554" s="3" t="s">
        <v>2973</v>
      </c>
    </row>
    <row r="1555" spans="1:8" x14ac:dyDescent="0.35">
      <c r="A1555" t="s">
        <v>83</v>
      </c>
      <c r="B1555" s="26" t="s">
        <v>14</v>
      </c>
      <c r="C1555" s="20">
        <v>43206</v>
      </c>
      <c r="D1555" t="s">
        <v>116</v>
      </c>
      <c r="E1555" s="3">
        <v>250</v>
      </c>
      <c r="F1555" s="3">
        <v>99</v>
      </c>
      <c r="G1555" s="3">
        <v>22077</v>
      </c>
      <c r="H1555" s="3" t="s">
        <v>2969</v>
      </c>
    </row>
    <row r="1556" spans="1:8" x14ac:dyDescent="0.35">
      <c r="A1556" t="s">
        <v>51</v>
      </c>
      <c r="B1556" s="26" t="s">
        <v>25</v>
      </c>
      <c r="C1556" s="20">
        <v>43405</v>
      </c>
      <c r="D1556" t="s">
        <v>37</v>
      </c>
      <c r="E1556" s="3">
        <v>50</v>
      </c>
      <c r="F1556" s="3">
        <v>95</v>
      </c>
      <c r="G1556" s="3">
        <v>4085</v>
      </c>
      <c r="H1556" s="3" t="s">
        <v>2975</v>
      </c>
    </row>
    <row r="1557" spans="1:8" x14ac:dyDescent="0.35">
      <c r="A1557" t="s">
        <v>207</v>
      </c>
      <c r="B1557" s="26" t="s">
        <v>25</v>
      </c>
      <c r="C1557" s="20">
        <v>42678</v>
      </c>
      <c r="D1557" t="s">
        <v>42</v>
      </c>
      <c r="E1557" s="3">
        <v>30</v>
      </c>
      <c r="F1557" s="3">
        <v>68</v>
      </c>
      <c r="G1557" s="3">
        <v>2040</v>
      </c>
      <c r="H1557" s="3" t="s">
        <v>2975</v>
      </c>
    </row>
    <row r="1558" spans="1:8" x14ac:dyDescent="0.35">
      <c r="A1558" t="s">
        <v>46</v>
      </c>
      <c r="B1558" s="26" t="s">
        <v>25</v>
      </c>
      <c r="C1558" s="20">
        <v>42740</v>
      </c>
      <c r="D1558" t="s">
        <v>26</v>
      </c>
      <c r="E1558" s="3">
        <v>700</v>
      </c>
      <c r="F1558" s="3">
        <v>30</v>
      </c>
      <c r="G1558" s="3">
        <v>20580</v>
      </c>
      <c r="H1558" s="3" t="s">
        <v>2966</v>
      </c>
    </row>
    <row r="1559" spans="1:8" x14ac:dyDescent="0.35">
      <c r="A1559" t="s">
        <v>257</v>
      </c>
      <c r="B1559" s="26" t="s">
        <v>14</v>
      </c>
      <c r="C1559" s="20">
        <v>41714</v>
      </c>
      <c r="D1559" t="s">
        <v>42</v>
      </c>
      <c r="E1559" s="3">
        <v>30</v>
      </c>
      <c r="F1559" s="3">
        <v>11</v>
      </c>
      <c r="G1559" s="3">
        <v>264</v>
      </c>
      <c r="H1559" s="3" t="s">
        <v>2968</v>
      </c>
    </row>
    <row r="1560" spans="1:8" x14ac:dyDescent="0.35">
      <c r="A1560" t="s">
        <v>19</v>
      </c>
      <c r="B1560" s="26" t="s">
        <v>20</v>
      </c>
      <c r="C1560" s="20">
        <v>42915</v>
      </c>
      <c r="D1560" t="s">
        <v>116</v>
      </c>
      <c r="E1560" s="3">
        <v>250</v>
      </c>
      <c r="F1560" s="3">
        <v>100</v>
      </c>
      <c r="G1560" s="3">
        <v>24300</v>
      </c>
      <c r="H1560" s="3" t="s">
        <v>2970</v>
      </c>
    </row>
    <row r="1561" spans="1:8" x14ac:dyDescent="0.35">
      <c r="A1561" t="s">
        <v>257</v>
      </c>
      <c r="B1561" s="26" t="s">
        <v>14</v>
      </c>
      <c r="C1561" s="20">
        <v>41774</v>
      </c>
      <c r="D1561" t="s">
        <v>31</v>
      </c>
      <c r="E1561" s="3">
        <v>150</v>
      </c>
      <c r="F1561" s="3">
        <v>28</v>
      </c>
      <c r="G1561" s="3">
        <v>3920</v>
      </c>
      <c r="H1561" s="3" t="s">
        <v>2965</v>
      </c>
    </row>
    <row r="1562" spans="1:8" x14ac:dyDescent="0.35">
      <c r="A1562" t="s">
        <v>229</v>
      </c>
      <c r="B1562" s="26" t="s">
        <v>25</v>
      </c>
      <c r="C1562" s="20">
        <v>41881</v>
      </c>
      <c r="D1562" t="s">
        <v>31</v>
      </c>
      <c r="E1562" s="3">
        <v>150</v>
      </c>
      <c r="F1562" s="3">
        <v>33</v>
      </c>
      <c r="G1562" s="3">
        <v>4125</v>
      </c>
      <c r="H1562" s="3" t="s">
        <v>2972</v>
      </c>
    </row>
    <row r="1563" spans="1:8" x14ac:dyDescent="0.35">
      <c r="A1563" t="s">
        <v>266</v>
      </c>
      <c r="B1563" s="26" t="s">
        <v>14</v>
      </c>
      <c r="C1563" s="20">
        <v>42357</v>
      </c>
      <c r="D1563" t="s">
        <v>62</v>
      </c>
      <c r="E1563" s="3">
        <v>1000</v>
      </c>
      <c r="F1563" s="3">
        <v>99</v>
      </c>
      <c r="G1563" s="3">
        <v>94050</v>
      </c>
      <c r="H1563" s="3" t="s">
        <v>2976</v>
      </c>
    </row>
    <row r="1564" spans="1:8" x14ac:dyDescent="0.35">
      <c r="A1564" t="s">
        <v>109</v>
      </c>
      <c r="B1564" s="26" t="s">
        <v>20</v>
      </c>
      <c r="C1564" s="20">
        <v>42962</v>
      </c>
      <c r="D1564" t="s">
        <v>31</v>
      </c>
      <c r="E1564" s="3">
        <v>150</v>
      </c>
      <c r="F1564" s="3">
        <v>5</v>
      </c>
      <c r="G1564" s="3">
        <v>705</v>
      </c>
      <c r="H1564" s="3" t="s">
        <v>2972</v>
      </c>
    </row>
    <row r="1565" spans="1:8" x14ac:dyDescent="0.35">
      <c r="A1565" t="s">
        <v>97</v>
      </c>
      <c r="B1565" s="26" t="s">
        <v>14</v>
      </c>
      <c r="C1565" s="20">
        <v>42171</v>
      </c>
      <c r="D1565" t="s">
        <v>31</v>
      </c>
      <c r="E1565" s="3">
        <v>150</v>
      </c>
      <c r="F1565" s="3">
        <v>56</v>
      </c>
      <c r="G1565" s="3">
        <v>6384</v>
      </c>
      <c r="H1565" s="3" t="s">
        <v>2970</v>
      </c>
    </row>
    <row r="1566" spans="1:8" x14ac:dyDescent="0.35">
      <c r="A1566" t="s">
        <v>93</v>
      </c>
      <c r="B1566" s="26" t="s">
        <v>36</v>
      </c>
      <c r="C1566" s="20">
        <v>42966</v>
      </c>
      <c r="D1566" t="s">
        <v>116</v>
      </c>
      <c r="E1566" s="3">
        <v>250</v>
      </c>
      <c r="F1566" s="3">
        <v>58</v>
      </c>
      <c r="G1566" s="3">
        <v>13340</v>
      </c>
      <c r="H1566" s="3" t="s">
        <v>2972</v>
      </c>
    </row>
    <row r="1567" spans="1:8" x14ac:dyDescent="0.35">
      <c r="A1567" t="s">
        <v>109</v>
      </c>
      <c r="B1567" s="26" t="s">
        <v>20</v>
      </c>
      <c r="C1567" s="20">
        <v>41825</v>
      </c>
      <c r="D1567" t="s">
        <v>123</v>
      </c>
      <c r="E1567" s="3">
        <v>50</v>
      </c>
      <c r="F1567" s="3">
        <v>61</v>
      </c>
      <c r="G1567" s="3">
        <v>2501</v>
      </c>
      <c r="H1567" s="3" t="s">
        <v>2971</v>
      </c>
    </row>
    <row r="1568" spans="1:8" x14ac:dyDescent="0.35">
      <c r="A1568" t="s">
        <v>109</v>
      </c>
      <c r="B1568" s="26" t="s">
        <v>20</v>
      </c>
      <c r="C1568" s="20">
        <v>42093</v>
      </c>
      <c r="D1568" t="s">
        <v>56</v>
      </c>
      <c r="E1568" s="3">
        <v>800</v>
      </c>
      <c r="F1568" s="3">
        <v>3</v>
      </c>
      <c r="G1568" s="3">
        <v>2376</v>
      </c>
      <c r="H1568" s="3" t="s">
        <v>2968</v>
      </c>
    </row>
    <row r="1569" spans="1:8" x14ac:dyDescent="0.35">
      <c r="A1569" t="s">
        <v>229</v>
      </c>
      <c r="B1569" s="26" t="s">
        <v>25</v>
      </c>
      <c r="C1569" s="20">
        <v>41976</v>
      </c>
      <c r="D1569" t="s">
        <v>15</v>
      </c>
      <c r="E1569" s="3">
        <v>80</v>
      </c>
      <c r="F1569" s="3">
        <v>9</v>
      </c>
      <c r="G1569" s="3">
        <v>576</v>
      </c>
      <c r="H1569" s="3" t="s">
        <v>2976</v>
      </c>
    </row>
    <row r="1570" spans="1:8" x14ac:dyDescent="0.35">
      <c r="A1570" t="s">
        <v>109</v>
      </c>
      <c r="B1570" s="26" t="s">
        <v>20</v>
      </c>
      <c r="C1570" s="20">
        <v>41928</v>
      </c>
      <c r="D1570" t="s">
        <v>15</v>
      </c>
      <c r="E1570" s="3">
        <v>80</v>
      </c>
      <c r="F1570" s="3">
        <v>42</v>
      </c>
      <c r="G1570" s="3">
        <v>2604</v>
      </c>
      <c r="H1570" s="3" t="s">
        <v>2974</v>
      </c>
    </row>
    <row r="1571" spans="1:8" x14ac:dyDescent="0.35">
      <c r="A1571" t="s">
        <v>24</v>
      </c>
      <c r="B1571" s="26" t="s">
        <v>25</v>
      </c>
      <c r="C1571" s="20">
        <v>42040</v>
      </c>
      <c r="D1571" t="s">
        <v>73</v>
      </c>
      <c r="E1571" s="3">
        <v>500</v>
      </c>
      <c r="F1571" s="3">
        <v>47</v>
      </c>
      <c r="G1571" s="3">
        <v>23265</v>
      </c>
      <c r="H1571" s="3" t="s">
        <v>2967</v>
      </c>
    </row>
    <row r="1572" spans="1:8" x14ac:dyDescent="0.35">
      <c r="A1572" t="s">
        <v>30</v>
      </c>
      <c r="B1572" s="26" t="s">
        <v>14</v>
      </c>
      <c r="C1572" s="20">
        <v>42062</v>
      </c>
      <c r="D1572" t="s">
        <v>73</v>
      </c>
      <c r="E1572" s="3">
        <v>500</v>
      </c>
      <c r="F1572" s="3">
        <v>50</v>
      </c>
      <c r="G1572" s="3">
        <v>25000</v>
      </c>
      <c r="H1572" s="3" t="s">
        <v>2967</v>
      </c>
    </row>
    <row r="1573" spans="1:8" x14ac:dyDescent="0.35">
      <c r="A1573" t="s">
        <v>120</v>
      </c>
      <c r="B1573" s="26" t="s">
        <v>36</v>
      </c>
      <c r="C1573" s="20">
        <v>41855</v>
      </c>
      <c r="D1573" t="s">
        <v>47</v>
      </c>
      <c r="E1573" s="3">
        <v>500</v>
      </c>
      <c r="F1573" s="3">
        <v>65</v>
      </c>
      <c r="G1573" s="3">
        <v>32175</v>
      </c>
      <c r="H1573" s="3" t="s">
        <v>2972</v>
      </c>
    </row>
    <row r="1574" spans="1:8" x14ac:dyDescent="0.35">
      <c r="A1574" t="s">
        <v>172</v>
      </c>
      <c r="B1574" s="26" t="s">
        <v>14</v>
      </c>
      <c r="C1574" s="20">
        <v>41984</v>
      </c>
      <c r="D1574" t="s">
        <v>116</v>
      </c>
      <c r="E1574" s="3">
        <v>250</v>
      </c>
      <c r="F1574" s="3">
        <v>19</v>
      </c>
      <c r="G1574" s="3">
        <v>4712</v>
      </c>
      <c r="H1574" s="3" t="s">
        <v>2976</v>
      </c>
    </row>
    <row r="1575" spans="1:8" x14ac:dyDescent="0.35">
      <c r="A1575" t="s">
        <v>72</v>
      </c>
      <c r="B1575" s="26" t="s">
        <v>36</v>
      </c>
      <c r="C1575" s="20">
        <v>43378</v>
      </c>
      <c r="D1575" t="s">
        <v>56</v>
      </c>
      <c r="E1575" s="3">
        <v>800</v>
      </c>
      <c r="F1575" s="3">
        <v>37</v>
      </c>
      <c r="G1575" s="3">
        <v>26344</v>
      </c>
      <c r="H1575" s="3" t="s">
        <v>2974</v>
      </c>
    </row>
    <row r="1576" spans="1:8" x14ac:dyDescent="0.35">
      <c r="A1576" t="s">
        <v>66</v>
      </c>
      <c r="B1576" s="26" t="s">
        <v>36</v>
      </c>
      <c r="C1576" s="20">
        <v>43004</v>
      </c>
      <c r="D1576" t="s">
        <v>37</v>
      </c>
      <c r="E1576" s="3">
        <v>50</v>
      </c>
      <c r="F1576" s="3">
        <v>26</v>
      </c>
      <c r="G1576" s="3">
        <v>1300</v>
      </c>
      <c r="H1576" s="3" t="s">
        <v>2973</v>
      </c>
    </row>
    <row r="1577" spans="1:8" x14ac:dyDescent="0.35">
      <c r="A1577" t="s">
        <v>129</v>
      </c>
      <c r="B1577" s="26" t="s">
        <v>14</v>
      </c>
      <c r="C1577" s="20">
        <v>41686</v>
      </c>
      <c r="D1577" t="s">
        <v>47</v>
      </c>
      <c r="E1577" s="3">
        <v>500</v>
      </c>
      <c r="F1577" s="3">
        <v>24</v>
      </c>
      <c r="G1577" s="3">
        <v>11640</v>
      </c>
      <c r="H1577" s="3" t="s">
        <v>2967</v>
      </c>
    </row>
    <row r="1578" spans="1:8" x14ac:dyDescent="0.35">
      <c r="A1578" t="s">
        <v>152</v>
      </c>
      <c r="B1578" s="26" t="s">
        <v>14</v>
      </c>
      <c r="C1578" s="20">
        <v>42647</v>
      </c>
      <c r="D1578" t="s">
        <v>73</v>
      </c>
      <c r="E1578" s="3">
        <v>500</v>
      </c>
      <c r="F1578" s="3">
        <v>5</v>
      </c>
      <c r="G1578" s="3">
        <v>2500</v>
      </c>
      <c r="H1578" s="3" t="s">
        <v>2974</v>
      </c>
    </row>
    <row r="1579" spans="1:8" x14ac:dyDescent="0.35">
      <c r="A1579" t="s">
        <v>272</v>
      </c>
      <c r="B1579" s="26" t="s">
        <v>36</v>
      </c>
      <c r="C1579" s="20">
        <v>43163</v>
      </c>
      <c r="D1579" t="s">
        <v>105</v>
      </c>
      <c r="E1579" s="3">
        <v>70</v>
      </c>
      <c r="F1579" s="3">
        <v>55</v>
      </c>
      <c r="G1579" s="3">
        <v>3795</v>
      </c>
      <c r="H1579" s="3" t="s">
        <v>2968</v>
      </c>
    </row>
    <row r="1580" spans="1:8" x14ac:dyDescent="0.35">
      <c r="A1580" t="s">
        <v>13</v>
      </c>
      <c r="B1580" s="26" t="s">
        <v>14</v>
      </c>
      <c r="C1580" s="20">
        <v>42439</v>
      </c>
      <c r="D1580" t="s">
        <v>15</v>
      </c>
      <c r="E1580" s="3">
        <v>80</v>
      </c>
      <c r="F1580" s="3">
        <v>10</v>
      </c>
      <c r="G1580" s="3">
        <v>770</v>
      </c>
      <c r="H1580" s="3" t="s">
        <v>2968</v>
      </c>
    </row>
    <row r="1581" spans="1:8" x14ac:dyDescent="0.35">
      <c r="A1581" t="s">
        <v>436</v>
      </c>
      <c r="B1581" s="26" t="s">
        <v>25</v>
      </c>
      <c r="C1581" s="20">
        <v>42493</v>
      </c>
      <c r="D1581" t="s">
        <v>15</v>
      </c>
      <c r="E1581" s="3">
        <v>80</v>
      </c>
      <c r="F1581" s="3">
        <v>42</v>
      </c>
      <c r="G1581" s="3">
        <v>3192</v>
      </c>
      <c r="H1581" s="3" t="s">
        <v>2965</v>
      </c>
    </row>
    <row r="1582" spans="1:8" x14ac:dyDescent="0.35">
      <c r="A1582" t="s">
        <v>189</v>
      </c>
      <c r="B1582" s="26" t="s">
        <v>14</v>
      </c>
      <c r="C1582" s="20">
        <v>42538</v>
      </c>
      <c r="D1582" t="s">
        <v>105</v>
      </c>
      <c r="E1582" s="3">
        <v>70</v>
      </c>
      <c r="F1582" s="3">
        <v>31</v>
      </c>
      <c r="G1582" s="3">
        <v>2015</v>
      </c>
      <c r="H1582" s="3" t="s">
        <v>2970</v>
      </c>
    </row>
    <row r="1583" spans="1:8" x14ac:dyDescent="0.35">
      <c r="A1583" t="s">
        <v>46</v>
      </c>
      <c r="B1583" s="26" t="s">
        <v>25</v>
      </c>
      <c r="C1583" s="20">
        <v>41718</v>
      </c>
      <c r="D1583" t="s">
        <v>37</v>
      </c>
      <c r="E1583" s="3">
        <v>50</v>
      </c>
      <c r="F1583" s="3">
        <v>52</v>
      </c>
      <c r="G1583" s="3">
        <v>1924</v>
      </c>
      <c r="H1583" s="3" t="s">
        <v>2968</v>
      </c>
    </row>
    <row r="1584" spans="1:8" x14ac:dyDescent="0.35">
      <c r="A1584" t="s">
        <v>51</v>
      </c>
      <c r="B1584" s="26" t="s">
        <v>25</v>
      </c>
      <c r="C1584" s="20">
        <v>42898</v>
      </c>
      <c r="D1584" t="s">
        <v>73</v>
      </c>
      <c r="E1584" s="3">
        <v>500</v>
      </c>
      <c r="F1584" s="3">
        <v>35</v>
      </c>
      <c r="G1584" s="3">
        <v>17500</v>
      </c>
      <c r="H1584" s="3" t="s">
        <v>2970</v>
      </c>
    </row>
    <row r="1585" spans="1:8" x14ac:dyDescent="0.35">
      <c r="A1585" t="s">
        <v>79</v>
      </c>
      <c r="B1585" s="26" t="s">
        <v>36</v>
      </c>
      <c r="C1585" s="20">
        <v>42740</v>
      </c>
      <c r="D1585" t="s">
        <v>37</v>
      </c>
      <c r="E1585" s="3">
        <v>50</v>
      </c>
      <c r="F1585" s="3">
        <v>94</v>
      </c>
      <c r="G1585" s="3">
        <v>4700</v>
      </c>
      <c r="H1585" s="3" t="s">
        <v>2966</v>
      </c>
    </row>
    <row r="1586" spans="1:8" x14ac:dyDescent="0.35">
      <c r="A1586" t="s">
        <v>109</v>
      </c>
      <c r="B1586" s="26" t="s">
        <v>20</v>
      </c>
      <c r="C1586" s="20">
        <v>43265</v>
      </c>
      <c r="D1586" t="s">
        <v>15</v>
      </c>
      <c r="E1586" s="3">
        <v>80</v>
      </c>
      <c r="F1586" s="3">
        <v>68</v>
      </c>
      <c r="G1586" s="3">
        <v>4964</v>
      </c>
      <c r="H1586" s="3" t="s">
        <v>2970</v>
      </c>
    </row>
    <row r="1587" spans="1:8" x14ac:dyDescent="0.35">
      <c r="A1587" t="s">
        <v>436</v>
      </c>
      <c r="B1587" s="26" t="s">
        <v>25</v>
      </c>
      <c r="C1587" s="20">
        <v>42737</v>
      </c>
      <c r="D1587" t="s">
        <v>26</v>
      </c>
      <c r="E1587" s="3">
        <v>700</v>
      </c>
      <c r="F1587" s="3">
        <v>66</v>
      </c>
      <c r="G1587" s="3">
        <v>42042</v>
      </c>
      <c r="H1587" s="3" t="s">
        <v>2966</v>
      </c>
    </row>
    <row r="1588" spans="1:8" x14ac:dyDescent="0.35">
      <c r="A1588" t="s">
        <v>109</v>
      </c>
      <c r="B1588" s="26" t="s">
        <v>20</v>
      </c>
      <c r="C1588" s="20">
        <v>43352</v>
      </c>
      <c r="D1588" t="s">
        <v>116</v>
      </c>
      <c r="E1588" s="3">
        <v>250</v>
      </c>
      <c r="F1588" s="3">
        <v>49</v>
      </c>
      <c r="G1588" s="3">
        <v>12152</v>
      </c>
      <c r="H1588" s="3" t="s">
        <v>2973</v>
      </c>
    </row>
    <row r="1589" spans="1:8" x14ac:dyDescent="0.35">
      <c r="A1589" t="s">
        <v>51</v>
      </c>
      <c r="B1589" s="26" t="s">
        <v>25</v>
      </c>
      <c r="C1589" s="20">
        <v>42358</v>
      </c>
      <c r="D1589" t="s">
        <v>47</v>
      </c>
      <c r="E1589" s="3">
        <v>500</v>
      </c>
      <c r="F1589" s="3">
        <v>15</v>
      </c>
      <c r="G1589" s="3">
        <v>7125</v>
      </c>
      <c r="H1589" s="3" t="s">
        <v>2976</v>
      </c>
    </row>
    <row r="1590" spans="1:8" x14ac:dyDescent="0.35">
      <c r="A1590" t="s">
        <v>51</v>
      </c>
      <c r="B1590" s="26" t="s">
        <v>25</v>
      </c>
      <c r="C1590" s="20">
        <v>41956</v>
      </c>
      <c r="D1590" t="s">
        <v>123</v>
      </c>
      <c r="E1590" s="3">
        <v>50</v>
      </c>
      <c r="F1590" s="3">
        <v>43</v>
      </c>
      <c r="G1590" s="3">
        <v>1720</v>
      </c>
      <c r="H1590" s="3" t="s">
        <v>2975</v>
      </c>
    </row>
    <row r="1591" spans="1:8" x14ac:dyDescent="0.35">
      <c r="A1591" t="s">
        <v>41</v>
      </c>
      <c r="B1591" s="26" t="s">
        <v>36</v>
      </c>
      <c r="C1591" s="20">
        <v>41958</v>
      </c>
      <c r="D1591" t="s">
        <v>56</v>
      </c>
      <c r="E1591" s="3">
        <v>800</v>
      </c>
      <c r="F1591" s="3">
        <v>86</v>
      </c>
      <c r="G1591" s="3">
        <v>43344</v>
      </c>
      <c r="H1591" s="3" t="s">
        <v>2975</v>
      </c>
    </row>
    <row r="1592" spans="1:8" x14ac:dyDescent="0.35">
      <c r="A1592" t="s">
        <v>172</v>
      </c>
      <c r="B1592" s="26" t="s">
        <v>14</v>
      </c>
      <c r="C1592" s="20">
        <v>43148</v>
      </c>
      <c r="D1592" t="s">
        <v>56</v>
      </c>
      <c r="E1592" s="3">
        <v>800</v>
      </c>
      <c r="F1592" s="3">
        <v>56</v>
      </c>
      <c r="G1592" s="3">
        <v>37184</v>
      </c>
      <c r="H1592" s="3" t="s">
        <v>2967</v>
      </c>
    </row>
    <row r="1593" spans="1:8" x14ac:dyDescent="0.35">
      <c r="A1593" t="s">
        <v>326</v>
      </c>
      <c r="B1593" s="26" t="s">
        <v>14</v>
      </c>
      <c r="C1593" s="20">
        <v>42848</v>
      </c>
      <c r="D1593" t="s">
        <v>47</v>
      </c>
      <c r="E1593" s="3">
        <v>500</v>
      </c>
      <c r="F1593" s="3">
        <v>50</v>
      </c>
      <c r="G1593" s="3">
        <v>25000</v>
      </c>
      <c r="H1593" s="3" t="s">
        <v>2969</v>
      </c>
    </row>
    <row r="1594" spans="1:8" x14ac:dyDescent="0.35">
      <c r="A1594" t="s">
        <v>93</v>
      </c>
      <c r="B1594" s="26" t="s">
        <v>36</v>
      </c>
      <c r="C1594" s="20">
        <v>43154</v>
      </c>
      <c r="D1594" t="s">
        <v>116</v>
      </c>
      <c r="E1594" s="3">
        <v>250</v>
      </c>
      <c r="F1594" s="3">
        <v>18</v>
      </c>
      <c r="G1594" s="3">
        <v>4500</v>
      </c>
      <c r="H1594" s="3" t="s">
        <v>2967</v>
      </c>
    </row>
    <row r="1595" spans="1:8" x14ac:dyDescent="0.35">
      <c r="A1595" t="s">
        <v>120</v>
      </c>
      <c r="B1595" s="26" t="s">
        <v>36</v>
      </c>
      <c r="C1595" s="20">
        <v>42592</v>
      </c>
      <c r="D1595" t="s">
        <v>42</v>
      </c>
      <c r="E1595" s="3">
        <v>30</v>
      </c>
      <c r="F1595" s="3">
        <v>99</v>
      </c>
      <c r="G1595" s="3">
        <v>2970</v>
      </c>
      <c r="H1595" s="3" t="s">
        <v>2972</v>
      </c>
    </row>
    <row r="1596" spans="1:8" x14ac:dyDescent="0.35">
      <c r="A1596" t="s">
        <v>19</v>
      </c>
      <c r="B1596" s="26" t="s">
        <v>20</v>
      </c>
      <c r="C1596" s="20">
        <v>42295</v>
      </c>
      <c r="D1596" t="s">
        <v>56</v>
      </c>
      <c r="E1596" s="3">
        <v>800</v>
      </c>
      <c r="F1596" s="3">
        <v>85</v>
      </c>
      <c r="G1596" s="3">
        <v>53720</v>
      </c>
      <c r="H1596" s="3" t="s">
        <v>2974</v>
      </c>
    </row>
    <row r="1597" spans="1:8" x14ac:dyDescent="0.35">
      <c r="A1597" t="s">
        <v>41</v>
      </c>
      <c r="B1597" s="26" t="s">
        <v>36</v>
      </c>
      <c r="C1597" s="20">
        <v>43262</v>
      </c>
      <c r="D1597" t="s">
        <v>123</v>
      </c>
      <c r="E1597" s="3">
        <v>50</v>
      </c>
      <c r="F1597" s="3">
        <v>28</v>
      </c>
      <c r="G1597" s="3">
        <v>1400</v>
      </c>
      <c r="H1597" s="3" t="s">
        <v>2970</v>
      </c>
    </row>
    <row r="1598" spans="1:8" x14ac:dyDescent="0.35">
      <c r="A1598" t="s">
        <v>109</v>
      </c>
      <c r="B1598" s="26" t="s">
        <v>20</v>
      </c>
      <c r="C1598" s="20">
        <v>43106</v>
      </c>
      <c r="D1598" t="s">
        <v>73</v>
      </c>
      <c r="E1598" s="3">
        <v>500</v>
      </c>
      <c r="F1598" s="3">
        <v>96</v>
      </c>
      <c r="G1598" s="3">
        <v>48000</v>
      </c>
      <c r="H1598" s="3" t="s">
        <v>2966</v>
      </c>
    </row>
    <row r="1599" spans="1:8" x14ac:dyDescent="0.35">
      <c r="A1599" t="s">
        <v>109</v>
      </c>
      <c r="B1599" s="26" t="s">
        <v>20</v>
      </c>
      <c r="C1599" s="20">
        <v>42425</v>
      </c>
      <c r="D1599" t="s">
        <v>73</v>
      </c>
      <c r="E1599" s="3">
        <v>500</v>
      </c>
      <c r="F1599" s="3">
        <v>16</v>
      </c>
      <c r="G1599" s="3">
        <v>7920</v>
      </c>
      <c r="H1599" s="3" t="s">
        <v>2967</v>
      </c>
    </row>
    <row r="1600" spans="1:8" x14ac:dyDescent="0.35">
      <c r="A1600" t="s">
        <v>24</v>
      </c>
      <c r="B1600" s="26" t="s">
        <v>25</v>
      </c>
      <c r="C1600" s="20">
        <v>41749</v>
      </c>
      <c r="D1600" t="s">
        <v>47</v>
      </c>
      <c r="E1600" s="3">
        <v>500</v>
      </c>
      <c r="F1600" s="3">
        <v>67</v>
      </c>
      <c r="G1600" s="3">
        <v>32495</v>
      </c>
      <c r="H1600" s="3" t="s">
        <v>2969</v>
      </c>
    </row>
    <row r="1601" spans="1:8" x14ac:dyDescent="0.35">
      <c r="A1601" t="s">
        <v>257</v>
      </c>
      <c r="B1601" s="26" t="s">
        <v>14</v>
      </c>
      <c r="C1601" s="20">
        <v>41992</v>
      </c>
      <c r="D1601" t="s">
        <v>42</v>
      </c>
      <c r="E1601" s="3">
        <v>30</v>
      </c>
      <c r="F1601" s="3">
        <v>32</v>
      </c>
      <c r="G1601" s="3">
        <v>736</v>
      </c>
      <c r="H1601" s="3" t="s">
        <v>2976</v>
      </c>
    </row>
    <row r="1602" spans="1:8" x14ac:dyDescent="0.35">
      <c r="A1602" t="s">
        <v>436</v>
      </c>
      <c r="B1602" s="26" t="s">
        <v>25</v>
      </c>
      <c r="C1602" s="20">
        <v>41713</v>
      </c>
      <c r="D1602" t="s">
        <v>123</v>
      </c>
      <c r="E1602" s="3">
        <v>50</v>
      </c>
      <c r="F1602" s="3">
        <v>51</v>
      </c>
      <c r="G1602" s="3">
        <v>2550</v>
      </c>
      <c r="H1602" s="3" t="s">
        <v>2968</v>
      </c>
    </row>
    <row r="1603" spans="1:8" x14ac:dyDescent="0.35">
      <c r="A1603" t="s">
        <v>55</v>
      </c>
      <c r="B1603" s="26" t="s">
        <v>14</v>
      </c>
      <c r="C1603" s="20">
        <v>42528</v>
      </c>
      <c r="D1603" t="s">
        <v>123</v>
      </c>
      <c r="E1603" s="3">
        <v>50</v>
      </c>
      <c r="F1603" s="3">
        <v>56</v>
      </c>
      <c r="G1603" s="3">
        <v>2688</v>
      </c>
      <c r="H1603" s="3" t="s">
        <v>2970</v>
      </c>
    </row>
    <row r="1604" spans="1:8" x14ac:dyDescent="0.35">
      <c r="A1604" t="s">
        <v>172</v>
      </c>
      <c r="B1604" s="26" t="s">
        <v>14</v>
      </c>
      <c r="C1604" s="20">
        <v>42242</v>
      </c>
      <c r="D1604" t="s">
        <v>116</v>
      </c>
      <c r="E1604" s="3">
        <v>250</v>
      </c>
      <c r="F1604" s="3">
        <v>51</v>
      </c>
      <c r="G1604" s="3">
        <v>8160</v>
      </c>
      <c r="H1604" s="3" t="s">
        <v>2972</v>
      </c>
    </row>
    <row r="1605" spans="1:8" x14ac:dyDescent="0.35">
      <c r="A1605" t="s">
        <v>152</v>
      </c>
      <c r="B1605" s="26" t="s">
        <v>14</v>
      </c>
      <c r="C1605" s="20">
        <v>42818</v>
      </c>
      <c r="D1605" t="s">
        <v>31</v>
      </c>
      <c r="E1605" s="3">
        <v>150</v>
      </c>
      <c r="F1605" s="3">
        <v>95</v>
      </c>
      <c r="G1605" s="3">
        <v>13300</v>
      </c>
      <c r="H1605" s="3" t="s">
        <v>2968</v>
      </c>
    </row>
    <row r="1606" spans="1:8" x14ac:dyDescent="0.35">
      <c r="A1606" t="s">
        <v>83</v>
      </c>
      <c r="B1606" s="26" t="s">
        <v>14</v>
      </c>
      <c r="C1606" s="20">
        <v>42282</v>
      </c>
      <c r="D1606" t="s">
        <v>123</v>
      </c>
      <c r="E1606" s="3">
        <v>50</v>
      </c>
      <c r="F1606" s="3">
        <v>2</v>
      </c>
      <c r="G1606" s="3">
        <v>84</v>
      </c>
      <c r="H1606" s="3" t="s">
        <v>2974</v>
      </c>
    </row>
    <row r="1607" spans="1:8" x14ac:dyDescent="0.35">
      <c r="A1607" t="s">
        <v>19</v>
      </c>
      <c r="B1607" s="26" t="s">
        <v>20</v>
      </c>
      <c r="C1607" s="20">
        <v>42472</v>
      </c>
      <c r="D1607" t="s">
        <v>42</v>
      </c>
      <c r="E1607" s="3">
        <v>30</v>
      </c>
      <c r="F1607" s="3">
        <v>39</v>
      </c>
      <c r="G1607" s="3">
        <v>1131</v>
      </c>
      <c r="H1607" s="3" t="s">
        <v>2969</v>
      </c>
    </row>
    <row r="1608" spans="1:8" x14ac:dyDescent="0.35">
      <c r="A1608" t="s">
        <v>120</v>
      </c>
      <c r="B1608" s="26" t="s">
        <v>36</v>
      </c>
      <c r="C1608" s="20">
        <v>41805</v>
      </c>
      <c r="D1608" t="s">
        <v>62</v>
      </c>
      <c r="E1608" s="3">
        <v>1000</v>
      </c>
      <c r="F1608" s="3">
        <v>7</v>
      </c>
      <c r="G1608" s="3">
        <v>4060</v>
      </c>
      <c r="H1608" s="3" t="s">
        <v>2970</v>
      </c>
    </row>
    <row r="1609" spans="1:8" x14ac:dyDescent="0.35">
      <c r="A1609" t="s">
        <v>93</v>
      </c>
      <c r="B1609" s="26" t="s">
        <v>36</v>
      </c>
      <c r="C1609" s="20">
        <v>41963</v>
      </c>
      <c r="D1609" t="s">
        <v>62</v>
      </c>
      <c r="E1609" s="3">
        <v>1000</v>
      </c>
      <c r="F1609" s="3">
        <v>56</v>
      </c>
      <c r="G1609" s="3">
        <v>49280</v>
      </c>
      <c r="H1609" s="3" t="s">
        <v>2975</v>
      </c>
    </row>
    <row r="1610" spans="1:8" x14ac:dyDescent="0.35">
      <c r="A1610" t="s">
        <v>189</v>
      </c>
      <c r="B1610" s="26" t="s">
        <v>14</v>
      </c>
      <c r="C1610" s="20">
        <v>41857</v>
      </c>
      <c r="D1610" t="s">
        <v>105</v>
      </c>
      <c r="E1610" s="3">
        <v>70</v>
      </c>
      <c r="F1610" s="3">
        <v>2</v>
      </c>
      <c r="G1610" s="3">
        <v>104</v>
      </c>
      <c r="H1610" s="3" t="s">
        <v>2972</v>
      </c>
    </row>
    <row r="1611" spans="1:8" x14ac:dyDescent="0.35">
      <c r="A1611" t="s">
        <v>402</v>
      </c>
      <c r="B1611" s="26" t="s">
        <v>14</v>
      </c>
      <c r="C1611" s="20">
        <v>42022</v>
      </c>
      <c r="D1611" t="s">
        <v>123</v>
      </c>
      <c r="E1611" s="3">
        <v>50</v>
      </c>
      <c r="F1611" s="3">
        <v>37</v>
      </c>
      <c r="G1611" s="3">
        <v>1369</v>
      </c>
      <c r="H1611" s="3" t="s">
        <v>2966</v>
      </c>
    </row>
    <row r="1612" spans="1:8" x14ac:dyDescent="0.35">
      <c r="A1612" t="s">
        <v>51</v>
      </c>
      <c r="B1612" s="26" t="s">
        <v>25</v>
      </c>
      <c r="C1612" s="20">
        <v>41859</v>
      </c>
      <c r="D1612" t="s">
        <v>37</v>
      </c>
      <c r="E1612" s="3">
        <v>50</v>
      </c>
      <c r="F1612" s="3">
        <v>16</v>
      </c>
      <c r="G1612" s="3">
        <v>800</v>
      </c>
      <c r="H1612" s="3" t="s">
        <v>2972</v>
      </c>
    </row>
    <row r="1613" spans="1:8" x14ac:dyDescent="0.35">
      <c r="A1613" t="s">
        <v>109</v>
      </c>
      <c r="B1613" s="26" t="s">
        <v>20</v>
      </c>
      <c r="C1613" s="20">
        <v>43048</v>
      </c>
      <c r="D1613" t="s">
        <v>105</v>
      </c>
      <c r="E1613" s="3">
        <v>70</v>
      </c>
      <c r="F1613" s="3">
        <v>12</v>
      </c>
      <c r="G1613" s="3">
        <v>804</v>
      </c>
      <c r="H1613" s="3" t="s">
        <v>2975</v>
      </c>
    </row>
    <row r="1614" spans="1:8" x14ac:dyDescent="0.35">
      <c r="A1614" t="s">
        <v>109</v>
      </c>
      <c r="B1614" s="26" t="s">
        <v>20</v>
      </c>
      <c r="C1614" s="20">
        <v>42269</v>
      </c>
      <c r="D1614" t="s">
        <v>37</v>
      </c>
      <c r="E1614" s="3">
        <v>50</v>
      </c>
      <c r="F1614" s="3">
        <v>51</v>
      </c>
      <c r="G1614" s="3">
        <v>2550</v>
      </c>
      <c r="H1614" s="3" t="s">
        <v>2973</v>
      </c>
    </row>
    <row r="1615" spans="1:8" x14ac:dyDescent="0.35">
      <c r="A1615" t="s">
        <v>93</v>
      </c>
      <c r="B1615" s="26" t="s">
        <v>36</v>
      </c>
      <c r="C1615" s="20">
        <v>42698</v>
      </c>
      <c r="D1615" t="s">
        <v>105</v>
      </c>
      <c r="E1615" s="3">
        <v>70</v>
      </c>
      <c r="F1615" s="3">
        <v>91</v>
      </c>
      <c r="G1615" s="3">
        <v>6006</v>
      </c>
      <c r="H1615" s="3" t="s">
        <v>2975</v>
      </c>
    </row>
    <row r="1616" spans="1:8" x14ac:dyDescent="0.35">
      <c r="A1616" t="s">
        <v>402</v>
      </c>
      <c r="B1616" s="26" t="s">
        <v>14</v>
      </c>
      <c r="C1616" s="20">
        <v>42350</v>
      </c>
      <c r="D1616" t="s">
        <v>123</v>
      </c>
      <c r="E1616" s="3">
        <v>50</v>
      </c>
      <c r="F1616" s="3">
        <v>7</v>
      </c>
      <c r="G1616" s="3">
        <v>294</v>
      </c>
      <c r="H1616" s="3" t="s">
        <v>2976</v>
      </c>
    </row>
    <row r="1617" spans="1:8" x14ac:dyDescent="0.35">
      <c r="A1617" t="s">
        <v>436</v>
      </c>
      <c r="B1617" s="26" t="s">
        <v>25</v>
      </c>
      <c r="C1617" s="20">
        <v>43289</v>
      </c>
      <c r="D1617" t="s">
        <v>15</v>
      </c>
      <c r="E1617" s="3">
        <v>80</v>
      </c>
      <c r="F1617" s="3">
        <v>88</v>
      </c>
      <c r="G1617" s="3">
        <v>6864</v>
      </c>
      <c r="H1617" s="3" t="s">
        <v>2971</v>
      </c>
    </row>
    <row r="1618" spans="1:8" x14ac:dyDescent="0.35">
      <c r="A1618" t="s">
        <v>326</v>
      </c>
      <c r="B1618" s="26" t="s">
        <v>14</v>
      </c>
      <c r="C1618" s="20">
        <v>42736</v>
      </c>
      <c r="D1618" t="s">
        <v>62</v>
      </c>
      <c r="E1618" s="3">
        <v>1000</v>
      </c>
      <c r="F1618" s="3">
        <v>99</v>
      </c>
      <c r="G1618" s="3">
        <v>68310</v>
      </c>
      <c r="H1618" s="3" t="s">
        <v>2966</v>
      </c>
    </row>
    <row r="1619" spans="1:8" x14ac:dyDescent="0.35">
      <c r="A1619" t="s">
        <v>93</v>
      </c>
      <c r="B1619" s="26" t="s">
        <v>36</v>
      </c>
      <c r="C1619" s="20">
        <v>41911</v>
      </c>
      <c r="D1619" t="s">
        <v>31</v>
      </c>
      <c r="E1619" s="3">
        <v>150</v>
      </c>
      <c r="F1619" s="3">
        <v>95</v>
      </c>
      <c r="G1619" s="3">
        <v>13110</v>
      </c>
      <c r="H1619" s="3" t="s">
        <v>2973</v>
      </c>
    </row>
    <row r="1620" spans="1:8" x14ac:dyDescent="0.35">
      <c r="A1620" t="s">
        <v>109</v>
      </c>
      <c r="B1620" s="26" t="s">
        <v>20</v>
      </c>
      <c r="C1620" s="20">
        <v>42853</v>
      </c>
      <c r="D1620" t="s">
        <v>105</v>
      </c>
      <c r="E1620" s="3">
        <v>70</v>
      </c>
      <c r="F1620" s="3">
        <v>28</v>
      </c>
      <c r="G1620" s="3">
        <v>1904</v>
      </c>
      <c r="H1620" s="3" t="s">
        <v>2969</v>
      </c>
    </row>
    <row r="1621" spans="1:8" x14ac:dyDescent="0.35">
      <c r="A1621" t="s">
        <v>109</v>
      </c>
      <c r="B1621" s="26" t="s">
        <v>20</v>
      </c>
      <c r="C1621" s="20">
        <v>41819</v>
      </c>
      <c r="D1621" t="s">
        <v>73</v>
      </c>
      <c r="E1621" s="3">
        <v>500</v>
      </c>
      <c r="F1621" s="3">
        <v>42</v>
      </c>
      <c r="G1621" s="3">
        <v>20580</v>
      </c>
      <c r="H1621" s="3" t="s">
        <v>2970</v>
      </c>
    </row>
    <row r="1622" spans="1:8" x14ac:dyDescent="0.35">
      <c r="A1622" t="s">
        <v>172</v>
      </c>
      <c r="B1622" s="26" t="s">
        <v>14</v>
      </c>
      <c r="C1622" s="20">
        <v>42045</v>
      </c>
      <c r="D1622" t="s">
        <v>42</v>
      </c>
      <c r="E1622" s="3">
        <v>30</v>
      </c>
      <c r="F1622" s="3">
        <v>4</v>
      </c>
      <c r="G1622" s="3">
        <v>100</v>
      </c>
      <c r="H1622" s="3" t="s">
        <v>2967</v>
      </c>
    </row>
    <row r="1623" spans="1:8" x14ac:dyDescent="0.35">
      <c r="A1623" t="s">
        <v>172</v>
      </c>
      <c r="B1623" s="26" t="s">
        <v>14</v>
      </c>
      <c r="C1623" s="20">
        <v>43279</v>
      </c>
      <c r="D1623" t="s">
        <v>56</v>
      </c>
      <c r="E1623" s="3">
        <v>800</v>
      </c>
      <c r="F1623" s="3">
        <v>42</v>
      </c>
      <c r="G1623" s="3">
        <v>24192</v>
      </c>
      <c r="H1623" s="3" t="s">
        <v>2970</v>
      </c>
    </row>
    <row r="1624" spans="1:8" x14ac:dyDescent="0.35">
      <c r="A1624" t="s">
        <v>272</v>
      </c>
      <c r="B1624" s="26" t="s">
        <v>36</v>
      </c>
      <c r="C1624" s="20">
        <v>43245</v>
      </c>
      <c r="D1624" t="s">
        <v>37</v>
      </c>
      <c r="E1624" s="3">
        <v>50</v>
      </c>
      <c r="F1624" s="3">
        <v>56</v>
      </c>
      <c r="G1624" s="3">
        <v>2688</v>
      </c>
      <c r="H1624" s="3" t="s">
        <v>2965</v>
      </c>
    </row>
    <row r="1625" spans="1:8" x14ac:dyDescent="0.35">
      <c r="A1625" t="s">
        <v>257</v>
      </c>
      <c r="B1625" s="26" t="s">
        <v>14</v>
      </c>
      <c r="C1625" s="20">
        <v>42494</v>
      </c>
      <c r="D1625" t="s">
        <v>116</v>
      </c>
      <c r="E1625" s="3">
        <v>250</v>
      </c>
      <c r="F1625" s="3">
        <v>36</v>
      </c>
      <c r="G1625" s="3">
        <v>8388</v>
      </c>
      <c r="H1625" s="3" t="s">
        <v>2965</v>
      </c>
    </row>
    <row r="1626" spans="1:8" x14ac:dyDescent="0.35">
      <c r="A1626" t="s">
        <v>72</v>
      </c>
      <c r="B1626" s="26" t="s">
        <v>36</v>
      </c>
      <c r="C1626" s="20">
        <v>42633</v>
      </c>
      <c r="D1626" t="s">
        <v>116</v>
      </c>
      <c r="E1626" s="3">
        <v>250</v>
      </c>
      <c r="F1626" s="3">
        <v>68</v>
      </c>
      <c r="G1626" s="3">
        <v>15640</v>
      </c>
      <c r="H1626" s="3" t="s">
        <v>2973</v>
      </c>
    </row>
    <row r="1627" spans="1:8" x14ac:dyDescent="0.35">
      <c r="A1627" t="s">
        <v>13</v>
      </c>
      <c r="B1627" s="26" t="s">
        <v>14</v>
      </c>
      <c r="C1627" s="20">
        <v>41771</v>
      </c>
      <c r="D1627" t="s">
        <v>26</v>
      </c>
      <c r="E1627" s="3">
        <v>700</v>
      </c>
      <c r="F1627" s="3">
        <v>2</v>
      </c>
      <c r="G1627" s="3">
        <v>1358</v>
      </c>
      <c r="H1627" s="3" t="s">
        <v>2965</v>
      </c>
    </row>
    <row r="1628" spans="1:8" x14ac:dyDescent="0.35">
      <c r="A1628" t="s">
        <v>176</v>
      </c>
      <c r="B1628" s="26" t="s">
        <v>14</v>
      </c>
      <c r="C1628" s="20">
        <v>43422</v>
      </c>
      <c r="D1628" t="s">
        <v>37</v>
      </c>
      <c r="E1628" s="3">
        <v>50</v>
      </c>
      <c r="F1628" s="3">
        <v>32</v>
      </c>
      <c r="G1628" s="3">
        <v>1408</v>
      </c>
      <c r="H1628" s="3" t="s">
        <v>2975</v>
      </c>
    </row>
    <row r="1629" spans="1:8" x14ac:dyDescent="0.35">
      <c r="A1629" t="s">
        <v>83</v>
      </c>
      <c r="B1629" s="26" t="s">
        <v>14</v>
      </c>
      <c r="C1629" s="20">
        <v>42786</v>
      </c>
      <c r="D1629" t="s">
        <v>42</v>
      </c>
      <c r="E1629" s="3">
        <v>30</v>
      </c>
      <c r="F1629" s="3">
        <v>58</v>
      </c>
      <c r="G1629" s="3">
        <v>1682</v>
      </c>
      <c r="H1629" s="3" t="s">
        <v>2967</v>
      </c>
    </row>
    <row r="1630" spans="1:8" x14ac:dyDescent="0.35">
      <c r="A1630" t="s">
        <v>83</v>
      </c>
      <c r="B1630" s="26" t="s">
        <v>14</v>
      </c>
      <c r="C1630" s="20">
        <v>42075</v>
      </c>
      <c r="D1630" t="s">
        <v>26</v>
      </c>
      <c r="E1630" s="3">
        <v>700</v>
      </c>
      <c r="F1630" s="3">
        <v>30</v>
      </c>
      <c r="G1630" s="3">
        <v>13860</v>
      </c>
      <c r="H1630" s="3" t="s">
        <v>2968</v>
      </c>
    </row>
    <row r="1631" spans="1:8" x14ac:dyDescent="0.35">
      <c r="A1631" t="s">
        <v>72</v>
      </c>
      <c r="B1631" s="26" t="s">
        <v>36</v>
      </c>
      <c r="C1631" s="20">
        <v>42852</v>
      </c>
      <c r="D1631" t="s">
        <v>62</v>
      </c>
      <c r="E1631" s="3">
        <v>1000</v>
      </c>
      <c r="F1631" s="3">
        <v>53</v>
      </c>
      <c r="G1631" s="3">
        <v>45580</v>
      </c>
      <c r="H1631" s="3" t="s">
        <v>2969</v>
      </c>
    </row>
    <row r="1632" spans="1:8" x14ac:dyDescent="0.35">
      <c r="A1632" t="s">
        <v>24</v>
      </c>
      <c r="B1632" s="26" t="s">
        <v>25</v>
      </c>
      <c r="C1632" s="20">
        <v>41836</v>
      </c>
      <c r="D1632" t="s">
        <v>123</v>
      </c>
      <c r="E1632" s="3">
        <v>50</v>
      </c>
      <c r="F1632" s="3">
        <v>27</v>
      </c>
      <c r="G1632" s="3">
        <v>999</v>
      </c>
      <c r="H1632" s="3" t="s">
        <v>2971</v>
      </c>
    </row>
    <row r="1633" spans="1:8" x14ac:dyDescent="0.35">
      <c r="A1633" t="s">
        <v>172</v>
      </c>
      <c r="B1633" s="26" t="s">
        <v>14</v>
      </c>
      <c r="C1633" s="20">
        <v>42325</v>
      </c>
      <c r="D1633" t="s">
        <v>116</v>
      </c>
      <c r="E1633" s="3">
        <v>250</v>
      </c>
      <c r="F1633" s="3">
        <v>87</v>
      </c>
      <c r="G1633" s="3">
        <v>15051</v>
      </c>
      <c r="H1633" s="3" t="s">
        <v>2975</v>
      </c>
    </row>
    <row r="1634" spans="1:8" x14ac:dyDescent="0.35">
      <c r="A1634" t="s">
        <v>402</v>
      </c>
      <c r="B1634" s="26" t="s">
        <v>14</v>
      </c>
      <c r="C1634" s="20">
        <v>42952</v>
      </c>
      <c r="D1634" t="s">
        <v>26</v>
      </c>
      <c r="E1634" s="3">
        <v>700</v>
      </c>
      <c r="F1634" s="3">
        <v>42</v>
      </c>
      <c r="G1634" s="3">
        <v>26754</v>
      </c>
      <c r="H1634" s="3" t="s">
        <v>2972</v>
      </c>
    </row>
    <row r="1635" spans="1:8" x14ac:dyDescent="0.35">
      <c r="A1635" t="s">
        <v>109</v>
      </c>
      <c r="B1635" s="26" t="s">
        <v>20</v>
      </c>
      <c r="C1635" s="20">
        <v>42085</v>
      </c>
      <c r="D1635" t="s">
        <v>105</v>
      </c>
      <c r="E1635" s="3">
        <v>70</v>
      </c>
      <c r="F1635" s="3">
        <v>23</v>
      </c>
      <c r="G1635" s="3">
        <v>1104</v>
      </c>
      <c r="H1635" s="3" t="s">
        <v>2968</v>
      </c>
    </row>
    <row r="1636" spans="1:8" x14ac:dyDescent="0.35">
      <c r="A1636" t="s">
        <v>19</v>
      </c>
      <c r="B1636" s="26" t="s">
        <v>20</v>
      </c>
      <c r="C1636" s="20">
        <v>42123</v>
      </c>
      <c r="D1636" t="s">
        <v>105</v>
      </c>
      <c r="E1636" s="3">
        <v>70</v>
      </c>
      <c r="F1636" s="3">
        <v>43</v>
      </c>
      <c r="G1636" s="3">
        <v>1849</v>
      </c>
      <c r="H1636" s="3" t="s">
        <v>2969</v>
      </c>
    </row>
    <row r="1637" spans="1:8" x14ac:dyDescent="0.35">
      <c r="A1637" t="s">
        <v>41</v>
      </c>
      <c r="B1637" s="26" t="s">
        <v>36</v>
      </c>
      <c r="C1637" s="20">
        <v>42280</v>
      </c>
      <c r="D1637" t="s">
        <v>42</v>
      </c>
      <c r="E1637" s="3">
        <v>30</v>
      </c>
      <c r="F1637" s="3">
        <v>66</v>
      </c>
      <c r="G1637" s="3">
        <v>1386</v>
      </c>
      <c r="H1637" s="3" t="s">
        <v>2974</v>
      </c>
    </row>
    <row r="1638" spans="1:8" x14ac:dyDescent="0.35">
      <c r="A1638" t="s">
        <v>176</v>
      </c>
      <c r="B1638" s="26" t="s">
        <v>14</v>
      </c>
      <c r="C1638" s="20">
        <v>41864</v>
      </c>
      <c r="D1638" t="s">
        <v>31</v>
      </c>
      <c r="E1638" s="3">
        <v>150</v>
      </c>
      <c r="F1638" s="3">
        <v>60</v>
      </c>
      <c r="G1638" s="3">
        <v>6420</v>
      </c>
      <c r="H1638" s="3" t="s">
        <v>2972</v>
      </c>
    </row>
    <row r="1639" spans="1:8" x14ac:dyDescent="0.35">
      <c r="A1639" t="s">
        <v>207</v>
      </c>
      <c r="B1639" s="26" t="s">
        <v>25</v>
      </c>
      <c r="C1639" s="20">
        <v>41946</v>
      </c>
      <c r="D1639" t="s">
        <v>37</v>
      </c>
      <c r="E1639" s="3">
        <v>50</v>
      </c>
      <c r="F1639" s="3">
        <v>11</v>
      </c>
      <c r="G1639" s="3">
        <v>528</v>
      </c>
      <c r="H1639" s="3" t="s">
        <v>2975</v>
      </c>
    </row>
    <row r="1640" spans="1:8" x14ac:dyDescent="0.35">
      <c r="A1640" t="s">
        <v>19</v>
      </c>
      <c r="B1640" s="26" t="s">
        <v>20</v>
      </c>
      <c r="C1640" s="20">
        <v>43072</v>
      </c>
      <c r="D1640" t="s">
        <v>123</v>
      </c>
      <c r="E1640" s="3">
        <v>50</v>
      </c>
      <c r="F1640" s="3">
        <v>49</v>
      </c>
      <c r="G1640" s="3">
        <v>2205</v>
      </c>
      <c r="H1640" s="3" t="s">
        <v>2976</v>
      </c>
    </row>
    <row r="1641" spans="1:8" x14ac:dyDescent="0.35">
      <c r="A1641" t="s">
        <v>35</v>
      </c>
      <c r="B1641" s="26" t="s">
        <v>36</v>
      </c>
      <c r="C1641" s="20">
        <v>42499</v>
      </c>
      <c r="D1641" t="s">
        <v>105</v>
      </c>
      <c r="E1641" s="3">
        <v>70</v>
      </c>
      <c r="F1641" s="3">
        <v>68</v>
      </c>
      <c r="G1641" s="3">
        <v>4624</v>
      </c>
      <c r="H1641" s="3" t="s">
        <v>2965</v>
      </c>
    </row>
    <row r="1642" spans="1:8" x14ac:dyDescent="0.35">
      <c r="A1642" t="s">
        <v>109</v>
      </c>
      <c r="B1642" s="26" t="s">
        <v>20</v>
      </c>
      <c r="C1642" s="20">
        <v>41927</v>
      </c>
      <c r="D1642" t="s">
        <v>37</v>
      </c>
      <c r="E1642" s="3">
        <v>50</v>
      </c>
      <c r="F1642" s="3">
        <v>21</v>
      </c>
      <c r="G1642" s="3">
        <v>945</v>
      </c>
      <c r="H1642" s="3" t="s">
        <v>2974</v>
      </c>
    </row>
    <row r="1643" spans="1:8" x14ac:dyDescent="0.35">
      <c r="A1643" t="s">
        <v>109</v>
      </c>
      <c r="B1643" s="26" t="s">
        <v>20</v>
      </c>
      <c r="C1643" s="20">
        <v>43304</v>
      </c>
      <c r="D1643" t="s">
        <v>37</v>
      </c>
      <c r="E1643" s="3">
        <v>50</v>
      </c>
      <c r="F1643" s="3">
        <v>69</v>
      </c>
      <c r="G1643" s="3">
        <v>3312</v>
      </c>
      <c r="H1643" s="3" t="s">
        <v>2971</v>
      </c>
    </row>
    <row r="1644" spans="1:8" x14ac:dyDescent="0.35">
      <c r="A1644" t="s">
        <v>326</v>
      </c>
      <c r="B1644" s="26" t="s">
        <v>14</v>
      </c>
      <c r="C1644" s="20">
        <v>41866</v>
      </c>
      <c r="D1644" t="s">
        <v>56</v>
      </c>
      <c r="E1644" s="3">
        <v>800</v>
      </c>
      <c r="F1644" s="3">
        <v>94</v>
      </c>
      <c r="G1644" s="3">
        <v>66176</v>
      </c>
      <c r="H1644" s="3" t="s">
        <v>2972</v>
      </c>
    </row>
    <row r="1645" spans="1:8" x14ac:dyDescent="0.35">
      <c r="A1645" t="s">
        <v>207</v>
      </c>
      <c r="B1645" s="26" t="s">
        <v>25</v>
      </c>
      <c r="C1645" s="20">
        <v>42965</v>
      </c>
      <c r="D1645" t="s">
        <v>15</v>
      </c>
      <c r="E1645" s="3">
        <v>80</v>
      </c>
      <c r="F1645" s="3">
        <v>26</v>
      </c>
      <c r="G1645" s="3">
        <v>2080</v>
      </c>
      <c r="H1645" s="3" t="s">
        <v>2972</v>
      </c>
    </row>
    <row r="1646" spans="1:8" x14ac:dyDescent="0.35">
      <c r="A1646" t="s">
        <v>189</v>
      </c>
      <c r="B1646" s="26" t="s">
        <v>14</v>
      </c>
      <c r="C1646" s="20">
        <v>41871</v>
      </c>
      <c r="D1646" t="s">
        <v>42</v>
      </c>
      <c r="E1646" s="3">
        <v>30</v>
      </c>
      <c r="F1646" s="3">
        <v>19</v>
      </c>
      <c r="G1646" s="3">
        <v>570</v>
      </c>
      <c r="H1646" s="3" t="s">
        <v>2972</v>
      </c>
    </row>
    <row r="1647" spans="1:8" x14ac:dyDescent="0.35">
      <c r="A1647" t="s">
        <v>152</v>
      </c>
      <c r="B1647" s="26" t="s">
        <v>14</v>
      </c>
      <c r="C1647" s="20">
        <v>42027</v>
      </c>
      <c r="D1647" t="s">
        <v>116</v>
      </c>
      <c r="E1647" s="3">
        <v>250</v>
      </c>
      <c r="F1647" s="3">
        <v>17</v>
      </c>
      <c r="G1647" s="3">
        <v>2720</v>
      </c>
      <c r="H1647" s="3" t="s">
        <v>2966</v>
      </c>
    </row>
    <row r="1648" spans="1:8" x14ac:dyDescent="0.35">
      <c r="A1648" t="s">
        <v>189</v>
      </c>
      <c r="B1648" s="26" t="s">
        <v>14</v>
      </c>
      <c r="C1648" s="20">
        <v>42330</v>
      </c>
      <c r="D1648" t="s">
        <v>123</v>
      </c>
      <c r="E1648" s="3">
        <v>50</v>
      </c>
      <c r="F1648" s="3">
        <v>42</v>
      </c>
      <c r="G1648" s="3">
        <v>1806</v>
      </c>
      <c r="H1648" s="3" t="s">
        <v>2975</v>
      </c>
    </row>
    <row r="1649" spans="1:8" x14ac:dyDescent="0.35">
      <c r="A1649" t="s">
        <v>189</v>
      </c>
      <c r="B1649" s="26" t="s">
        <v>14</v>
      </c>
      <c r="C1649" s="20">
        <v>43181</v>
      </c>
      <c r="D1649" t="s">
        <v>73</v>
      </c>
      <c r="E1649" s="3">
        <v>500</v>
      </c>
      <c r="F1649" s="3">
        <v>34</v>
      </c>
      <c r="G1649" s="3">
        <v>16830</v>
      </c>
      <c r="H1649" s="3" t="s">
        <v>2968</v>
      </c>
    </row>
    <row r="1650" spans="1:8" x14ac:dyDescent="0.35">
      <c r="A1650" t="s">
        <v>243</v>
      </c>
      <c r="B1650" s="26" t="s">
        <v>14</v>
      </c>
      <c r="C1650" s="20">
        <v>43310</v>
      </c>
      <c r="D1650" t="s">
        <v>42</v>
      </c>
      <c r="E1650" s="3">
        <v>30</v>
      </c>
      <c r="F1650" s="3">
        <v>16</v>
      </c>
      <c r="G1650" s="3">
        <v>432</v>
      </c>
      <c r="H1650" s="3" t="s">
        <v>2971</v>
      </c>
    </row>
    <row r="1651" spans="1:8" x14ac:dyDescent="0.35">
      <c r="A1651" t="s">
        <v>402</v>
      </c>
      <c r="B1651" s="26" t="s">
        <v>14</v>
      </c>
      <c r="C1651" s="20">
        <v>42294</v>
      </c>
      <c r="D1651" t="s">
        <v>15</v>
      </c>
      <c r="E1651" s="3">
        <v>80</v>
      </c>
      <c r="F1651" s="3">
        <v>93</v>
      </c>
      <c r="G1651" s="3">
        <v>5673</v>
      </c>
      <c r="H1651" s="3" t="s">
        <v>2974</v>
      </c>
    </row>
    <row r="1652" spans="1:8" x14ac:dyDescent="0.35">
      <c r="A1652" t="s">
        <v>109</v>
      </c>
      <c r="B1652" s="26" t="s">
        <v>20</v>
      </c>
      <c r="C1652" s="20">
        <v>42488</v>
      </c>
      <c r="D1652" t="s">
        <v>62</v>
      </c>
      <c r="E1652" s="3">
        <v>1000</v>
      </c>
      <c r="F1652" s="3">
        <v>7</v>
      </c>
      <c r="G1652" s="3">
        <v>6930</v>
      </c>
      <c r="H1652" s="3" t="s">
        <v>2969</v>
      </c>
    </row>
    <row r="1653" spans="1:8" x14ac:dyDescent="0.35">
      <c r="A1653" t="s">
        <v>109</v>
      </c>
      <c r="B1653" s="26" t="s">
        <v>20</v>
      </c>
      <c r="C1653" s="20">
        <v>42996</v>
      </c>
      <c r="D1653" t="s">
        <v>37</v>
      </c>
      <c r="E1653" s="3">
        <v>50</v>
      </c>
      <c r="F1653" s="3">
        <v>26</v>
      </c>
      <c r="G1653" s="3">
        <v>1170</v>
      </c>
      <c r="H1653" s="3" t="s">
        <v>2973</v>
      </c>
    </row>
    <row r="1654" spans="1:8" x14ac:dyDescent="0.35">
      <c r="A1654" t="s">
        <v>19</v>
      </c>
      <c r="B1654" s="26" t="s">
        <v>20</v>
      </c>
      <c r="C1654" s="20">
        <v>42689</v>
      </c>
      <c r="D1654" t="s">
        <v>116</v>
      </c>
      <c r="E1654" s="3">
        <v>250</v>
      </c>
      <c r="F1654" s="3">
        <v>64</v>
      </c>
      <c r="G1654" s="3">
        <v>15552</v>
      </c>
      <c r="H1654" s="3" t="s">
        <v>2975</v>
      </c>
    </row>
    <row r="1655" spans="1:8" x14ac:dyDescent="0.35">
      <c r="A1655" t="s">
        <v>148</v>
      </c>
      <c r="B1655" s="26" t="s">
        <v>14</v>
      </c>
      <c r="C1655" s="20">
        <v>42257</v>
      </c>
      <c r="D1655" t="s">
        <v>15</v>
      </c>
      <c r="E1655" s="3">
        <v>80</v>
      </c>
      <c r="F1655" s="3">
        <v>6</v>
      </c>
      <c r="G1655" s="3">
        <v>318</v>
      </c>
      <c r="H1655" s="3" t="s">
        <v>2973</v>
      </c>
    </row>
    <row r="1656" spans="1:8" x14ac:dyDescent="0.35">
      <c r="A1656" t="s">
        <v>24</v>
      </c>
      <c r="B1656" s="26" t="s">
        <v>25</v>
      </c>
      <c r="C1656" s="20">
        <v>41641</v>
      </c>
      <c r="D1656" t="s">
        <v>62</v>
      </c>
      <c r="E1656" s="3">
        <v>1000</v>
      </c>
      <c r="F1656" s="3">
        <v>53</v>
      </c>
      <c r="G1656" s="3">
        <v>31270</v>
      </c>
      <c r="H1656" s="3" t="s">
        <v>2966</v>
      </c>
    </row>
    <row r="1657" spans="1:8" x14ac:dyDescent="0.35">
      <c r="A1657" t="s">
        <v>72</v>
      </c>
      <c r="B1657" s="26" t="s">
        <v>36</v>
      </c>
      <c r="C1657" s="20">
        <v>43241</v>
      </c>
      <c r="D1657" t="s">
        <v>31</v>
      </c>
      <c r="E1657" s="3">
        <v>150</v>
      </c>
      <c r="F1657" s="3">
        <v>47</v>
      </c>
      <c r="G1657" s="3">
        <v>6486</v>
      </c>
      <c r="H1657" s="3" t="s">
        <v>2965</v>
      </c>
    </row>
    <row r="1658" spans="1:8" x14ac:dyDescent="0.35">
      <c r="A1658" t="s">
        <v>109</v>
      </c>
      <c r="B1658" s="26" t="s">
        <v>20</v>
      </c>
      <c r="C1658" s="20">
        <v>42075</v>
      </c>
      <c r="D1658" t="s">
        <v>26</v>
      </c>
      <c r="E1658" s="3">
        <v>700</v>
      </c>
      <c r="F1658" s="3">
        <v>19</v>
      </c>
      <c r="G1658" s="3">
        <v>10640</v>
      </c>
      <c r="H1658" s="3" t="s">
        <v>2968</v>
      </c>
    </row>
    <row r="1659" spans="1:8" x14ac:dyDescent="0.35">
      <c r="A1659" t="s">
        <v>109</v>
      </c>
      <c r="B1659" s="26" t="s">
        <v>20</v>
      </c>
      <c r="C1659" s="20">
        <v>41880</v>
      </c>
      <c r="D1659" t="s">
        <v>56</v>
      </c>
      <c r="E1659" s="3">
        <v>800</v>
      </c>
      <c r="F1659" s="3">
        <v>36</v>
      </c>
      <c r="G1659" s="3">
        <v>18432</v>
      </c>
      <c r="H1659" s="3" t="s">
        <v>2972</v>
      </c>
    </row>
    <row r="1660" spans="1:8" x14ac:dyDescent="0.35">
      <c r="A1660" t="s">
        <v>326</v>
      </c>
      <c r="B1660" s="26" t="s">
        <v>14</v>
      </c>
      <c r="C1660" s="20">
        <v>42858</v>
      </c>
      <c r="D1660" t="s">
        <v>42</v>
      </c>
      <c r="E1660" s="3">
        <v>30</v>
      </c>
      <c r="F1660" s="3">
        <v>7</v>
      </c>
      <c r="G1660" s="3">
        <v>203</v>
      </c>
      <c r="H1660" s="3" t="s">
        <v>2965</v>
      </c>
    </row>
    <row r="1661" spans="1:8" x14ac:dyDescent="0.35">
      <c r="A1661" t="s">
        <v>66</v>
      </c>
      <c r="B1661" s="26" t="s">
        <v>36</v>
      </c>
      <c r="C1661" s="20">
        <v>42426</v>
      </c>
      <c r="D1661" t="s">
        <v>31</v>
      </c>
      <c r="E1661" s="3">
        <v>150</v>
      </c>
      <c r="F1661" s="3">
        <v>28</v>
      </c>
      <c r="G1661" s="3">
        <v>4032</v>
      </c>
      <c r="H1661" s="3" t="s">
        <v>2967</v>
      </c>
    </row>
    <row r="1662" spans="1:8" x14ac:dyDescent="0.35">
      <c r="A1662" t="s">
        <v>51</v>
      </c>
      <c r="B1662" s="26" t="s">
        <v>25</v>
      </c>
      <c r="C1662" s="20">
        <v>43327</v>
      </c>
      <c r="D1662" t="s">
        <v>105</v>
      </c>
      <c r="E1662" s="3">
        <v>70</v>
      </c>
      <c r="F1662" s="3">
        <v>2</v>
      </c>
      <c r="G1662" s="3">
        <v>140</v>
      </c>
      <c r="H1662" s="3" t="s">
        <v>2972</v>
      </c>
    </row>
    <row r="1663" spans="1:8" x14ac:dyDescent="0.35">
      <c r="A1663" t="s">
        <v>257</v>
      </c>
      <c r="B1663" s="26" t="s">
        <v>14</v>
      </c>
      <c r="C1663" s="20">
        <v>43078</v>
      </c>
      <c r="D1663" t="s">
        <v>47</v>
      </c>
      <c r="E1663" s="3">
        <v>500</v>
      </c>
      <c r="F1663" s="3">
        <v>8</v>
      </c>
      <c r="G1663" s="3">
        <v>3760</v>
      </c>
      <c r="H1663" s="3" t="s">
        <v>2976</v>
      </c>
    </row>
    <row r="1664" spans="1:8" x14ac:dyDescent="0.35">
      <c r="A1664" t="s">
        <v>93</v>
      </c>
      <c r="B1664" s="26" t="s">
        <v>36</v>
      </c>
      <c r="C1664" s="20">
        <v>42928</v>
      </c>
      <c r="D1664" t="s">
        <v>47</v>
      </c>
      <c r="E1664" s="3">
        <v>500</v>
      </c>
      <c r="F1664" s="3">
        <v>9</v>
      </c>
      <c r="G1664" s="3">
        <v>4320</v>
      </c>
      <c r="H1664" s="3" t="s">
        <v>2971</v>
      </c>
    </row>
    <row r="1665" spans="1:8" x14ac:dyDescent="0.35">
      <c r="A1665" t="s">
        <v>41</v>
      </c>
      <c r="B1665" s="26" t="s">
        <v>36</v>
      </c>
      <c r="C1665" s="20">
        <v>42726</v>
      </c>
      <c r="D1665" t="s">
        <v>47</v>
      </c>
      <c r="E1665" s="3">
        <v>500</v>
      </c>
      <c r="F1665" s="3">
        <v>99</v>
      </c>
      <c r="G1665" s="3">
        <v>43065</v>
      </c>
      <c r="H1665" s="3" t="s">
        <v>2976</v>
      </c>
    </row>
    <row r="1666" spans="1:8" x14ac:dyDescent="0.35">
      <c r="A1666" t="s">
        <v>87</v>
      </c>
      <c r="B1666" s="26" t="s">
        <v>14</v>
      </c>
      <c r="C1666" s="20">
        <v>42291</v>
      </c>
      <c r="D1666" t="s">
        <v>42</v>
      </c>
      <c r="E1666" s="3">
        <v>30</v>
      </c>
      <c r="F1666" s="3">
        <v>25</v>
      </c>
      <c r="G1666" s="3">
        <v>675</v>
      </c>
      <c r="H1666" s="3" t="s">
        <v>2974</v>
      </c>
    </row>
    <row r="1667" spans="1:8" x14ac:dyDescent="0.35">
      <c r="A1667" t="s">
        <v>272</v>
      </c>
      <c r="B1667" s="26" t="s">
        <v>36</v>
      </c>
      <c r="C1667" s="20">
        <v>42609</v>
      </c>
      <c r="D1667" t="s">
        <v>62</v>
      </c>
      <c r="E1667" s="3">
        <v>1000</v>
      </c>
      <c r="F1667" s="3">
        <v>23</v>
      </c>
      <c r="G1667" s="3">
        <v>21390</v>
      </c>
      <c r="H1667" s="3" t="s">
        <v>2972</v>
      </c>
    </row>
    <row r="1668" spans="1:8" x14ac:dyDescent="0.35">
      <c r="A1668" t="s">
        <v>326</v>
      </c>
      <c r="B1668" s="26" t="s">
        <v>14</v>
      </c>
      <c r="C1668" s="20">
        <v>42060</v>
      </c>
      <c r="D1668" t="s">
        <v>105</v>
      </c>
      <c r="E1668" s="3">
        <v>70</v>
      </c>
      <c r="F1668" s="3">
        <v>23</v>
      </c>
      <c r="G1668" s="3">
        <v>1564</v>
      </c>
      <c r="H1668" s="3" t="s">
        <v>2967</v>
      </c>
    </row>
    <row r="1669" spans="1:8" x14ac:dyDescent="0.35">
      <c r="A1669" t="s">
        <v>266</v>
      </c>
      <c r="B1669" s="26" t="s">
        <v>14</v>
      </c>
      <c r="C1669" s="20">
        <v>42820</v>
      </c>
      <c r="D1669" t="s">
        <v>47</v>
      </c>
      <c r="E1669" s="3">
        <v>500</v>
      </c>
      <c r="F1669" s="3">
        <v>21</v>
      </c>
      <c r="G1669" s="3">
        <v>9660</v>
      </c>
      <c r="H1669" s="3" t="s">
        <v>2968</v>
      </c>
    </row>
    <row r="1670" spans="1:8" x14ac:dyDescent="0.35">
      <c r="A1670" t="s">
        <v>97</v>
      </c>
      <c r="B1670" s="26" t="s">
        <v>14</v>
      </c>
      <c r="C1670" s="20">
        <v>42277</v>
      </c>
      <c r="D1670" t="s">
        <v>116</v>
      </c>
      <c r="E1670" s="3">
        <v>250</v>
      </c>
      <c r="F1670" s="3">
        <v>56</v>
      </c>
      <c r="G1670" s="3">
        <v>8848</v>
      </c>
      <c r="H1670" s="3" t="s">
        <v>2973</v>
      </c>
    </row>
    <row r="1671" spans="1:8" x14ac:dyDescent="0.35">
      <c r="A1671" t="s">
        <v>109</v>
      </c>
      <c r="B1671" s="26" t="s">
        <v>20</v>
      </c>
      <c r="C1671" s="20">
        <v>41867</v>
      </c>
      <c r="D1671" t="s">
        <v>26</v>
      </c>
      <c r="E1671" s="3">
        <v>700</v>
      </c>
      <c r="F1671" s="3">
        <v>90</v>
      </c>
      <c r="G1671" s="3">
        <v>59220</v>
      </c>
      <c r="H1671" s="3" t="s">
        <v>2972</v>
      </c>
    </row>
    <row r="1672" spans="1:8" x14ac:dyDescent="0.35">
      <c r="A1672" t="s">
        <v>257</v>
      </c>
      <c r="B1672" s="26" t="s">
        <v>14</v>
      </c>
      <c r="C1672" s="20">
        <v>41734</v>
      </c>
      <c r="D1672" t="s">
        <v>116</v>
      </c>
      <c r="E1672" s="3">
        <v>250</v>
      </c>
      <c r="F1672" s="3">
        <v>13</v>
      </c>
      <c r="G1672" s="3">
        <v>2314</v>
      </c>
      <c r="H1672" s="3" t="s">
        <v>2969</v>
      </c>
    </row>
    <row r="1673" spans="1:8" x14ac:dyDescent="0.35">
      <c r="A1673" t="s">
        <v>120</v>
      </c>
      <c r="B1673" s="26" t="s">
        <v>36</v>
      </c>
      <c r="C1673" s="20">
        <v>42146</v>
      </c>
      <c r="D1673" t="s">
        <v>116</v>
      </c>
      <c r="E1673" s="3">
        <v>250</v>
      </c>
      <c r="F1673" s="3">
        <v>39</v>
      </c>
      <c r="G1673" s="3">
        <v>9360</v>
      </c>
      <c r="H1673" s="3" t="s">
        <v>2965</v>
      </c>
    </row>
    <row r="1674" spans="1:8" x14ac:dyDescent="0.35">
      <c r="A1674" t="s">
        <v>229</v>
      </c>
      <c r="B1674" s="26" t="s">
        <v>25</v>
      </c>
      <c r="C1674" s="20">
        <v>42743</v>
      </c>
      <c r="D1674" t="s">
        <v>116</v>
      </c>
      <c r="E1674" s="3">
        <v>250</v>
      </c>
      <c r="F1674" s="3">
        <v>90</v>
      </c>
      <c r="G1674" s="3">
        <v>21870</v>
      </c>
      <c r="H1674" s="3" t="s">
        <v>2966</v>
      </c>
    </row>
    <row r="1675" spans="1:8" x14ac:dyDescent="0.35">
      <c r="A1675" t="s">
        <v>72</v>
      </c>
      <c r="B1675" s="26" t="s">
        <v>36</v>
      </c>
      <c r="C1675" s="20">
        <v>42435</v>
      </c>
      <c r="D1675" t="s">
        <v>62</v>
      </c>
      <c r="E1675" s="3">
        <v>1000</v>
      </c>
      <c r="F1675" s="3">
        <v>13</v>
      </c>
      <c r="G1675" s="3">
        <v>10530</v>
      </c>
      <c r="H1675" s="3" t="s">
        <v>2968</v>
      </c>
    </row>
    <row r="1676" spans="1:8" x14ac:dyDescent="0.35">
      <c r="A1676" t="s">
        <v>72</v>
      </c>
      <c r="B1676" s="26" t="s">
        <v>36</v>
      </c>
      <c r="C1676" s="20">
        <v>42829</v>
      </c>
      <c r="D1676" t="s">
        <v>62</v>
      </c>
      <c r="E1676" s="3">
        <v>1000</v>
      </c>
      <c r="F1676" s="3">
        <v>14</v>
      </c>
      <c r="G1676" s="3">
        <v>9800</v>
      </c>
      <c r="H1676" s="3" t="s">
        <v>2969</v>
      </c>
    </row>
    <row r="1677" spans="1:8" x14ac:dyDescent="0.35">
      <c r="A1677" t="s">
        <v>176</v>
      </c>
      <c r="B1677" s="26" t="s">
        <v>14</v>
      </c>
      <c r="C1677" s="20">
        <v>42431</v>
      </c>
      <c r="D1677" t="s">
        <v>42</v>
      </c>
      <c r="E1677" s="3">
        <v>30</v>
      </c>
      <c r="F1677" s="3">
        <v>23</v>
      </c>
      <c r="G1677" s="3">
        <v>667</v>
      </c>
      <c r="H1677" s="3" t="s">
        <v>2968</v>
      </c>
    </row>
    <row r="1678" spans="1:8" x14ac:dyDescent="0.35">
      <c r="A1678" t="s">
        <v>97</v>
      </c>
      <c r="B1678" s="26" t="s">
        <v>14</v>
      </c>
      <c r="C1678" s="20">
        <v>41681</v>
      </c>
      <c r="D1678" t="s">
        <v>62</v>
      </c>
      <c r="E1678" s="3">
        <v>1000</v>
      </c>
      <c r="F1678" s="3">
        <v>99</v>
      </c>
      <c r="G1678" s="3">
        <v>90090</v>
      </c>
      <c r="H1678" s="3" t="s">
        <v>2967</v>
      </c>
    </row>
    <row r="1679" spans="1:8" x14ac:dyDescent="0.35">
      <c r="A1679" t="s">
        <v>51</v>
      </c>
      <c r="B1679" s="26" t="s">
        <v>25</v>
      </c>
      <c r="C1679" s="20">
        <v>42640</v>
      </c>
      <c r="D1679" t="s">
        <v>56</v>
      </c>
      <c r="E1679" s="3">
        <v>800</v>
      </c>
      <c r="F1679" s="3">
        <v>23</v>
      </c>
      <c r="G1679" s="3">
        <v>10304</v>
      </c>
      <c r="H1679" s="3" t="s">
        <v>2973</v>
      </c>
    </row>
    <row r="1680" spans="1:8" x14ac:dyDescent="0.35">
      <c r="A1680" t="s">
        <v>152</v>
      </c>
      <c r="B1680" s="26" t="s">
        <v>14</v>
      </c>
      <c r="C1680" s="20">
        <v>42545</v>
      </c>
      <c r="D1680" t="s">
        <v>15</v>
      </c>
      <c r="E1680" s="3">
        <v>80</v>
      </c>
      <c r="F1680" s="3">
        <v>99</v>
      </c>
      <c r="G1680" s="3">
        <v>7128</v>
      </c>
      <c r="H1680" s="3" t="s">
        <v>2970</v>
      </c>
    </row>
    <row r="1681" spans="1:8" x14ac:dyDescent="0.35">
      <c r="A1681" t="s">
        <v>41</v>
      </c>
      <c r="B1681" s="26" t="s">
        <v>36</v>
      </c>
      <c r="C1681" s="20">
        <v>42310</v>
      </c>
      <c r="D1681" t="s">
        <v>42</v>
      </c>
      <c r="E1681" s="3">
        <v>30</v>
      </c>
      <c r="F1681" s="3">
        <v>26</v>
      </c>
      <c r="G1681" s="3">
        <v>598</v>
      </c>
      <c r="H1681" s="3" t="s">
        <v>2975</v>
      </c>
    </row>
    <row r="1682" spans="1:8" x14ac:dyDescent="0.35">
      <c r="A1682" t="s">
        <v>51</v>
      </c>
      <c r="B1682" s="26" t="s">
        <v>25</v>
      </c>
      <c r="C1682" s="20">
        <v>42750</v>
      </c>
      <c r="D1682" t="s">
        <v>42</v>
      </c>
      <c r="E1682" s="3">
        <v>30</v>
      </c>
      <c r="F1682" s="3">
        <v>83</v>
      </c>
      <c r="G1682" s="3">
        <v>2490</v>
      </c>
      <c r="H1682" s="3" t="s">
        <v>2966</v>
      </c>
    </row>
    <row r="1683" spans="1:8" x14ac:dyDescent="0.35">
      <c r="A1683" t="s">
        <v>148</v>
      </c>
      <c r="B1683" s="26" t="s">
        <v>14</v>
      </c>
      <c r="C1683" s="20">
        <v>43205</v>
      </c>
      <c r="D1683" t="s">
        <v>42</v>
      </c>
      <c r="E1683" s="3">
        <v>30</v>
      </c>
      <c r="F1683" s="3">
        <v>92</v>
      </c>
      <c r="G1683" s="3">
        <v>2576</v>
      </c>
      <c r="H1683" s="3" t="s">
        <v>2969</v>
      </c>
    </row>
    <row r="1684" spans="1:8" x14ac:dyDescent="0.35">
      <c r="A1684" t="s">
        <v>72</v>
      </c>
      <c r="B1684" s="26" t="s">
        <v>36</v>
      </c>
      <c r="C1684" s="20">
        <v>41854</v>
      </c>
      <c r="D1684" t="s">
        <v>116</v>
      </c>
      <c r="E1684" s="3">
        <v>250</v>
      </c>
      <c r="F1684" s="3">
        <v>8</v>
      </c>
      <c r="G1684" s="3">
        <v>1760</v>
      </c>
      <c r="H1684" s="3" t="s">
        <v>2972</v>
      </c>
    </row>
    <row r="1685" spans="1:8" x14ac:dyDescent="0.35">
      <c r="A1685" t="s">
        <v>41</v>
      </c>
      <c r="B1685" s="26" t="s">
        <v>36</v>
      </c>
      <c r="C1685" s="20">
        <v>41772</v>
      </c>
      <c r="D1685" t="s">
        <v>116</v>
      </c>
      <c r="E1685" s="3">
        <v>250</v>
      </c>
      <c r="F1685" s="3">
        <v>51</v>
      </c>
      <c r="G1685" s="3">
        <v>12750</v>
      </c>
      <c r="H1685" s="3" t="s">
        <v>2965</v>
      </c>
    </row>
    <row r="1686" spans="1:8" x14ac:dyDescent="0.35">
      <c r="A1686" t="s">
        <v>51</v>
      </c>
      <c r="B1686" s="26" t="s">
        <v>25</v>
      </c>
      <c r="C1686" s="20">
        <v>42632</v>
      </c>
      <c r="D1686" t="s">
        <v>73</v>
      </c>
      <c r="E1686" s="3">
        <v>500</v>
      </c>
      <c r="F1686" s="3">
        <v>37</v>
      </c>
      <c r="G1686" s="3">
        <v>18130</v>
      </c>
      <c r="H1686" s="3" t="s">
        <v>2973</v>
      </c>
    </row>
    <row r="1687" spans="1:8" x14ac:dyDescent="0.35">
      <c r="A1687" t="s">
        <v>109</v>
      </c>
      <c r="B1687" s="26" t="s">
        <v>20</v>
      </c>
      <c r="C1687" s="20">
        <v>43267</v>
      </c>
      <c r="D1687" t="s">
        <v>26</v>
      </c>
      <c r="E1687" s="3">
        <v>700</v>
      </c>
      <c r="F1687" s="3">
        <v>70</v>
      </c>
      <c r="G1687" s="3">
        <v>44590</v>
      </c>
      <c r="H1687" s="3" t="s">
        <v>2970</v>
      </c>
    </row>
    <row r="1688" spans="1:8" x14ac:dyDescent="0.35">
      <c r="A1688" t="s">
        <v>41</v>
      </c>
      <c r="B1688" s="26" t="s">
        <v>36</v>
      </c>
      <c r="C1688" s="20">
        <v>42946</v>
      </c>
      <c r="D1688" t="s">
        <v>26</v>
      </c>
      <c r="E1688" s="3">
        <v>700</v>
      </c>
      <c r="F1688" s="3">
        <v>59</v>
      </c>
      <c r="G1688" s="3">
        <v>40061</v>
      </c>
      <c r="H1688" s="3" t="s">
        <v>2971</v>
      </c>
    </row>
    <row r="1689" spans="1:8" x14ac:dyDescent="0.35">
      <c r="A1689" t="s">
        <v>109</v>
      </c>
      <c r="B1689" s="26" t="s">
        <v>20</v>
      </c>
      <c r="C1689" s="20">
        <v>42689</v>
      </c>
      <c r="D1689" t="s">
        <v>42</v>
      </c>
      <c r="E1689" s="3">
        <v>30</v>
      </c>
      <c r="F1689" s="3">
        <v>81</v>
      </c>
      <c r="G1689" s="3">
        <v>2268</v>
      </c>
      <c r="H1689" s="3" t="s">
        <v>2975</v>
      </c>
    </row>
    <row r="1690" spans="1:8" x14ac:dyDescent="0.35">
      <c r="A1690" t="s">
        <v>83</v>
      </c>
      <c r="B1690" s="26" t="s">
        <v>14</v>
      </c>
      <c r="C1690" s="20">
        <v>42695</v>
      </c>
      <c r="D1690" t="s">
        <v>15</v>
      </c>
      <c r="E1690" s="3">
        <v>80</v>
      </c>
      <c r="F1690" s="3">
        <v>57</v>
      </c>
      <c r="G1690" s="3">
        <v>3990</v>
      </c>
      <c r="H1690" s="3" t="s">
        <v>2975</v>
      </c>
    </row>
    <row r="1691" spans="1:8" x14ac:dyDescent="0.35">
      <c r="A1691" t="s">
        <v>109</v>
      </c>
      <c r="B1691" s="26" t="s">
        <v>20</v>
      </c>
      <c r="C1691" s="20">
        <v>41676</v>
      </c>
      <c r="D1691" t="s">
        <v>42</v>
      </c>
      <c r="E1691" s="3">
        <v>30</v>
      </c>
      <c r="F1691" s="3">
        <v>12</v>
      </c>
      <c r="G1691" s="3">
        <v>312</v>
      </c>
      <c r="H1691" s="3" t="s">
        <v>2967</v>
      </c>
    </row>
    <row r="1692" spans="1:8" x14ac:dyDescent="0.35">
      <c r="A1692" t="s">
        <v>41</v>
      </c>
      <c r="B1692" s="26" t="s">
        <v>36</v>
      </c>
      <c r="C1692" s="20">
        <v>43230</v>
      </c>
      <c r="D1692" t="s">
        <v>123</v>
      </c>
      <c r="E1692" s="3">
        <v>50</v>
      </c>
      <c r="F1692" s="3">
        <v>77</v>
      </c>
      <c r="G1692" s="3">
        <v>3619</v>
      </c>
      <c r="H1692" s="3" t="s">
        <v>2965</v>
      </c>
    </row>
    <row r="1693" spans="1:8" x14ac:dyDescent="0.35">
      <c r="A1693" t="s">
        <v>79</v>
      </c>
      <c r="B1693" s="26" t="s">
        <v>36</v>
      </c>
      <c r="C1693" s="20">
        <v>42814</v>
      </c>
      <c r="D1693" t="s">
        <v>123</v>
      </c>
      <c r="E1693" s="3">
        <v>50</v>
      </c>
      <c r="F1693" s="3">
        <v>1</v>
      </c>
      <c r="G1693" s="3">
        <v>45</v>
      </c>
      <c r="H1693" s="3" t="s">
        <v>2968</v>
      </c>
    </row>
    <row r="1694" spans="1:8" x14ac:dyDescent="0.35">
      <c r="A1694" t="s">
        <v>109</v>
      </c>
      <c r="B1694" s="26" t="s">
        <v>20</v>
      </c>
      <c r="C1694" s="20">
        <v>43282</v>
      </c>
      <c r="D1694" t="s">
        <v>105</v>
      </c>
      <c r="E1694" s="3">
        <v>70</v>
      </c>
      <c r="F1694" s="3">
        <v>87</v>
      </c>
      <c r="G1694" s="3">
        <v>6003</v>
      </c>
      <c r="H1694" s="3" t="s">
        <v>2971</v>
      </c>
    </row>
    <row r="1695" spans="1:8" x14ac:dyDescent="0.35">
      <c r="A1695" t="s">
        <v>13</v>
      </c>
      <c r="B1695" s="26" t="s">
        <v>14</v>
      </c>
      <c r="C1695" s="20">
        <v>43355</v>
      </c>
      <c r="D1695" t="s">
        <v>56</v>
      </c>
      <c r="E1695" s="3">
        <v>800</v>
      </c>
      <c r="F1695" s="3">
        <v>56</v>
      </c>
      <c r="G1695" s="3">
        <v>35840</v>
      </c>
      <c r="H1695" s="3" t="s">
        <v>2973</v>
      </c>
    </row>
    <row r="1696" spans="1:8" x14ac:dyDescent="0.35">
      <c r="A1696" t="s">
        <v>83</v>
      </c>
      <c r="B1696" s="26" t="s">
        <v>14</v>
      </c>
      <c r="C1696" s="20">
        <v>42536</v>
      </c>
      <c r="D1696" t="s">
        <v>56</v>
      </c>
      <c r="E1696" s="3">
        <v>800</v>
      </c>
      <c r="F1696" s="3">
        <v>78</v>
      </c>
      <c r="G1696" s="3">
        <v>58032</v>
      </c>
      <c r="H1696" s="3" t="s">
        <v>2970</v>
      </c>
    </row>
    <row r="1697" spans="1:8" x14ac:dyDescent="0.35">
      <c r="A1697" t="s">
        <v>30</v>
      </c>
      <c r="B1697" s="26" t="s">
        <v>14</v>
      </c>
      <c r="C1697" s="20">
        <v>41931</v>
      </c>
      <c r="D1697" t="s">
        <v>15</v>
      </c>
      <c r="E1697" s="3">
        <v>80</v>
      </c>
      <c r="F1697" s="3">
        <v>3</v>
      </c>
      <c r="G1697" s="3">
        <v>222</v>
      </c>
      <c r="H1697" s="3" t="s">
        <v>2974</v>
      </c>
    </row>
    <row r="1698" spans="1:8" x14ac:dyDescent="0.35">
      <c r="A1698" t="s">
        <v>176</v>
      </c>
      <c r="B1698" s="26" t="s">
        <v>14</v>
      </c>
      <c r="C1698" s="20">
        <v>43230</v>
      </c>
      <c r="D1698" t="s">
        <v>31</v>
      </c>
      <c r="E1698" s="3">
        <v>150</v>
      </c>
      <c r="F1698" s="3">
        <v>89</v>
      </c>
      <c r="G1698" s="3">
        <v>11392</v>
      </c>
      <c r="H1698" s="3" t="s">
        <v>2965</v>
      </c>
    </row>
    <row r="1699" spans="1:8" x14ac:dyDescent="0.35">
      <c r="A1699" t="s">
        <v>51</v>
      </c>
      <c r="B1699" s="26" t="s">
        <v>25</v>
      </c>
      <c r="C1699" s="20">
        <v>43443</v>
      </c>
      <c r="D1699" t="s">
        <v>123</v>
      </c>
      <c r="E1699" s="3">
        <v>50</v>
      </c>
      <c r="F1699" s="3">
        <v>37</v>
      </c>
      <c r="G1699" s="3">
        <v>1665</v>
      </c>
      <c r="H1699" s="3" t="s">
        <v>2976</v>
      </c>
    </row>
    <row r="1700" spans="1:8" x14ac:dyDescent="0.35">
      <c r="A1700" t="s">
        <v>55</v>
      </c>
      <c r="B1700" s="26" t="s">
        <v>14</v>
      </c>
      <c r="C1700" s="20">
        <v>43192</v>
      </c>
      <c r="D1700" t="s">
        <v>56</v>
      </c>
      <c r="E1700" s="3">
        <v>800</v>
      </c>
      <c r="F1700" s="3">
        <v>59</v>
      </c>
      <c r="G1700" s="3">
        <v>39176</v>
      </c>
      <c r="H1700" s="3" t="s">
        <v>2969</v>
      </c>
    </row>
    <row r="1701" spans="1:8" x14ac:dyDescent="0.35">
      <c r="A1701" t="s">
        <v>109</v>
      </c>
      <c r="B1701" s="26" t="s">
        <v>20</v>
      </c>
      <c r="C1701" s="20">
        <v>42168</v>
      </c>
      <c r="D1701" t="s">
        <v>116</v>
      </c>
      <c r="E1701" s="3">
        <v>250</v>
      </c>
      <c r="F1701" s="3">
        <v>52</v>
      </c>
      <c r="G1701" s="3">
        <v>12636</v>
      </c>
      <c r="H1701" s="3" t="s">
        <v>2970</v>
      </c>
    </row>
    <row r="1702" spans="1:8" x14ac:dyDescent="0.35">
      <c r="A1702" t="s">
        <v>24</v>
      </c>
      <c r="B1702" s="26" t="s">
        <v>25</v>
      </c>
      <c r="C1702" s="20">
        <v>42704</v>
      </c>
      <c r="D1702" t="s">
        <v>105</v>
      </c>
      <c r="E1702" s="3">
        <v>70</v>
      </c>
      <c r="F1702" s="3">
        <v>13</v>
      </c>
      <c r="G1702" s="3">
        <v>897</v>
      </c>
      <c r="H1702" s="3" t="s">
        <v>2975</v>
      </c>
    </row>
    <row r="1703" spans="1:8" x14ac:dyDescent="0.35">
      <c r="A1703" t="s">
        <v>120</v>
      </c>
      <c r="B1703" s="26" t="s">
        <v>36</v>
      </c>
      <c r="C1703" s="20">
        <v>41985</v>
      </c>
      <c r="D1703" t="s">
        <v>47</v>
      </c>
      <c r="E1703" s="3">
        <v>500</v>
      </c>
      <c r="F1703" s="3">
        <v>63</v>
      </c>
      <c r="G1703" s="3">
        <v>31185</v>
      </c>
      <c r="H1703" s="3" t="s">
        <v>2976</v>
      </c>
    </row>
    <row r="1704" spans="1:8" x14ac:dyDescent="0.35">
      <c r="A1704" t="s">
        <v>129</v>
      </c>
      <c r="B1704" s="26" t="s">
        <v>14</v>
      </c>
      <c r="C1704" s="20">
        <v>43148</v>
      </c>
      <c r="D1704" t="s">
        <v>56</v>
      </c>
      <c r="E1704" s="3">
        <v>800</v>
      </c>
      <c r="F1704" s="3">
        <v>59</v>
      </c>
      <c r="G1704" s="3">
        <v>25960</v>
      </c>
      <c r="H1704" s="3" t="s">
        <v>2967</v>
      </c>
    </row>
    <row r="1705" spans="1:8" x14ac:dyDescent="0.35">
      <c r="A1705" t="s">
        <v>55</v>
      </c>
      <c r="B1705" s="26" t="s">
        <v>14</v>
      </c>
      <c r="C1705" s="20">
        <v>43376</v>
      </c>
      <c r="D1705" t="s">
        <v>123</v>
      </c>
      <c r="E1705" s="3">
        <v>50</v>
      </c>
      <c r="F1705" s="3">
        <v>36</v>
      </c>
      <c r="G1705" s="3">
        <v>1584</v>
      </c>
      <c r="H1705" s="3" t="s">
        <v>2974</v>
      </c>
    </row>
    <row r="1706" spans="1:8" x14ac:dyDescent="0.35">
      <c r="A1706" t="s">
        <v>72</v>
      </c>
      <c r="B1706" s="26" t="s">
        <v>36</v>
      </c>
      <c r="C1706" s="20">
        <v>43129</v>
      </c>
      <c r="D1706" t="s">
        <v>62</v>
      </c>
      <c r="E1706" s="3">
        <v>1000</v>
      </c>
      <c r="F1706" s="3">
        <v>62</v>
      </c>
      <c r="G1706" s="3">
        <v>48980</v>
      </c>
      <c r="H1706" s="3" t="s">
        <v>2966</v>
      </c>
    </row>
    <row r="1707" spans="1:8" x14ac:dyDescent="0.35">
      <c r="A1707" t="s">
        <v>24</v>
      </c>
      <c r="B1707" s="26" t="s">
        <v>25</v>
      </c>
      <c r="C1707" s="20">
        <v>42616</v>
      </c>
      <c r="D1707" t="s">
        <v>26</v>
      </c>
      <c r="E1707" s="3">
        <v>700</v>
      </c>
      <c r="F1707" s="3">
        <v>14</v>
      </c>
      <c r="G1707" s="3">
        <v>8526</v>
      </c>
      <c r="H1707" s="3" t="s">
        <v>2973</v>
      </c>
    </row>
    <row r="1708" spans="1:8" x14ac:dyDescent="0.35">
      <c r="A1708" t="s">
        <v>55</v>
      </c>
      <c r="B1708" s="26" t="s">
        <v>14</v>
      </c>
      <c r="C1708" s="20">
        <v>42630</v>
      </c>
      <c r="D1708" t="s">
        <v>47</v>
      </c>
      <c r="E1708" s="3">
        <v>500</v>
      </c>
      <c r="F1708" s="3">
        <v>67</v>
      </c>
      <c r="G1708" s="3">
        <v>28475</v>
      </c>
      <c r="H1708" s="3" t="s">
        <v>2973</v>
      </c>
    </row>
    <row r="1709" spans="1:8" x14ac:dyDescent="0.35">
      <c r="A1709" t="s">
        <v>129</v>
      </c>
      <c r="B1709" s="26" t="s">
        <v>14</v>
      </c>
      <c r="C1709" s="20">
        <v>42172</v>
      </c>
      <c r="D1709" t="s">
        <v>105</v>
      </c>
      <c r="E1709" s="3">
        <v>70</v>
      </c>
      <c r="F1709" s="3">
        <v>84</v>
      </c>
      <c r="G1709" s="3">
        <v>3780</v>
      </c>
      <c r="H1709" s="3" t="s">
        <v>2970</v>
      </c>
    </row>
    <row r="1710" spans="1:8" x14ac:dyDescent="0.35">
      <c r="A1710" t="s">
        <v>172</v>
      </c>
      <c r="B1710" s="26" t="s">
        <v>14</v>
      </c>
      <c r="C1710" s="20">
        <v>42947</v>
      </c>
      <c r="D1710" t="s">
        <v>42</v>
      </c>
      <c r="E1710" s="3">
        <v>30</v>
      </c>
      <c r="F1710" s="3">
        <v>41</v>
      </c>
      <c r="G1710" s="3">
        <v>1025</v>
      </c>
      <c r="H1710" s="3" t="s">
        <v>2971</v>
      </c>
    </row>
    <row r="1711" spans="1:8" x14ac:dyDescent="0.35">
      <c r="A1711" t="s">
        <v>172</v>
      </c>
      <c r="B1711" s="26" t="s">
        <v>14</v>
      </c>
      <c r="C1711" s="20">
        <v>42039</v>
      </c>
      <c r="D1711" t="s">
        <v>26</v>
      </c>
      <c r="E1711" s="3">
        <v>700</v>
      </c>
      <c r="F1711" s="3">
        <v>40</v>
      </c>
      <c r="G1711" s="3">
        <v>19040</v>
      </c>
      <c r="H1711" s="3" t="s">
        <v>2967</v>
      </c>
    </row>
    <row r="1712" spans="1:8" x14ac:dyDescent="0.35">
      <c r="A1712" t="s">
        <v>51</v>
      </c>
      <c r="B1712" s="26" t="s">
        <v>25</v>
      </c>
      <c r="C1712" s="20">
        <v>42598</v>
      </c>
      <c r="D1712" t="s">
        <v>123</v>
      </c>
      <c r="E1712" s="3">
        <v>50</v>
      </c>
      <c r="F1712" s="3">
        <v>59</v>
      </c>
      <c r="G1712" s="3">
        <v>2537</v>
      </c>
      <c r="H1712" s="3" t="s">
        <v>2972</v>
      </c>
    </row>
    <row r="1713" spans="1:8" x14ac:dyDescent="0.35">
      <c r="A1713" t="s">
        <v>55</v>
      </c>
      <c r="B1713" s="26" t="s">
        <v>14</v>
      </c>
      <c r="C1713" s="20">
        <v>43361</v>
      </c>
      <c r="D1713" t="s">
        <v>62</v>
      </c>
      <c r="E1713" s="3">
        <v>1000</v>
      </c>
      <c r="F1713" s="3">
        <v>10</v>
      </c>
      <c r="G1713" s="3">
        <v>9300</v>
      </c>
      <c r="H1713" s="3" t="s">
        <v>2973</v>
      </c>
    </row>
    <row r="1714" spans="1:8" x14ac:dyDescent="0.35">
      <c r="A1714" t="s">
        <v>51</v>
      </c>
      <c r="B1714" s="26" t="s">
        <v>25</v>
      </c>
      <c r="C1714" s="20">
        <v>41930</v>
      </c>
      <c r="D1714" t="s">
        <v>37</v>
      </c>
      <c r="E1714" s="3">
        <v>50</v>
      </c>
      <c r="F1714" s="3">
        <v>65</v>
      </c>
      <c r="G1714" s="3">
        <v>2795</v>
      </c>
      <c r="H1714" s="3" t="s">
        <v>2974</v>
      </c>
    </row>
    <row r="1715" spans="1:8" x14ac:dyDescent="0.35">
      <c r="A1715" t="s">
        <v>189</v>
      </c>
      <c r="B1715" s="26" t="s">
        <v>14</v>
      </c>
      <c r="C1715" s="20">
        <v>42193</v>
      </c>
      <c r="D1715" t="s">
        <v>37</v>
      </c>
      <c r="E1715" s="3">
        <v>50</v>
      </c>
      <c r="F1715" s="3">
        <v>15</v>
      </c>
      <c r="G1715" s="3">
        <v>510</v>
      </c>
      <c r="H1715" s="3" t="s">
        <v>2971</v>
      </c>
    </row>
    <row r="1716" spans="1:8" x14ac:dyDescent="0.35">
      <c r="A1716" t="s">
        <v>109</v>
      </c>
      <c r="B1716" s="26" t="s">
        <v>20</v>
      </c>
      <c r="C1716" s="20">
        <v>41797</v>
      </c>
      <c r="D1716" t="s">
        <v>37</v>
      </c>
      <c r="E1716" s="3">
        <v>50</v>
      </c>
      <c r="F1716" s="3">
        <v>57</v>
      </c>
      <c r="G1716" s="3">
        <v>2622</v>
      </c>
      <c r="H1716" s="3" t="s">
        <v>2970</v>
      </c>
    </row>
    <row r="1717" spans="1:8" x14ac:dyDescent="0.35">
      <c r="A1717" t="s">
        <v>24</v>
      </c>
      <c r="B1717" s="26" t="s">
        <v>25</v>
      </c>
      <c r="C1717" s="20">
        <v>42137</v>
      </c>
      <c r="D1717" t="s">
        <v>47</v>
      </c>
      <c r="E1717" s="3">
        <v>500</v>
      </c>
      <c r="F1717" s="3">
        <v>98</v>
      </c>
      <c r="G1717" s="3">
        <v>34790</v>
      </c>
      <c r="H1717" s="3" t="s">
        <v>2965</v>
      </c>
    </row>
    <row r="1718" spans="1:8" x14ac:dyDescent="0.35">
      <c r="A1718" t="s">
        <v>30</v>
      </c>
      <c r="B1718" s="26" t="s">
        <v>14</v>
      </c>
      <c r="C1718" s="20">
        <v>42318</v>
      </c>
      <c r="D1718" t="s">
        <v>37</v>
      </c>
      <c r="E1718" s="3">
        <v>50</v>
      </c>
      <c r="F1718" s="3">
        <v>3</v>
      </c>
      <c r="G1718" s="3">
        <v>120</v>
      </c>
      <c r="H1718" s="3" t="s">
        <v>2975</v>
      </c>
    </row>
    <row r="1719" spans="1:8" x14ac:dyDescent="0.35">
      <c r="A1719" t="s">
        <v>61</v>
      </c>
      <c r="B1719" s="26" t="s">
        <v>14</v>
      </c>
      <c r="C1719" s="20">
        <v>42485</v>
      </c>
      <c r="D1719" t="s">
        <v>47</v>
      </c>
      <c r="E1719" s="3">
        <v>500</v>
      </c>
      <c r="F1719" s="3">
        <v>2</v>
      </c>
      <c r="G1719" s="3">
        <v>900</v>
      </c>
      <c r="H1719" s="3" t="s">
        <v>2969</v>
      </c>
    </row>
    <row r="1720" spans="1:8" x14ac:dyDescent="0.35">
      <c r="A1720" t="s">
        <v>109</v>
      </c>
      <c r="B1720" s="26" t="s">
        <v>20</v>
      </c>
      <c r="C1720" s="20">
        <v>42879</v>
      </c>
      <c r="D1720" t="s">
        <v>123</v>
      </c>
      <c r="E1720" s="3">
        <v>50</v>
      </c>
      <c r="F1720" s="3">
        <v>37</v>
      </c>
      <c r="G1720" s="3">
        <v>1739</v>
      </c>
      <c r="H1720" s="3" t="s">
        <v>2965</v>
      </c>
    </row>
    <row r="1721" spans="1:8" x14ac:dyDescent="0.35">
      <c r="A1721" t="s">
        <v>87</v>
      </c>
      <c r="B1721" s="26" t="s">
        <v>14</v>
      </c>
      <c r="C1721" s="20">
        <v>43272</v>
      </c>
      <c r="D1721" t="s">
        <v>56</v>
      </c>
      <c r="E1721" s="3">
        <v>800</v>
      </c>
      <c r="F1721" s="3">
        <v>28</v>
      </c>
      <c r="G1721" s="3">
        <v>12768</v>
      </c>
      <c r="H1721" s="3" t="s">
        <v>2970</v>
      </c>
    </row>
    <row r="1722" spans="1:8" x14ac:dyDescent="0.35">
      <c r="A1722" t="s">
        <v>101</v>
      </c>
      <c r="B1722" s="26" t="s">
        <v>14</v>
      </c>
      <c r="C1722" s="20">
        <v>42873</v>
      </c>
      <c r="D1722" t="s">
        <v>42</v>
      </c>
      <c r="E1722" s="3">
        <v>30</v>
      </c>
      <c r="F1722" s="3">
        <v>14</v>
      </c>
      <c r="G1722" s="3">
        <v>392</v>
      </c>
      <c r="H1722" s="3" t="s">
        <v>2965</v>
      </c>
    </row>
    <row r="1723" spans="1:8" x14ac:dyDescent="0.35">
      <c r="A1723" t="s">
        <v>109</v>
      </c>
      <c r="B1723" s="26" t="s">
        <v>20</v>
      </c>
      <c r="C1723" s="20">
        <v>41722</v>
      </c>
      <c r="D1723" t="s">
        <v>42</v>
      </c>
      <c r="E1723" s="3">
        <v>30</v>
      </c>
      <c r="F1723" s="3">
        <v>5</v>
      </c>
      <c r="G1723" s="3">
        <v>130</v>
      </c>
      <c r="H1723" s="3" t="s">
        <v>2968</v>
      </c>
    </row>
    <row r="1724" spans="1:8" x14ac:dyDescent="0.35">
      <c r="A1724" t="s">
        <v>243</v>
      </c>
      <c r="B1724" s="26" t="s">
        <v>14</v>
      </c>
      <c r="C1724" s="20">
        <v>41764</v>
      </c>
      <c r="D1724" t="s">
        <v>15</v>
      </c>
      <c r="E1724" s="3">
        <v>80</v>
      </c>
      <c r="F1724" s="3">
        <v>11</v>
      </c>
      <c r="G1724" s="3">
        <v>616</v>
      </c>
      <c r="H1724" s="3" t="s">
        <v>2965</v>
      </c>
    </row>
    <row r="1725" spans="1:8" x14ac:dyDescent="0.35">
      <c r="A1725" t="s">
        <v>55</v>
      </c>
      <c r="B1725" s="26" t="s">
        <v>14</v>
      </c>
      <c r="C1725" s="20">
        <v>43018</v>
      </c>
      <c r="D1725" t="s">
        <v>73</v>
      </c>
      <c r="E1725" s="3">
        <v>500</v>
      </c>
      <c r="F1725" s="3">
        <v>45</v>
      </c>
      <c r="G1725" s="3">
        <v>22050</v>
      </c>
      <c r="H1725" s="3" t="s">
        <v>2974</v>
      </c>
    </row>
    <row r="1726" spans="1:8" x14ac:dyDescent="0.35">
      <c r="A1726" t="s">
        <v>109</v>
      </c>
      <c r="B1726" s="26" t="s">
        <v>20</v>
      </c>
      <c r="C1726" s="20">
        <v>43359</v>
      </c>
      <c r="D1726" t="s">
        <v>73</v>
      </c>
      <c r="E1726" s="3">
        <v>500</v>
      </c>
      <c r="F1726" s="3">
        <v>95</v>
      </c>
      <c r="G1726" s="3">
        <v>46550</v>
      </c>
      <c r="H1726" s="3" t="s">
        <v>2973</v>
      </c>
    </row>
    <row r="1727" spans="1:8" x14ac:dyDescent="0.35">
      <c r="A1727" t="s">
        <v>93</v>
      </c>
      <c r="B1727" s="26" t="s">
        <v>36</v>
      </c>
      <c r="C1727" s="20">
        <v>42393</v>
      </c>
      <c r="D1727" t="s">
        <v>105</v>
      </c>
      <c r="E1727" s="3">
        <v>70</v>
      </c>
      <c r="F1727" s="3">
        <v>7</v>
      </c>
      <c r="G1727" s="3">
        <v>427</v>
      </c>
      <c r="H1727" s="3" t="s">
        <v>2966</v>
      </c>
    </row>
    <row r="1728" spans="1:8" x14ac:dyDescent="0.35">
      <c r="A1728" t="s">
        <v>19</v>
      </c>
      <c r="B1728" s="26" t="s">
        <v>20</v>
      </c>
      <c r="C1728" s="20">
        <v>42248</v>
      </c>
      <c r="D1728" t="s">
        <v>116</v>
      </c>
      <c r="E1728" s="3">
        <v>250</v>
      </c>
      <c r="F1728" s="3">
        <v>8</v>
      </c>
      <c r="G1728" s="3">
        <v>1760</v>
      </c>
      <c r="H1728" s="3" t="s">
        <v>2973</v>
      </c>
    </row>
    <row r="1729" spans="1:8" x14ac:dyDescent="0.35">
      <c r="A1729" t="s">
        <v>436</v>
      </c>
      <c r="B1729" s="26" t="s">
        <v>25</v>
      </c>
      <c r="C1729" s="20">
        <v>42428</v>
      </c>
      <c r="D1729" t="s">
        <v>105</v>
      </c>
      <c r="E1729" s="3">
        <v>70</v>
      </c>
      <c r="F1729" s="3">
        <v>41</v>
      </c>
      <c r="G1729" s="3">
        <v>2747</v>
      </c>
      <c r="H1729" s="3" t="s">
        <v>2967</v>
      </c>
    </row>
    <row r="1730" spans="1:8" x14ac:dyDescent="0.35">
      <c r="A1730" t="s">
        <v>109</v>
      </c>
      <c r="B1730" s="26" t="s">
        <v>20</v>
      </c>
      <c r="C1730" s="20">
        <v>42891</v>
      </c>
      <c r="D1730" t="s">
        <v>73</v>
      </c>
      <c r="E1730" s="3">
        <v>500</v>
      </c>
      <c r="F1730" s="3">
        <v>86</v>
      </c>
      <c r="G1730" s="3">
        <v>42570</v>
      </c>
      <c r="H1730" s="3" t="s">
        <v>2970</v>
      </c>
    </row>
    <row r="1731" spans="1:8" x14ac:dyDescent="0.35">
      <c r="A1731" t="s">
        <v>41</v>
      </c>
      <c r="B1731" s="26" t="s">
        <v>36</v>
      </c>
      <c r="C1731" s="20">
        <v>41739</v>
      </c>
      <c r="D1731" t="s">
        <v>47</v>
      </c>
      <c r="E1731" s="3">
        <v>500</v>
      </c>
      <c r="F1731" s="3">
        <v>75</v>
      </c>
      <c r="G1731" s="3">
        <v>14250</v>
      </c>
      <c r="H1731" s="3" t="s">
        <v>2969</v>
      </c>
    </row>
    <row r="1732" spans="1:8" x14ac:dyDescent="0.35">
      <c r="A1732" t="s">
        <v>72</v>
      </c>
      <c r="B1732" s="26" t="s">
        <v>36</v>
      </c>
      <c r="C1732" s="20">
        <v>42494</v>
      </c>
      <c r="D1732" t="s">
        <v>26</v>
      </c>
      <c r="E1732" s="3">
        <v>700</v>
      </c>
      <c r="F1732" s="3">
        <v>67</v>
      </c>
      <c r="G1732" s="3">
        <v>45962</v>
      </c>
      <c r="H1732" s="3" t="s">
        <v>2965</v>
      </c>
    </row>
    <row r="1733" spans="1:8" x14ac:dyDescent="0.35">
      <c r="A1733" t="s">
        <v>55</v>
      </c>
      <c r="B1733" s="26" t="s">
        <v>14</v>
      </c>
      <c r="C1733" s="20">
        <v>42795</v>
      </c>
      <c r="D1733" t="s">
        <v>116</v>
      </c>
      <c r="E1733" s="3">
        <v>250</v>
      </c>
      <c r="F1733" s="3">
        <v>70</v>
      </c>
      <c r="G1733" s="3">
        <v>16800</v>
      </c>
      <c r="H1733" s="3" t="s">
        <v>2968</v>
      </c>
    </row>
    <row r="1734" spans="1:8" x14ac:dyDescent="0.35">
      <c r="A1734" t="s">
        <v>51</v>
      </c>
      <c r="B1734" s="26" t="s">
        <v>25</v>
      </c>
      <c r="C1734" s="20">
        <v>41964</v>
      </c>
      <c r="D1734" t="s">
        <v>62</v>
      </c>
      <c r="E1734" s="3">
        <v>1000</v>
      </c>
      <c r="F1734" s="3">
        <v>46</v>
      </c>
      <c r="G1734" s="3">
        <v>27600</v>
      </c>
      <c r="H1734" s="3" t="s">
        <v>2975</v>
      </c>
    </row>
    <row r="1735" spans="1:8" x14ac:dyDescent="0.35">
      <c r="A1735" t="s">
        <v>24</v>
      </c>
      <c r="B1735" s="26" t="s">
        <v>25</v>
      </c>
      <c r="C1735" s="20">
        <v>41730</v>
      </c>
      <c r="D1735" t="s">
        <v>37</v>
      </c>
      <c r="E1735" s="3">
        <v>50</v>
      </c>
      <c r="F1735" s="3">
        <v>54</v>
      </c>
      <c r="G1735" s="3">
        <v>2214</v>
      </c>
      <c r="H1735" s="3" t="s">
        <v>2969</v>
      </c>
    </row>
    <row r="1736" spans="1:8" x14ac:dyDescent="0.35">
      <c r="A1736" t="s">
        <v>229</v>
      </c>
      <c r="B1736" s="26" t="s">
        <v>25</v>
      </c>
      <c r="C1736" s="20">
        <v>42123</v>
      </c>
      <c r="D1736" t="s">
        <v>116</v>
      </c>
      <c r="E1736" s="3">
        <v>250</v>
      </c>
      <c r="F1736" s="3">
        <v>72</v>
      </c>
      <c r="G1736" s="3">
        <v>16560</v>
      </c>
      <c r="H1736" s="3" t="s">
        <v>2969</v>
      </c>
    </row>
    <row r="1737" spans="1:8" x14ac:dyDescent="0.35">
      <c r="A1737" t="s">
        <v>83</v>
      </c>
      <c r="B1737" s="26" t="s">
        <v>14</v>
      </c>
      <c r="C1737" s="20">
        <v>41696</v>
      </c>
      <c r="D1737" t="s">
        <v>47</v>
      </c>
      <c r="E1737" s="3">
        <v>500</v>
      </c>
      <c r="F1737" s="3">
        <v>27</v>
      </c>
      <c r="G1737" s="3">
        <v>10260</v>
      </c>
      <c r="H1737" s="3" t="s">
        <v>2967</v>
      </c>
    </row>
    <row r="1738" spans="1:8" x14ac:dyDescent="0.35">
      <c r="A1738" t="s">
        <v>109</v>
      </c>
      <c r="B1738" s="26" t="s">
        <v>20</v>
      </c>
      <c r="C1738" s="20">
        <v>42667</v>
      </c>
      <c r="D1738" t="s">
        <v>123</v>
      </c>
      <c r="E1738" s="3">
        <v>50</v>
      </c>
      <c r="F1738" s="3">
        <v>91</v>
      </c>
      <c r="G1738" s="3">
        <v>4459</v>
      </c>
      <c r="H1738" s="3" t="s">
        <v>2974</v>
      </c>
    </row>
    <row r="1739" spans="1:8" x14ac:dyDescent="0.35">
      <c r="A1739" t="s">
        <v>72</v>
      </c>
      <c r="B1739" s="26" t="s">
        <v>36</v>
      </c>
      <c r="C1739" s="20">
        <v>43370</v>
      </c>
      <c r="D1739" t="s">
        <v>42</v>
      </c>
      <c r="E1739" s="3">
        <v>30</v>
      </c>
      <c r="F1739" s="3">
        <v>4</v>
      </c>
      <c r="G1739" s="3">
        <v>104</v>
      </c>
      <c r="H1739" s="3" t="s">
        <v>2973</v>
      </c>
    </row>
    <row r="1740" spans="1:8" x14ac:dyDescent="0.35">
      <c r="A1740" t="s">
        <v>109</v>
      </c>
      <c r="B1740" s="26" t="s">
        <v>20</v>
      </c>
      <c r="C1740" s="20">
        <v>43015</v>
      </c>
      <c r="D1740" t="s">
        <v>31</v>
      </c>
      <c r="E1740" s="3">
        <v>150</v>
      </c>
      <c r="F1740" s="3">
        <v>25</v>
      </c>
      <c r="G1740" s="3">
        <v>3525</v>
      </c>
      <c r="H1740" s="3" t="s">
        <v>2974</v>
      </c>
    </row>
    <row r="1741" spans="1:8" x14ac:dyDescent="0.35">
      <c r="A1741" t="s">
        <v>257</v>
      </c>
      <c r="B1741" s="26" t="s">
        <v>14</v>
      </c>
      <c r="C1741" s="20">
        <v>43042</v>
      </c>
      <c r="D1741" t="s">
        <v>62</v>
      </c>
      <c r="E1741" s="3">
        <v>1000</v>
      </c>
      <c r="F1741" s="3">
        <v>34</v>
      </c>
      <c r="G1741" s="3">
        <v>32640</v>
      </c>
      <c r="H1741" s="3" t="s">
        <v>2975</v>
      </c>
    </row>
    <row r="1742" spans="1:8" x14ac:dyDescent="0.35">
      <c r="A1742" t="s">
        <v>79</v>
      </c>
      <c r="B1742" s="26" t="s">
        <v>36</v>
      </c>
      <c r="C1742" s="20">
        <v>42433</v>
      </c>
      <c r="D1742" t="s">
        <v>123</v>
      </c>
      <c r="E1742" s="3">
        <v>50</v>
      </c>
      <c r="F1742" s="3">
        <v>37</v>
      </c>
      <c r="G1742" s="3">
        <v>1776</v>
      </c>
      <c r="H1742" s="3" t="s">
        <v>2968</v>
      </c>
    </row>
    <row r="1743" spans="1:8" x14ac:dyDescent="0.35">
      <c r="A1743" t="s">
        <v>41</v>
      </c>
      <c r="B1743" s="26" t="s">
        <v>36</v>
      </c>
      <c r="C1743" s="20">
        <v>41675</v>
      </c>
      <c r="D1743" t="s">
        <v>42</v>
      </c>
      <c r="E1743" s="3">
        <v>30</v>
      </c>
      <c r="F1743" s="3">
        <v>41</v>
      </c>
      <c r="G1743" s="3">
        <v>1066</v>
      </c>
      <c r="H1743" s="3" t="s">
        <v>2967</v>
      </c>
    </row>
    <row r="1744" spans="1:8" x14ac:dyDescent="0.35">
      <c r="A1744" t="s">
        <v>109</v>
      </c>
      <c r="B1744" s="26" t="s">
        <v>20</v>
      </c>
      <c r="C1744" s="20">
        <v>42438</v>
      </c>
      <c r="D1744" t="s">
        <v>31</v>
      </c>
      <c r="E1744" s="3">
        <v>150</v>
      </c>
      <c r="F1744" s="3">
        <v>10</v>
      </c>
      <c r="G1744" s="3">
        <v>1280</v>
      </c>
      <c r="H1744" s="3" t="s">
        <v>2968</v>
      </c>
    </row>
    <row r="1745" spans="1:8" x14ac:dyDescent="0.35">
      <c r="A1745" t="s">
        <v>109</v>
      </c>
      <c r="B1745" s="26" t="s">
        <v>20</v>
      </c>
      <c r="C1745" s="20">
        <v>42613</v>
      </c>
      <c r="D1745" t="s">
        <v>42</v>
      </c>
      <c r="E1745" s="3">
        <v>30</v>
      </c>
      <c r="F1745" s="3">
        <v>2</v>
      </c>
      <c r="G1745" s="3">
        <v>60</v>
      </c>
      <c r="H1745" s="3" t="s">
        <v>2972</v>
      </c>
    </row>
    <row r="1746" spans="1:8" x14ac:dyDescent="0.35">
      <c r="A1746" t="s">
        <v>30</v>
      </c>
      <c r="B1746" s="26" t="s">
        <v>14</v>
      </c>
      <c r="C1746" s="20">
        <v>43115</v>
      </c>
      <c r="D1746" t="s">
        <v>123</v>
      </c>
      <c r="E1746" s="3">
        <v>50</v>
      </c>
      <c r="F1746" s="3">
        <v>28</v>
      </c>
      <c r="G1746" s="3">
        <v>1260</v>
      </c>
      <c r="H1746" s="3" t="s">
        <v>2966</v>
      </c>
    </row>
    <row r="1747" spans="1:8" x14ac:dyDescent="0.35">
      <c r="A1747" t="s">
        <v>72</v>
      </c>
      <c r="B1747" s="26" t="s">
        <v>36</v>
      </c>
      <c r="C1747" s="20">
        <v>43239</v>
      </c>
      <c r="D1747" t="s">
        <v>47</v>
      </c>
      <c r="E1747" s="3">
        <v>500</v>
      </c>
      <c r="F1747" s="3">
        <v>72</v>
      </c>
      <c r="G1747" s="3">
        <v>32040</v>
      </c>
      <c r="H1747" s="3" t="s">
        <v>2965</v>
      </c>
    </row>
    <row r="1748" spans="1:8" x14ac:dyDescent="0.35">
      <c r="A1748" t="s">
        <v>101</v>
      </c>
      <c r="B1748" s="26" t="s">
        <v>14</v>
      </c>
      <c r="C1748" s="20">
        <v>42736</v>
      </c>
      <c r="D1748" t="s">
        <v>116</v>
      </c>
      <c r="E1748" s="3">
        <v>250</v>
      </c>
      <c r="F1748" s="3">
        <v>3</v>
      </c>
      <c r="G1748" s="3">
        <v>684</v>
      </c>
      <c r="H1748" s="3" t="s">
        <v>2966</v>
      </c>
    </row>
    <row r="1749" spans="1:8" x14ac:dyDescent="0.35">
      <c r="A1749" t="s">
        <v>272</v>
      </c>
      <c r="B1749" s="26" t="s">
        <v>36</v>
      </c>
      <c r="C1749" s="20">
        <v>42268</v>
      </c>
      <c r="D1749" t="s">
        <v>105</v>
      </c>
      <c r="E1749" s="3">
        <v>70</v>
      </c>
      <c r="F1749" s="3">
        <v>83</v>
      </c>
      <c r="G1749" s="3">
        <v>3901</v>
      </c>
      <c r="H1749" s="3" t="s">
        <v>2973</v>
      </c>
    </row>
    <row r="1750" spans="1:8" x14ac:dyDescent="0.35">
      <c r="A1750" t="s">
        <v>272</v>
      </c>
      <c r="B1750" s="26" t="s">
        <v>36</v>
      </c>
      <c r="C1750" s="20">
        <v>42022</v>
      </c>
      <c r="D1750" t="s">
        <v>123</v>
      </c>
      <c r="E1750" s="3">
        <v>50</v>
      </c>
      <c r="F1750" s="3">
        <v>38</v>
      </c>
      <c r="G1750" s="3">
        <v>1368</v>
      </c>
      <c r="H1750" s="3" t="s">
        <v>2966</v>
      </c>
    </row>
    <row r="1751" spans="1:8" x14ac:dyDescent="0.35">
      <c r="A1751" t="s">
        <v>243</v>
      </c>
      <c r="B1751" s="26" t="s">
        <v>14</v>
      </c>
      <c r="C1751" s="20">
        <v>42552</v>
      </c>
      <c r="D1751" t="s">
        <v>73</v>
      </c>
      <c r="E1751" s="3">
        <v>500</v>
      </c>
      <c r="F1751" s="3">
        <v>35</v>
      </c>
      <c r="G1751" s="3">
        <v>17500</v>
      </c>
      <c r="H1751" s="3" t="s">
        <v>2971</v>
      </c>
    </row>
    <row r="1752" spans="1:8" x14ac:dyDescent="0.35">
      <c r="A1752" t="s">
        <v>72</v>
      </c>
      <c r="B1752" s="26" t="s">
        <v>36</v>
      </c>
      <c r="C1752" s="20">
        <v>42507</v>
      </c>
      <c r="D1752" t="s">
        <v>105</v>
      </c>
      <c r="E1752" s="3">
        <v>70</v>
      </c>
      <c r="F1752" s="3">
        <v>24</v>
      </c>
      <c r="G1752" s="3">
        <v>1632</v>
      </c>
      <c r="H1752" s="3" t="s">
        <v>2965</v>
      </c>
    </row>
    <row r="1753" spans="1:8" x14ac:dyDescent="0.35">
      <c r="A1753" t="s">
        <v>266</v>
      </c>
      <c r="B1753" s="26" t="s">
        <v>14</v>
      </c>
      <c r="C1753" s="20">
        <v>42050</v>
      </c>
      <c r="D1753" t="s">
        <v>26</v>
      </c>
      <c r="E1753" s="3">
        <v>700</v>
      </c>
      <c r="F1753" s="3">
        <v>29</v>
      </c>
      <c r="G1753" s="3">
        <v>16443</v>
      </c>
      <c r="H1753" s="3" t="s">
        <v>2967</v>
      </c>
    </row>
    <row r="1754" spans="1:8" x14ac:dyDescent="0.35">
      <c r="A1754" t="s">
        <v>109</v>
      </c>
      <c r="B1754" s="26" t="s">
        <v>20</v>
      </c>
      <c r="C1754" s="20">
        <v>42757</v>
      </c>
      <c r="D1754" t="s">
        <v>42</v>
      </c>
      <c r="E1754" s="3">
        <v>30</v>
      </c>
      <c r="F1754" s="3">
        <v>26</v>
      </c>
      <c r="G1754" s="3">
        <v>754</v>
      </c>
      <c r="H1754" s="3" t="s">
        <v>2966</v>
      </c>
    </row>
    <row r="1755" spans="1:8" x14ac:dyDescent="0.35">
      <c r="A1755" t="s">
        <v>24</v>
      </c>
      <c r="B1755" s="26" t="s">
        <v>25</v>
      </c>
      <c r="C1755" s="20">
        <v>42320</v>
      </c>
      <c r="D1755" t="s">
        <v>15</v>
      </c>
      <c r="E1755" s="3">
        <v>80</v>
      </c>
      <c r="F1755" s="3">
        <v>41</v>
      </c>
      <c r="G1755" s="3">
        <v>2132</v>
      </c>
      <c r="H1755" s="3" t="s">
        <v>2975</v>
      </c>
    </row>
    <row r="1756" spans="1:8" x14ac:dyDescent="0.35">
      <c r="A1756" t="s">
        <v>436</v>
      </c>
      <c r="B1756" s="26" t="s">
        <v>25</v>
      </c>
      <c r="C1756" s="20">
        <v>42513</v>
      </c>
      <c r="D1756" t="s">
        <v>47</v>
      </c>
      <c r="E1756" s="3">
        <v>500</v>
      </c>
      <c r="F1756" s="3">
        <v>15</v>
      </c>
      <c r="G1756" s="3">
        <v>6600</v>
      </c>
      <c r="H1756" s="3" t="s">
        <v>2965</v>
      </c>
    </row>
    <row r="1757" spans="1:8" x14ac:dyDescent="0.35">
      <c r="A1757" t="s">
        <v>93</v>
      </c>
      <c r="B1757" s="26" t="s">
        <v>36</v>
      </c>
      <c r="C1757" s="20">
        <v>41827</v>
      </c>
      <c r="D1757" t="s">
        <v>26</v>
      </c>
      <c r="E1757" s="3">
        <v>700</v>
      </c>
      <c r="F1757" s="3">
        <v>10</v>
      </c>
      <c r="G1757" s="3">
        <v>1470</v>
      </c>
      <c r="H1757" s="3" t="s">
        <v>2971</v>
      </c>
    </row>
    <row r="1758" spans="1:8" x14ac:dyDescent="0.35">
      <c r="A1758" t="s">
        <v>19</v>
      </c>
      <c r="B1758" s="26" t="s">
        <v>20</v>
      </c>
      <c r="C1758" s="20">
        <v>42094</v>
      </c>
      <c r="D1758" t="s">
        <v>47</v>
      </c>
      <c r="E1758" s="3">
        <v>500</v>
      </c>
      <c r="F1758" s="3">
        <v>78</v>
      </c>
      <c r="G1758" s="3">
        <v>31200</v>
      </c>
      <c r="H1758" s="3" t="s">
        <v>2968</v>
      </c>
    </row>
    <row r="1759" spans="1:8" x14ac:dyDescent="0.35">
      <c r="A1759" t="s">
        <v>436</v>
      </c>
      <c r="B1759" s="26" t="s">
        <v>25</v>
      </c>
      <c r="C1759" s="20">
        <v>42424</v>
      </c>
      <c r="D1759" t="s">
        <v>31</v>
      </c>
      <c r="E1759" s="3">
        <v>150</v>
      </c>
      <c r="F1759" s="3">
        <v>34</v>
      </c>
      <c r="G1759" s="3">
        <v>4760</v>
      </c>
      <c r="H1759" s="3" t="s">
        <v>2967</v>
      </c>
    </row>
    <row r="1760" spans="1:8" x14ac:dyDescent="0.35">
      <c r="A1760" t="s">
        <v>436</v>
      </c>
      <c r="B1760" s="26" t="s">
        <v>25</v>
      </c>
      <c r="C1760" s="20">
        <v>42681</v>
      </c>
      <c r="D1760" t="s">
        <v>47</v>
      </c>
      <c r="E1760" s="3">
        <v>500</v>
      </c>
      <c r="F1760" s="3">
        <v>31</v>
      </c>
      <c r="G1760" s="3">
        <v>13950</v>
      </c>
      <c r="H1760" s="3" t="s">
        <v>2975</v>
      </c>
    </row>
    <row r="1761" spans="1:8" x14ac:dyDescent="0.35">
      <c r="A1761" t="s">
        <v>51</v>
      </c>
      <c r="B1761" s="26" t="s">
        <v>25</v>
      </c>
      <c r="C1761" s="20">
        <v>42802</v>
      </c>
      <c r="D1761" t="s">
        <v>26</v>
      </c>
      <c r="E1761" s="3">
        <v>700</v>
      </c>
      <c r="F1761" s="3">
        <v>1</v>
      </c>
      <c r="G1761" s="3">
        <v>679</v>
      </c>
      <c r="H1761" s="3" t="s">
        <v>2968</v>
      </c>
    </row>
    <row r="1762" spans="1:8" x14ac:dyDescent="0.35">
      <c r="A1762" t="s">
        <v>109</v>
      </c>
      <c r="B1762" s="26" t="s">
        <v>20</v>
      </c>
      <c r="C1762" s="20">
        <v>43014</v>
      </c>
      <c r="D1762" t="s">
        <v>105</v>
      </c>
      <c r="E1762" s="3">
        <v>70</v>
      </c>
      <c r="F1762" s="3">
        <v>77</v>
      </c>
      <c r="G1762" s="3">
        <v>5313</v>
      </c>
      <c r="H1762" s="3" t="s">
        <v>2974</v>
      </c>
    </row>
    <row r="1763" spans="1:8" x14ac:dyDescent="0.35">
      <c r="A1763" t="s">
        <v>35</v>
      </c>
      <c r="B1763" s="26" t="s">
        <v>36</v>
      </c>
      <c r="C1763" s="20">
        <v>42013</v>
      </c>
      <c r="D1763" t="s">
        <v>73</v>
      </c>
      <c r="E1763" s="3">
        <v>500</v>
      </c>
      <c r="F1763" s="3">
        <v>61</v>
      </c>
      <c r="G1763" s="3">
        <v>30195</v>
      </c>
      <c r="H1763" s="3" t="s">
        <v>2966</v>
      </c>
    </row>
    <row r="1764" spans="1:8" x14ac:dyDescent="0.35">
      <c r="A1764" t="s">
        <v>101</v>
      </c>
      <c r="B1764" s="26" t="s">
        <v>14</v>
      </c>
      <c r="C1764" s="20">
        <v>43155</v>
      </c>
      <c r="D1764" t="s">
        <v>47</v>
      </c>
      <c r="E1764" s="3">
        <v>500</v>
      </c>
      <c r="F1764" s="3">
        <v>25</v>
      </c>
      <c r="G1764" s="3">
        <v>11375</v>
      </c>
      <c r="H1764" s="3" t="s">
        <v>2967</v>
      </c>
    </row>
    <row r="1765" spans="1:8" x14ac:dyDescent="0.35">
      <c r="A1765" t="s">
        <v>19</v>
      </c>
      <c r="B1765" s="26" t="s">
        <v>20</v>
      </c>
      <c r="C1765" s="20">
        <v>41987</v>
      </c>
      <c r="D1765" t="s">
        <v>105</v>
      </c>
      <c r="E1765" s="3">
        <v>70</v>
      </c>
      <c r="F1765" s="3">
        <v>24</v>
      </c>
      <c r="G1765" s="3">
        <v>1344</v>
      </c>
      <c r="H1765" s="3" t="s">
        <v>2976</v>
      </c>
    </row>
    <row r="1766" spans="1:8" x14ac:dyDescent="0.35">
      <c r="A1766" t="s">
        <v>61</v>
      </c>
      <c r="B1766" s="26" t="s">
        <v>14</v>
      </c>
      <c r="C1766" s="20">
        <v>42668</v>
      </c>
      <c r="D1766" t="s">
        <v>105</v>
      </c>
      <c r="E1766" s="3">
        <v>70</v>
      </c>
      <c r="F1766" s="3">
        <v>10</v>
      </c>
      <c r="G1766" s="3">
        <v>620</v>
      </c>
      <c r="H1766" s="3" t="s">
        <v>2974</v>
      </c>
    </row>
    <row r="1767" spans="1:8" x14ac:dyDescent="0.35">
      <c r="A1767" t="s">
        <v>109</v>
      </c>
      <c r="B1767" s="26" t="s">
        <v>20</v>
      </c>
      <c r="C1767" s="20">
        <v>43116</v>
      </c>
      <c r="D1767" t="s">
        <v>31</v>
      </c>
      <c r="E1767" s="3">
        <v>150</v>
      </c>
      <c r="F1767" s="3">
        <v>79</v>
      </c>
      <c r="G1767" s="3">
        <v>10112</v>
      </c>
      <c r="H1767" s="3" t="s">
        <v>2966</v>
      </c>
    </row>
    <row r="1768" spans="1:8" x14ac:dyDescent="0.35">
      <c r="A1768" t="s">
        <v>19</v>
      </c>
      <c r="B1768" s="26" t="s">
        <v>20</v>
      </c>
      <c r="C1768" s="20">
        <v>43108</v>
      </c>
      <c r="D1768" t="s">
        <v>31</v>
      </c>
      <c r="E1768" s="3">
        <v>150</v>
      </c>
      <c r="F1768" s="3">
        <v>83</v>
      </c>
      <c r="G1768" s="3">
        <v>10873</v>
      </c>
      <c r="H1768" s="3" t="s">
        <v>2966</v>
      </c>
    </row>
    <row r="1769" spans="1:8" x14ac:dyDescent="0.35">
      <c r="A1769" t="s">
        <v>109</v>
      </c>
      <c r="B1769" s="26" t="s">
        <v>20</v>
      </c>
      <c r="C1769" s="20">
        <v>43134</v>
      </c>
      <c r="D1769" t="s">
        <v>42</v>
      </c>
      <c r="E1769" s="3">
        <v>30</v>
      </c>
      <c r="F1769" s="3">
        <v>49</v>
      </c>
      <c r="G1769" s="3">
        <v>1470</v>
      </c>
      <c r="H1769" s="3" t="s">
        <v>2967</v>
      </c>
    </row>
    <row r="1770" spans="1:8" x14ac:dyDescent="0.35">
      <c r="A1770" t="s">
        <v>24</v>
      </c>
      <c r="B1770" s="26" t="s">
        <v>25</v>
      </c>
      <c r="C1770" s="20">
        <v>42207</v>
      </c>
      <c r="D1770" t="s">
        <v>47</v>
      </c>
      <c r="E1770" s="3">
        <v>500</v>
      </c>
      <c r="F1770" s="3">
        <v>25</v>
      </c>
      <c r="G1770" s="3">
        <v>11500</v>
      </c>
      <c r="H1770" s="3" t="s">
        <v>2971</v>
      </c>
    </row>
    <row r="1771" spans="1:8" x14ac:dyDescent="0.35">
      <c r="A1771" t="s">
        <v>272</v>
      </c>
      <c r="B1771" s="26" t="s">
        <v>36</v>
      </c>
      <c r="C1771" s="20">
        <v>42115</v>
      </c>
      <c r="D1771" t="s">
        <v>31</v>
      </c>
      <c r="E1771" s="3">
        <v>150</v>
      </c>
      <c r="F1771" s="3">
        <v>21</v>
      </c>
      <c r="G1771" s="3">
        <v>2520</v>
      </c>
      <c r="H1771" s="3" t="s">
        <v>2969</v>
      </c>
    </row>
    <row r="1772" spans="1:8" x14ac:dyDescent="0.35">
      <c r="A1772" t="s">
        <v>109</v>
      </c>
      <c r="B1772" s="26" t="s">
        <v>20</v>
      </c>
      <c r="C1772" s="20">
        <v>43353</v>
      </c>
      <c r="D1772" t="s">
        <v>56</v>
      </c>
      <c r="E1772" s="3">
        <v>800</v>
      </c>
      <c r="F1772" s="3">
        <v>15</v>
      </c>
      <c r="G1772" s="3">
        <v>8160</v>
      </c>
      <c r="H1772" s="3" t="s">
        <v>2973</v>
      </c>
    </row>
    <row r="1773" spans="1:8" x14ac:dyDescent="0.35">
      <c r="A1773" t="s">
        <v>243</v>
      </c>
      <c r="B1773" s="26" t="s">
        <v>14</v>
      </c>
      <c r="C1773" s="20">
        <v>42221</v>
      </c>
      <c r="D1773" t="s">
        <v>31</v>
      </c>
      <c r="E1773" s="3">
        <v>150</v>
      </c>
      <c r="F1773" s="3">
        <v>29</v>
      </c>
      <c r="G1773" s="3">
        <v>3828</v>
      </c>
      <c r="H1773" s="3" t="s">
        <v>2972</v>
      </c>
    </row>
    <row r="1774" spans="1:8" x14ac:dyDescent="0.35">
      <c r="A1774" t="s">
        <v>83</v>
      </c>
      <c r="B1774" s="26" t="s">
        <v>14</v>
      </c>
      <c r="C1774" s="20">
        <v>42726</v>
      </c>
      <c r="D1774" t="s">
        <v>47</v>
      </c>
      <c r="E1774" s="3">
        <v>500</v>
      </c>
      <c r="F1774" s="3">
        <v>25</v>
      </c>
      <c r="G1774" s="3">
        <v>10875</v>
      </c>
      <c r="H1774" s="3" t="s">
        <v>2976</v>
      </c>
    </row>
    <row r="1775" spans="1:8" x14ac:dyDescent="0.35">
      <c r="A1775" t="s">
        <v>19</v>
      </c>
      <c r="B1775" s="26" t="s">
        <v>20</v>
      </c>
      <c r="C1775" s="20">
        <v>42343</v>
      </c>
      <c r="D1775" t="s">
        <v>56</v>
      </c>
      <c r="E1775" s="3">
        <v>800</v>
      </c>
      <c r="F1775" s="3">
        <v>37</v>
      </c>
      <c r="G1775" s="3">
        <v>16576</v>
      </c>
      <c r="H1775" s="3" t="s">
        <v>2976</v>
      </c>
    </row>
    <row r="1776" spans="1:8" x14ac:dyDescent="0.35">
      <c r="A1776" t="s">
        <v>109</v>
      </c>
      <c r="B1776" s="26" t="s">
        <v>20</v>
      </c>
      <c r="C1776" s="20">
        <v>43300</v>
      </c>
      <c r="D1776" t="s">
        <v>73</v>
      </c>
      <c r="E1776" s="3">
        <v>500</v>
      </c>
      <c r="F1776" s="3">
        <v>53</v>
      </c>
      <c r="G1776" s="3">
        <v>26500</v>
      </c>
      <c r="H1776" s="3" t="s">
        <v>2971</v>
      </c>
    </row>
    <row r="1777" spans="1:8" x14ac:dyDescent="0.35">
      <c r="A1777" t="s">
        <v>51</v>
      </c>
      <c r="B1777" s="26" t="s">
        <v>25</v>
      </c>
      <c r="C1777" s="20">
        <v>42875</v>
      </c>
      <c r="D1777" t="s">
        <v>123</v>
      </c>
      <c r="E1777" s="3">
        <v>50</v>
      </c>
      <c r="F1777" s="3">
        <v>16</v>
      </c>
      <c r="G1777" s="3">
        <v>752</v>
      </c>
      <c r="H1777" s="3" t="s">
        <v>2965</v>
      </c>
    </row>
    <row r="1778" spans="1:8" x14ac:dyDescent="0.35">
      <c r="A1778" t="s">
        <v>109</v>
      </c>
      <c r="B1778" s="26" t="s">
        <v>20</v>
      </c>
      <c r="C1778" s="20">
        <v>42847</v>
      </c>
      <c r="D1778" t="s">
        <v>37</v>
      </c>
      <c r="E1778" s="3">
        <v>50</v>
      </c>
      <c r="F1778" s="3">
        <v>21</v>
      </c>
      <c r="G1778" s="3">
        <v>966</v>
      </c>
      <c r="H1778" s="3" t="s">
        <v>2969</v>
      </c>
    </row>
    <row r="1779" spans="1:8" x14ac:dyDescent="0.35">
      <c r="A1779" t="s">
        <v>51</v>
      </c>
      <c r="B1779" s="26" t="s">
        <v>25</v>
      </c>
      <c r="C1779" s="20">
        <v>41869</v>
      </c>
      <c r="D1779" t="s">
        <v>31</v>
      </c>
      <c r="E1779" s="3">
        <v>150</v>
      </c>
      <c r="F1779" s="3">
        <v>58</v>
      </c>
      <c r="G1779" s="3">
        <v>7308</v>
      </c>
      <c r="H1779" s="3" t="s">
        <v>2972</v>
      </c>
    </row>
    <row r="1780" spans="1:8" x14ac:dyDescent="0.35">
      <c r="A1780" t="s">
        <v>176</v>
      </c>
      <c r="B1780" s="26" t="s">
        <v>14</v>
      </c>
      <c r="C1780" s="20">
        <v>41768</v>
      </c>
      <c r="D1780" t="s">
        <v>42</v>
      </c>
      <c r="E1780" s="3">
        <v>30</v>
      </c>
      <c r="F1780" s="3">
        <v>46</v>
      </c>
      <c r="G1780" s="3">
        <v>1058</v>
      </c>
      <c r="H1780" s="3" t="s">
        <v>2965</v>
      </c>
    </row>
    <row r="1781" spans="1:8" x14ac:dyDescent="0.35">
      <c r="A1781" t="s">
        <v>229</v>
      </c>
      <c r="B1781" s="26" t="s">
        <v>25</v>
      </c>
      <c r="C1781" s="20">
        <v>42193</v>
      </c>
      <c r="D1781" t="s">
        <v>116</v>
      </c>
      <c r="E1781" s="3">
        <v>250</v>
      </c>
      <c r="F1781" s="3">
        <v>16</v>
      </c>
      <c r="G1781" s="3">
        <v>3680</v>
      </c>
      <c r="H1781" s="3" t="s">
        <v>2971</v>
      </c>
    </row>
    <row r="1782" spans="1:8" x14ac:dyDescent="0.35">
      <c r="A1782" t="s">
        <v>243</v>
      </c>
      <c r="B1782" s="26" t="s">
        <v>14</v>
      </c>
      <c r="C1782" s="20">
        <v>41747</v>
      </c>
      <c r="D1782" t="s">
        <v>42</v>
      </c>
      <c r="E1782" s="3">
        <v>30</v>
      </c>
      <c r="F1782" s="3">
        <v>37</v>
      </c>
      <c r="G1782" s="3">
        <v>1073</v>
      </c>
      <c r="H1782" s="3" t="s">
        <v>2969</v>
      </c>
    </row>
    <row r="1783" spans="1:8" x14ac:dyDescent="0.35">
      <c r="A1783" t="s">
        <v>55</v>
      </c>
      <c r="B1783" s="26" t="s">
        <v>14</v>
      </c>
      <c r="C1783" s="20">
        <v>41977</v>
      </c>
      <c r="D1783" t="s">
        <v>42</v>
      </c>
      <c r="E1783" s="3">
        <v>30</v>
      </c>
      <c r="F1783" s="3">
        <v>16</v>
      </c>
      <c r="G1783" s="3">
        <v>384</v>
      </c>
      <c r="H1783" s="3" t="s">
        <v>2976</v>
      </c>
    </row>
    <row r="1784" spans="1:8" x14ac:dyDescent="0.35">
      <c r="A1784" t="s">
        <v>93</v>
      </c>
      <c r="B1784" s="26" t="s">
        <v>36</v>
      </c>
      <c r="C1784" s="20">
        <v>43456</v>
      </c>
      <c r="D1784" t="s">
        <v>47</v>
      </c>
      <c r="E1784" s="3">
        <v>500</v>
      </c>
      <c r="F1784" s="3">
        <v>49</v>
      </c>
      <c r="G1784" s="3">
        <v>24010</v>
      </c>
      <c r="H1784" s="3" t="s">
        <v>2976</v>
      </c>
    </row>
    <row r="1785" spans="1:8" x14ac:dyDescent="0.35">
      <c r="A1785" t="s">
        <v>402</v>
      </c>
      <c r="B1785" s="26" t="s">
        <v>14</v>
      </c>
      <c r="C1785" s="20">
        <v>43439</v>
      </c>
      <c r="D1785" t="s">
        <v>37</v>
      </c>
      <c r="E1785" s="3">
        <v>50</v>
      </c>
      <c r="F1785" s="3">
        <v>57</v>
      </c>
      <c r="G1785" s="3">
        <v>2679</v>
      </c>
      <c r="H1785" s="3" t="s">
        <v>2976</v>
      </c>
    </row>
    <row r="1786" spans="1:8" x14ac:dyDescent="0.35">
      <c r="A1786" t="s">
        <v>72</v>
      </c>
      <c r="B1786" s="26" t="s">
        <v>36</v>
      </c>
      <c r="C1786" s="20">
        <v>43257</v>
      </c>
      <c r="D1786" t="s">
        <v>62</v>
      </c>
      <c r="E1786" s="3">
        <v>1000</v>
      </c>
      <c r="F1786" s="3">
        <v>20</v>
      </c>
      <c r="G1786" s="3">
        <v>14800</v>
      </c>
      <c r="H1786" s="3" t="s">
        <v>2970</v>
      </c>
    </row>
    <row r="1787" spans="1:8" x14ac:dyDescent="0.35">
      <c r="A1787" t="s">
        <v>109</v>
      </c>
      <c r="B1787" s="26" t="s">
        <v>20</v>
      </c>
      <c r="C1787" s="20">
        <v>43387</v>
      </c>
      <c r="D1787" t="s">
        <v>123</v>
      </c>
      <c r="E1787" s="3">
        <v>50</v>
      </c>
      <c r="F1787" s="3">
        <v>71</v>
      </c>
      <c r="G1787" s="3">
        <v>3195</v>
      </c>
      <c r="H1787" s="3" t="s">
        <v>2974</v>
      </c>
    </row>
    <row r="1788" spans="1:8" x14ac:dyDescent="0.35">
      <c r="A1788" t="s">
        <v>109</v>
      </c>
      <c r="B1788" s="26" t="s">
        <v>20</v>
      </c>
      <c r="C1788" s="20">
        <v>43233</v>
      </c>
      <c r="D1788" t="s">
        <v>26</v>
      </c>
      <c r="E1788" s="3">
        <v>700</v>
      </c>
      <c r="F1788" s="3">
        <v>8</v>
      </c>
      <c r="G1788" s="3">
        <v>5264</v>
      </c>
      <c r="H1788" s="3" t="s">
        <v>2965</v>
      </c>
    </row>
    <row r="1789" spans="1:8" x14ac:dyDescent="0.35">
      <c r="A1789" t="s">
        <v>109</v>
      </c>
      <c r="B1789" s="26" t="s">
        <v>20</v>
      </c>
      <c r="C1789" s="20">
        <v>41676</v>
      </c>
      <c r="D1789" t="s">
        <v>42</v>
      </c>
      <c r="E1789" s="3">
        <v>30</v>
      </c>
      <c r="F1789" s="3">
        <v>1</v>
      </c>
      <c r="G1789" s="3">
        <v>26</v>
      </c>
      <c r="H1789" s="3" t="s">
        <v>2967</v>
      </c>
    </row>
    <row r="1790" spans="1:8" x14ac:dyDescent="0.35">
      <c r="A1790" t="s">
        <v>35</v>
      </c>
      <c r="B1790" s="26" t="s">
        <v>36</v>
      </c>
      <c r="C1790" s="20">
        <v>42492</v>
      </c>
      <c r="D1790" t="s">
        <v>73</v>
      </c>
      <c r="E1790" s="3">
        <v>500</v>
      </c>
      <c r="F1790" s="3">
        <v>60</v>
      </c>
      <c r="G1790" s="3">
        <v>30000</v>
      </c>
      <c r="H1790" s="3" t="s">
        <v>2965</v>
      </c>
    </row>
    <row r="1791" spans="1:8" x14ac:dyDescent="0.35">
      <c r="A1791" t="s">
        <v>13</v>
      </c>
      <c r="B1791" s="26" t="s">
        <v>14</v>
      </c>
      <c r="C1791" s="20">
        <v>43419</v>
      </c>
      <c r="D1791" t="s">
        <v>56</v>
      </c>
      <c r="E1791" s="3">
        <v>800</v>
      </c>
      <c r="F1791" s="3">
        <v>87</v>
      </c>
      <c r="G1791" s="3">
        <v>41760</v>
      </c>
      <c r="H1791" s="3" t="s">
        <v>2975</v>
      </c>
    </row>
    <row r="1792" spans="1:8" x14ac:dyDescent="0.35">
      <c r="A1792" t="s">
        <v>207</v>
      </c>
      <c r="B1792" s="26" t="s">
        <v>25</v>
      </c>
      <c r="C1792" s="20">
        <v>42216</v>
      </c>
      <c r="D1792" t="s">
        <v>42</v>
      </c>
      <c r="E1792" s="3">
        <v>30</v>
      </c>
      <c r="F1792" s="3">
        <v>26</v>
      </c>
      <c r="G1792" s="3">
        <v>546</v>
      </c>
      <c r="H1792" s="3" t="s">
        <v>2971</v>
      </c>
    </row>
    <row r="1793" spans="1:8" x14ac:dyDescent="0.35">
      <c r="A1793" t="s">
        <v>72</v>
      </c>
      <c r="B1793" s="26" t="s">
        <v>36</v>
      </c>
      <c r="C1793" s="20">
        <v>42562</v>
      </c>
      <c r="D1793" t="s">
        <v>15</v>
      </c>
      <c r="E1793" s="3">
        <v>80</v>
      </c>
      <c r="F1793" s="3">
        <v>75</v>
      </c>
      <c r="G1793" s="3">
        <v>5925</v>
      </c>
      <c r="H1793" s="3" t="s">
        <v>2971</v>
      </c>
    </row>
    <row r="1794" spans="1:8" x14ac:dyDescent="0.35">
      <c r="A1794" t="s">
        <v>101</v>
      </c>
      <c r="B1794" s="26" t="s">
        <v>14</v>
      </c>
      <c r="C1794" s="20">
        <v>42101</v>
      </c>
      <c r="D1794" t="s">
        <v>31</v>
      </c>
      <c r="E1794" s="3">
        <v>150</v>
      </c>
      <c r="F1794" s="3">
        <v>37</v>
      </c>
      <c r="G1794" s="3">
        <v>5513</v>
      </c>
      <c r="H1794" s="3" t="s">
        <v>2969</v>
      </c>
    </row>
    <row r="1795" spans="1:8" x14ac:dyDescent="0.35">
      <c r="A1795" t="s">
        <v>13</v>
      </c>
      <c r="B1795" s="26" t="s">
        <v>14</v>
      </c>
      <c r="C1795" s="20">
        <v>42252</v>
      </c>
      <c r="D1795" t="s">
        <v>26</v>
      </c>
      <c r="E1795" s="3">
        <v>700</v>
      </c>
      <c r="F1795" s="3">
        <v>4</v>
      </c>
      <c r="G1795" s="3">
        <v>2800</v>
      </c>
      <c r="H1795" s="3" t="s">
        <v>2973</v>
      </c>
    </row>
    <row r="1796" spans="1:8" x14ac:dyDescent="0.35">
      <c r="A1796" t="s">
        <v>51</v>
      </c>
      <c r="B1796" s="26" t="s">
        <v>25</v>
      </c>
      <c r="C1796" s="20">
        <v>43248</v>
      </c>
      <c r="D1796" t="s">
        <v>62</v>
      </c>
      <c r="E1796" s="3">
        <v>1000</v>
      </c>
      <c r="F1796" s="3">
        <v>69</v>
      </c>
      <c r="G1796" s="3">
        <v>63480</v>
      </c>
      <c r="H1796" s="3" t="s">
        <v>2965</v>
      </c>
    </row>
    <row r="1797" spans="1:8" x14ac:dyDescent="0.35">
      <c r="A1797" t="s">
        <v>272</v>
      </c>
      <c r="B1797" s="26" t="s">
        <v>36</v>
      </c>
      <c r="C1797" s="20">
        <v>42281</v>
      </c>
      <c r="D1797" t="s">
        <v>123</v>
      </c>
      <c r="E1797" s="3">
        <v>50</v>
      </c>
      <c r="F1797" s="3">
        <v>57</v>
      </c>
      <c r="G1797" s="3">
        <v>2280</v>
      </c>
      <c r="H1797" s="3" t="s">
        <v>2974</v>
      </c>
    </row>
    <row r="1798" spans="1:8" x14ac:dyDescent="0.35">
      <c r="A1798" t="s">
        <v>243</v>
      </c>
      <c r="B1798" s="26" t="s">
        <v>14</v>
      </c>
      <c r="C1798" s="20">
        <v>42064</v>
      </c>
      <c r="D1798" t="s">
        <v>56</v>
      </c>
      <c r="E1798" s="3">
        <v>800</v>
      </c>
      <c r="F1798" s="3">
        <v>17</v>
      </c>
      <c r="G1798" s="3">
        <v>13328</v>
      </c>
      <c r="H1798" s="3" t="s">
        <v>2968</v>
      </c>
    </row>
    <row r="1799" spans="1:8" x14ac:dyDescent="0.35">
      <c r="A1799" t="s">
        <v>72</v>
      </c>
      <c r="B1799" s="26" t="s">
        <v>36</v>
      </c>
      <c r="C1799" s="20">
        <v>41937</v>
      </c>
      <c r="D1799" t="s">
        <v>56</v>
      </c>
      <c r="E1799" s="3">
        <v>800</v>
      </c>
      <c r="F1799" s="3">
        <v>30</v>
      </c>
      <c r="G1799" s="3">
        <v>14640</v>
      </c>
      <c r="H1799" s="3" t="s">
        <v>2974</v>
      </c>
    </row>
    <row r="1800" spans="1:8" x14ac:dyDescent="0.35">
      <c r="A1800" t="s">
        <v>109</v>
      </c>
      <c r="B1800" s="26" t="s">
        <v>20</v>
      </c>
      <c r="C1800" s="20">
        <v>42505</v>
      </c>
      <c r="D1800" t="s">
        <v>47</v>
      </c>
      <c r="E1800" s="3">
        <v>500</v>
      </c>
      <c r="F1800" s="3">
        <v>1</v>
      </c>
      <c r="G1800" s="3">
        <v>450</v>
      </c>
      <c r="H1800" s="3" t="s">
        <v>2965</v>
      </c>
    </row>
    <row r="1801" spans="1:8" x14ac:dyDescent="0.35">
      <c r="A1801" t="s">
        <v>266</v>
      </c>
      <c r="B1801" s="26" t="s">
        <v>14</v>
      </c>
      <c r="C1801" s="20">
        <v>43135</v>
      </c>
      <c r="D1801" t="s">
        <v>42</v>
      </c>
      <c r="E1801" s="3">
        <v>30</v>
      </c>
      <c r="F1801" s="3">
        <v>65</v>
      </c>
      <c r="G1801" s="3">
        <v>1885</v>
      </c>
      <c r="H1801" s="3" t="s">
        <v>2967</v>
      </c>
    </row>
    <row r="1802" spans="1:8" x14ac:dyDescent="0.35">
      <c r="A1802" t="s">
        <v>35</v>
      </c>
      <c r="B1802" s="26" t="s">
        <v>36</v>
      </c>
      <c r="C1802" s="20">
        <v>43063</v>
      </c>
      <c r="D1802" t="s">
        <v>73</v>
      </c>
      <c r="E1802" s="3">
        <v>500</v>
      </c>
      <c r="F1802" s="3">
        <v>93</v>
      </c>
      <c r="G1802" s="3">
        <v>45570</v>
      </c>
      <c r="H1802" s="3" t="s">
        <v>2975</v>
      </c>
    </row>
    <row r="1803" spans="1:8" x14ac:dyDescent="0.35">
      <c r="A1803" t="s">
        <v>72</v>
      </c>
      <c r="B1803" s="26" t="s">
        <v>36</v>
      </c>
      <c r="C1803" s="20">
        <v>43291</v>
      </c>
      <c r="D1803" t="s">
        <v>116</v>
      </c>
      <c r="E1803" s="3">
        <v>250</v>
      </c>
      <c r="F1803" s="3">
        <v>12</v>
      </c>
      <c r="G1803" s="3">
        <v>2880</v>
      </c>
      <c r="H1803" s="3" t="s">
        <v>2971</v>
      </c>
    </row>
    <row r="1804" spans="1:8" x14ac:dyDescent="0.35">
      <c r="A1804" t="s">
        <v>436</v>
      </c>
      <c r="B1804" s="26" t="s">
        <v>25</v>
      </c>
      <c r="C1804" s="20">
        <v>43451</v>
      </c>
      <c r="D1804" t="s">
        <v>42</v>
      </c>
      <c r="E1804" s="3">
        <v>30</v>
      </c>
      <c r="F1804" s="3">
        <v>54</v>
      </c>
      <c r="G1804" s="3">
        <v>1566</v>
      </c>
      <c r="H1804" s="3" t="s">
        <v>2976</v>
      </c>
    </row>
    <row r="1805" spans="1:8" x14ac:dyDescent="0.35">
      <c r="A1805" t="s">
        <v>83</v>
      </c>
      <c r="B1805" s="26" t="s">
        <v>14</v>
      </c>
      <c r="C1805" s="20">
        <v>42494</v>
      </c>
      <c r="D1805" t="s">
        <v>116</v>
      </c>
      <c r="E1805" s="3">
        <v>250</v>
      </c>
      <c r="F1805" s="3">
        <v>80</v>
      </c>
      <c r="G1805" s="3">
        <v>19200</v>
      </c>
      <c r="H1805" s="3" t="s">
        <v>2965</v>
      </c>
    </row>
    <row r="1806" spans="1:8" x14ac:dyDescent="0.35">
      <c r="A1806" t="s">
        <v>326</v>
      </c>
      <c r="B1806" s="26" t="s">
        <v>14</v>
      </c>
      <c r="C1806" s="20">
        <v>41729</v>
      </c>
      <c r="D1806" t="s">
        <v>62</v>
      </c>
      <c r="E1806" s="3">
        <v>1000</v>
      </c>
      <c r="F1806" s="3">
        <v>19</v>
      </c>
      <c r="G1806" s="3">
        <v>12730</v>
      </c>
      <c r="H1806" s="3" t="s">
        <v>2968</v>
      </c>
    </row>
    <row r="1807" spans="1:8" x14ac:dyDescent="0.35">
      <c r="A1807" t="s">
        <v>72</v>
      </c>
      <c r="B1807" s="26" t="s">
        <v>36</v>
      </c>
      <c r="C1807" s="20">
        <v>42928</v>
      </c>
      <c r="D1807" t="s">
        <v>56</v>
      </c>
      <c r="E1807" s="3">
        <v>800</v>
      </c>
      <c r="F1807" s="3">
        <v>56</v>
      </c>
      <c r="G1807" s="3">
        <v>25088</v>
      </c>
      <c r="H1807" s="3" t="s">
        <v>2971</v>
      </c>
    </row>
    <row r="1808" spans="1:8" x14ac:dyDescent="0.35">
      <c r="A1808" t="s">
        <v>30</v>
      </c>
      <c r="B1808" s="26" t="s">
        <v>14</v>
      </c>
      <c r="C1808" s="20">
        <v>42264</v>
      </c>
      <c r="D1808" t="s">
        <v>37</v>
      </c>
      <c r="E1808" s="3">
        <v>50</v>
      </c>
      <c r="F1808" s="3">
        <v>5</v>
      </c>
      <c r="G1808" s="3">
        <v>155</v>
      </c>
      <c r="H1808" s="3" t="s">
        <v>2973</v>
      </c>
    </row>
    <row r="1809" spans="1:8" x14ac:dyDescent="0.35">
      <c r="A1809" t="s">
        <v>272</v>
      </c>
      <c r="B1809" s="26" t="s">
        <v>36</v>
      </c>
      <c r="C1809" s="20">
        <v>42887</v>
      </c>
      <c r="D1809" t="s">
        <v>37</v>
      </c>
      <c r="E1809" s="3">
        <v>50</v>
      </c>
      <c r="F1809" s="3">
        <v>59</v>
      </c>
      <c r="G1809" s="3">
        <v>2714</v>
      </c>
      <c r="H1809" s="3" t="s">
        <v>2970</v>
      </c>
    </row>
    <row r="1810" spans="1:8" x14ac:dyDescent="0.35">
      <c r="A1810" t="s">
        <v>120</v>
      </c>
      <c r="B1810" s="26" t="s">
        <v>36</v>
      </c>
      <c r="C1810" s="20">
        <v>42236</v>
      </c>
      <c r="D1810" t="s">
        <v>123</v>
      </c>
      <c r="E1810" s="3">
        <v>50</v>
      </c>
      <c r="F1810" s="3">
        <v>7</v>
      </c>
      <c r="G1810" s="3">
        <v>343</v>
      </c>
      <c r="H1810" s="3" t="s">
        <v>2972</v>
      </c>
    </row>
    <row r="1811" spans="1:8" x14ac:dyDescent="0.35">
      <c r="A1811" t="s">
        <v>61</v>
      </c>
      <c r="B1811" s="26" t="s">
        <v>14</v>
      </c>
      <c r="C1811" s="20">
        <v>42966</v>
      </c>
      <c r="D1811" t="s">
        <v>105</v>
      </c>
      <c r="E1811" s="3">
        <v>70</v>
      </c>
      <c r="F1811" s="3">
        <v>19</v>
      </c>
      <c r="G1811" s="3">
        <v>1197</v>
      </c>
      <c r="H1811" s="3" t="s">
        <v>2972</v>
      </c>
    </row>
    <row r="1812" spans="1:8" x14ac:dyDescent="0.35">
      <c r="A1812" t="s">
        <v>101</v>
      </c>
      <c r="B1812" s="26" t="s">
        <v>14</v>
      </c>
      <c r="C1812" s="20">
        <v>42854</v>
      </c>
      <c r="D1812" t="s">
        <v>26</v>
      </c>
      <c r="E1812" s="3">
        <v>700</v>
      </c>
      <c r="F1812" s="3">
        <v>97</v>
      </c>
      <c r="G1812" s="3">
        <v>66542</v>
      </c>
      <c r="H1812" s="3" t="s">
        <v>2969</v>
      </c>
    </row>
    <row r="1813" spans="1:8" x14ac:dyDescent="0.35">
      <c r="A1813" t="s">
        <v>19</v>
      </c>
      <c r="B1813" s="26" t="s">
        <v>20</v>
      </c>
      <c r="C1813" s="20">
        <v>43229</v>
      </c>
      <c r="D1813" t="s">
        <v>47</v>
      </c>
      <c r="E1813" s="3">
        <v>500</v>
      </c>
      <c r="F1813" s="3">
        <v>40</v>
      </c>
      <c r="G1813" s="3">
        <v>17000</v>
      </c>
      <c r="H1813" s="3" t="s">
        <v>2965</v>
      </c>
    </row>
    <row r="1814" spans="1:8" x14ac:dyDescent="0.35">
      <c r="A1814" t="s">
        <v>35</v>
      </c>
      <c r="B1814" s="26" t="s">
        <v>36</v>
      </c>
      <c r="C1814" s="20">
        <v>42535</v>
      </c>
      <c r="D1814" t="s">
        <v>56</v>
      </c>
      <c r="E1814" s="3">
        <v>800</v>
      </c>
      <c r="F1814" s="3">
        <v>96</v>
      </c>
      <c r="G1814" s="3">
        <v>75264</v>
      </c>
      <c r="H1814" s="3" t="s">
        <v>2970</v>
      </c>
    </row>
    <row r="1815" spans="1:8" x14ac:dyDescent="0.35">
      <c r="A1815" t="s">
        <v>207</v>
      </c>
      <c r="B1815" s="26" t="s">
        <v>25</v>
      </c>
      <c r="C1815" s="20">
        <v>42079</v>
      </c>
      <c r="D1815" t="s">
        <v>123</v>
      </c>
      <c r="E1815" s="3">
        <v>50</v>
      </c>
      <c r="F1815" s="3">
        <v>37</v>
      </c>
      <c r="G1815" s="3">
        <v>1591</v>
      </c>
      <c r="H1815" s="3" t="s">
        <v>2968</v>
      </c>
    </row>
    <row r="1816" spans="1:8" x14ac:dyDescent="0.35">
      <c r="A1816" t="s">
        <v>207</v>
      </c>
      <c r="B1816" s="26" t="s">
        <v>25</v>
      </c>
      <c r="C1816" s="20">
        <v>43063</v>
      </c>
      <c r="D1816" t="s">
        <v>15</v>
      </c>
      <c r="E1816" s="3">
        <v>80</v>
      </c>
      <c r="F1816" s="3">
        <v>86</v>
      </c>
      <c r="G1816" s="3">
        <v>6364</v>
      </c>
      <c r="H1816" s="3" t="s">
        <v>2975</v>
      </c>
    </row>
    <row r="1817" spans="1:8" x14ac:dyDescent="0.35">
      <c r="A1817" t="s">
        <v>61</v>
      </c>
      <c r="B1817" s="26" t="s">
        <v>14</v>
      </c>
      <c r="C1817" s="20">
        <v>42189</v>
      </c>
      <c r="D1817" t="s">
        <v>37</v>
      </c>
      <c r="E1817" s="3">
        <v>50</v>
      </c>
      <c r="F1817" s="3">
        <v>100</v>
      </c>
      <c r="G1817" s="3">
        <v>4600</v>
      </c>
      <c r="H1817" s="3" t="s">
        <v>2971</v>
      </c>
    </row>
    <row r="1818" spans="1:8" x14ac:dyDescent="0.35">
      <c r="A1818" t="s">
        <v>55</v>
      </c>
      <c r="B1818" s="26" t="s">
        <v>14</v>
      </c>
      <c r="C1818" s="20">
        <v>41682</v>
      </c>
      <c r="D1818" t="s">
        <v>116</v>
      </c>
      <c r="E1818" s="3">
        <v>250</v>
      </c>
      <c r="F1818" s="3">
        <v>61</v>
      </c>
      <c r="G1818" s="3">
        <v>13603</v>
      </c>
      <c r="H1818" s="3" t="s">
        <v>2967</v>
      </c>
    </row>
    <row r="1819" spans="1:8" x14ac:dyDescent="0.35">
      <c r="A1819" t="s">
        <v>189</v>
      </c>
      <c r="B1819" s="26" t="s">
        <v>14</v>
      </c>
      <c r="C1819" s="20">
        <v>42367</v>
      </c>
      <c r="D1819" t="s">
        <v>116</v>
      </c>
      <c r="E1819" s="3">
        <v>250</v>
      </c>
      <c r="F1819" s="3">
        <v>15</v>
      </c>
      <c r="G1819" s="3">
        <v>3375</v>
      </c>
      <c r="H1819" s="3" t="s">
        <v>2976</v>
      </c>
    </row>
    <row r="1820" spans="1:8" x14ac:dyDescent="0.35">
      <c r="A1820" t="s">
        <v>148</v>
      </c>
      <c r="B1820" s="26" t="s">
        <v>14</v>
      </c>
      <c r="C1820" s="20">
        <v>42894</v>
      </c>
      <c r="D1820" t="s">
        <v>105</v>
      </c>
      <c r="E1820" s="3">
        <v>70</v>
      </c>
      <c r="F1820" s="3">
        <v>8</v>
      </c>
      <c r="G1820" s="3">
        <v>552</v>
      </c>
      <c r="H1820" s="3" t="s">
        <v>2970</v>
      </c>
    </row>
    <row r="1821" spans="1:8" x14ac:dyDescent="0.35">
      <c r="A1821" t="s">
        <v>24</v>
      </c>
      <c r="B1821" s="26" t="s">
        <v>25</v>
      </c>
      <c r="C1821" s="20">
        <v>42885</v>
      </c>
      <c r="D1821" t="s">
        <v>73</v>
      </c>
      <c r="E1821" s="3">
        <v>500</v>
      </c>
      <c r="F1821" s="3">
        <v>24</v>
      </c>
      <c r="G1821" s="3">
        <v>11760</v>
      </c>
      <c r="H1821" s="3" t="s">
        <v>2965</v>
      </c>
    </row>
    <row r="1822" spans="1:8" x14ac:dyDescent="0.35">
      <c r="A1822" t="s">
        <v>272</v>
      </c>
      <c r="B1822" s="26" t="s">
        <v>36</v>
      </c>
      <c r="C1822" s="20">
        <v>43203</v>
      </c>
      <c r="D1822" t="s">
        <v>116</v>
      </c>
      <c r="E1822" s="3">
        <v>250</v>
      </c>
      <c r="F1822" s="3">
        <v>54</v>
      </c>
      <c r="G1822" s="3">
        <v>11880</v>
      </c>
      <c r="H1822" s="3" t="s">
        <v>2969</v>
      </c>
    </row>
    <row r="1823" spans="1:8" x14ac:dyDescent="0.35">
      <c r="A1823" t="s">
        <v>35</v>
      </c>
      <c r="B1823" s="26" t="s">
        <v>36</v>
      </c>
      <c r="C1823" s="20">
        <v>42044</v>
      </c>
      <c r="D1823" t="s">
        <v>123</v>
      </c>
      <c r="E1823" s="3">
        <v>50</v>
      </c>
      <c r="F1823" s="3">
        <v>44</v>
      </c>
      <c r="G1823" s="3">
        <v>1452</v>
      </c>
      <c r="H1823" s="3" t="s">
        <v>2967</v>
      </c>
    </row>
    <row r="1824" spans="1:8" x14ac:dyDescent="0.35">
      <c r="A1824" t="s">
        <v>272</v>
      </c>
      <c r="B1824" s="26" t="s">
        <v>36</v>
      </c>
      <c r="C1824" s="20">
        <v>42152</v>
      </c>
      <c r="D1824" t="s">
        <v>105</v>
      </c>
      <c r="E1824" s="3">
        <v>70</v>
      </c>
      <c r="F1824" s="3">
        <v>46</v>
      </c>
      <c r="G1824" s="3">
        <v>2116</v>
      </c>
      <c r="H1824" s="3" t="s">
        <v>2965</v>
      </c>
    </row>
    <row r="1825" spans="1:8" x14ac:dyDescent="0.35">
      <c r="A1825" t="s">
        <v>41</v>
      </c>
      <c r="B1825" s="26" t="s">
        <v>36</v>
      </c>
      <c r="C1825" s="20">
        <v>42027</v>
      </c>
      <c r="D1825" t="s">
        <v>42</v>
      </c>
      <c r="E1825" s="3">
        <v>30</v>
      </c>
      <c r="F1825" s="3">
        <v>49</v>
      </c>
      <c r="G1825" s="3">
        <v>980</v>
      </c>
      <c r="H1825" s="3" t="s">
        <v>2966</v>
      </c>
    </row>
    <row r="1826" spans="1:8" x14ac:dyDescent="0.35">
      <c r="A1826" t="s">
        <v>109</v>
      </c>
      <c r="B1826" s="26" t="s">
        <v>20</v>
      </c>
      <c r="C1826" s="20">
        <v>43227</v>
      </c>
      <c r="D1826" t="s">
        <v>73</v>
      </c>
      <c r="E1826" s="3">
        <v>500</v>
      </c>
      <c r="F1826" s="3">
        <v>10</v>
      </c>
      <c r="G1826" s="3">
        <v>5000</v>
      </c>
      <c r="H1826" s="3" t="s">
        <v>2965</v>
      </c>
    </row>
    <row r="1827" spans="1:8" x14ac:dyDescent="0.35">
      <c r="A1827" t="s">
        <v>109</v>
      </c>
      <c r="B1827" s="26" t="s">
        <v>20</v>
      </c>
      <c r="C1827" s="20">
        <v>43355</v>
      </c>
      <c r="D1827" t="s">
        <v>73</v>
      </c>
      <c r="E1827" s="3">
        <v>500</v>
      </c>
      <c r="F1827" s="3">
        <v>82</v>
      </c>
      <c r="G1827" s="3">
        <v>41000</v>
      </c>
      <c r="H1827" s="3" t="s">
        <v>2973</v>
      </c>
    </row>
    <row r="1828" spans="1:8" x14ac:dyDescent="0.35">
      <c r="A1828" t="s">
        <v>109</v>
      </c>
      <c r="B1828" s="26" t="s">
        <v>20</v>
      </c>
      <c r="C1828" s="20">
        <v>41687</v>
      </c>
      <c r="D1828" t="s">
        <v>47</v>
      </c>
      <c r="E1828" s="3">
        <v>500</v>
      </c>
      <c r="F1828" s="3">
        <v>69</v>
      </c>
      <c r="G1828" s="3">
        <v>24150</v>
      </c>
      <c r="H1828" s="3" t="s">
        <v>2967</v>
      </c>
    </row>
    <row r="1829" spans="1:8" x14ac:dyDescent="0.35">
      <c r="A1829" t="s">
        <v>19</v>
      </c>
      <c r="B1829" s="26" t="s">
        <v>20</v>
      </c>
      <c r="C1829" s="20">
        <v>41731</v>
      </c>
      <c r="D1829" t="s">
        <v>73</v>
      </c>
      <c r="E1829" s="3">
        <v>500</v>
      </c>
      <c r="F1829" s="3">
        <v>30</v>
      </c>
      <c r="G1829" s="3">
        <v>15000</v>
      </c>
      <c r="H1829" s="3" t="s">
        <v>2969</v>
      </c>
    </row>
    <row r="1830" spans="1:8" x14ac:dyDescent="0.35">
      <c r="A1830" t="s">
        <v>83</v>
      </c>
      <c r="B1830" s="26" t="s">
        <v>14</v>
      </c>
      <c r="C1830" s="20">
        <v>43326</v>
      </c>
      <c r="D1830" t="s">
        <v>42</v>
      </c>
      <c r="E1830" s="3">
        <v>30</v>
      </c>
      <c r="F1830" s="3">
        <v>13</v>
      </c>
      <c r="G1830" s="3">
        <v>377</v>
      </c>
      <c r="H1830" s="3" t="s">
        <v>2972</v>
      </c>
    </row>
    <row r="1831" spans="1:8" x14ac:dyDescent="0.35">
      <c r="A1831" t="s">
        <v>402</v>
      </c>
      <c r="B1831" s="26" t="s">
        <v>14</v>
      </c>
      <c r="C1831" s="20">
        <v>41710</v>
      </c>
      <c r="D1831" t="s">
        <v>47</v>
      </c>
      <c r="E1831" s="3">
        <v>500</v>
      </c>
      <c r="F1831" s="3">
        <v>91</v>
      </c>
      <c r="G1831" s="3">
        <v>27300</v>
      </c>
      <c r="H1831" s="3" t="s">
        <v>2968</v>
      </c>
    </row>
    <row r="1832" spans="1:8" x14ac:dyDescent="0.35">
      <c r="A1832" t="s">
        <v>41</v>
      </c>
      <c r="B1832" s="26" t="s">
        <v>36</v>
      </c>
      <c r="C1832" s="20">
        <v>42945</v>
      </c>
      <c r="D1832" t="s">
        <v>105</v>
      </c>
      <c r="E1832" s="3">
        <v>70</v>
      </c>
      <c r="F1832" s="3">
        <v>67</v>
      </c>
      <c r="G1832" s="3">
        <v>4489</v>
      </c>
      <c r="H1832" s="3" t="s">
        <v>2971</v>
      </c>
    </row>
    <row r="1833" spans="1:8" x14ac:dyDescent="0.35">
      <c r="A1833" t="s">
        <v>93</v>
      </c>
      <c r="B1833" s="26" t="s">
        <v>36</v>
      </c>
      <c r="C1833" s="20">
        <v>42462</v>
      </c>
      <c r="D1833" t="s">
        <v>105</v>
      </c>
      <c r="E1833" s="3">
        <v>70</v>
      </c>
      <c r="F1833" s="3">
        <v>29</v>
      </c>
      <c r="G1833" s="3">
        <v>1769</v>
      </c>
      <c r="H1833" s="3" t="s">
        <v>2969</v>
      </c>
    </row>
    <row r="1834" spans="1:8" x14ac:dyDescent="0.35">
      <c r="A1834" t="s">
        <v>55</v>
      </c>
      <c r="B1834" s="26" t="s">
        <v>14</v>
      </c>
      <c r="C1834" s="20">
        <v>43074</v>
      </c>
      <c r="D1834" t="s">
        <v>31</v>
      </c>
      <c r="E1834" s="3">
        <v>150</v>
      </c>
      <c r="F1834" s="3">
        <v>1</v>
      </c>
      <c r="G1834" s="3">
        <v>140</v>
      </c>
      <c r="H1834" s="3" t="s">
        <v>2976</v>
      </c>
    </row>
    <row r="1835" spans="1:8" x14ac:dyDescent="0.35">
      <c r="A1835" t="s">
        <v>72</v>
      </c>
      <c r="B1835" s="26" t="s">
        <v>36</v>
      </c>
      <c r="C1835" s="20">
        <v>42518</v>
      </c>
      <c r="D1835" t="s">
        <v>26</v>
      </c>
      <c r="E1835" s="3">
        <v>700</v>
      </c>
      <c r="F1835" s="3">
        <v>8</v>
      </c>
      <c r="G1835" s="3">
        <v>4816</v>
      </c>
      <c r="H1835" s="3" t="s">
        <v>2965</v>
      </c>
    </row>
    <row r="1836" spans="1:8" x14ac:dyDescent="0.35">
      <c r="A1836" t="s">
        <v>19</v>
      </c>
      <c r="B1836" s="26" t="s">
        <v>20</v>
      </c>
      <c r="C1836" s="20">
        <v>43343</v>
      </c>
      <c r="D1836" t="s">
        <v>15</v>
      </c>
      <c r="E1836" s="3">
        <v>80</v>
      </c>
      <c r="F1836" s="3">
        <v>93</v>
      </c>
      <c r="G1836" s="3">
        <v>6882</v>
      </c>
      <c r="H1836" s="3" t="s">
        <v>2972</v>
      </c>
    </row>
    <row r="1837" spans="1:8" x14ac:dyDescent="0.35">
      <c r="A1837" t="s">
        <v>51</v>
      </c>
      <c r="B1837" s="26" t="s">
        <v>25</v>
      </c>
      <c r="C1837" s="20">
        <v>43399</v>
      </c>
      <c r="D1837" t="s">
        <v>26</v>
      </c>
      <c r="E1837" s="3">
        <v>700</v>
      </c>
      <c r="F1837" s="3">
        <v>26</v>
      </c>
      <c r="G1837" s="3">
        <v>16198</v>
      </c>
      <c r="H1837" s="3" t="s">
        <v>2974</v>
      </c>
    </row>
    <row r="1838" spans="1:8" x14ac:dyDescent="0.35">
      <c r="A1838" t="s">
        <v>79</v>
      </c>
      <c r="B1838" s="26" t="s">
        <v>36</v>
      </c>
      <c r="C1838" s="20">
        <v>41981</v>
      </c>
      <c r="D1838" t="s">
        <v>47</v>
      </c>
      <c r="E1838" s="3">
        <v>500</v>
      </c>
      <c r="F1838" s="3">
        <v>77</v>
      </c>
      <c r="G1838" s="3">
        <v>28105</v>
      </c>
      <c r="H1838" s="3" t="s">
        <v>2976</v>
      </c>
    </row>
    <row r="1839" spans="1:8" x14ac:dyDescent="0.35">
      <c r="A1839" t="s">
        <v>41</v>
      </c>
      <c r="B1839" s="26" t="s">
        <v>36</v>
      </c>
      <c r="C1839" s="20">
        <v>41867</v>
      </c>
      <c r="D1839" t="s">
        <v>116</v>
      </c>
      <c r="E1839" s="3">
        <v>250</v>
      </c>
      <c r="F1839" s="3">
        <v>16</v>
      </c>
      <c r="G1839" s="3">
        <v>3088</v>
      </c>
      <c r="H1839" s="3" t="s">
        <v>2972</v>
      </c>
    </row>
    <row r="1840" spans="1:8" x14ac:dyDescent="0.35">
      <c r="A1840" t="s">
        <v>109</v>
      </c>
      <c r="B1840" s="26" t="s">
        <v>20</v>
      </c>
      <c r="C1840" s="20">
        <v>41800</v>
      </c>
      <c r="D1840" t="s">
        <v>37</v>
      </c>
      <c r="E1840" s="3">
        <v>50</v>
      </c>
      <c r="F1840" s="3">
        <v>6</v>
      </c>
      <c r="G1840" s="3">
        <v>300</v>
      </c>
      <c r="H1840" s="3" t="s">
        <v>2970</v>
      </c>
    </row>
    <row r="1841" spans="1:8" x14ac:dyDescent="0.35">
      <c r="A1841" t="s">
        <v>109</v>
      </c>
      <c r="B1841" s="26" t="s">
        <v>20</v>
      </c>
      <c r="C1841" s="20">
        <v>42426</v>
      </c>
      <c r="D1841" t="s">
        <v>26</v>
      </c>
      <c r="E1841" s="3">
        <v>700</v>
      </c>
      <c r="F1841" s="3">
        <v>56</v>
      </c>
      <c r="G1841" s="3">
        <v>36064</v>
      </c>
      <c r="H1841" s="3" t="s">
        <v>2967</v>
      </c>
    </row>
    <row r="1842" spans="1:8" x14ac:dyDescent="0.35">
      <c r="A1842" t="s">
        <v>129</v>
      </c>
      <c r="B1842" s="26" t="s">
        <v>14</v>
      </c>
      <c r="C1842" s="20">
        <v>43076</v>
      </c>
      <c r="D1842" t="s">
        <v>26</v>
      </c>
      <c r="E1842" s="3">
        <v>700</v>
      </c>
      <c r="F1842" s="3">
        <v>63</v>
      </c>
      <c r="G1842" s="3">
        <v>43218</v>
      </c>
      <c r="H1842" s="3" t="s">
        <v>2976</v>
      </c>
    </row>
    <row r="1843" spans="1:8" x14ac:dyDescent="0.35">
      <c r="A1843" t="s">
        <v>51</v>
      </c>
      <c r="B1843" s="26" t="s">
        <v>25</v>
      </c>
      <c r="C1843" s="20">
        <v>43366</v>
      </c>
      <c r="D1843" t="s">
        <v>116</v>
      </c>
      <c r="E1843" s="3">
        <v>250</v>
      </c>
      <c r="F1843" s="3">
        <v>33</v>
      </c>
      <c r="G1843" s="3">
        <v>7260</v>
      </c>
      <c r="H1843" s="3" t="s">
        <v>2973</v>
      </c>
    </row>
    <row r="1844" spans="1:8" x14ac:dyDescent="0.35">
      <c r="A1844" t="s">
        <v>66</v>
      </c>
      <c r="B1844" s="26" t="s">
        <v>36</v>
      </c>
      <c r="C1844" s="20">
        <v>41707</v>
      </c>
      <c r="D1844" t="s">
        <v>56</v>
      </c>
      <c r="E1844" s="3">
        <v>800</v>
      </c>
      <c r="F1844" s="3">
        <v>28</v>
      </c>
      <c r="G1844" s="3">
        <v>19264</v>
      </c>
      <c r="H1844" s="3" t="s">
        <v>2968</v>
      </c>
    </row>
    <row r="1845" spans="1:8" x14ac:dyDescent="0.35">
      <c r="A1845" t="s">
        <v>129</v>
      </c>
      <c r="B1845" s="26" t="s">
        <v>14</v>
      </c>
      <c r="C1845" s="20">
        <v>42202</v>
      </c>
      <c r="D1845" t="s">
        <v>73</v>
      </c>
      <c r="E1845" s="3">
        <v>500</v>
      </c>
      <c r="F1845" s="3">
        <v>71</v>
      </c>
      <c r="G1845" s="3">
        <v>34790</v>
      </c>
      <c r="H1845" s="3" t="s">
        <v>2971</v>
      </c>
    </row>
    <row r="1846" spans="1:8" x14ac:dyDescent="0.35">
      <c r="A1846" t="s">
        <v>24</v>
      </c>
      <c r="B1846" s="26" t="s">
        <v>25</v>
      </c>
      <c r="C1846" s="20">
        <v>43346</v>
      </c>
      <c r="D1846" t="s">
        <v>31</v>
      </c>
      <c r="E1846" s="3">
        <v>150</v>
      </c>
      <c r="F1846" s="3">
        <v>63</v>
      </c>
      <c r="G1846" s="3">
        <v>9072</v>
      </c>
      <c r="H1846" s="3" t="s">
        <v>2973</v>
      </c>
    </row>
    <row r="1847" spans="1:8" x14ac:dyDescent="0.35">
      <c r="A1847" t="s">
        <v>109</v>
      </c>
      <c r="B1847" s="26" t="s">
        <v>20</v>
      </c>
      <c r="C1847" s="20">
        <v>41817</v>
      </c>
      <c r="D1847" t="s">
        <v>26</v>
      </c>
      <c r="E1847" s="3">
        <v>700</v>
      </c>
      <c r="F1847" s="3">
        <v>12</v>
      </c>
      <c r="G1847" s="3">
        <v>6300</v>
      </c>
      <c r="H1847" s="3" t="s">
        <v>2970</v>
      </c>
    </row>
    <row r="1848" spans="1:8" x14ac:dyDescent="0.35">
      <c r="A1848" t="s">
        <v>83</v>
      </c>
      <c r="B1848" s="26" t="s">
        <v>14</v>
      </c>
      <c r="C1848" s="20">
        <v>41690</v>
      </c>
      <c r="D1848" t="s">
        <v>73</v>
      </c>
      <c r="E1848" s="3">
        <v>500</v>
      </c>
      <c r="F1848" s="3">
        <v>88</v>
      </c>
      <c r="G1848" s="3">
        <v>43120</v>
      </c>
      <c r="H1848" s="3" t="s">
        <v>2967</v>
      </c>
    </row>
    <row r="1849" spans="1:8" x14ac:dyDescent="0.35">
      <c r="A1849" t="s">
        <v>257</v>
      </c>
      <c r="B1849" s="26" t="s">
        <v>14</v>
      </c>
      <c r="C1849" s="20">
        <v>42891</v>
      </c>
      <c r="D1849" t="s">
        <v>31</v>
      </c>
      <c r="E1849" s="3">
        <v>150</v>
      </c>
      <c r="F1849" s="3">
        <v>14</v>
      </c>
      <c r="G1849" s="3">
        <v>2016</v>
      </c>
      <c r="H1849" s="3" t="s">
        <v>2970</v>
      </c>
    </row>
    <row r="1850" spans="1:8" x14ac:dyDescent="0.35">
      <c r="A1850" t="s">
        <v>61</v>
      </c>
      <c r="B1850" s="26" t="s">
        <v>14</v>
      </c>
      <c r="C1850" s="20">
        <v>42847</v>
      </c>
      <c r="D1850" t="s">
        <v>56</v>
      </c>
      <c r="E1850" s="3">
        <v>800</v>
      </c>
      <c r="F1850" s="3">
        <v>12</v>
      </c>
      <c r="G1850" s="3">
        <v>5472</v>
      </c>
      <c r="H1850" s="3" t="s">
        <v>2969</v>
      </c>
    </row>
    <row r="1851" spans="1:8" x14ac:dyDescent="0.35">
      <c r="A1851" t="s">
        <v>87</v>
      </c>
      <c r="B1851" s="26" t="s">
        <v>14</v>
      </c>
      <c r="C1851" s="20">
        <v>42389</v>
      </c>
      <c r="D1851" t="s">
        <v>47</v>
      </c>
      <c r="E1851" s="3">
        <v>500</v>
      </c>
      <c r="F1851" s="3">
        <v>95</v>
      </c>
      <c r="G1851" s="3">
        <v>44175</v>
      </c>
      <c r="H1851" s="3" t="s">
        <v>2966</v>
      </c>
    </row>
    <row r="1852" spans="1:8" x14ac:dyDescent="0.35">
      <c r="A1852" t="s">
        <v>152</v>
      </c>
      <c r="B1852" s="26" t="s">
        <v>14</v>
      </c>
      <c r="C1852" s="20">
        <v>42078</v>
      </c>
      <c r="D1852" t="s">
        <v>73</v>
      </c>
      <c r="E1852" s="3">
        <v>500</v>
      </c>
      <c r="F1852" s="3">
        <v>74</v>
      </c>
      <c r="G1852" s="3">
        <v>36630</v>
      </c>
      <c r="H1852" s="3" t="s">
        <v>2968</v>
      </c>
    </row>
    <row r="1853" spans="1:8" x14ac:dyDescent="0.35">
      <c r="A1853" t="s">
        <v>13</v>
      </c>
      <c r="B1853" s="26" t="s">
        <v>14</v>
      </c>
      <c r="C1853" s="20">
        <v>42120</v>
      </c>
      <c r="D1853" t="s">
        <v>37</v>
      </c>
      <c r="E1853" s="3">
        <v>50</v>
      </c>
      <c r="F1853" s="3">
        <v>81</v>
      </c>
      <c r="G1853" s="3">
        <v>3969</v>
      </c>
      <c r="H1853" s="3" t="s">
        <v>2969</v>
      </c>
    </row>
    <row r="1854" spans="1:8" x14ac:dyDescent="0.35">
      <c r="A1854" t="s">
        <v>19</v>
      </c>
      <c r="B1854" s="26" t="s">
        <v>20</v>
      </c>
      <c r="C1854" s="20">
        <v>42725</v>
      </c>
      <c r="D1854" t="s">
        <v>15</v>
      </c>
      <c r="E1854" s="3">
        <v>80</v>
      </c>
      <c r="F1854" s="3">
        <v>54</v>
      </c>
      <c r="G1854" s="3">
        <v>4212</v>
      </c>
      <c r="H1854" s="3" t="s">
        <v>2976</v>
      </c>
    </row>
    <row r="1855" spans="1:8" x14ac:dyDescent="0.35">
      <c r="A1855" t="s">
        <v>207</v>
      </c>
      <c r="B1855" s="26" t="s">
        <v>25</v>
      </c>
      <c r="C1855" s="20">
        <v>41888</v>
      </c>
      <c r="D1855" t="s">
        <v>105</v>
      </c>
      <c r="E1855" s="3">
        <v>70</v>
      </c>
      <c r="F1855" s="3">
        <v>29</v>
      </c>
      <c r="G1855" s="3">
        <v>1508</v>
      </c>
      <c r="H1855" s="3" t="s">
        <v>2973</v>
      </c>
    </row>
    <row r="1856" spans="1:8" x14ac:dyDescent="0.35">
      <c r="A1856" t="s">
        <v>272</v>
      </c>
      <c r="B1856" s="26" t="s">
        <v>36</v>
      </c>
      <c r="C1856" s="20">
        <v>42911</v>
      </c>
      <c r="D1856" t="s">
        <v>31</v>
      </c>
      <c r="E1856" s="3">
        <v>150</v>
      </c>
      <c r="F1856" s="3">
        <v>14</v>
      </c>
      <c r="G1856" s="3">
        <v>2016</v>
      </c>
      <c r="H1856" s="3" t="s">
        <v>2970</v>
      </c>
    </row>
    <row r="1857" spans="1:8" x14ac:dyDescent="0.35">
      <c r="A1857" t="s">
        <v>87</v>
      </c>
      <c r="B1857" s="26" t="s">
        <v>14</v>
      </c>
      <c r="C1857" s="20">
        <v>42682</v>
      </c>
      <c r="D1857" t="s">
        <v>62</v>
      </c>
      <c r="E1857" s="3">
        <v>1000</v>
      </c>
      <c r="F1857" s="3">
        <v>38</v>
      </c>
      <c r="G1857" s="3">
        <v>21280</v>
      </c>
      <c r="H1857" s="3" t="s">
        <v>2975</v>
      </c>
    </row>
    <row r="1858" spans="1:8" x14ac:dyDescent="0.35">
      <c r="A1858" t="s">
        <v>326</v>
      </c>
      <c r="B1858" s="26" t="s">
        <v>14</v>
      </c>
      <c r="C1858" s="20">
        <v>43129</v>
      </c>
      <c r="D1858" t="s">
        <v>47</v>
      </c>
      <c r="E1858" s="3">
        <v>500</v>
      </c>
      <c r="F1858" s="3">
        <v>43</v>
      </c>
      <c r="G1858" s="3">
        <v>21070</v>
      </c>
      <c r="H1858" s="3" t="s">
        <v>2966</v>
      </c>
    </row>
    <row r="1859" spans="1:8" x14ac:dyDescent="0.35">
      <c r="A1859" t="s">
        <v>72</v>
      </c>
      <c r="B1859" s="26" t="s">
        <v>36</v>
      </c>
      <c r="C1859" s="20">
        <v>43465</v>
      </c>
      <c r="D1859" t="s">
        <v>15</v>
      </c>
      <c r="E1859" s="3">
        <v>80</v>
      </c>
      <c r="F1859" s="3">
        <v>50</v>
      </c>
      <c r="G1859" s="3">
        <v>3800</v>
      </c>
      <c r="H1859" s="3" t="s">
        <v>2976</v>
      </c>
    </row>
    <row r="1860" spans="1:8" x14ac:dyDescent="0.35">
      <c r="A1860" t="s">
        <v>243</v>
      </c>
      <c r="B1860" s="26" t="s">
        <v>14</v>
      </c>
      <c r="C1860" s="20">
        <v>43025</v>
      </c>
      <c r="D1860" t="s">
        <v>123</v>
      </c>
      <c r="E1860" s="3">
        <v>50</v>
      </c>
      <c r="F1860" s="3">
        <v>21</v>
      </c>
      <c r="G1860" s="3">
        <v>945</v>
      </c>
      <c r="H1860" s="3" t="s">
        <v>2974</v>
      </c>
    </row>
    <row r="1861" spans="1:8" x14ac:dyDescent="0.35">
      <c r="A1861" t="s">
        <v>101</v>
      </c>
      <c r="B1861" s="26" t="s">
        <v>14</v>
      </c>
      <c r="C1861" s="20">
        <v>42510</v>
      </c>
      <c r="D1861" t="s">
        <v>26</v>
      </c>
      <c r="E1861" s="3">
        <v>700</v>
      </c>
      <c r="F1861" s="3">
        <v>60</v>
      </c>
      <c r="G1861" s="3">
        <v>37800</v>
      </c>
      <c r="H1861" s="3" t="s">
        <v>2965</v>
      </c>
    </row>
    <row r="1862" spans="1:8" x14ac:dyDescent="0.35">
      <c r="A1862" t="s">
        <v>109</v>
      </c>
      <c r="B1862" s="26" t="s">
        <v>20</v>
      </c>
      <c r="C1862" s="20">
        <v>43135</v>
      </c>
      <c r="D1862" t="s">
        <v>37</v>
      </c>
      <c r="E1862" s="3">
        <v>50</v>
      </c>
      <c r="F1862" s="3">
        <v>39</v>
      </c>
      <c r="G1862" s="3">
        <v>1755</v>
      </c>
      <c r="H1862" s="3" t="s">
        <v>2967</v>
      </c>
    </row>
    <row r="1863" spans="1:8" x14ac:dyDescent="0.35">
      <c r="A1863" t="s">
        <v>172</v>
      </c>
      <c r="B1863" s="26" t="s">
        <v>14</v>
      </c>
      <c r="C1863" s="20">
        <v>43329</v>
      </c>
      <c r="D1863" t="s">
        <v>73</v>
      </c>
      <c r="E1863" s="3">
        <v>500</v>
      </c>
      <c r="F1863" s="3">
        <v>9</v>
      </c>
      <c r="G1863" s="3">
        <v>4500</v>
      </c>
      <c r="H1863" s="3" t="s">
        <v>2972</v>
      </c>
    </row>
    <row r="1864" spans="1:8" x14ac:dyDescent="0.35">
      <c r="A1864" t="s">
        <v>109</v>
      </c>
      <c r="B1864" s="26" t="s">
        <v>20</v>
      </c>
      <c r="C1864" s="20">
        <v>43342</v>
      </c>
      <c r="D1864" t="s">
        <v>37</v>
      </c>
      <c r="E1864" s="3">
        <v>50</v>
      </c>
      <c r="F1864" s="3">
        <v>47</v>
      </c>
      <c r="G1864" s="3">
        <v>2162</v>
      </c>
      <c r="H1864" s="3" t="s">
        <v>2972</v>
      </c>
    </row>
    <row r="1865" spans="1:8" x14ac:dyDescent="0.35">
      <c r="A1865" t="s">
        <v>66</v>
      </c>
      <c r="B1865" s="26" t="s">
        <v>36</v>
      </c>
      <c r="C1865" s="20">
        <v>41869</v>
      </c>
      <c r="D1865" t="s">
        <v>73</v>
      </c>
      <c r="E1865" s="3">
        <v>500</v>
      </c>
      <c r="F1865" s="3">
        <v>12</v>
      </c>
      <c r="G1865" s="3">
        <v>5880</v>
      </c>
      <c r="H1865" s="3" t="s">
        <v>2972</v>
      </c>
    </row>
    <row r="1866" spans="1:8" x14ac:dyDescent="0.35">
      <c r="A1866" t="s">
        <v>109</v>
      </c>
      <c r="B1866" s="26" t="s">
        <v>20</v>
      </c>
      <c r="C1866" s="20">
        <v>41647</v>
      </c>
      <c r="D1866" t="s">
        <v>26</v>
      </c>
      <c r="E1866" s="3">
        <v>700</v>
      </c>
      <c r="F1866" s="3">
        <v>35</v>
      </c>
      <c r="G1866" s="3">
        <v>24010</v>
      </c>
      <c r="H1866" s="3" t="s">
        <v>2966</v>
      </c>
    </row>
    <row r="1867" spans="1:8" x14ac:dyDescent="0.35">
      <c r="A1867" t="s">
        <v>109</v>
      </c>
      <c r="B1867" s="26" t="s">
        <v>20</v>
      </c>
      <c r="C1867" s="20">
        <v>42204</v>
      </c>
      <c r="D1867" t="s">
        <v>42</v>
      </c>
      <c r="E1867" s="3">
        <v>30</v>
      </c>
      <c r="F1867" s="3">
        <v>44</v>
      </c>
      <c r="G1867" s="3">
        <v>1100</v>
      </c>
      <c r="H1867" s="3" t="s">
        <v>2971</v>
      </c>
    </row>
    <row r="1868" spans="1:8" x14ac:dyDescent="0.35">
      <c r="A1868" t="s">
        <v>109</v>
      </c>
      <c r="B1868" s="26" t="s">
        <v>20</v>
      </c>
      <c r="C1868" s="20">
        <v>42366</v>
      </c>
      <c r="D1868" t="s">
        <v>62</v>
      </c>
      <c r="E1868" s="3">
        <v>1000</v>
      </c>
      <c r="F1868" s="3">
        <v>60</v>
      </c>
      <c r="G1868" s="3">
        <v>36000</v>
      </c>
      <c r="H1868" s="3" t="s">
        <v>2976</v>
      </c>
    </row>
    <row r="1869" spans="1:8" x14ac:dyDescent="0.35">
      <c r="A1869" t="s">
        <v>41</v>
      </c>
      <c r="B1869" s="26" t="s">
        <v>36</v>
      </c>
      <c r="C1869" s="20">
        <v>42668</v>
      </c>
      <c r="D1869" t="s">
        <v>105</v>
      </c>
      <c r="E1869" s="3">
        <v>70</v>
      </c>
      <c r="F1869" s="3">
        <v>36</v>
      </c>
      <c r="G1869" s="3">
        <v>2268</v>
      </c>
      <c r="H1869" s="3" t="s">
        <v>2974</v>
      </c>
    </row>
    <row r="1870" spans="1:8" x14ac:dyDescent="0.35">
      <c r="A1870" t="s">
        <v>61</v>
      </c>
      <c r="B1870" s="26" t="s">
        <v>14</v>
      </c>
      <c r="C1870" s="20">
        <v>41891</v>
      </c>
      <c r="D1870" t="s">
        <v>116</v>
      </c>
      <c r="E1870" s="3">
        <v>250</v>
      </c>
      <c r="F1870" s="3">
        <v>67</v>
      </c>
      <c r="G1870" s="3">
        <v>16415</v>
      </c>
      <c r="H1870" s="3" t="s">
        <v>2973</v>
      </c>
    </row>
    <row r="1871" spans="1:8" x14ac:dyDescent="0.35">
      <c r="A1871" t="s">
        <v>93</v>
      </c>
      <c r="B1871" s="26" t="s">
        <v>36</v>
      </c>
      <c r="C1871" s="20">
        <v>42385</v>
      </c>
      <c r="D1871" t="s">
        <v>15</v>
      </c>
      <c r="E1871" s="3">
        <v>80</v>
      </c>
      <c r="F1871" s="3">
        <v>59</v>
      </c>
      <c r="G1871" s="3">
        <v>4366</v>
      </c>
      <c r="H1871" s="3" t="s">
        <v>2966</v>
      </c>
    </row>
    <row r="1872" spans="1:8" x14ac:dyDescent="0.35">
      <c r="A1872" t="s">
        <v>87</v>
      </c>
      <c r="B1872" s="26" t="s">
        <v>14</v>
      </c>
      <c r="C1872" s="20">
        <v>42948</v>
      </c>
      <c r="D1872" t="s">
        <v>47</v>
      </c>
      <c r="E1872" s="3">
        <v>500</v>
      </c>
      <c r="F1872" s="3">
        <v>32</v>
      </c>
      <c r="G1872" s="3">
        <v>14880</v>
      </c>
      <c r="H1872" s="3" t="s">
        <v>2972</v>
      </c>
    </row>
    <row r="1873" spans="1:8" x14ac:dyDescent="0.35">
      <c r="A1873" t="s">
        <v>101</v>
      </c>
      <c r="B1873" s="26" t="s">
        <v>14</v>
      </c>
      <c r="C1873" s="20">
        <v>42269</v>
      </c>
      <c r="D1873" t="s">
        <v>31</v>
      </c>
      <c r="E1873" s="3">
        <v>150</v>
      </c>
      <c r="F1873" s="3">
        <v>62</v>
      </c>
      <c r="G1873" s="3">
        <v>6820</v>
      </c>
      <c r="H1873" s="3" t="s">
        <v>2973</v>
      </c>
    </row>
    <row r="1874" spans="1:8" x14ac:dyDescent="0.35">
      <c r="A1874" t="s">
        <v>266</v>
      </c>
      <c r="B1874" s="26" t="s">
        <v>14</v>
      </c>
      <c r="C1874" s="20">
        <v>43265</v>
      </c>
      <c r="D1874" t="s">
        <v>73</v>
      </c>
      <c r="E1874" s="3">
        <v>500</v>
      </c>
      <c r="F1874" s="3">
        <v>88</v>
      </c>
      <c r="G1874" s="3">
        <v>44000</v>
      </c>
      <c r="H1874" s="3" t="s">
        <v>2970</v>
      </c>
    </row>
    <row r="1875" spans="1:8" x14ac:dyDescent="0.35">
      <c r="A1875" t="s">
        <v>109</v>
      </c>
      <c r="B1875" s="26" t="s">
        <v>20</v>
      </c>
      <c r="C1875" s="20">
        <v>42373</v>
      </c>
      <c r="D1875" t="s">
        <v>26</v>
      </c>
      <c r="E1875" s="3">
        <v>700</v>
      </c>
      <c r="F1875" s="3">
        <v>92</v>
      </c>
      <c r="G1875" s="3">
        <v>64400</v>
      </c>
      <c r="H1875" s="3" t="s">
        <v>2966</v>
      </c>
    </row>
    <row r="1876" spans="1:8" x14ac:dyDescent="0.35">
      <c r="A1876" t="s">
        <v>148</v>
      </c>
      <c r="B1876" s="26" t="s">
        <v>14</v>
      </c>
      <c r="C1876" s="20">
        <v>43257</v>
      </c>
      <c r="D1876" t="s">
        <v>123</v>
      </c>
      <c r="E1876" s="3">
        <v>50</v>
      </c>
      <c r="F1876" s="3">
        <v>47</v>
      </c>
      <c r="G1876" s="3">
        <v>2350</v>
      </c>
      <c r="H1876" s="3" t="s">
        <v>2970</v>
      </c>
    </row>
    <row r="1877" spans="1:8" x14ac:dyDescent="0.35">
      <c r="A1877" t="s">
        <v>41</v>
      </c>
      <c r="B1877" s="26" t="s">
        <v>36</v>
      </c>
      <c r="C1877" s="20">
        <v>41824</v>
      </c>
      <c r="D1877" t="s">
        <v>73</v>
      </c>
      <c r="E1877" s="3">
        <v>500</v>
      </c>
      <c r="F1877" s="3">
        <v>27</v>
      </c>
      <c r="G1877" s="3">
        <v>13230</v>
      </c>
      <c r="H1877" s="3" t="s">
        <v>2971</v>
      </c>
    </row>
    <row r="1878" spans="1:8" x14ac:dyDescent="0.35">
      <c r="A1878" t="s">
        <v>30</v>
      </c>
      <c r="B1878" s="26" t="s">
        <v>14</v>
      </c>
      <c r="C1878" s="20">
        <v>42644</v>
      </c>
      <c r="D1878" t="s">
        <v>62</v>
      </c>
      <c r="E1878" s="3">
        <v>1000</v>
      </c>
      <c r="F1878" s="3">
        <v>26</v>
      </c>
      <c r="G1878" s="3">
        <v>23920</v>
      </c>
      <c r="H1878" s="3" t="s">
        <v>2974</v>
      </c>
    </row>
    <row r="1879" spans="1:8" x14ac:dyDescent="0.35">
      <c r="A1879" t="s">
        <v>87</v>
      </c>
      <c r="B1879" s="26" t="s">
        <v>14</v>
      </c>
      <c r="C1879" s="20">
        <v>42538</v>
      </c>
      <c r="D1879" t="s">
        <v>73</v>
      </c>
      <c r="E1879" s="3">
        <v>500</v>
      </c>
      <c r="F1879" s="3">
        <v>78</v>
      </c>
      <c r="G1879" s="3">
        <v>39000</v>
      </c>
      <c r="H1879" s="3" t="s">
        <v>2970</v>
      </c>
    </row>
    <row r="1880" spans="1:8" x14ac:dyDescent="0.35">
      <c r="A1880" t="s">
        <v>402</v>
      </c>
      <c r="B1880" s="26" t="s">
        <v>14</v>
      </c>
      <c r="C1880" s="20">
        <v>43045</v>
      </c>
      <c r="D1880" t="s">
        <v>42</v>
      </c>
      <c r="E1880" s="3">
        <v>30</v>
      </c>
      <c r="F1880" s="3">
        <v>77</v>
      </c>
      <c r="G1880" s="3">
        <v>2310</v>
      </c>
      <c r="H1880" s="3" t="s">
        <v>2975</v>
      </c>
    </row>
    <row r="1881" spans="1:8" x14ac:dyDescent="0.35">
      <c r="A1881" t="s">
        <v>97</v>
      </c>
      <c r="B1881" s="26" t="s">
        <v>14</v>
      </c>
      <c r="C1881" s="20">
        <v>42675</v>
      </c>
      <c r="D1881" t="s">
        <v>15</v>
      </c>
      <c r="E1881" s="3">
        <v>80</v>
      </c>
      <c r="F1881" s="3">
        <v>29</v>
      </c>
      <c r="G1881" s="3">
        <v>2233</v>
      </c>
      <c r="H1881" s="3" t="s">
        <v>2975</v>
      </c>
    </row>
    <row r="1882" spans="1:8" x14ac:dyDescent="0.35">
      <c r="A1882" t="s">
        <v>55</v>
      </c>
      <c r="B1882" s="26" t="s">
        <v>14</v>
      </c>
      <c r="C1882" s="20">
        <v>42359</v>
      </c>
      <c r="D1882" t="s">
        <v>62</v>
      </c>
      <c r="E1882" s="3">
        <v>1000</v>
      </c>
      <c r="F1882" s="3">
        <v>55</v>
      </c>
      <c r="G1882" s="3">
        <v>50600</v>
      </c>
      <c r="H1882" s="3" t="s">
        <v>2976</v>
      </c>
    </row>
    <row r="1883" spans="1:8" x14ac:dyDescent="0.35">
      <c r="A1883" t="s">
        <v>243</v>
      </c>
      <c r="B1883" s="26" t="s">
        <v>14</v>
      </c>
      <c r="C1883" s="20">
        <v>42549</v>
      </c>
      <c r="D1883" t="s">
        <v>15</v>
      </c>
      <c r="E1883" s="3">
        <v>80</v>
      </c>
      <c r="F1883" s="3">
        <v>25</v>
      </c>
      <c r="G1883" s="3">
        <v>1900</v>
      </c>
      <c r="H1883" s="3" t="s">
        <v>2970</v>
      </c>
    </row>
    <row r="1884" spans="1:8" x14ac:dyDescent="0.35">
      <c r="A1884" t="s">
        <v>93</v>
      </c>
      <c r="B1884" s="26" t="s">
        <v>36</v>
      </c>
      <c r="C1884" s="20">
        <v>42713</v>
      </c>
      <c r="D1884" t="s">
        <v>62</v>
      </c>
      <c r="E1884" s="3">
        <v>1000</v>
      </c>
      <c r="F1884" s="3">
        <v>51</v>
      </c>
      <c r="G1884" s="3">
        <v>37740</v>
      </c>
      <c r="H1884" s="3" t="s">
        <v>2976</v>
      </c>
    </row>
    <row r="1885" spans="1:8" x14ac:dyDescent="0.35">
      <c r="A1885" t="s">
        <v>35</v>
      </c>
      <c r="B1885" s="26" t="s">
        <v>36</v>
      </c>
      <c r="C1885" s="20">
        <v>42853</v>
      </c>
      <c r="D1885" t="s">
        <v>15</v>
      </c>
      <c r="E1885" s="3">
        <v>80</v>
      </c>
      <c r="F1885" s="3">
        <v>25</v>
      </c>
      <c r="G1885" s="3">
        <v>2000</v>
      </c>
      <c r="H1885" s="3" t="s">
        <v>2969</v>
      </c>
    </row>
    <row r="1886" spans="1:8" x14ac:dyDescent="0.35">
      <c r="A1886" t="s">
        <v>55</v>
      </c>
      <c r="B1886" s="26" t="s">
        <v>14</v>
      </c>
      <c r="C1886" s="20">
        <v>41670</v>
      </c>
      <c r="D1886" t="s">
        <v>15</v>
      </c>
      <c r="E1886" s="3">
        <v>80</v>
      </c>
      <c r="F1886" s="3">
        <v>59</v>
      </c>
      <c r="G1886" s="3">
        <v>3599</v>
      </c>
      <c r="H1886" s="3" t="s">
        <v>2966</v>
      </c>
    </row>
    <row r="1887" spans="1:8" x14ac:dyDescent="0.35">
      <c r="A1887" t="s">
        <v>83</v>
      </c>
      <c r="B1887" s="26" t="s">
        <v>14</v>
      </c>
      <c r="C1887" s="20">
        <v>42312</v>
      </c>
      <c r="D1887" t="s">
        <v>62</v>
      </c>
      <c r="E1887" s="3">
        <v>1000</v>
      </c>
      <c r="F1887" s="3">
        <v>96</v>
      </c>
      <c r="G1887" s="3">
        <v>58560</v>
      </c>
      <c r="H1887" s="3" t="s">
        <v>2975</v>
      </c>
    </row>
    <row r="1888" spans="1:8" x14ac:dyDescent="0.35">
      <c r="A1888" t="s">
        <v>72</v>
      </c>
      <c r="B1888" s="26" t="s">
        <v>36</v>
      </c>
      <c r="C1888" s="20">
        <v>42437</v>
      </c>
      <c r="D1888" t="s">
        <v>42</v>
      </c>
      <c r="E1888" s="3">
        <v>30</v>
      </c>
      <c r="F1888" s="3">
        <v>15</v>
      </c>
      <c r="G1888" s="3">
        <v>450</v>
      </c>
      <c r="H1888" s="3" t="s">
        <v>2968</v>
      </c>
    </row>
    <row r="1889" spans="1:8" x14ac:dyDescent="0.35">
      <c r="A1889" t="s">
        <v>109</v>
      </c>
      <c r="B1889" s="26" t="s">
        <v>20</v>
      </c>
      <c r="C1889" s="20">
        <v>41948</v>
      </c>
      <c r="D1889" t="s">
        <v>47</v>
      </c>
      <c r="E1889" s="3">
        <v>500</v>
      </c>
      <c r="F1889" s="3">
        <v>80</v>
      </c>
      <c r="G1889" s="3">
        <v>31200</v>
      </c>
      <c r="H1889" s="3" t="s">
        <v>2975</v>
      </c>
    </row>
    <row r="1890" spans="1:8" x14ac:dyDescent="0.35">
      <c r="A1890" t="s">
        <v>41</v>
      </c>
      <c r="B1890" s="26" t="s">
        <v>36</v>
      </c>
      <c r="C1890" s="20">
        <v>42430</v>
      </c>
      <c r="D1890" t="s">
        <v>15</v>
      </c>
      <c r="E1890" s="3">
        <v>80</v>
      </c>
      <c r="F1890" s="3">
        <v>72</v>
      </c>
      <c r="G1890" s="3">
        <v>5040</v>
      </c>
      <c r="H1890" s="3" t="s">
        <v>2968</v>
      </c>
    </row>
    <row r="1891" spans="1:8" x14ac:dyDescent="0.35">
      <c r="A1891" t="s">
        <v>152</v>
      </c>
      <c r="B1891" s="26" t="s">
        <v>14</v>
      </c>
      <c r="C1891" s="20">
        <v>41796</v>
      </c>
      <c r="D1891" t="s">
        <v>47</v>
      </c>
      <c r="E1891" s="3">
        <v>500</v>
      </c>
      <c r="F1891" s="3">
        <v>48</v>
      </c>
      <c r="G1891" s="3">
        <v>20160</v>
      </c>
      <c r="H1891" s="3" t="s">
        <v>2970</v>
      </c>
    </row>
    <row r="1892" spans="1:8" x14ac:dyDescent="0.35">
      <c r="A1892" t="s">
        <v>97</v>
      </c>
      <c r="B1892" s="26" t="s">
        <v>14</v>
      </c>
      <c r="C1892" s="20">
        <v>43013</v>
      </c>
      <c r="D1892" t="s">
        <v>105</v>
      </c>
      <c r="E1892" s="3">
        <v>70</v>
      </c>
      <c r="F1892" s="3">
        <v>29</v>
      </c>
      <c r="G1892" s="3">
        <v>1827</v>
      </c>
      <c r="H1892" s="3" t="s">
        <v>2974</v>
      </c>
    </row>
    <row r="1893" spans="1:8" x14ac:dyDescent="0.35">
      <c r="A1893" t="s">
        <v>41</v>
      </c>
      <c r="B1893" s="26" t="s">
        <v>36</v>
      </c>
      <c r="C1893" s="20">
        <v>42180</v>
      </c>
      <c r="D1893" t="s">
        <v>15</v>
      </c>
      <c r="E1893" s="3">
        <v>80</v>
      </c>
      <c r="F1893" s="3">
        <v>79</v>
      </c>
      <c r="G1893" s="3">
        <v>4898</v>
      </c>
      <c r="H1893" s="3" t="s">
        <v>2970</v>
      </c>
    </row>
    <row r="1894" spans="1:8" x14ac:dyDescent="0.35">
      <c r="A1894" t="s">
        <v>83</v>
      </c>
      <c r="B1894" s="26" t="s">
        <v>14</v>
      </c>
      <c r="C1894" s="20">
        <v>41862</v>
      </c>
      <c r="D1894" t="s">
        <v>123</v>
      </c>
      <c r="E1894" s="3">
        <v>50</v>
      </c>
      <c r="F1894" s="3">
        <v>57</v>
      </c>
      <c r="G1894" s="3">
        <v>2793</v>
      </c>
      <c r="H1894" s="3" t="s">
        <v>2972</v>
      </c>
    </row>
    <row r="1895" spans="1:8" x14ac:dyDescent="0.35">
      <c r="A1895" t="s">
        <v>55</v>
      </c>
      <c r="B1895" s="26" t="s">
        <v>14</v>
      </c>
      <c r="C1895" s="20">
        <v>41868</v>
      </c>
      <c r="D1895" t="s">
        <v>56</v>
      </c>
      <c r="E1895" s="3">
        <v>800</v>
      </c>
      <c r="F1895" s="3">
        <v>85</v>
      </c>
      <c r="G1895" s="3">
        <v>50320</v>
      </c>
      <c r="H1895" s="3" t="s">
        <v>2972</v>
      </c>
    </row>
    <row r="1896" spans="1:8" x14ac:dyDescent="0.35">
      <c r="A1896" t="s">
        <v>41</v>
      </c>
      <c r="B1896" s="26" t="s">
        <v>36</v>
      </c>
      <c r="C1896" s="20">
        <v>42679</v>
      </c>
      <c r="D1896" t="s">
        <v>31</v>
      </c>
      <c r="E1896" s="3">
        <v>150</v>
      </c>
      <c r="F1896" s="3">
        <v>100</v>
      </c>
      <c r="G1896" s="3">
        <v>14900</v>
      </c>
      <c r="H1896" s="3" t="s">
        <v>2975</v>
      </c>
    </row>
    <row r="1897" spans="1:8" x14ac:dyDescent="0.35">
      <c r="A1897" t="s">
        <v>229</v>
      </c>
      <c r="B1897" s="26" t="s">
        <v>25</v>
      </c>
      <c r="C1897" s="20">
        <v>42562</v>
      </c>
      <c r="D1897" t="s">
        <v>62</v>
      </c>
      <c r="E1897" s="3">
        <v>1000</v>
      </c>
      <c r="F1897" s="3">
        <v>63</v>
      </c>
      <c r="G1897" s="3">
        <v>56700</v>
      </c>
      <c r="H1897" s="3" t="s">
        <v>2971</v>
      </c>
    </row>
    <row r="1898" spans="1:8" x14ac:dyDescent="0.35">
      <c r="A1898" t="s">
        <v>19</v>
      </c>
      <c r="B1898" s="26" t="s">
        <v>20</v>
      </c>
      <c r="C1898" s="20">
        <v>42139</v>
      </c>
      <c r="D1898" t="s">
        <v>26</v>
      </c>
      <c r="E1898" s="3">
        <v>700</v>
      </c>
      <c r="F1898" s="3">
        <v>99</v>
      </c>
      <c r="G1898" s="3">
        <v>64449</v>
      </c>
      <c r="H1898" s="3" t="s">
        <v>2965</v>
      </c>
    </row>
    <row r="1899" spans="1:8" x14ac:dyDescent="0.35">
      <c r="A1899" t="s">
        <v>109</v>
      </c>
      <c r="B1899" s="26" t="s">
        <v>20</v>
      </c>
      <c r="C1899" s="20">
        <v>42867</v>
      </c>
      <c r="D1899" t="s">
        <v>37</v>
      </c>
      <c r="E1899" s="3">
        <v>50</v>
      </c>
      <c r="F1899" s="3">
        <v>90</v>
      </c>
      <c r="G1899" s="3">
        <v>4320</v>
      </c>
      <c r="H1899" s="3" t="s">
        <v>2965</v>
      </c>
    </row>
    <row r="1900" spans="1:8" x14ac:dyDescent="0.35">
      <c r="A1900" t="s">
        <v>72</v>
      </c>
      <c r="B1900" s="26" t="s">
        <v>36</v>
      </c>
      <c r="C1900" s="20">
        <v>42873</v>
      </c>
      <c r="D1900" t="s">
        <v>56</v>
      </c>
      <c r="E1900" s="3">
        <v>800</v>
      </c>
      <c r="F1900" s="3">
        <v>27</v>
      </c>
      <c r="G1900" s="3">
        <v>15984</v>
      </c>
      <c r="H1900" s="3" t="s">
        <v>2965</v>
      </c>
    </row>
    <row r="1901" spans="1:8" x14ac:dyDescent="0.35">
      <c r="A1901" t="s">
        <v>109</v>
      </c>
      <c r="B1901" s="26" t="s">
        <v>20</v>
      </c>
      <c r="C1901" s="20">
        <v>43150</v>
      </c>
      <c r="D1901" t="s">
        <v>31</v>
      </c>
      <c r="E1901" s="3">
        <v>150</v>
      </c>
      <c r="F1901" s="3">
        <v>99</v>
      </c>
      <c r="G1901" s="3">
        <v>13563</v>
      </c>
      <c r="H1901" s="3" t="s">
        <v>2967</v>
      </c>
    </row>
    <row r="1902" spans="1:8" x14ac:dyDescent="0.35">
      <c r="A1902" t="s">
        <v>148</v>
      </c>
      <c r="B1902" s="26" t="s">
        <v>14</v>
      </c>
      <c r="C1902" s="20">
        <v>42760</v>
      </c>
      <c r="D1902" t="s">
        <v>47</v>
      </c>
      <c r="E1902" s="3">
        <v>500</v>
      </c>
      <c r="F1902" s="3">
        <v>65</v>
      </c>
      <c r="G1902" s="3">
        <v>30875</v>
      </c>
      <c r="H1902" s="3" t="s">
        <v>2966</v>
      </c>
    </row>
    <row r="1903" spans="1:8" x14ac:dyDescent="0.35">
      <c r="A1903" t="s">
        <v>97</v>
      </c>
      <c r="B1903" s="26" t="s">
        <v>14</v>
      </c>
      <c r="C1903" s="20">
        <v>42362</v>
      </c>
      <c r="D1903" t="s">
        <v>31</v>
      </c>
      <c r="E1903" s="3">
        <v>150</v>
      </c>
      <c r="F1903" s="3">
        <v>77</v>
      </c>
      <c r="G1903" s="3">
        <v>8085</v>
      </c>
      <c r="H1903" s="3" t="s">
        <v>2976</v>
      </c>
    </row>
    <row r="1904" spans="1:8" x14ac:dyDescent="0.35">
      <c r="A1904" t="s">
        <v>243</v>
      </c>
      <c r="B1904" s="26" t="s">
        <v>14</v>
      </c>
      <c r="C1904" s="20">
        <v>42630</v>
      </c>
      <c r="D1904" t="s">
        <v>26</v>
      </c>
      <c r="E1904" s="3">
        <v>700</v>
      </c>
      <c r="F1904" s="3">
        <v>86</v>
      </c>
      <c r="G1904" s="3">
        <v>51772</v>
      </c>
      <c r="H1904" s="3" t="s">
        <v>2973</v>
      </c>
    </row>
    <row r="1905" spans="1:8" x14ac:dyDescent="0.35">
      <c r="A1905" t="s">
        <v>93</v>
      </c>
      <c r="B1905" s="26" t="s">
        <v>36</v>
      </c>
      <c r="C1905" s="20">
        <v>42267</v>
      </c>
      <c r="D1905" t="s">
        <v>56</v>
      </c>
      <c r="E1905" s="3">
        <v>800</v>
      </c>
      <c r="F1905" s="3">
        <v>59</v>
      </c>
      <c r="G1905" s="3">
        <v>39648</v>
      </c>
      <c r="H1905" s="3" t="s">
        <v>2973</v>
      </c>
    </row>
    <row r="1906" spans="1:8" x14ac:dyDescent="0.35">
      <c r="A1906" t="s">
        <v>51</v>
      </c>
      <c r="B1906" s="26" t="s">
        <v>25</v>
      </c>
      <c r="C1906" s="20">
        <v>43384</v>
      </c>
      <c r="D1906" t="s">
        <v>42</v>
      </c>
      <c r="E1906" s="3">
        <v>30</v>
      </c>
      <c r="F1906" s="3">
        <v>37</v>
      </c>
      <c r="G1906" s="3">
        <v>1036</v>
      </c>
      <c r="H1906" s="3" t="s">
        <v>2974</v>
      </c>
    </row>
    <row r="1907" spans="1:8" x14ac:dyDescent="0.35">
      <c r="A1907" t="s">
        <v>46</v>
      </c>
      <c r="B1907" s="26" t="s">
        <v>25</v>
      </c>
      <c r="C1907" s="20">
        <v>42202</v>
      </c>
      <c r="D1907" t="s">
        <v>26</v>
      </c>
      <c r="E1907" s="3">
        <v>700</v>
      </c>
      <c r="F1907" s="3">
        <v>31</v>
      </c>
      <c r="G1907" s="3">
        <v>13020</v>
      </c>
      <c r="H1907" s="3" t="s">
        <v>2971</v>
      </c>
    </row>
    <row r="1908" spans="1:8" x14ac:dyDescent="0.35">
      <c r="A1908" t="s">
        <v>109</v>
      </c>
      <c r="B1908" s="26" t="s">
        <v>20</v>
      </c>
      <c r="C1908" s="20">
        <v>43296</v>
      </c>
      <c r="D1908" t="s">
        <v>42</v>
      </c>
      <c r="E1908" s="3">
        <v>30</v>
      </c>
      <c r="F1908" s="3">
        <v>52</v>
      </c>
      <c r="G1908" s="3">
        <v>1508</v>
      </c>
      <c r="H1908" s="3" t="s">
        <v>2971</v>
      </c>
    </row>
    <row r="1909" spans="1:8" x14ac:dyDescent="0.35">
      <c r="A1909" t="s">
        <v>257</v>
      </c>
      <c r="B1909" s="26" t="s">
        <v>14</v>
      </c>
      <c r="C1909" s="20">
        <v>42318</v>
      </c>
      <c r="D1909" t="s">
        <v>26</v>
      </c>
      <c r="E1909" s="3">
        <v>700</v>
      </c>
      <c r="F1909" s="3">
        <v>36</v>
      </c>
      <c r="G1909" s="3">
        <v>22176</v>
      </c>
      <c r="H1909" s="3" t="s">
        <v>2975</v>
      </c>
    </row>
    <row r="1910" spans="1:8" x14ac:dyDescent="0.35">
      <c r="A1910" t="s">
        <v>436</v>
      </c>
      <c r="B1910" s="26" t="s">
        <v>25</v>
      </c>
      <c r="C1910" s="20">
        <v>43121</v>
      </c>
      <c r="D1910" t="s">
        <v>26</v>
      </c>
      <c r="E1910" s="3">
        <v>700</v>
      </c>
      <c r="F1910" s="3">
        <v>11</v>
      </c>
      <c r="G1910" s="3">
        <v>6622</v>
      </c>
      <c r="H1910" s="3" t="s">
        <v>2966</v>
      </c>
    </row>
    <row r="1911" spans="1:8" x14ac:dyDescent="0.35">
      <c r="A1911" t="s">
        <v>83</v>
      </c>
      <c r="B1911" s="26" t="s">
        <v>14</v>
      </c>
      <c r="C1911" s="20">
        <v>42126</v>
      </c>
      <c r="D1911" t="s">
        <v>56</v>
      </c>
      <c r="E1911" s="3">
        <v>800</v>
      </c>
      <c r="F1911" s="3">
        <v>74</v>
      </c>
      <c r="G1911" s="3">
        <v>52096</v>
      </c>
      <c r="H1911" s="3" t="s">
        <v>2965</v>
      </c>
    </row>
    <row r="1912" spans="1:8" x14ac:dyDescent="0.35">
      <c r="A1912" t="s">
        <v>229</v>
      </c>
      <c r="B1912" s="26" t="s">
        <v>25</v>
      </c>
      <c r="C1912" s="20">
        <v>42556</v>
      </c>
      <c r="D1912" t="s">
        <v>73</v>
      </c>
      <c r="E1912" s="3">
        <v>500</v>
      </c>
      <c r="F1912" s="3">
        <v>96</v>
      </c>
      <c r="G1912" s="3">
        <v>48000</v>
      </c>
      <c r="H1912" s="3" t="s">
        <v>2971</v>
      </c>
    </row>
    <row r="1913" spans="1:8" x14ac:dyDescent="0.35">
      <c r="A1913" t="s">
        <v>207</v>
      </c>
      <c r="B1913" s="26" t="s">
        <v>25</v>
      </c>
      <c r="C1913" s="20">
        <v>43052</v>
      </c>
      <c r="D1913" t="s">
        <v>31</v>
      </c>
      <c r="E1913" s="3">
        <v>150</v>
      </c>
      <c r="F1913" s="3">
        <v>100</v>
      </c>
      <c r="G1913" s="3">
        <v>14700</v>
      </c>
      <c r="H1913" s="3" t="s">
        <v>2975</v>
      </c>
    </row>
    <row r="1914" spans="1:8" x14ac:dyDescent="0.35">
      <c r="A1914" t="s">
        <v>19</v>
      </c>
      <c r="B1914" s="26" t="s">
        <v>20</v>
      </c>
      <c r="C1914" s="20">
        <v>43245</v>
      </c>
      <c r="D1914" t="s">
        <v>42</v>
      </c>
      <c r="E1914" s="3">
        <v>30</v>
      </c>
      <c r="F1914" s="3">
        <v>86</v>
      </c>
      <c r="G1914" s="3">
        <v>2494</v>
      </c>
      <c r="H1914" s="3" t="s">
        <v>2965</v>
      </c>
    </row>
    <row r="1915" spans="1:8" x14ac:dyDescent="0.35">
      <c r="A1915" t="s">
        <v>41</v>
      </c>
      <c r="B1915" s="26" t="s">
        <v>36</v>
      </c>
      <c r="C1915" s="20">
        <v>41837</v>
      </c>
      <c r="D1915" t="s">
        <v>47</v>
      </c>
      <c r="E1915" s="3">
        <v>500</v>
      </c>
      <c r="F1915" s="3">
        <v>76</v>
      </c>
      <c r="G1915" s="3">
        <v>34580</v>
      </c>
      <c r="H1915" s="3" t="s">
        <v>2971</v>
      </c>
    </row>
    <row r="1916" spans="1:8" x14ac:dyDescent="0.35">
      <c r="A1916" t="s">
        <v>272</v>
      </c>
      <c r="B1916" s="26" t="s">
        <v>36</v>
      </c>
      <c r="C1916" s="20">
        <v>42308</v>
      </c>
      <c r="D1916" t="s">
        <v>116</v>
      </c>
      <c r="E1916" s="3">
        <v>250</v>
      </c>
      <c r="F1916" s="3">
        <v>95</v>
      </c>
      <c r="G1916" s="3">
        <v>23750</v>
      </c>
      <c r="H1916" s="3" t="s">
        <v>2974</v>
      </c>
    </row>
    <row r="1917" spans="1:8" x14ac:dyDescent="0.35">
      <c r="A1917" t="s">
        <v>13</v>
      </c>
      <c r="B1917" s="26" t="s">
        <v>14</v>
      </c>
      <c r="C1917" s="20">
        <v>42787</v>
      </c>
      <c r="D1917" t="s">
        <v>56</v>
      </c>
      <c r="E1917" s="3">
        <v>800</v>
      </c>
      <c r="F1917" s="3">
        <v>81</v>
      </c>
      <c r="G1917" s="3">
        <v>55728</v>
      </c>
      <c r="H1917" s="3" t="s">
        <v>2967</v>
      </c>
    </row>
    <row r="1918" spans="1:8" x14ac:dyDescent="0.35">
      <c r="A1918" t="s">
        <v>24</v>
      </c>
      <c r="B1918" s="26" t="s">
        <v>25</v>
      </c>
      <c r="C1918" s="20">
        <v>42381</v>
      </c>
      <c r="D1918" t="s">
        <v>37</v>
      </c>
      <c r="E1918" s="3">
        <v>50</v>
      </c>
      <c r="F1918" s="3">
        <v>9</v>
      </c>
      <c r="G1918" s="3">
        <v>396</v>
      </c>
      <c r="H1918" s="3" t="s">
        <v>2966</v>
      </c>
    </row>
    <row r="1919" spans="1:8" x14ac:dyDescent="0.35">
      <c r="A1919" t="s">
        <v>41</v>
      </c>
      <c r="B1919" s="26" t="s">
        <v>36</v>
      </c>
      <c r="C1919" s="20">
        <v>42983</v>
      </c>
      <c r="D1919" t="s">
        <v>73</v>
      </c>
      <c r="E1919" s="3">
        <v>500</v>
      </c>
      <c r="F1919" s="3">
        <v>26</v>
      </c>
      <c r="G1919" s="3">
        <v>12870</v>
      </c>
      <c r="H1919" s="3" t="s">
        <v>2973</v>
      </c>
    </row>
    <row r="1920" spans="1:8" x14ac:dyDescent="0.35">
      <c r="A1920" t="s">
        <v>55</v>
      </c>
      <c r="B1920" s="26" t="s">
        <v>14</v>
      </c>
      <c r="C1920" s="20">
        <v>42953</v>
      </c>
      <c r="D1920" t="s">
        <v>42</v>
      </c>
      <c r="E1920" s="3">
        <v>30</v>
      </c>
      <c r="F1920" s="3">
        <v>72</v>
      </c>
      <c r="G1920" s="3">
        <v>2160</v>
      </c>
      <c r="H1920" s="3" t="s">
        <v>2972</v>
      </c>
    </row>
    <row r="1921" spans="1:8" x14ac:dyDescent="0.35">
      <c r="A1921" t="s">
        <v>120</v>
      </c>
      <c r="B1921" s="26" t="s">
        <v>36</v>
      </c>
      <c r="C1921" s="20">
        <v>41984</v>
      </c>
      <c r="D1921" t="s">
        <v>62</v>
      </c>
      <c r="E1921" s="3">
        <v>1000</v>
      </c>
      <c r="F1921" s="3">
        <v>23</v>
      </c>
      <c r="G1921" s="3">
        <v>15410</v>
      </c>
      <c r="H1921" s="3" t="s">
        <v>2976</v>
      </c>
    </row>
    <row r="1922" spans="1:8" x14ac:dyDescent="0.35">
      <c r="A1922" t="s">
        <v>46</v>
      </c>
      <c r="B1922" s="26" t="s">
        <v>25</v>
      </c>
      <c r="C1922" s="20">
        <v>42902</v>
      </c>
      <c r="D1922" t="s">
        <v>56</v>
      </c>
      <c r="E1922" s="3">
        <v>800</v>
      </c>
      <c r="F1922" s="3">
        <v>84</v>
      </c>
      <c r="G1922" s="3">
        <v>55776</v>
      </c>
      <c r="H1922" s="3" t="s">
        <v>2970</v>
      </c>
    </row>
    <row r="1923" spans="1:8" x14ac:dyDescent="0.35">
      <c r="A1923" t="s">
        <v>41</v>
      </c>
      <c r="B1923" s="26" t="s">
        <v>36</v>
      </c>
      <c r="C1923" s="20">
        <v>41825</v>
      </c>
      <c r="D1923" t="s">
        <v>123</v>
      </c>
      <c r="E1923" s="3">
        <v>50</v>
      </c>
      <c r="F1923" s="3">
        <v>37</v>
      </c>
      <c r="G1923" s="3">
        <v>1480</v>
      </c>
      <c r="H1923" s="3" t="s">
        <v>2971</v>
      </c>
    </row>
    <row r="1924" spans="1:8" x14ac:dyDescent="0.35">
      <c r="A1924" t="s">
        <v>55</v>
      </c>
      <c r="B1924" s="26" t="s">
        <v>14</v>
      </c>
      <c r="C1924" s="20">
        <v>42987</v>
      </c>
      <c r="D1924" t="s">
        <v>62</v>
      </c>
      <c r="E1924" s="3">
        <v>1000</v>
      </c>
      <c r="F1924" s="3">
        <v>83</v>
      </c>
      <c r="G1924" s="3">
        <v>73870</v>
      </c>
      <c r="H1924" s="3" t="s">
        <v>2973</v>
      </c>
    </row>
    <row r="1925" spans="1:8" x14ac:dyDescent="0.35">
      <c r="A1925" t="s">
        <v>97</v>
      </c>
      <c r="B1925" s="26" t="s">
        <v>14</v>
      </c>
      <c r="C1925" s="20">
        <v>42321</v>
      </c>
      <c r="D1925" t="s">
        <v>42</v>
      </c>
      <c r="E1925" s="3">
        <v>30</v>
      </c>
      <c r="F1925" s="3">
        <v>13</v>
      </c>
      <c r="G1925" s="3">
        <v>260</v>
      </c>
      <c r="H1925" s="3" t="s">
        <v>2975</v>
      </c>
    </row>
    <row r="1926" spans="1:8" x14ac:dyDescent="0.35">
      <c r="A1926" t="s">
        <v>51</v>
      </c>
      <c r="B1926" s="26" t="s">
        <v>25</v>
      </c>
      <c r="C1926" s="20">
        <v>42383</v>
      </c>
      <c r="D1926" t="s">
        <v>116</v>
      </c>
      <c r="E1926" s="3">
        <v>250</v>
      </c>
      <c r="F1926" s="3">
        <v>22</v>
      </c>
      <c r="G1926" s="3">
        <v>5390</v>
      </c>
      <c r="H1926" s="3" t="s">
        <v>2966</v>
      </c>
    </row>
    <row r="1927" spans="1:8" x14ac:dyDescent="0.35">
      <c r="A1927" t="s">
        <v>189</v>
      </c>
      <c r="B1927" s="26" t="s">
        <v>14</v>
      </c>
      <c r="C1927" s="20">
        <v>41987</v>
      </c>
      <c r="D1927" t="s">
        <v>37</v>
      </c>
      <c r="E1927" s="3">
        <v>50</v>
      </c>
      <c r="F1927" s="3">
        <v>90</v>
      </c>
      <c r="G1927" s="3">
        <v>4230</v>
      </c>
      <c r="H1927" s="3" t="s">
        <v>2976</v>
      </c>
    </row>
    <row r="1928" spans="1:8" x14ac:dyDescent="0.35">
      <c r="A1928" t="s">
        <v>51</v>
      </c>
      <c r="B1928" s="26" t="s">
        <v>25</v>
      </c>
      <c r="C1928" s="20">
        <v>42414</v>
      </c>
      <c r="D1928" t="s">
        <v>15</v>
      </c>
      <c r="E1928" s="3">
        <v>80</v>
      </c>
      <c r="F1928" s="3">
        <v>90</v>
      </c>
      <c r="G1928" s="3">
        <v>6570</v>
      </c>
      <c r="H1928" s="3" t="s">
        <v>2967</v>
      </c>
    </row>
    <row r="1929" spans="1:8" x14ac:dyDescent="0.35">
      <c r="A1929" t="s">
        <v>101</v>
      </c>
      <c r="B1929" s="26" t="s">
        <v>14</v>
      </c>
      <c r="C1929" s="20">
        <v>41863</v>
      </c>
      <c r="D1929" t="s">
        <v>73</v>
      </c>
      <c r="E1929" s="3">
        <v>500</v>
      </c>
      <c r="F1929" s="3">
        <v>69</v>
      </c>
      <c r="G1929" s="3">
        <v>33810</v>
      </c>
      <c r="H1929" s="3" t="s">
        <v>2972</v>
      </c>
    </row>
    <row r="1930" spans="1:8" x14ac:dyDescent="0.35">
      <c r="A1930" t="s">
        <v>189</v>
      </c>
      <c r="B1930" s="26" t="s">
        <v>14</v>
      </c>
      <c r="C1930" s="20">
        <v>43297</v>
      </c>
      <c r="D1930" t="s">
        <v>56</v>
      </c>
      <c r="E1930" s="3">
        <v>800</v>
      </c>
      <c r="F1930" s="3">
        <v>2</v>
      </c>
      <c r="G1930" s="3">
        <v>1424</v>
      </c>
      <c r="H1930" s="3" t="s">
        <v>2971</v>
      </c>
    </row>
    <row r="1931" spans="1:8" x14ac:dyDescent="0.35">
      <c r="A1931" t="s">
        <v>51</v>
      </c>
      <c r="B1931" s="26" t="s">
        <v>25</v>
      </c>
      <c r="C1931" s="20">
        <v>41901</v>
      </c>
      <c r="D1931" t="s">
        <v>62</v>
      </c>
      <c r="E1931" s="3">
        <v>1000</v>
      </c>
      <c r="F1931" s="3">
        <v>7</v>
      </c>
      <c r="G1931" s="3">
        <v>6440</v>
      </c>
      <c r="H1931" s="3" t="s">
        <v>2973</v>
      </c>
    </row>
    <row r="1932" spans="1:8" x14ac:dyDescent="0.35">
      <c r="A1932" t="s">
        <v>207</v>
      </c>
      <c r="B1932" s="26" t="s">
        <v>25</v>
      </c>
      <c r="C1932" s="20">
        <v>42196</v>
      </c>
      <c r="D1932" t="s">
        <v>73</v>
      </c>
      <c r="E1932" s="3">
        <v>500</v>
      </c>
      <c r="F1932" s="3">
        <v>95</v>
      </c>
      <c r="G1932" s="3">
        <v>47025</v>
      </c>
      <c r="H1932" s="3" t="s">
        <v>2971</v>
      </c>
    </row>
    <row r="1933" spans="1:8" x14ac:dyDescent="0.35">
      <c r="A1933" t="s">
        <v>51</v>
      </c>
      <c r="B1933" s="26" t="s">
        <v>25</v>
      </c>
      <c r="C1933" s="20">
        <v>43413</v>
      </c>
      <c r="D1933" t="s">
        <v>37</v>
      </c>
      <c r="E1933" s="3">
        <v>50</v>
      </c>
      <c r="F1933" s="3">
        <v>62</v>
      </c>
      <c r="G1933" s="3">
        <v>2790</v>
      </c>
      <c r="H1933" s="3" t="s">
        <v>2975</v>
      </c>
    </row>
    <row r="1934" spans="1:8" x14ac:dyDescent="0.35">
      <c r="A1934" t="s">
        <v>101</v>
      </c>
      <c r="B1934" s="26" t="s">
        <v>14</v>
      </c>
      <c r="C1934" s="20">
        <v>43067</v>
      </c>
      <c r="D1934" t="s">
        <v>73</v>
      </c>
      <c r="E1934" s="3">
        <v>500</v>
      </c>
      <c r="F1934" s="3">
        <v>81</v>
      </c>
      <c r="G1934" s="3">
        <v>39690</v>
      </c>
      <c r="H1934" s="3" t="s">
        <v>2975</v>
      </c>
    </row>
    <row r="1935" spans="1:8" x14ac:dyDescent="0.35">
      <c r="A1935" t="s">
        <v>326</v>
      </c>
      <c r="B1935" s="26" t="s">
        <v>14</v>
      </c>
      <c r="C1935" s="20">
        <v>42545</v>
      </c>
      <c r="D1935" t="s">
        <v>116</v>
      </c>
      <c r="E1935" s="3">
        <v>250</v>
      </c>
      <c r="F1935" s="3">
        <v>35</v>
      </c>
      <c r="G1935" s="3">
        <v>8330</v>
      </c>
      <c r="H1935" s="3" t="s">
        <v>2970</v>
      </c>
    </row>
    <row r="1936" spans="1:8" x14ac:dyDescent="0.35">
      <c r="A1936" t="s">
        <v>189</v>
      </c>
      <c r="B1936" s="26" t="s">
        <v>14</v>
      </c>
      <c r="C1936" s="20">
        <v>43020</v>
      </c>
      <c r="D1936" t="s">
        <v>62</v>
      </c>
      <c r="E1936" s="3">
        <v>1000</v>
      </c>
      <c r="F1936" s="3">
        <v>74</v>
      </c>
      <c r="G1936" s="3">
        <v>49580</v>
      </c>
      <c r="H1936" s="3" t="s">
        <v>2974</v>
      </c>
    </row>
    <row r="1937" spans="1:8" x14ac:dyDescent="0.35">
      <c r="A1937" t="s">
        <v>72</v>
      </c>
      <c r="B1937" s="26" t="s">
        <v>36</v>
      </c>
      <c r="C1937" s="20">
        <v>43453</v>
      </c>
      <c r="D1937" t="s">
        <v>15</v>
      </c>
      <c r="E1937" s="3">
        <v>80</v>
      </c>
      <c r="F1937" s="3">
        <v>3</v>
      </c>
      <c r="G1937" s="3">
        <v>216</v>
      </c>
      <c r="H1937" s="3" t="s">
        <v>2976</v>
      </c>
    </row>
    <row r="1938" spans="1:8" x14ac:dyDescent="0.35">
      <c r="A1938" t="s">
        <v>172</v>
      </c>
      <c r="B1938" s="26" t="s">
        <v>14</v>
      </c>
      <c r="C1938" s="20">
        <v>42305</v>
      </c>
      <c r="D1938" t="s">
        <v>47</v>
      </c>
      <c r="E1938" s="3">
        <v>500</v>
      </c>
      <c r="F1938" s="3">
        <v>19</v>
      </c>
      <c r="G1938" s="3">
        <v>5890</v>
      </c>
      <c r="H1938" s="3" t="s">
        <v>2974</v>
      </c>
    </row>
    <row r="1939" spans="1:8" x14ac:dyDescent="0.35">
      <c r="A1939" t="s">
        <v>272</v>
      </c>
      <c r="B1939" s="26" t="s">
        <v>36</v>
      </c>
      <c r="C1939" s="20">
        <v>42223</v>
      </c>
      <c r="D1939" t="s">
        <v>15</v>
      </c>
      <c r="E1939" s="3">
        <v>80</v>
      </c>
      <c r="F1939" s="3">
        <v>100</v>
      </c>
      <c r="G1939" s="3">
        <v>8000</v>
      </c>
      <c r="H1939" s="3" t="s">
        <v>2972</v>
      </c>
    </row>
    <row r="1940" spans="1:8" x14ac:dyDescent="0.35">
      <c r="A1940" t="s">
        <v>436</v>
      </c>
      <c r="B1940" s="26" t="s">
        <v>25</v>
      </c>
      <c r="C1940" s="20">
        <v>42066</v>
      </c>
      <c r="D1940" t="s">
        <v>105</v>
      </c>
      <c r="E1940" s="3">
        <v>70</v>
      </c>
      <c r="F1940" s="3">
        <v>83</v>
      </c>
      <c r="G1940" s="3">
        <v>4731</v>
      </c>
      <c r="H1940" s="3" t="s">
        <v>2968</v>
      </c>
    </row>
    <row r="1941" spans="1:8" x14ac:dyDescent="0.35">
      <c r="A1941" t="s">
        <v>109</v>
      </c>
      <c r="B1941" s="26" t="s">
        <v>20</v>
      </c>
      <c r="C1941" s="20">
        <v>41961</v>
      </c>
      <c r="D1941" t="s">
        <v>37</v>
      </c>
      <c r="E1941" s="3">
        <v>50</v>
      </c>
      <c r="F1941" s="3">
        <v>97</v>
      </c>
      <c r="G1941" s="3">
        <v>4656</v>
      </c>
      <c r="H1941" s="3" t="s">
        <v>2975</v>
      </c>
    </row>
    <row r="1942" spans="1:8" x14ac:dyDescent="0.35">
      <c r="A1942" t="s">
        <v>101</v>
      </c>
      <c r="B1942" s="26" t="s">
        <v>14</v>
      </c>
      <c r="C1942" s="20">
        <v>41900</v>
      </c>
      <c r="D1942" t="s">
        <v>31</v>
      </c>
      <c r="E1942" s="3">
        <v>150</v>
      </c>
      <c r="F1942" s="3">
        <v>37</v>
      </c>
      <c r="G1942" s="3">
        <v>4736</v>
      </c>
      <c r="H1942" s="3" t="s">
        <v>2973</v>
      </c>
    </row>
    <row r="1943" spans="1:8" x14ac:dyDescent="0.35">
      <c r="A1943" t="s">
        <v>229</v>
      </c>
      <c r="B1943" s="26" t="s">
        <v>25</v>
      </c>
      <c r="C1943" s="20">
        <v>42798</v>
      </c>
      <c r="D1943" t="s">
        <v>73</v>
      </c>
      <c r="E1943" s="3">
        <v>500</v>
      </c>
      <c r="F1943" s="3">
        <v>72</v>
      </c>
      <c r="G1943" s="3">
        <v>35280</v>
      </c>
      <c r="H1943" s="3" t="s">
        <v>2968</v>
      </c>
    </row>
    <row r="1944" spans="1:8" x14ac:dyDescent="0.35">
      <c r="A1944" t="s">
        <v>101</v>
      </c>
      <c r="B1944" s="26" t="s">
        <v>14</v>
      </c>
      <c r="C1944" s="20">
        <v>41709</v>
      </c>
      <c r="D1944" t="s">
        <v>31</v>
      </c>
      <c r="E1944" s="3">
        <v>150</v>
      </c>
      <c r="F1944" s="3">
        <v>29</v>
      </c>
      <c r="G1944" s="3">
        <v>3480</v>
      </c>
      <c r="H1944" s="3" t="s">
        <v>2968</v>
      </c>
    </row>
    <row r="1945" spans="1:8" x14ac:dyDescent="0.35">
      <c r="A1945" t="s">
        <v>13</v>
      </c>
      <c r="B1945" s="26" t="s">
        <v>14</v>
      </c>
      <c r="C1945" s="20">
        <v>42243</v>
      </c>
      <c r="D1945" t="s">
        <v>26</v>
      </c>
      <c r="E1945" s="3">
        <v>700</v>
      </c>
      <c r="F1945" s="3">
        <v>63</v>
      </c>
      <c r="G1945" s="3">
        <v>41895</v>
      </c>
      <c r="H1945" s="3" t="s">
        <v>2972</v>
      </c>
    </row>
    <row r="1946" spans="1:8" x14ac:dyDescent="0.35">
      <c r="A1946" t="s">
        <v>61</v>
      </c>
      <c r="B1946" s="26" t="s">
        <v>14</v>
      </c>
      <c r="C1946" s="20">
        <v>41802</v>
      </c>
      <c r="D1946" t="s">
        <v>56</v>
      </c>
      <c r="E1946" s="3">
        <v>800</v>
      </c>
      <c r="F1946" s="3">
        <v>36</v>
      </c>
      <c r="G1946" s="3">
        <v>17280</v>
      </c>
      <c r="H1946" s="3" t="s">
        <v>2970</v>
      </c>
    </row>
    <row r="1947" spans="1:8" x14ac:dyDescent="0.35">
      <c r="A1947" t="s">
        <v>97</v>
      </c>
      <c r="B1947" s="26" t="s">
        <v>14</v>
      </c>
      <c r="C1947" s="20">
        <v>41765</v>
      </c>
      <c r="D1947" t="s">
        <v>105</v>
      </c>
      <c r="E1947" s="3">
        <v>70</v>
      </c>
      <c r="F1947" s="3">
        <v>95</v>
      </c>
      <c r="G1947" s="3">
        <v>6365</v>
      </c>
      <c r="H1947" s="3" t="s">
        <v>2965</v>
      </c>
    </row>
    <row r="1948" spans="1:8" x14ac:dyDescent="0.35">
      <c r="A1948" t="s">
        <v>272</v>
      </c>
      <c r="B1948" s="26" t="s">
        <v>36</v>
      </c>
      <c r="C1948" s="20">
        <v>42658</v>
      </c>
      <c r="D1948" t="s">
        <v>62</v>
      </c>
      <c r="E1948" s="3">
        <v>1000</v>
      </c>
      <c r="F1948" s="3">
        <v>53</v>
      </c>
      <c r="G1948" s="3">
        <v>36040</v>
      </c>
      <c r="H1948" s="3" t="s">
        <v>2974</v>
      </c>
    </row>
    <row r="1949" spans="1:8" x14ac:dyDescent="0.35">
      <c r="A1949" t="s">
        <v>129</v>
      </c>
      <c r="B1949" s="26" t="s">
        <v>14</v>
      </c>
      <c r="C1949" s="20">
        <v>42146</v>
      </c>
      <c r="D1949" t="s">
        <v>15</v>
      </c>
      <c r="E1949" s="3">
        <v>80</v>
      </c>
      <c r="F1949" s="3">
        <v>88</v>
      </c>
      <c r="G1949" s="3">
        <v>5016</v>
      </c>
      <c r="H1949" s="3" t="s">
        <v>2965</v>
      </c>
    </row>
    <row r="1950" spans="1:8" x14ac:dyDescent="0.35">
      <c r="A1950" t="s">
        <v>176</v>
      </c>
      <c r="B1950" s="26" t="s">
        <v>14</v>
      </c>
      <c r="C1950" s="20">
        <v>42058</v>
      </c>
      <c r="D1950" t="s">
        <v>105</v>
      </c>
      <c r="E1950" s="3">
        <v>70</v>
      </c>
      <c r="F1950" s="3">
        <v>53</v>
      </c>
      <c r="G1950" s="3">
        <v>3657</v>
      </c>
      <c r="H1950" s="3" t="s">
        <v>2967</v>
      </c>
    </row>
    <row r="1951" spans="1:8" x14ac:dyDescent="0.35">
      <c r="A1951" t="s">
        <v>79</v>
      </c>
      <c r="B1951" s="26" t="s">
        <v>36</v>
      </c>
      <c r="C1951" s="20">
        <v>43365</v>
      </c>
      <c r="D1951" t="s">
        <v>42</v>
      </c>
      <c r="E1951" s="3">
        <v>30</v>
      </c>
      <c r="F1951" s="3">
        <v>57</v>
      </c>
      <c r="G1951" s="3">
        <v>1653</v>
      </c>
      <c r="H1951" s="3" t="s">
        <v>2973</v>
      </c>
    </row>
    <row r="1952" spans="1:8" x14ac:dyDescent="0.35">
      <c r="A1952" t="s">
        <v>93</v>
      </c>
      <c r="B1952" s="26" t="s">
        <v>36</v>
      </c>
      <c r="C1952" s="20">
        <v>42544</v>
      </c>
      <c r="D1952" t="s">
        <v>26</v>
      </c>
      <c r="E1952" s="3">
        <v>700</v>
      </c>
      <c r="F1952" s="3">
        <v>23</v>
      </c>
      <c r="G1952" s="3">
        <v>15295</v>
      </c>
      <c r="H1952" s="3" t="s">
        <v>2970</v>
      </c>
    </row>
    <row r="1953" spans="1:8" x14ac:dyDescent="0.35">
      <c r="A1953" t="s">
        <v>129</v>
      </c>
      <c r="B1953" s="26" t="s">
        <v>14</v>
      </c>
      <c r="C1953" s="20">
        <v>42711</v>
      </c>
      <c r="D1953" t="s">
        <v>116</v>
      </c>
      <c r="E1953" s="3">
        <v>250</v>
      </c>
      <c r="F1953" s="3">
        <v>36</v>
      </c>
      <c r="G1953" s="3">
        <v>8460</v>
      </c>
      <c r="H1953" s="3" t="s">
        <v>2976</v>
      </c>
    </row>
    <row r="1954" spans="1:8" x14ac:dyDescent="0.35">
      <c r="A1954" t="s">
        <v>109</v>
      </c>
      <c r="B1954" s="26" t="s">
        <v>20</v>
      </c>
      <c r="C1954" s="20">
        <v>43347</v>
      </c>
      <c r="D1954" t="s">
        <v>116</v>
      </c>
      <c r="E1954" s="3">
        <v>250</v>
      </c>
      <c r="F1954" s="3">
        <v>75</v>
      </c>
      <c r="G1954" s="3">
        <v>16350</v>
      </c>
      <c r="H1954" s="3" t="s">
        <v>2973</v>
      </c>
    </row>
    <row r="1955" spans="1:8" x14ac:dyDescent="0.35">
      <c r="A1955" t="s">
        <v>436</v>
      </c>
      <c r="B1955" s="26" t="s">
        <v>25</v>
      </c>
      <c r="C1955" s="20">
        <v>42199</v>
      </c>
      <c r="D1955" t="s">
        <v>56</v>
      </c>
      <c r="E1955" s="3">
        <v>800</v>
      </c>
      <c r="F1955" s="3">
        <v>60</v>
      </c>
      <c r="G1955" s="3">
        <v>36960</v>
      </c>
      <c r="H1955" s="3" t="s">
        <v>2971</v>
      </c>
    </row>
    <row r="1956" spans="1:8" x14ac:dyDescent="0.35">
      <c r="A1956" t="s">
        <v>41</v>
      </c>
      <c r="B1956" s="26" t="s">
        <v>36</v>
      </c>
      <c r="C1956" s="20">
        <v>41759</v>
      </c>
      <c r="D1956" t="s">
        <v>47</v>
      </c>
      <c r="E1956" s="3">
        <v>500</v>
      </c>
      <c r="F1956" s="3">
        <v>83</v>
      </c>
      <c r="G1956" s="3">
        <v>32785</v>
      </c>
      <c r="H1956" s="3" t="s">
        <v>2969</v>
      </c>
    </row>
    <row r="1957" spans="1:8" x14ac:dyDescent="0.35">
      <c r="A1957" t="s">
        <v>66</v>
      </c>
      <c r="B1957" s="26" t="s">
        <v>36</v>
      </c>
      <c r="C1957" s="20">
        <v>43459</v>
      </c>
      <c r="D1957" t="s">
        <v>105</v>
      </c>
      <c r="E1957" s="3">
        <v>70</v>
      </c>
      <c r="F1957" s="3">
        <v>4</v>
      </c>
      <c r="G1957" s="3">
        <v>276</v>
      </c>
      <c r="H1957" s="3" t="s">
        <v>2976</v>
      </c>
    </row>
    <row r="1958" spans="1:8" x14ac:dyDescent="0.35">
      <c r="A1958" t="s">
        <v>41</v>
      </c>
      <c r="B1958" s="26" t="s">
        <v>36</v>
      </c>
      <c r="C1958" s="20">
        <v>42304</v>
      </c>
      <c r="D1958" t="s">
        <v>26</v>
      </c>
      <c r="E1958" s="3">
        <v>700</v>
      </c>
      <c r="F1958" s="3">
        <v>36</v>
      </c>
      <c r="G1958" s="3">
        <v>21924</v>
      </c>
      <c r="H1958" s="3" t="s">
        <v>2974</v>
      </c>
    </row>
    <row r="1959" spans="1:8" x14ac:dyDescent="0.35">
      <c r="A1959" t="s">
        <v>266</v>
      </c>
      <c r="B1959" s="26" t="s">
        <v>14</v>
      </c>
      <c r="C1959" s="20">
        <v>42298</v>
      </c>
      <c r="D1959" t="s">
        <v>47</v>
      </c>
      <c r="E1959" s="3">
        <v>500</v>
      </c>
      <c r="F1959" s="3">
        <v>72</v>
      </c>
      <c r="G1959" s="3">
        <v>32760</v>
      </c>
      <c r="H1959" s="3" t="s">
        <v>2974</v>
      </c>
    </row>
    <row r="1960" spans="1:8" x14ac:dyDescent="0.35">
      <c r="A1960" t="s">
        <v>41</v>
      </c>
      <c r="B1960" s="26" t="s">
        <v>36</v>
      </c>
      <c r="C1960" s="20">
        <v>43200</v>
      </c>
      <c r="D1960" t="s">
        <v>15</v>
      </c>
      <c r="E1960" s="3">
        <v>80</v>
      </c>
      <c r="F1960" s="3">
        <v>63</v>
      </c>
      <c r="G1960" s="3">
        <v>4599</v>
      </c>
      <c r="H1960" s="3" t="s">
        <v>2969</v>
      </c>
    </row>
    <row r="1961" spans="1:8" x14ac:dyDescent="0.35">
      <c r="A1961" t="s">
        <v>120</v>
      </c>
      <c r="B1961" s="26" t="s">
        <v>36</v>
      </c>
      <c r="C1961" s="20">
        <v>42279</v>
      </c>
      <c r="D1961" t="s">
        <v>42</v>
      </c>
      <c r="E1961" s="3">
        <v>30</v>
      </c>
      <c r="F1961" s="3">
        <v>95</v>
      </c>
      <c r="G1961" s="3">
        <v>2755</v>
      </c>
      <c r="H1961" s="3" t="s">
        <v>2974</v>
      </c>
    </row>
    <row r="1962" spans="1:8" x14ac:dyDescent="0.35">
      <c r="A1962" t="s">
        <v>61</v>
      </c>
      <c r="B1962" s="26" t="s">
        <v>14</v>
      </c>
      <c r="C1962" s="20">
        <v>41756</v>
      </c>
      <c r="D1962" t="s">
        <v>47</v>
      </c>
      <c r="E1962" s="3">
        <v>500</v>
      </c>
      <c r="F1962" s="3">
        <v>48</v>
      </c>
      <c r="G1962" s="3">
        <v>18480</v>
      </c>
      <c r="H1962" s="3" t="s">
        <v>2969</v>
      </c>
    </row>
    <row r="1963" spans="1:8" x14ac:dyDescent="0.35">
      <c r="A1963" t="s">
        <v>148</v>
      </c>
      <c r="B1963" s="26" t="s">
        <v>14</v>
      </c>
      <c r="C1963" s="20">
        <v>42405</v>
      </c>
      <c r="D1963" t="s">
        <v>56</v>
      </c>
      <c r="E1963" s="3">
        <v>800</v>
      </c>
      <c r="F1963" s="3">
        <v>51</v>
      </c>
      <c r="G1963" s="3">
        <v>39168</v>
      </c>
      <c r="H1963" s="3" t="s">
        <v>2967</v>
      </c>
    </row>
    <row r="1964" spans="1:8" x14ac:dyDescent="0.35">
      <c r="A1964" t="s">
        <v>109</v>
      </c>
      <c r="B1964" s="26" t="s">
        <v>20</v>
      </c>
      <c r="C1964" s="20">
        <v>42132</v>
      </c>
      <c r="D1964" t="s">
        <v>105</v>
      </c>
      <c r="E1964" s="3">
        <v>70</v>
      </c>
      <c r="F1964" s="3">
        <v>52</v>
      </c>
      <c r="G1964" s="3">
        <v>2756</v>
      </c>
      <c r="H1964" s="3" t="s">
        <v>2965</v>
      </c>
    </row>
    <row r="1965" spans="1:8" x14ac:dyDescent="0.35">
      <c r="A1965" t="s">
        <v>326</v>
      </c>
      <c r="B1965" s="26" t="s">
        <v>14</v>
      </c>
      <c r="C1965" s="20">
        <v>43012</v>
      </c>
      <c r="D1965" t="s">
        <v>116</v>
      </c>
      <c r="E1965" s="3">
        <v>250</v>
      </c>
      <c r="F1965" s="3">
        <v>65</v>
      </c>
      <c r="G1965" s="3">
        <v>16120</v>
      </c>
      <c r="H1965" s="3" t="s">
        <v>2974</v>
      </c>
    </row>
    <row r="1966" spans="1:8" x14ac:dyDescent="0.35">
      <c r="A1966" t="s">
        <v>129</v>
      </c>
      <c r="B1966" s="26" t="s">
        <v>14</v>
      </c>
      <c r="C1966" s="20">
        <v>43125</v>
      </c>
      <c r="D1966" t="s">
        <v>116</v>
      </c>
      <c r="E1966" s="3">
        <v>250</v>
      </c>
      <c r="F1966" s="3">
        <v>45</v>
      </c>
      <c r="G1966" s="3">
        <v>9585</v>
      </c>
      <c r="H1966" s="3" t="s">
        <v>2966</v>
      </c>
    </row>
    <row r="1967" spans="1:8" x14ac:dyDescent="0.35">
      <c r="A1967" t="s">
        <v>229</v>
      </c>
      <c r="B1967" s="26" t="s">
        <v>25</v>
      </c>
      <c r="C1967" s="20">
        <v>41709</v>
      </c>
      <c r="D1967" t="s">
        <v>123</v>
      </c>
      <c r="E1967" s="3">
        <v>50</v>
      </c>
      <c r="F1967" s="3">
        <v>85</v>
      </c>
      <c r="G1967" s="3">
        <v>3060</v>
      </c>
      <c r="H1967" s="3" t="s">
        <v>2968</v>
      </c>
    </row>
    <row r="1968" spans="1:8" x14ac:dyDescent="0.35">
      <c r="A1968" t="s">
        <v>109</v>
      </c>
      <c r="B1968" s="26" t="s">
        <v>20</v>
      </c>
      <c r="C1968" s="20">
        <v>42012</v>
      </c>
      <c r="D1968" t="s">
        <v>105</v>
      </c>
      <c r="E1968" s="3">
        <v>70</v>
      </c>
      <c r="F1968" s="3">
        <v>15</v>
      </c>
      <c r="G1968" s="3">
        <v>990</v>
      </c>
      <c r="H1968" s="3" t="s">
        <v>2966</v>
      </c>
    </row>
    <row r="1969" spans="1:8" x14ac:dyDescent="0.35">
      <c r="A1969" t="s">
        <v>189</v>
      </c>
      <c r="B1969" s="26" t="s">
        <v>14</v>
      </c>
      <c r="C1969" s="20">
        <v>42683</v>
      </c>
      <c r="D1969" t="s">
        <v>47</v>
      </c>
      <c r="E1969" s="3">
        <v>500</v>
      </c>
      <c r="F1969" s="3">
        <v>62</v>
      </c>
      <c r="G1969" s="3">
        <v>27590</v>
      </c>
      <c r="H1969" s="3" t="s">
        <v>2975</v>
      </c>
    </row>
    <row r="1970" spans="1:8" x14ac:dyDescent="0.35">
      <c r="A1970" t="s">
        <v>87</v>
      </c>
      <c r="B1970" s="26" t="s">
        <v>14</v>
      </c>
      <c r="C1970" s="20">
        <v>42155</v>
      </c>
      <c r="D1970" t="s">
        <v>37</v>
      </c>
      <c r="E1970" s="3">
        <v>50</v>
      </c>
      <c r="F1970" s="3">
        <v>9</v>
      </c>
      <c r="G1970" s="3">
        <v>270</v>
      </c>
      <c r="H1970" s="3" t="s">
        <v>2965</v>
      </c>
    </row>
    <row r="1971" spans="1:8" x14ac:dyDescent="0.35">
      <c r="A1971" t="s">
        <v>436</v>
      </c>
      <c r="B1971" s="26" t="s">
        <v>25</v>
      </c>
      <c r="C1971" s="20">
        <v>41730</v>
      </c>
      <c r="D1971" t="s">
        <v>116</v>
      </c>
      <c r="E1971" s="3">
        <v>250</v>
      </c>
      <c r="F1971" s="3">
        <v>6</v>
      </c>
      <c r="G1971" s="3">
        <v>1458</v>
      </c>
      <c r="H1971" s="3" t="s">
        <v>2969</v>
      </c>
    </row>
    <row r="1972" spans="1:8" x14ac:dyDescent="0.35">
      <c r="A1972" t="s">
        <v>41</v>
      </c>
      <c r="B1972" s="26" t="s">
        <v>36</v>
      </c>
      <c r="C1972" s="20">
        <v>42078</v>
      </c>
      <c r="D1972" t="s">
        <v>37</v>
      </c>
      <c r="E1972" s="3">
        <v>50</v>
      </c>
      <c r="F1972" s="3">
        <v>83</v>
      </c>
      <c r="G1972" s="3">
        <v>3735</v>
      </c>
      <c r="H1972" s="3" t="s">
        <v>2968</v>
      </c>
    </row>
    <row r="1973" spans="1:8" x14ac:dyDescent="0.35">
      <c r="A1973" t="s">
        <v>176</v>
      </c>
      <c r="B1973" s="26" t="s">
        <v>14</v>
      </c>
      <c r="C1973" s="20">
        <v>43081</v>
      </c>
      <c r="D1973" t="s">
        <v>123</v>
      </c>
      <c r="E1973" s="3">
        <v>50</v>
      </c>
      <c r="F1973" s="3">
        <v>99</v>
      </c>
      <c r="G1973" s="3">
        <v>4950</v>
      </c>
      <c r="H1973" s="3" t="s">
        <v>2976</v>
      </c>
    </row>
    <row r="1974" spans="1:8" x14ac:dyDescent="0.35">
      <c r="A1974" t="s">
        <v>243</v>
      </c>
      <c r="B1974" s="26" t="s">
        <v>14</v>
      </c>
      <c r="C1974" s="20">
        <v>43216</v>
      </c>
      <c r="D1974" t="s">
        <v>116</v>
      </c>
      <c r="E1974" s="3">
        <v>250</v>
      </c>
      <c r="F1974" s="3">
        <v>58</v>
      </c>
      <c r="G1974" s="3">
        <v>12760</v>
      </c>
      <c r="H1974" s="3" t="s">
        <v>2969</v>
      </c>
    </row>
    <row r="1975" spans="1:8" x14ac:dyDescent="0.35">
      <c r="A1975" t="s">
        <v>83</v>
      </c>
      <c r="B1975" s="26" t="s">
        <v>14</v>
      </c>
      <c r="C1975" s="20">
        <v>42934</v>
      </c>
      <c r="D1975" t="s">
        <v>47</v>
      </c>
      <c r="E1975" s="3">
        <v>500</v>
      </c>
      <c r="F1975" s="3">
        <v>90</v>
      </c>
      <c r="G1975" s="3">
        <v>40500</v>
      </c>
      <c r="H1975" s="3" t="s">
        <v>2971</v>
      </c>
    </row>
    <row r="1976" spans="1:8" x14ac:dyDescent="0.35">
      <c r="A1976" t="s">
        <v>66</v>
      </c>
      <c r="B1976" s="26" t="s">
        <v>36</v>
      </c>
      <c r="C1976" s="20">
        <v>43202</v>
      </c>
      <c r="D1976" t="s">
        <v>37</v>
      </c>
      <c r="E1976" s="3">
        <v>50</v>
      </c>
      <c r="F1976" s="3">
        <v>50</v>
      </c>
      <c r="G1976" s="3">
        <v>2400</v>
      </c>
      <c r="H1976" s="3" t="s">
        <v>2969</v>
      </c>
    </row>
    <row r="1977" spans="1:8" x14ac:dyDescent="0.35">
      <c r="A1977" t="s">
        <v>41</v>
      </c>
      <c r="B1977" s="26" t="s">
        <v>36</v>
      </c>
      <c r="C1977" s="20">
        <v>42602</v>
      </c>
      <c r="D1977" t="s">
        <v>15</v>
      </c>
      <c r="E1977" s="3">
        <v>80</v>
      </c>
      <c r="F1977" s="3">
        <v>70</v>
      </c>
      <c r="G1977" s="3">
        <v>5460</v>
      </c>
      <c r="H1977" s="3" t="s">
        <v>2972</v>
      </c>
    </row>
    <row r="1978" spans="1:8" x14ac:dyDescent="0.35">
      <c r="A1978" t="s">
        <v>13</v>
      </c>
      <c r="B1978" s="26" t="s">
        <v>14</v>
      </c>
      <c r="C1978" s="20">
        <v>42699</v>
      </c>
      <c r="D1978" t="s">
        <v>31</v>
      </c>
      <c r="E1978" s="3">
        <v>150</v>
      </c>
      <c r="F1978" s="3">
        <v>73</v>
      </c>
      <c r="G1978" s="3">
        <v>10877</v>
      </c>
      <c r="H1978" s="3" t="s">
        <v>2975</v>
      </c>
    </row>
    <row r="1979" spans="1:8" x14ac:dyDescent="0.35">
      <c r="A1979" t="s">
        <v>35</v>
      </c>
      <c r="B1979" s="26" t="s">
        <v>36</v>
      </c>
      <c r="C1979" s="20">
        <v>42700</v>
      </c>
      <c r="D1979" t="s">
        <v>56</v>
      </c>
      <c r="E1979" s="3">
        <v>800</v>
      </c>
      <c r="F1979" s="3">
        <v>68</v>
      </c>
      <c r="G1979" s="3">
        <v>40256</v>
      </c>
      <c r="H1979" s="3" t="s">
        <v>2975</v>
      </c>
    </row>
    <row r="1980" spans="1:8" x14ac:dyDescent="0.35">
      <c r="A1980" t="s">
        <v>148</v>
      </c>
      <c r="B1980" s="26" t="s">
        <v>14</v>
      </c>
      <c r="C1980" s="20">
        <v>42377</v>
      </c>
      <c r="D1980" t="s">
        <v>56</v>
      </c>
      <c r="E1980" s="3">
        <v>800</v>
      </c>
      <c r="F1980" s="3">
        <v>19</v>
      </c>
      <c r="G1980" s="3">
        <v>15200</v>
      </c>
      <c r="H1980" s="3" t="s">
        <v>2966</v>
      </c>
    </row>
    <row r="1981" spans="1:8" x14ac:dyDescent="0.35">
      <c r="A1981" t="s">
        <v>229</v>
      </c>
      <c r="B1981" s="26" t="s">
        <v>25</v>
      </c>
      <c r="C1981" s="20">
        <v>42569</v>
      </c>
      <c r="D1981" t="s">
        <v>105</v>
      </c>
      <c r="E1981" s="3">
        <v>70</v>
      </c>
      <c r="F1981" s="3">
        <v>86</v>
      </c>
      <c r="G1981" s="3">
        <v>5418</v>
      </c>
      <c r="H1981" s="3" t="s">
        <v>2971</v>
      </c>
    </row>
    <row r="1982" spans="1:8" x14ac:dyDescent="0.35">
      <c r="A1982" t="s">
        <v>109</v>
      </c>
      <c r="B1982" s="26" t="s">
        <v>20</v>
      </c>
      <c r="C1982" s="20">
        <v>41949</v>
      </c>
      <c r="D1982" t="s">
        <v>26</v>
      </c>
      <c r="E1982" s="3">
        <v>700</v>
      </c>
      <c r="F1982" s="3">
        <v>69</v>
      </c>
      <c r="G1982" s="3">
        <v>44919</v>
      </c>
      <c r="H1982" s="3" t="s">
        <v>2975</v>
      </c>
    </row>
    <row r="1983" spans="1:8" x14ac:dyDescent="0.35">
      <c r="A1983" t="s">
        <v>109</v>
      </c>
      <c r="B1983" s="26" t="s">
        <v>20</v>
      </c>
      <c r="C1983" s="20">
        <v>42349</v>
      </c>
      <c r="D1983" t="s">
        <v>15</v>
      </c>
      <c r="E1983" s="3">
        <v>80</v>
      </c>
      <c r="F1983" s="3">
        <v>33</v>
      </c>
      <c r="G1983" s="3">
        <v>1782</v>
      </c>
      <c r="H1983" s="3" t="s">
        <v>2976</v>
      </c>
    </row>
    <row r="1984" spans="1:8" x14ac:dyDescent="0.35">
      <c r="A1984" t="s">
        <v>51</v>
      </c>
      <c r="B1984" s="26" t="s">
        <v>25</v>
      </c>
      <c r="C1984" s="20">
        <v>42375</v>
      </c>
      <c r="D1984" t="s">
        <v>123</v>
      </c>
      <c r="E1984" s="3">
        <v>50</v>
      </c>
      <c r="F1984" s="3">
        <v>66</v>
      </c>
      <c r="G1984" s="3">
        <v>3300</v>
      </c>
      <c r="H1984" s="3" t="s">
        <v>2966</v>
      </c>
    </row>
    <row r="1985" spans="1:8" x14ac:dyDescent="0.35">
      <c r="A1985" t="s">
        <v>93</v>
      </c>
      <c r="B1985" s="26" t="s">
        <v>36</v>
      </c>
      <c r="C1985" s="20">
        <v>42010</v>
      </c>
      <c r="D1985" t="s">
        <v>47</v>
      </c>
      <c r="E1985" s="3">
        <v>500</v>
      </c>
      <c r="F1985" s="3">
        <v>71</v>
      </c>
      <c r="G1985" s="3">
        <v>22720</v>
      </c>
      <c r="H1985" s="3" t="s">
        <v>2966</v>
      </c>
    </row>
    <row r="1986" spans="1:8" x14ac:dyDescent="0.35">
      <c r="A1986" t="s">
        <v>148</v>
      </c>
      <c r="B1986" s="26" t="s">
        <v>14</v>
      </c>
      <c r="C1986" s="20">
        <v>43143</v>
      </c>
      <c r="D1986" t="s">
        <v>37</v>
      </c>
      <c r="E1986" s="3">
        <v>50</v>
      </c>
      <c r="F1986" s="3">
        <v>10</v>
      </c>
      <c r="G1986" s="3">
        <v>430</v>
      </c>
      <c r="H1986" s="3" t="s">
        <v>2967</v>
      </c>
    </row>
    <row r="1987" spans="1:8" x14ac:dyDescent="0.35">
      <c r="A1987" t="s">
        <v>120</v>
      </c>
      <c r="B1987" s="26" t="s">
        <v>36</v>
      </c>
      <c r="C1987" s="20">
        <v>42762</v>
      </c>
      <c r="D1987" t="s">
        <v>15</v>
      </c>
      <c r="E1987" s="3">
        <v>80</v>
      </c>
      <c r="F1987" s="3">
        <v>17</v>
      </c>
      <c r="G1987" s="3">
        <v>1326</v>
      </c>
      <c r="H1987" s="3" t="s">
        <v>2966</v>
      </c>
    </row>
    <row r="1988" spans="1:8" x14ac:dyDescent="0.35">
      <c r="A1988" t="s">
        <v>55</v>
      </c>
      <c r="B1988" s="26" t="s">
        <v>14</v>
      </c>
      <c r="C1988" s="20">
        <v>42187</v>
      </c>
      <c r="D1988" t="s">
        <v>116</v>
      </c>
      <c r="E1988" s="3">
        <v>250</v>
      </c>
      <c r="F1988" s="3">
        <v>6</v>
      </c>
      <c r="G1988" s="3">
        <v>1488</v>
      </c>
      <c r="H1988" s="3" t="s">
        <v>2971</v>
      </c>
    </row>
    <row r="1989" spans="1:8" x14ac:dyDescent="0.35">
      <c r="A1989" t="s">
        <v>46</v>
      </c>
      <c r="B1989" s="26" t="s">
        <v>25</v>
      </c>
      <c r="C1989" s="20">
        <v>42887</v>
      </c>
      <c r="D1989" t="s">
        <v>42</v>
      </c>
      <c r="E1989" s="3">
        <v>30</v>
      </c>
      <c r="F1989" s="3">
        <v>64</v>
      </c>
      <c r="G1989" s="3">
        <v>1728</v>
      </c>
      <c r="H1989" s="3" t="s">
        <v>2970</v>
      </c>
    </row>
    <row r="1990" spans="1:8" x14ac:dyDescent="0.35">
      <c r="A1990" t="s">
        <v>257</v>
      </c>
      <c r="B1990" s="26" t="s">
        <v>14</v>
      </c>
      <c r="C1990" s="20">
        <v>43163</v>
      </c>
      <c r="D1990" t="s">
        <v>73</v>
      </c>
      <c r="E1990" s="3">
        <v>500</v>
      </c>
      <c r="F1990" s="3">
        <v>44</v>
      </c>
      <c r="G1990" s="3">
        <v>21780</v>
      </c>
      <c r="H1990" s="3" t="s">
        <v>2968</v>
      </c>
    </row>
    <row r="1991" spans="1:8" x14ac:dyDescent="0.35">
      <c r="A1991" t="s">
        <v>93</v>
      </c>
      <c r="B1991" s="26" t="s">
        <v>36</v>
      </c>
      <c r="C1991" s="20">
        <v>43436</v>
      </c>
      <c r="D1991" t="s">
        <v>56</v>
      </c>
      <c r="E1991" s="3">
        <v>800</v>
      </c>
      <c r="F1991" s="3">
        <v>14</v>
      </c>
      <c r="G1991" s="3">
        <v>6720</v>
      </c>
      <c r="H1991" s="3" t="s">
        <v>2976</v>
      </c>
    </row>
    <row r="1992" spans="1:8" x14ac:dyDescent="0.35">
      <c r="A1992" t="s">
        <v>109</v>
      </c>
      <c r="B1992" s="26" t="s">
        <v>20</v>
      </c>
      <c r="C1992" s="20">
        <v>42372</v>
      </c>
      <c r="D1992" t="s">
        <v>116</v>
      </c>
      <c r="E1992" s="3">
        <v>250</v>
      </c>
      <c r="F1992" s="3">
        <v>18</v>
      </c>
      <c r="G1992" s="3">
        <v>3870</v>
      </c>
      <c r="H1992" s="3" t="s">
        <v>2966</v>
      </c>
    </row>
    <row r="1993" spans="1:8" x14ac:dyDescent="0.35">
      <c r="A1993" t="s">
        <v>101</v>
      </c>
      <c r="B1993" s="26" t="s">
        <v>14</v>
      </c>
      <c r="C1993" s="20">
        <v>42014</v>
      </c>
      <c r="D1993" t="s">
        <v>47</v>
      </c>
      <c r="E1993" s="3">
        <v>500</v>
      </c>
      <c r="F1993" s="3">
        <v>64</v>
      </c>
      <c r="G1993" s="3">
        <v>26880</v>
      </c>
      <c r="H1993" s="3" t="s">
        <v>2966</v>
      </c>
    </row>
    <row r="1994" spans="1:8" x14ac:dyDescent="0.35">
      <c r="A1994" t="s">
        <v>326</v>
      </c>
      <c r="B1994" s="26" t="s">
        <v>14</v>
      </c>
      <c r="C1994" s="20">
        <v>41682</v>
      </c>
      <c r="D1994" t="s">
        <v>56</v>
      </c>
      <c r="E1994" s="3">
        <v>800</v>
      </c>
      <c r="F1994" s="3">
        <v>46</v>
      </c>
      <c r="G1994" s="3">
        <v>29808</v>
      </c>
      <c r="H1994" s="3" t="s">
        <v>2967</v>
      </c>
    </row>
    <row r="1995" spans="1:8" x14ac:dyDescent="0.35">
      <c r="A1995" t="s">
        <v>83</v>
      </c>
      <c r="B1995" s="26" t="s">
        <v>14</v>
      </c>
      <c r="C1995" s="20">
        <v>43019</v>
      </c>
      <c r="D1995" t="s">
        <v>37</v>
      </c>
      <c r="E1995" s="3">
        <v>50</v>
      </c>
      <c r="F1995" s="3">
        <v>64</v>
      </c>
      <c r="G1995" s="3">
        <v>3136</v>
      </c>
      <c r="H1995" s="3" t="s">
        <v>2974</v>
      </c>
    </row>
    <row r="1996" spans="1:8" x14ac:dyDescent="0.35">
      <c r="A1996" t="s">
        <v>61</v>
      </c>
      <c r="B1996" s="26" t="s">
        <v>14</v>
      </c>
      <c r="C1996" s="20">
        <v>43339</v>
      </c>
      <c r="D1996" t="s">
        <v>47</v>
      </c>
      <c r="E1996" s="3">
        <v>500</v>
      </c>
      <c r="F1996" s="3">
        <v>45</v>
      </c>
      <c r="G1996" s="3">
        <v>20925</v>
      </c>
      <c r="H1996" s="3" t="s">
        <v>2972</v>
      </c>
    </row>
    <row r="1997" spans="1:8" x14ac:dyDescent="0.35">
      <c r="A1997" t="s">
        <v>51</v>
      </c>
      <c r="B1997" s="26" t="s">
        <v>25</v>
      </c>
      <c r="C1997" s="20">
        <v>41683</v>
      </c>
      <c r="D1997" t="s">
        <v>116</v>
      </c>
      <c r="E1997" s="3">
        <v>250</v>
      </c>
      <c r="F1997" s="3">
        <v>37</v>
      </c>
      <c r="G1997" s="3">
        <v>7955</v>
      </c>
      <c r="H1997" s="3" t="s">
        <v>2967</v>
      </c>
    </row>
    <row r="1998" spans="1:8" x14ac:dyDescent="0.35">
      <c r="A1998" t="s">
        <v>83</v>
      </c>
      <c r="B1998" s="26" t="s">
        <v>14</v>
      </c>
      <c r="C1998" s="20">
        <v>42544</v>
      </c>
      <c r="D1998" t="s">
        <v>31</v>
      </c>
      <c r="E1998" s="3">
        <v>150</v>
      </c>
      <c r="F1998" s="3">
        <v>89</v>
      </c>
      <c r="G1998" s="3">
        <v>13261</v>
      </c>
      <c r="H1998" s="3" t="s">
        <v>2970</v>
      </c>
    </row>
    <row r="1999" spans="1:8" x14ac:dyDescent="0.35">
      <c r="A1999" t="s">
        <v>41</v>
      </c>
      <c r="B1999" s="26" t="s">
        <v>36</v>
      </c>
      <c r="C1999" s="20">
        <v>41967</v>
      </c>
      <c r="D1999" t="s">
        <v>123</v>
      </c>
      <c r="E1999" s="3">
        <v>50</v>
      </c>
      <c r="F1999" s="3">
        <v>52</v>
      </c>
      <c r="G1999" s="3">
        <v>1976</v>
      </c>
      <c r="H1999" s="3" t="s">
        <v>2975</v>
      </c>
    </row>
    <row r="2000" spans="1:8" x14ac:dyDescent="0.35">
      <c r="A2000" t="s">
        <v>79</v>
      </c>
      <c r="B2000" s="26" t="s">
        <v>36</v>
      </c>
      <c r="C2000" s="20">
        <v>42998</v>
      </c>
      <c r="D2000" t="s">
        <v>62</v>
      </c>
      <c r="E2000" s="3">
        <v>1000</v>
      </c>
      <c r="F2000" s="3">
        <v>97</v>
      </c>
      <c r="G2000" s="3">
        <v>64990</v>
      </c>
      <c r="H2000" s="3" t="s">
        <v>2973</v>
      </c>
    </row>
    <row r="2001" spans="1:8" x14ac:dyDescent="0.35">
      <c r="A2001" t="s">
        <v>79</v>
      </c>
      <c r="B2001" s="26" t="s">
        <v>36</v>
      </c>
      <c r="C2001" s="20">
        <v>43440</v>
      </c>
      <c r="D2001" t="s">
        <v>62</v>
      </c>
      <c r="E2001" s="3">
        <v>1000</v>
      </c>
      <c r="F2001" s="3">
        <v>50</v>
      </c>
      <c r="G2001" s="3">
        <v>29500</v>
      </c>
      <c r="H2001" s="3" t="s">
        <v>2976</v>
      </c>
    </row>
    <row r="2002" spans="1:8" x14ac:dyDescent="0.35">
      <c r="A2002" t="s">
        <v>272</v>
      </c>
      <c r="B2002" s="26" t="s">
        <v>36</v>
      </c>
      <c r="C2002" s="20">
        <v>41925</v>
      </c>
      <c r="D2002" t="s">
        <v>123</v>
      </c>
      <c r="E2002" s="3">
        <v>50</v>
      </c>
      <c r="F2002" s="3">
        <v>48</v>
      </c>
      <c r="G2002" s="3">
        <v>2352</v>
      </c>
      <c r="H2002" s="3" t="s">
        <v>2974</v>
      </c>
    </row>
    <row r="2003" spans="1:8" x14ac:dyDescent="0.35">
      <c r="A2003" t="s">
        <v>109</v>
      </c>
      <c r="B2003" s="26" t="s">
        <v>20</v>
      </c>
      <c r="C2003" s="20">
        <v>42354</v>
      </c>
      <c r="D2003" t="s">
        <v>42</v>
      </c>
      <c r="E2003" s="3">
        <v>30</v>
      </c>
      <c r="F2003" s="3">
        <v>85</v>
      </c>
      <c r="G2003" s="3">
        <v>1700</v>
      </c>
      <c r="H2003" s="3" t="s">
        <v>2976</v>
      </c>
    </row>
    <row r="2004" spans="1:8" x14ac:dyDescent="0.35">
      <c r="A2004" t="s">
        <v>148</v>
      </c>
      <c r="B2004" s="26" t="s">
        <v>14</v>
      </c>
      <c r="C2004" s="20">
        <v>41868</v>
      </c>
      <c r="D2004" t="s">
        <v>47</v>
      </c>
      <c r="E2004" s="3">
        <v>500</v>
      </c>
      <c r="F2004" s="3">
        <v>26</v>
      </c>
      <c r="G2004" s="3">
        <v>11700</v>
      </c>
      <c r="H2004" s="3" t="s">
        <v>2972</v>
      </c>
    </row>
    <row r="2005" spans="1:8" x14ac:dyDescent="0.35">
      <c r="A2005" t="s">
        <v>266</v>
      </c>
      <c r="B2005" s="26" t="s">
        <v>14</v>
      </c>
      <c r="C2005" s="20">
        <v>43442</v>
      </c>
      <c r="D2005" t="s">
        <v>73</v>
      </c>
      <c r="E2005" s="3">
        <v>500</v>
      </c>
      <c r="F2005" s="3">
        <v>35</v>
      </c>
      <c r="G2005" s="3">
        <v>17150</v>
      </c>
      <c r="H2005" s="3" t="s">
        <v>2976</v>
      </c>
    </row>
    <row r="2006" spans="1:8" x14ac:dyDescent="0.35">
      <c r="A2006" t="s">
        <v>172</v>
      </c>
      <c r="B2006" s="26" t="s">
        <v>14</v>
      </c>
      <c r="C2006" s="20">
        <v>42725</v>
      </c>
      <c r="D2006" t="s">
        <v>116</v>
      </c>
      <c r="E2006" s="3">
        <v>250</v>
      </c>
      <c r="F2006" s="3">
        <v>3</v>
      </c>
      <c r="G2006" s="3">
        <v>309</v>
      </c>
      <c r="H2006" s="3" t="s">
        <v>2976</v>
      </c>
    </row>
    <row r="2007" spans="1:8" x14ac:dyDescent="0.35">
      <c r="A2007" t="s">
        <v>148</v>
      </c>
      <c r="B2007" s="26" t="s">
        <v>14</v>
      </c>
      <c r="C2007" s="20">
        <v>42631</v>
      </c>
      <c r="D2007" t="s">
        <v>42</v>
      </c>
      <c r="E2007" s="3">
        <v>30</v>
      </c>
      <c r="F2007" s="3">
        <v>32</v>
      </c>
      <c r="G2007" s="3">
        <v>832</v>
      </c>
      <c r="H2007" s="3" t="s">
        <v>2973</v>
      </c>
    </row>
    <row r="2008" spans="1:8" x14ac:dyDescent="0.35">
      <c r="A2008" t="s">
        <v>72</v>
      </c>
      <c r="B2008" s="26" t="s">
        <v>36</v>
      </c>
      <c r="C2008" s="20">
        <v>42984</v>
      </c>
      <c r="D2008" t="s">
        <v>62</v>
      </c>
      <c r="E2008" s="3">
        <v>1000</v>
      </c>
      <c r="F2008" s="3">
        <v>96</v>
      </c>
      <c r="G2008" s="3">
        <v>54720</v>
      </c>
      <c r="H2008" s="3" t="s">
        <v>2973</v>
      </c>
    </row>
    <row r="2009" spans="1:8" x14ac:dyDescent="0.35">
      <c r="A2009" t="s">
        <v>189</v>
      </c>
      <c r="B2009" s="26" t="s">
        <v>14</v>
      </c>
      <c r="C2009" s="20">
        <v>41691</v>
      </c>
      <c r="D2009" t="s">
        <v>37</v>
      </c>
      <c r="E2009" s="3">
        <v>50</v>
      </c>
      <c r="F2009" s="3">
        <v>64</v>
      </c>
      <c r="G2009" s="3">
        <v>3200</v>
      </c>
      <c r="H2009" s="3" t="s">
        <v>2967</v>
      </c>
    </row>
    <row r="2010" spans="1:8" x14ac:dyDescent="0.35">
      <c r="A2010" t="s">
        <v>109</v>
      </c>
      <c r="B2010" s="26" t="s">
        <v>20</v>
      </c>
      <c r="C2010" s="20">
        <v>42483</v>
      </c>
      <c r="D2010" t="s">
        <v>15</v>
      </c>
      <c r="E2010" s="3">
        <v>80</v>
      </c>
      <c r="F2010" s="3">
        <v>62</v>
      </c>
      <c r="G2010" s="3">
        <v>4898</v>
      </c>
      <c r="H2010" s="3" t="s">
        <v>2969</v>
      </c>
    </row>
    <row r="2011" spans="1:8" x14ac:dyDescent="0.35">
      <c r="A2011" t="s">
        <v>152</v>
      </c>
      <c r="B2011" s="26" t="s">
        <v>14</v>
      </c>
      <c r="C2011" s="20">
        <v>42178</v>
      </c>
      <c r="D2011" t="s">
        <v>42</v>
      </c>
      <c r="E2011" s="3">
        <v>30</v>
      </c>
      <c r="F2011" s="3">
        <v>3</v>
      </c>
      <c r="G2011" s="3">
        <v>81</v>
      </c>
      <c r="H2011" s="3" t="s">
        <v>2970</v>
      </c>
    </row>
    <row r="2012" spans="1:8" x14ac:dyDescent="0.35">
      <c r="A2012" t="s">
        <v>207</v>
      </c>
      <c r="B2012" s="26" t="s">
        <v>25</v>
      </c>
      <c r="C2012" s="20">
        <v>41962</v>
      </c>
      <c r="D2012" t="s">
        <v>62</v>
      </c>
      <c r="E2012" s="3">
        <v>1000</v>
      </c>
      <c r="F2012" s="3">
        <v>24</v>
      </c>
      <c r="G2012" s="3">
        <v>19200</v>
      </c>
      <c r="H2012" s="3" t="s">
        <v>2975</v>
      </c>
    </row>
    <row r="2013" spans="1:8" x14ac:dyDescent="0.35">
      <c r="A2013" t="s">
        <v>172</v>
      </c>
      <c r="B2013" s="26" t="s">
        <v>14</v>
      </c>
      <c r="C2013" s="20">
        <v>42411</v>
      </c>
      <c r="D2013" t="s">
        <v>37</v>
      </c>
      <c r="E2013" s="3">
        <v>50</v>
      </c>
      <c r="F2013" s="3">
        <v>93</v>
      </c>
      <c r="G2013" s="3">
        <v>4278</v>
      </c>
      <c r="H2013" s="3" t="s">
        <v>2967</v>
      </c>
    </row>
    <row r="2014" spans="1:8" x14ac:dyDescent="0.35">
      <c r="A2014" t="s">
        <v>109</v>
      </c>
      <c r="B2014" s="26" t="s">
        <v>20</v>
      </c>
      <c r="C2014" s="20">
        <v>42074</v>
      </c>
      <c r="D2014" t="s">
        <v>56</v>
      </c>
      <c r="E2014" s="3">
        <v>800</v>
      </c>
      <c r="F2014" s="3">
        <v>33</v>
      </c>
      <c r="G2014" s="3">
        <v>14520</v>
      </c>
      <c r="H2014" s="3" t="s">
        <v>2968</v>
      </c>
    </row>
    <row r="2015" spans="1:8" x14ac:dyDescent="0.35">
      <c r="A2015" t="s">
        <v>19</v>
      </c>
      <c r="B2015" s="26" t="s">
        <v>20</v>
      </c>
      <c r="C2015" s="20">
        <v>41887</v>
      </c>
      <c r="D2015" t="s">
        <v>15</v>
      </c>
      <c r="E2015" s="3">
        <v>80</v>
      </c>
      <c r="F2015" s="3">
        <v>19</v>
      </c>
      <c r="G2015" s="3">
        <v>1349</v>
      </c>
      <c r="H2015" s="3" t="s">
        <v>2973</v>
      </c>
    </row>
    <row r="2016" spans="1:8" x14ac:dyDescent="0.35">
      <c r="A2016" t="s">
        <v>109</v>
      </c>
      <c r="B2016" s="26" t="s">
        <v>20</v>
      </c>
      <c r="C2016" s="20">
        <v>42420</v>
      </c>
      <c r="D2016" t="s">
        <v>56</v>
      </c>
      <c r="E2016" s="3">
        <v>800</v>
      </c>
      <c r="F2016" s="3">
        <v>98</v>
      </c>
      <c r="G2016" s="3">
        <v>50176</v>
      </c>
      <c r="H2016" s="3" t="s">
        <v>2967</v>
      </c>
    </row>
    <row r="2017" spans="1:8" x14ac:dyDescent="0.35">
      <c r="A2017" t="s">
        <v>46</v>
      </c>
      <c r="B2017" s="26" t="s">
        <v>25</v>
      </c>
      <c r="C2017" s="20">
        <v>41762</v>
      </c>
      <c r="D2017" t="s">
        <v>15</v>
      </c>
      <c r="E2017" s="3">
        <v>80</v>
      </c>
      <c r="F2017" s="3">
        <v>41</v>
      </c>
      <c r="G2017" s="3">
        <v>3157</v>
      </c>
      <c r="H2017" s="3" t="s">
        <v>2965</v>
      </c>
    </row>
    <row r="2018" spans="1:8" x14ac:dyDescent="0.35">
      <c r="A2018" t="s">
        <v>272</v>
      </c>
      <c r="B2018" s="26" t="s">
        <v>36</v>
      </c>
      <c r="C2018" s="20">
        <v>41857</v>
      </c>
      <c r="D2018" t="s">
        <v>73</v>
      </c>
      <c r="E2018" s="3">
        <v>500</v>
      </c>
      <c r="F2018" s="3">
        <v>40</v>
      </c>
      <c r="G2018" s="3">
        <v>19600</v>
      </c>
      <c r="H2018" s="3" t="s">
        <v>2972</v>
      </c>
    </row>
    <row r="2019" spans="1:8" x14ac:dyDescent="0.35">
      <c r="A2019" t="s">
        <v>55</v>
      </c>
      <c r="B2019" s="26" t="s">
        <v>14</v>
      </c>
      <c r="C2019" s="20">
        <v>42333</v>
      </c>
      <c r="D2019" t="s">
        <v>62</v>
      </c>
      <c r="E2019" s="3">
        <v>1000</v>
      </c>
      <c r="F2019" s="3">
        <v>55</v>
      </c>
      <c r="G2019" s="3">
        <v>50600</v>
      </c>
      <c r="H2019" s="3" t="s">
        <v>2975</v>
      </c>
    </row>
    <row r="2020" spans="1:8" x14ac:dyDescent="0.35">
      <c r="A2020" t="s">
        <v>61</v>
      </c>
      <c r="B2020" s="26" t="s">
        <v>14</v>
      </c>
      <c r="C2020" s="20">
        <v>42849</v>
      </c>
      <c r="D2020" t="s">
        <v>62</v>
      </c>
      <c r="E2020" s="3">
        <v>1000</v>
      </c>
      <c r="F2020" s="3">
        <v>92</v>
      </c>
      <c r="G2020" s="3">
        <v>68080</v>
      </c>
      <c r="H2020" s="3" t="s">
        <v>2969</v>
      </c>
    </row>
    <row r="2021" spans="1:8" x14ac:dyDescent="0.35">
      <c r="A2021" t="s">
        <v>97</v>
      </c>
      <c r="B2021" s="26" t="s">
        <v>14</v>
      </c>
      <c r="C2021" s="20">
        <v>42912</v>
      </c>
      <c r="D2021" t="s">
        <v>47</v>
      </c>
      <c r="E2021" s="3">
        <v>500</v>
      </c>
      <c r="F2021" s="3">
        <v>57</v>
      </c>
      <c r="G2021" s="3">
        <v>25650</v>
      </c>
      <c r="H2021" s="3" t="s">
        <v>2970</v>
      </c>
    </row>
    <row r="2022" spans="1:8" x14ac:dyDescent="0.35">
      <c r="A2022" t="s">
        <v>41</v>
      </c>
      <c r="B2022" s="26" t="s">
        <v>36</v>
      </c>
      <c r="C2022" s="20">
        <v>43411</v>
      </c>
      <c r="D2022" t="s">
        <v>42</v>
      </c>
      <c r="E2022" s="3">
        <v>30</v>
      </c>
      <c r="F2022" s="3">
        <v>68</v>
      </c>
      <c r="G2022" s="3">
        <v>2040</v>
      </c>
      <c r="H2022" s="3" t="s">
        <v>2975</v>
      </c>
    </row>
    <row r="2023" spans="1:8" x14ac:dyDescent="0.35">
      <c r="A2023" t="s">
        <v>83</v>
      </c>
      <c r="B2023" s="26" t="s">
        <v>14</v>
      </c>
      <c r="C2023" s="20">
        <v>42210</v>
      </c>
      <c r="D2023" t="s">
        <v>105</v>
      </c>
      <c r="E2023" s="3">
        <v>70</v>
      </c>
      <c r="F2023" s="3">
        <v>29</v>
      </c>
      <c r="G2023" s="3">
        <v>1624</v>
      </c>
      <c r="H2023" s="3" t="s">
        <v>2971</v>
      </c>
    </row>
    <row r="2024" spans="1:8" x14ac:dyDescent="0.35">
      <c r="A2024" t="s">
        <v>19</v>
      </c>
      <c r="B2024" s="26" t="s">
        <v>20</v>
      </c>
      <c r="C2024" s="20">
        <v>42833</v>
      </c>
      <c r="D2024" t="s">
        <v>62</v>
      </c>
      <c r="E2024" s="3">
        <v>1000</v>
      </c>
      <c r="F2024" s="3">
        <v>54</v>
      </c>
      <c r="G2024" s="3">
        <v>30240</v>
      </c>
      <c r="H2024" s="3" t="s">
        <v>2969</v>
      </c>
    </row>
    <row r="2025" spans="1:8" x14ac:dyDescent="0.35">
      <c r="A2025" t="s">
        <v>83</v>
      </c>
      <c r="B2025" s="26" t="s">
        <v>14</v>
      </c>
      <c r="C2025" s="20">
        <v>41654</v>
      </c>
      <c r="D2025" t="s">
        <v>123</v>
      </c>
      <c r="E2025" s="3">
        <v>50</v>
      </c>
      <c r="F2025" s="3">
        <v>64</v>
      </c>
      <c r="G2025" s="3">
        <v>3072</v>
      </c>
      <c r="H2025" s="3" t="s">
        <v>2966</v>
      </c>
    </row>
    <row r="2026" spans="1:8" x14ac:dyDescent="0.35">
      <c r="A2026" t="s">
        <v>79</v>
      </c>
      <c r="B2026" s="26" t="s">
        <v>36</v>
      </c>
      <c r="C2026" s="20">
        <v>43354</v>
      </c>
      <c r="D2026" t="s">
        <v>47</v>
      </c>
      <c r="E2026" s="3">
        <v>500</v>
      </c>
      <c r="F2026" s="3">
        <v>71</v>
      </c>
      <c r="G2026" s="3">
        <v>34790</v>
      </c>
      <c r="H2026" s="3" t="s">
        <v>2973</v>
      </c>
    </row>
    <row r="2027" spans="1:8" x14ac:dyDescent="0.35">
      <c r="A2027" t="s">
        <v>55</v>
      </c>
      <c r="B2027" s="26" t="s">
        <v>14</v>
      </c>
      <c r="C2027" s="20">
        <v>41756</v>
      </c>
      <c r="D2027" t="s">
        <v>73</v>
      </c>
      <c r="E2027" s="3">
        <v>500</v>
      </c>
      <c r="F2027" s="3">
        <v>42</v>
      </c>
      <c r="G2027" s="3">
        <v>21000</v>
      </c>
      <c r="H2027" s="3" t="s">
        <v>2969</v>
      </c>
    </row>
    <row r="2028" spans="1:8" x14ac:dyDescent="0.35">
      <c r="A2028" t="s">
        <v>109</v>
      </c>
      <c r="B2028" s="26" t="s">
        <v>20</v>
      </c>
      <c r="C2028" s="20">
        <v>42077</v>
      </c>
      <c r="D2028" t="s">
        <v>73</v>
      </c>
      <c r="E2028" s="3">
        <v>500</v>
      </c>
      <c r="F2028" s="3">
        <v>98</v>
      </c>
      <c r="G2028" s="3">
        <v>48020</v>
      </c>
      <c r="H2028" s="3" t="s">
        <v>2968</v>
      </c>
    </row>
    <row r="2029" spans="1:8" x14ac:dyDescent="0.35">
      <c r="A2029" t="s">
        <v>109</v>
      </c>
      <c r="B2029" s="26" t="s">
        <v>20</v>
      </c>
      <c r="C2029" s="20">
        <v>42288</v>
      </c>
      <c r="D2029" t="s">
        <v>31</v>
      </c>
      <c r="E2029" s="3">
        <v>150</v>
      </c>
      <c r="F2029" s="3">
        <v>16</v>
      </c>
      <c r="G2029" s="3">
        <v>1616</v>
      </c>
      <c r="H2029" s="3" t="s">
        <v>2974</v>
      </c>
    </row>
    <row r="2030" spans="1:8" x14ac:dyDescent="0.35">
      <c r="A2030" t="s">
        <v>51</v>
      </c>
      <c r="B2030" s="26" t="s">
        <v>25</v>
      </c>
      <c r="C2030" s="20">
        <v>42708</v>
      </c>
      <c r="D2030" t="s">
        <v>105</v>
      </c>
      <c r="E2030" s="3">
        <v>70</v>
      </c>
      <c r="F2030" s="3">
        <v>19</v>
      </c>
      <c r="G2030" s="3">
        <v>1311</v>
      </c>
      <c r="H2030" s="3" t="s">
        <v>2976</v>
      </c>
    </row>
    <row r="2031" spans="1:8" x14ac:dyDescent="0.35">
      <c r="A2031" t="s">
        <v>109</v>
      </c>
      <c r="B2031" s="26" t="s">
        <v>20</v>
      </c>
      <c r="C2031" s="20">
        <v>42511</v>
      </c>
      <c r="D2031" t="s">
        <v>56</v>
      </c>
      <c r="E2031" s="3">
        <v>800</v>
      </c>
      <c r="F2031" s="3">
        <v>84</v>
      </c>
      <c r="G2031" s="3">
        <v>58464</v>
      </c>
      <c r="H2031" s="3" t="s">
        <v>2965</v>
      </c>
    </row>
    <row r="2032" spans="1:8" x14ac:dyDescent="0.35">
      <c r="A2032" t="s">
        <v>13</v>
      </c>
      <c r="B2032" s="26" t="s">
        <v>14</v>
      </c>
      <c r="C2032" s="20">
        <v>43194</v>
      </c>
      <c r="D2032" t="s">
        <v>105</v>
      </c>
      <c r="E2032" s="3">
        <v>70</v>
      </c>
      <c r="F2032" s="3">
        <v>36</v>
      </c>
      <c r="G2032" s="3">
        <v>2484</v>
      </c>
      <c r="H2032" s="3" t="s">
        <v>2969</v>
      </c>
    </row>
    <row r="2033" spans="1:8" x14ac:dyDescent="0.35">
      <c r="A2033" t="s">
        <v>35</v>
      </c>
      <c r="B2033" s="26" t="s">
        <v>36</v>
      </c>
      <c r="C2033" s="20">
        <v>43069</v>
      </c>
      <c r="D2033" t="s">
        <v>56</v>
      </c>
      <c r="E2033" s="3">
        <v>800</v>
      </c>
      <c r="F2033" s="3">
        <v>74</v>
      </c>
      <c r="G2033" s="3">
        <v>38480</v>
      </c>
      <c r="H2033" s="3" t="s">
        <v>2975</v>
      </c>
    </row>
    <row r="2034" spans="1:8" x14ac:dyDescent="0.35">
      <c r="A2034" t="s">
        <v>83</v>
      </c>
      <c r="B2034" s="26" t="s">
        <v>14</v>
      </c>
      <c r="C2034" s="20">
        <v>42542</v>
      </c>
      <c r="D2034" t="s">
        <v>123</v>
      </c>
      <c r="E2034" s="3">
        <v>50</v>
      </c>
      <c r="F2034" s="3">
        <v>14</v>
      </c>
      <c r="G2034" s="3">
        <v>616</v>
      </c>
      <c r="H2034" s="3" t="s">
        <v>2970</v>
      </c>
    </row>
    <row r="2035" spans="1:8" x14ac:dyDescent="0.35">
      <c r="A2035" t="s">
        <v>120</v>
      </c>
      <c r="B2035" s="26" t="s">
        <v>36</v>
      </c>
      <c r="C2035" s="20">
        <v>42068</v>
      </c>
      <c r="D2035" t="s">
        <v>15</v>
      </c>
      <c r="E2035" s="3">
        <v>80</v>
      </c>
      <c r="F2035" s="3">
        <v>83</v>
      </c>
      <c r="G2035" s="3">
        <v>6391</v>
      </c>
      <c r="H2035" s="3" t="s">
        <v>2968</v>
      </c>
    </row>
    <row r="2036" spans="1:8" x14ac:dyDescent="0.35">
      <c r="A2036" t="s">
        <v>93</v>
      </c>
      <c r="B2036" s="26" t="s">
        <v>36</v>
      </c>
      <c r="C2036" s="20">
        <v>42320</v>
      </c>
      <c r="D2036" t="s">
        <v>26</v>
      </c>
      <c r="E2036" s="3">
        <v>700</v>
      </c>
      <c r="F2036" s="3">
        <v>54</v>
      </c>
      <c r="G2036" s="3">
        <v>24570</v>
      </c>
      <c r="H2036" s="3" t="s">
        <v>2975</v>
      </c>
    </row>
    <row r="2037" spans="1:8" x14ac:dyDescent="0.35">
      <c r="A2037" t="s">
        <v>46</v>
      </c>
      <c r="B2037" s="26" t="s">
        <v>25</v>
      </c>
      <c r="C2037" s="20">
        <v>43270</v>
      </c>
      <c r="D2037" t="s">
        <v>47</v>
      </c>
      <c r="E2037" s="3">
        <v>500</v>
      </c>
      <c r="F2037" s="3">
        <v>32</v>
      </c>
      <c r="G2037" s="3">
        <v>15520</v>
      </c>
      <c r="H2037" s="3" t="s">
        <v>2970</v>
      </c>
    </row>
    <row r="2038" spans="1:8" x14ac:dyDescent="0.35">
      <c r="A2038" t="s">
        <v>41</v>
      </c>
      <c r="B2038" s="26" t="s">
        <v>36</v>
      </c>
      <c r="C2038" s="20">
        <v>43309</v>
      </c>
      <c r="D2038" t="s">
        <v>73</v>
      </c>
      <c r="E2038" s="3">
        <v>500</v>
      </c>
      <c r="F2038" s="3">
        <v>21</v>
      </c>
      <c r="G2038" s="3">
        <v>10500</v>
      </c>
      <c r="H2038" s="3" t="s">
        <v>2971</v>
      </c>
    </row>
    <row r="2039" spans="1:8" x14ac:dyDescent="0.35">
      <c r="A2039" t="s">
        <v>109</v>
      </c>
      <c r="B2039" s="26" t="s">
        <v>20</v>
      </c>
      <c r="C2039" s="20">
        <v>41842</v>
      </c>
      <c r="D2039" t="s">
        <v>31</v>
      </c>
      <c r="E2039" s="3">
        <v>150</v>
      </c>
      <c r="F2039" s="3">
        <v>55</v>
      </c>
      <c r="G2039" s="3">
        <v>6545</v>
      </c>
      <c r="H2039" s="3" t="s">
        <v>2971</v>
      </c>
    </row>
    <row r="2040" spans="1:8" x14ac:dyDescent="0.35">
      <c r="A2040" t="s">
        <v>46</v>
      </c>
      <c r="B2040" s="26" t="s">
        <v>25</v>
      </c>
      <c r="C2040" s="20">
        <v>42360</v>
      </c>
      <c r="D2040" t="s">
        <v>105</v>
      </c>
      <c r="E2040" s="3">
        <v>70</v>
      </c>
      <c r="F2040" s="3">
        <v>51</v>
      </c>
      <c r="G2040" s="3">
        <v>3060</v>
      </c>
      <c r="H2040" s="3" t="s">
        <v>2976</v>
      </c>
    </row>
    <row r="2041" spans="1:8" x14ac:dyDescent="0.35">
      <c r="A2041" t="s">
        <v>35</v>
      </c>
      <c r="B2041" s="26" t="s">
        <v>36</v>
      </c>
      <c r="C2041" s="20">
        <v>43392</v>
      </c>
      <c r="D2041" t="s">
        <v>123</v>
      </c>
      <c r="E2041" s="3">
        <v>50</v>
      </c>
      <c r="F2041" s="3">
        <v>92</v>
      </c>
      <c r="G2041" s="3">
        <v>4140</v>
      </c>
      <c r="H2041" s="3" t="s">
        <v>2974</v>
      </c>
    </row>
    <row r="2042" spans="1:8" x14ac:dyDescent="0.35">
      <c r="A2042" t="s">
        <v>13</v>
      </c>
      <c r="B2042" s="26" t="s">
        <v>14</v>
      </c>
      <c r="C2042" s="20">
        <v>42936</v>
      </c>
      <c r="D2042" t="s">
        <v>56</v>
      </c>
      <c r="E2042" s="3">
        <v>800</v>
      </c>
      <c r="F2042" s="3">
        <v>96</v>
      </c>
      <c r="G2042" s="3">
        <v>71424</v>
      </c>
      <c r="H2042" s="3" t="s">
        <v>2971</v>
      </c>
    </row>
    <row r="2043" spans="1:8" x14ac:dyDescent="0.35">
      <c r="A2043" t="s">
        <v>109</v>
      </c>
      <c r="B2043" s="26" t="s">
        <v>20</v>
      </c>
      <c r="C2043" s="20">
        <v>42944</v>
      </c>
      <c r="D2043" t="s">
        <v>47</v>
      </c>
      <c r="E2043" s="3">
        <v>500</v>
      </c>
      <c r="F2043" s="3">
        <v>75</v>
      </c>
      <c r="G2043" s="3">
        <v>35250</v>
      </c>
      <c r="H2043" s="3" t="s">
        <v>2971</v>
      </c>
    </row>
    <row r="2044" spans="1:8" x14ac:dyDescent="0.35">
      <c r="A2044" t="s">
        <v>51</v>
      </c>
      <c r="B2044" s="26" t="s">
        <v>25</v>
      </c>
      <c r="C2044" s="20">
        <v>43195</v>
      </c>
      <c r="D2044" t="s">
        <v>105</v>
      </c>
      <c r="E2044" s="3">
        <v>70</v>
      </c>
      <c r="F2044" s="3">
        <v>31</v>
      </c>
      <c r="G2044" s="3">
        <v>1891</v>
      </c>
      <c r="H2044" s="3" t="s">
        <v>2969</v>
      </c>
    </row>
    <row r="2045" spans="1:8" x14ac:dyDescent="0.35">
      <c r="A2045" t="s">
        <v>93</v>
      </c>
      <c r="B2045" s="26" t="s">
        <v>36</v>
      </c>
      <c r="C2045" s="20">
        <v>42151</v>
      </c>
      <c r="D2045" t="s">
        <v>26</v>
      </c>
      <c r="E2045" s="3">
        <v>700</v>
      </c>
      <c r="F2045" s="3">
        <v>82</v>
      </c>
      <c r="G2045" s="3">
        <v>44772</v>
      </c>
      <c r="H2045" s="3" t="s">
        <v>2965</v>
      </c>
    </row>
    <row r="2046" spans="1:8" x14ac:dyDescent="0.35">
      <c r="A2046" t="s">
        <v>35</v>
      </c>
      <c r="B2046" s="26" t="s">
        <v>36</v>
      </c>
      <c r="C2046" s="20">
        <v>41755</v>
      </c>
      <c r="D2046" t="s">
        <v>73</v>
      </c>
      <c r="E2046" s="3">
        <v>500</v>
      </c>
      <c r="F2046" s="3">
        <v>40</v>
      </c>
      <c r="G2046" s="3">
        <v>19800</v>
      </c>
      <c r="H2046" s="3" t="s">
        <v>2969</v>
      </c>
    </row>
    <row r="2047" spans="1:8" x14ac:dyDescent="0.35">
      <c r="A2047" t="s">
        <v>51</v>
      </c>
      <c r="B2047" s="26" t="s">
        <v>25</v>
      </c>
      <c r="C2047" s="20">
        <v>42417</v>
      </c>
      <c r="D2047" t="s">
        <v>56</v>
      </c>
      <c r="E2047" s="3">
        <v>800</v>
      </c>
      <c r="F2047" s="3">
        <v>70</v>
      </c>
      <c r="G2047" s="3">
        <v>41440</v>
      </c>
      <c r="H2047" s="3" t="s">
        <v>2967</v>
      </c>
    </row>
    <row r="2048" spans="1:8" x14ac:dyDescent="0.35">
      <c r="A2048" t="s">
        <v>189</v>
      </c>
      <c r="B2048" s="26" t="s">
        <v>14</v>
      </c>
      <c r="C2048" s="20">
        <v>42166</v>
      </c>
      <c r="D2048" t="s">
        <v>15</v>
      </c>
      <c r="E2048" s="3">
        <v>80</v>
      </c>
      <c r="F2048" s="3">
        <v>10</v>
      </c>
      <c r="G2048" s="3">
        <v>640</v>
      </c>
      <c r="H2048" s="3" t="s">
        <v>2970</v>
      </c>
    </row>
    <row r="2049" spans="1:8" x14ac:dyDescent="0.35">
      <c r="A2049" t="s">
        <v>41</v>
      </c>
      <c r="B2049" s="26" t="s">
        <v>36</v>
      </c>
      <c r="C2049" s="20">
        <v>41965</v>
      </c>
      <c r="D2049" t="s">
        <v>26</v>
      </c>
      <c r="E2049" s="3">
        <v>700</v>
      </c>
      <c r="F2049" s="3">
        <v>61</v>
      </c>
      <c r="G2049" s="3">
        <v>42273</v>
      </c>
      <c r="H2049" s="3" t="s">
        <v>2975</v>
      </c>
    </row>
    <row r="2050" spans="1:8" x14ac:dyDescent="0.35">
      <c r="A2050" t="s">
        <v>152</v>
      </c>
      <c r="B2050" s="26" t="s">
        <v>14</v>
      </c>
      <c r="C2050" s="20">
        <v>42340</v>
      </c>
      <c r="D2050" t="s">
        <v>123</v>
      </c>
      <c r="E2050" s="3">
        <v>50</v>
      </c>
      <c r="F2050" s="3">
        <v>19</v>
      </c>
      <c r="G2050" s="3">
        <v>722</v>
      </c>
      <c r="H2050" s="3" t="s">
        <v>2976</v>
      </c>
    </row>
    <row r="2051" spans="1:8" x14ac:dyDescent="0.35">
      <c r="A2051" t="s">
        <v>51</v>
      </c>
      <c r="B2051" s="26" t="s">
        <v>25</v>
      </c>
      <c r="C2051" s="20">
        <v>42126</v>
      </c>
      <c r="D2051" t="s">
        <v>31</v>
      </c>
      <c r="E2051" s="3">
        <v>150</v>
      </c>
      <c r="F2051" s="3">
        <v>19</v>
      </c>
      <c r="G2051" s="3">
        <v>2660</v>
      </c>
      <c r="H2051" s="3" t="s">
        <v>2965</v>
      </c>
    </row>
    <row r="2052" spans="1:8" x14ac:dyDescent="0.35">
      <c r="A2052" t="s">
        <v>83</v>
      </c>
      <c r="B2052" s="26" t="s">
        <v>14</v>
      </c>
      <c r="C2052" s="20">
        <v>41811</v>
      </c>
      <c r="D2052" t="s">
        <v>42</v>
      </c>
      <c r="E2052" s="3">
        <v>30</v>
      </c>
      <c r="F2052" s="3">
        <v>60</v>
      </c>
      <c r="G2052" s="3">
        <v>1440</v>
      </c>
      <c r="H2052" s="3" t="s">
        <v>2970</v>
      </c>
    </row>
    <row r="2053" spans="1:8" x14ac:dyDescent="0.35">
      <c r="A2053" t="s">
        <v>24</v>
      </c>
      <c r="B2053" s="26" t="s">
        <v>25</v>
      </c>
      <c r="C2053" s="20">
        <v>43034</v>
      </c>
      <c r="D2053" t="s">
        <v>15</v>
      </c>
      <c r="E2053" s="3">
        <v>80</v>
      </c>
      <c r="F2053" s="3">
        <v>27</v>
      </c>
      <c r="G2053" s="3">
        <v>1998</v>
      </c>
      <c r="H2053" s="3" t="s">
        <v>2974</v>
      </c>
    </row>
    <row r="2054" spans="1:8" x14ac:dyDescent="0.35">
      <c r="A2054" t="s">
        <v>402</v>
      </c>
      <c r="B2054" s="26" t="s">
        <v>14</v>
      </c>
      <c r="C2054" s="20">
        <v>42421</v>
      </c>
      <c r="D2054" t="s">
        <v>105</v>
      </c>
      <c r="E2054" s="3">
        <v>70</v>
      </c>
      <c r="F2054" s="3">
        <v>41</v>
      </c>
      <c r="G2054" s="3">
        <v>2542</v>
      </c>
      <c r="H2054" s="3" t="s">
        <v>2967</v>
      </c>
    </row>
    <row r="2055" spans="1:8" x14ac:dyDescent="0.35">
      <c r="A2055" t="s">
        <v>72</v>
      </c>
      <c r="B2055" s="26" t="s">
        <v>36</v>
      </c>
      <c r="C2055" s="20">
        <v>41880</v>
      </c>
      <c r="D2055" t="s">
        <v>15</v>
      </c>
      <c r="E2055" s="3">
        <v>80</v>
      </c>
      <c r="F2055" s="3">
        <v>1</v>
      </c>
      <c r="G2055" s="3">
        <v>76</v>
      </c>
      <c r="H2055" s="3" t="s">
        <v>2972</v>
      </c>
    </row>
    <row r="2056" spans="1:8" x14ac:dyDescent="0.35">
      <c r="A2056" t="s">
        <v>109</v>
      </c>
      <c r="B2056" s="26" t="s">
        <v>20</v>
      </c>
      <c r="C2056" s="20">
        <v>43424</v>
      </c>
      <c r="D2056" t="s">
        <v>37</v>
      </c>
      <c r="E2056" s="3">
        <v>50</v>
      </c>
      <c r="F2056" s="3">
        <v>55</v>
      </c>
      <c r="G2056" s="3">
        <v>2475</v>
      </c>
      <c r="H2056" s="3" t="s">
        <v>2975</v>
      </c>
    </row>
    <row r="2057" spans="1:8" x14ac:dyDescent="0.35">
      <c r="A2057" t="s">
        <v>109</v>
      </c>
      <c r="B2057" s="26" t="s">
        <v>20</v>
      </c>
      <c r="C2057" s="20">
        <v>43233</v>
      </c>
      <c r="D2057" t="s">
        <v>62</v>
      </c>
      <c r="E2057" s="3">
        <v>1000</v>
      </c>
      <c r="F2057" s="3">
        <v>36</v>
      </c>
      <c r="G2057" s="3">
        <v>24120</v>
      </c>
      <c r="H2057" s="3" t="s">
        <v>2965</v>
      </c>
    </row>
    <row r="2058" spans="1:8" x14ac:dyDescent="0.35">
      <c r="A2058" t="s">
        <v>176</v>
      </c>
      <c r="B2058" s="26" t="s">
        <v>14</v>
      </c>
      <c r="C2058" s="20">
        <v>43350</v>
      </c>
      <c r="D2058" t="s">
        <v>105</v>
      </c>
      <c r="E2058" s="3">
        <v>70</v>
      </c>
      <c r="F2058" s="3">
        <v>100</v>
      </c>
      <c r="G2058" s="3">
        <v>6700</v>
      </c>
      <c r="H2058" s="3" t="s">
        <v>2973</v>
      </c>
    </row>
    <row r="2059" spans="1:8" x14ac:dyDescent="0.35">
      <c r="A2059" t="s">
        <v>109</v>
      </c>
      <c r="B2059" s="26" t="s">
        <v>20</v>
      </c>
      <c r="C2059" s="20">
        <v>42997</v>
      </c>
      <c r="D2059" t="s">
        <v>37</v>
      </c>
      <c r="E2059" s="3">
        <v>50</v>
      </c>
      <c r="F2059" s="3">
        <v>61</v>
      </c>
      <c r="G2059" s="3">
        <v>2806</v>
      </c>
      <c r="H2059" s="3" t="s">
        <v>2973</v>
      </c>
    </row>
    <row r="2060" spans="1:8" x14ac:dyDescent="0.35">
      <c r="A2060" t="s">
        <v>93</v>
      </c>
      <c r="B2060" s="26" t="s">
        <v>36</v>
      </c>
      <c r="C2060" s="20">
        <v>43342</v>
      </c>
      <c r="D2060" t="s">
        <v>56</v>
      </c>
      <c r="E2060" s="3">
        <v>800</v>
      </c>
      <c r="F2060" s="3">
        <v>44</v>
      </c>
      <c r="G2060" s="3">
        <v>33088</v>
      </c>
      <c r="H2060" s="3" t="s">
        <v>2972</v>
      </c>
    </row>
    <row r="2061" spans="1:8" x14ac:dyDescent="0.35">
      <c r="A2061" t="s">
        <v>436</v>
      </c>
      <c r="B2061" s="26" t="s">
        <v>25</v>
      </c>
      <c r="C2061" s="20">
        <v>43209</v>
      </c>
      <c r="D2061" t="s">
        <v>73</v>
      </c>
      <c r="E2061" s="3">
        <v>500</v>
      </c>
      <c r="F2061" s="3">
        <v>100</v>
      </c>
      <c r="G2061" s="3">
        <v>49000</v>
      </c>
      <c r="H2061" s="3" t="s">
        <v>2969</v>
      </c>
    </row>
    <row r="2062" spans="1:8" x14ac:dyDescent="0.35">
      <c r="A2062" t="s">
        <v>30</v>
      </c>
      <c r="B2062" s="26" t="s">
        <v>14</v>
      </c>
      <c r="C2062" s="20">
        <v>42673</v>
      </c>
      <c r="D2062" t="s">
        <v>31</v>
      </c>
      <c r="E2062" s="3">
        <v>150</v>
      </c>
      <c r="F2062" s="3">
        <v>61</v>
      </c>
      <c r="G2062" s="3">
        <v>8967</v>
      </c>
      <c r="H2062" s="3" t="s">
        <v>2974</v>
      </c>
    </row>
    <row r="2063" spans="1:8" x14ac:dyDescent="0.35">
      <c r="A2063" t="s">
        <v>97</v>
      </c>
      <c r="B2063" s="26" t="s">
        <v>14</v>
      </c>
      <c r="C2063" s="20">
        <v>42301</v>
      </c>
      <c r="D2063" t="s">
        <v>73</v>
      </c>
      <c r="E2063" s="3">
        <v>500</v>
      </c>
      <c r="F2063" s="3">
        <v>48</v>
      </c>
      <c r="G2063" s="3">
        <v>23760</v>
      </c>
      <c r="H2063" s="3" t="s">
        <v>2974</v>
      </c>
    </row>
    <row r="2064" spans="1:8" x14ac:dyDescent="0.35">
      <c r="A2064" t="s">
        <v>83</v>
      </c>
      <c r="B2064" s="26" t="s">
        <v>14</v>
      </c>
      <c r="C2064" s="20">
        <v>42887</v>
      </c>
      <c r="D2064" t="s">
        <v>73</v>
      </c>
      <c r="E2064" s="3">
        <v>500</v>
      </c>
      <c r="F2064" s="3">
        <v>39</v>
      </c>
      <c r="G2064" s="3">
        <v>19500</v>
      </c>
      <c r="H2064" s="3" t="s">
        <v>2970</v>
      </c>
    </row>
    <row r="2065" spans="1:8" x14ac:dyDescent="0.35">
      <c r="A2065" t="s">
        <v>257</v>
      </c>
      <c r="B2065" s="26" t="s">
        <v>14</v>
      </c>
      <c r="C2065" s="20">
        <v>42426</v>
      </c>
      <c r="D2065" t="s">
        <v>62</v>
      </c>
      <c r="E2065" s="3">
        <v>1000</v>
      </c>
      <c r="F2065" s="3">
        <v>28</v>
      </c>
      <c r="G2065" s="3">
        <v>19040</v>
      </c>
      <c r="H2065" s="3" t="s">
        <v>2967</v>
      </c>
    </row>
    <row r="2066" spans="1:8" x14ac:dyDescent="0.35">
      <c r="A2066" t="s">
        <v>109</v>
      </c>
      <c r="B2066" s="26" t="s">
        <v>20</v>
      </c>
      <c r="C2066" s="20">
        <v>43413</v>
      </c>
      <c r="D2066" t="s">
        <v>42</v>
      </c>
      <c r="E2066" s="3">
        <v>30</v>
      </c>
      <c r="F2066" s="3">
        <v>25</v>
      </c>
      <c r="G2066" s="3">
        <v>675</v>
      </c>
      <c r="H2066" s="3" t="s">
        <v>2975</v>
      </c>
    </row>
    <row r="2067" spans="1:8" x14ac:dyDescent="0.35">
      <c r="A2067" t="s">
        <v>51</v>
      </c>
      <c r="B2067" s="26" t="s">
        <v>25</v>
      </c>
      <c r="C2067" s="20">
        <v>43397</v>
      </c>
      <c r="D2067" t="s">
        <v>123</v>
      </c>
      <c r="E2067" s="3">
        <v>50</v>
      </c>
      <c r="F2067" s="3">
        <v>66</v>
      </c>
      <c r="G2067" s="3">
        <v>2904</v>
      </c>
      <c r="H2067" s="3" t="s">
        <v>2974</v>
      </c>
    </row>
    <row r="2068" spans="1:8" x14ac:dyDescent="0.35">
      <c r="A2068" t="s">
        <v>109</v>
      </c>
      <c r="B2068" s="26" t="s">
        <v>20</v>
      </c>
      <c r="C2068" s="20">
        <v>43203</v>
      </c>
      <c r="D2068" t="s">
        <v>15</v>
      </c>
      <c r="E2068" s="3">
        <v>80</v>
      </c>
      <c r="F2068" s="3">
        <v>66</v>
      </c>
      <c r="G2068" s="3">
        <v>5280</v>
      </c>
      <c r="H2068" s="3" t="s">
        <v>2969</v>
      </c>
    </row>
    <row r="2069" spans="1:8" x14ac:dyDescent="0.35">
      <c r="A2069" t="s">
        <v>152</v>
      </c>
      <c r="B2069" s="26" t="s">
        <v>14</v>
      </c>
      <c r="C2069" s="20">
        <v>41660</v>
      </c>
      <c r="D2069" t="s">
        <v>47</v>
      </c>
      <c r="E2069" s="3">
        <v>500</v>
      </c>
      <c r="F2069" s="3">
        <v>49</v>
      </c>
      <c r="G2069" s="3">
        <v>17640</v>
      </c>
      <c r="H2069" s="3" t="s">
        <v>2966</v>
      </c>
    </row>
    <row r="2070" spans="1:8" x14ac:dyDescent="0.35">
      <c r="A2070" t="s">
        <v>109</v>
      </c>
      <c r="B2070" s="26" t="s">
        <v>20</v>
      </c>
      <c r="C2070" s="20">
        <v>41859</v>
      </c>
      <c r="D2070" t="s">
        <v>56</v>
      </c>
      <c r="E2070" s="3">
        <v>800</v>
      </c>
      <c r="F2070" s="3">
        <v>59</v>
      </c>
      <c r="G2070" s="3">
        <v>38704</v>
      </c>
      <c r="H2070" s="3" t="s">
        <v>2972</v>
      </c>
    </row>
    <row r="2071" spans="1:8" x14ac:dyDescent="0.35">
      <c r="A2071" t="s">
        <v>109</v>
      </c>
      <c r="B2071" s="26" t="s">
        <v>20</v>
      </c>
      <c r="C2071" s="20">
        <v>42507</v>
      </c>
      <c r="D2071" t="s">
        <v>116</v>
      </c>
      <c r="E2071" s="3">
        <v>250</v>
      </c>
      <c r="F2071" s="3">
        <v>10</v>
      </c>
      <c r="G2071" s="3">
        <v>2480</v>
      </c>
      <c r="H2071" s="3" t="s">
        <v>2965</v>
      </c>
    </row>
    <row r="2072" spans="1:8" x14ac:dyDescent="0.35">
      <c r="A2072" t="s">
        <v>46</v>
      </c>
      <c r="B2072" s="26" t="s">
        <v>25</v>
      </c>
      <c r="C2072" s="20">
        <v>42634</v>
      </c>
      <c r="D2072" t="s">
        <v>123</v>
      </c>
      <c r="E2072" s="3">
        <v>50</v>
      </c>
      <c r="F2072" s="3">
        <v>37</v>
      </c>
      <c r="G2072" s="3">
        <v>1813</v>
      </c>
      <c r="H2072" s="3" t="s">
        <v>2973</v>
      </c>
    </row>
    <row r="2073" spans="1:8" x14ac:dyDescent="0.35">
      <c r="A2073" t="s">
        <v>13</v>
      </c>
      <c r="B2073" s="26" t="s">
        <v>14</v>
      </c>
      <c r="C2073" s="20">
        <v>42620</v>
      </c>
      <c r="D2073" t="s">
        <v>47</v>
      </c>
      <c r="E2073" s="3">
        <v>500</v>
      </c>
      <c r="F2073" s="3">
        <v>25</v>
      </c>
      <c r="G2073" s="3">
        <v>12000</v>
      </c>
      <c r="H2073" s="3" t="s">
        <v>2973</v>
      </c>
    </row>
    <row r="2074" spans="1:8" x14ac:dyDescent="0.35">
      <c r="A2074" t="s">
        <v>93</v>
      </c>
      <c r="B2074" s="26" t="s">
        <v>36</v>
      </c>
      <c r="C2074" s="20">
        <v>41642</v>
      </c>
      <c r="D2074" t="s">
        <v>62</v>
      </c>
      <c r="E2074" s="3">
        <v>1000</v>
      </c>
      <c r="F2074" s="3">
        <v>1</v>
      </c>
      <c r="G2074" s="3">
        <v>620</v>
      </c>
      <c r="H2074" s="3" t="s">
        <v>2966</v>
      </c>
    </row>
    <row r="2075" spans="1:8" x14ac:dyDescent="0.35">
      <c r="A2075" t="s">
        <v>19</v>
      </c>
      <c r="B2075" s="26" t="s">
        <v>20</v>
      </c>
      <c r="C2075" s="20">
        <v>42222</v>
      </c>
      <c r="D2075" t="s">
        <v>116</v>
      </c>
      <c r="E2075" s="3">
        <v>250</v>
      </c>
      <c r="F2075" s="3">
        <v>76</v>
      </c>
      <c r="G2075" s="3">
        <v>14440</v>
      </c>
      <c r="H2075" s="3" t="s">
        <v>2972</v>
      </c>
    </row>
    <row r="2076" spans="1:8" x14ac:dyDescent="0.35">
      <c r="A2076" t="s">
        <v>55</v>
      </c>
      <c r="B2076" s="26" t="s">
        <v>14</v>
      </c>
      <c r="C2076" s="20">
        <v>42875</v>
      </c>
      <c r="D2076" t="s">
        <v>56</v>
      </c>
      <c r="E2076" s="3">
        <v>800</v>
      </c>
      <c r="F2076" s="3">
        <v>29</v>
      </c>
      <c r="G2076" s="3">
        <v>19720</v>
      </c>
      <c r="H2076" s="3" t="s">
        <v>2965</v>
      </c>
    </row>
    <row r="2077" spans="1:8" x14ac:dyDescent="0.35">
      <c r="A2077" t="s">
        <v>72</v>
      </c>
      <c r="B2077" s="26" t="s">
        <v>36</v>
      </c>
      <c r="C2077" s="20">
        <v>43348</v>
      </c>
      <c r="D2077" t="s">
        <v>47</v>
      </c>
      <c r="E2077" s="3">
        <v>500</v>
      </c>
      <c r="F2077" s="3">
        <v>38</v>
      </c>
      <c r="G2077" s="3">
        <v>18240</v>
      </c>
      <c r="H2077" s="3" t="s">
        <v>2973</v>
      </c>
    </row>
    <row r="2078" spans="1:8" x14ac:dyDescent="0.35">
      <c r="A2078" t="s">
        <v>436</v>
      </c>
      <c r="B2078" s="26" t="s">
        <v>25</v>
      </c>
      <c r="C2078" s="20">
        <v>43450</v>
      </c>
      <c r="D2078" t="s">
        <v>123</v>
      </c>
      <c r="E2078" s="3">
        <v>50</v>
      </c>
      <c r="F2078" s="3">
        <v>60</v>
      </c>
      <c r="G2078" s="3">
        <v>2940</v>
      </c>
      <c r="H2078" s="3" t="s">
        <v>2976</v>
      </c>
    </row>
    <row r="2079" spans="1:8" x14ac:dyDescent="0.35">
      <c r="A2079" t="s">
        <v>402</v>
      </c>
      <c r="B2079" s="26" t="s">
        <v>14</v>
      </c>
      <c r="C2079" s="20">
        <v>42054</v>
      </c>
      <c r="D2079" t="s">
        <v>15</v>
      </c>
      <c r="E2079" s="3">
        <v>80</v>
      </c>
      <c r="F2079" s="3">
        <v>43</v>
      </c>
      <c r="G2079" s="3">
        <v>2494</v>
      </c>
      <c r="H2079" s="3" t="s">
        <v>2967</v>
      </c>
    </row>
    <row r="2080" spans="1:8" x14ac:dyDescent="0.35">
      <c r="A2080" t="s">
        <v>109</v>
      </c>
      <c r="B2080" s="26" t="s">
        <v>20</v>
      </c>
      <c r="C2080" s="20">
        <v>42491</v>
      </c>
      <c r="D2080" t="s">
        <v>47</v>
      </c>
      <c r="E2080" s="3">
        <v>500</v>
      </c>
      <c r="F2080" s="3">
        <v>15</v>
      </c>
      <c r="G2080" s="3">
        <v>7500</v>
      </c>
      <c r="H2080" s="3" t="s">
        <v>2965</v>
      </c>
    </row>
    <row r="2081" spans="1:8" x14ac:dyDescent="0.35">
      <c r="A2081" t="s">
        <v>83</v>
      </c>
      <c r="B2081" s="26" t="s">
        <v>14</v>
      </c>
      <c r="C2081" s="20">
        <v>41926</v>
      </c>
      <c r="D2081" t="s">
        <v>26</v>
      </c>
      <c r="E2081" s="3">
        <v>700</v>
      </c>
      <c r="F2081" s="3">
        <v>76</v>
      </c>
      <c r="G2081" s="3">
        <v>43624</v>
      </c>
      <c r="H2081" s="3" t="s">
        <v>2974</v>
      </c>
    </row>
    <row r="2082" spans="1:8" x14ac:dyDescent="0.35">
      <c r="A2082" t="s">
        <v>243</v>
      </c>
      <c r="B2082" s="26" t="s">
        <v>14</v>
      </c>
      <c r="C2082" s="20">
        <v>43132</v>
      </c>
      <c r="D2082" t="s">
        <v>37</v>
      </c>
      <c r="E2082" s="3">
        <v>50</v>
      </c>
      <c r="F2082" s="3">
        <v>83</v>
      </c>
      <c r="G2082" s="3">
        <v>3901</v>
      </c>
      <c r="H2082" s="3" t="s">
        <v>2967</v>
      </c>
    </row>
    <row r="2083" spans="1:8" x14ac:dyDescent="0.35">
      <c r="A2083" t="s">
        <v>41</v>
      </c>
      <c r="B2083" s="26" t="s">
        <v>36</v>
      </c>
      <c r="C2083" s="20">
        <v>43436</v>
      </c>
      <c r="D2083" t="s">
        <v>42</v>
      </c>
      <c r="E2083" s="3">
        <v>30</v>
      </c>
      <c r="F2083" s="3">
        <v>51</v>
      </c>
      <c r="G2083" s="3">
        <v>1326</v>
      </c>
      <c r="H2083" s="3" t="s">
        <v>2976</v>
      </c>
    </row>
    <row r="2084" spans="1:8" x14ac:dyDescent="0.35">
      <c r="A2084" t="s">
        <v>35</v>
      </c>
      <c r="B2084" s="26" t="s">
        <v>36</v>
      </c>
      <c r="C2084" s="20">
        <v>41965</v>
      </c>
      <c r="D2084" t="s">
        <v>42</v>
      </c>
      <c r="E2084" s="3">
        <v>30</v>
      </c>
      <c r="F2084" s="3">
        <v>100</v>
      </c>
      <c r="G2084" s="3">
        <v>2200</v>
      </c>
      <c r="H2084" s="3" t="s">
        <v>2975</v>
      </c>
    </row>
    <row r="2085" spans="1:8" x14ac:dyDescent="0.35">
      <c r="A2085" t="s">
        <v>101</v>
      </c>
      <c r="B2085" s="26" t="s">
        <v>14</v>
      </c>
      <c r="C2085" s="20">
        <v>42279</v>
      </c>
      <c r="D2085" t="s">
        <v>26</v>
      </c>
      <c r="E2085" s="3">
        <v>700</v>
      </c>
      <c r="F2085" s="3">
        <v>20</v>
      </c>
      <c r="G2085" s="3">
        <v>13580</v>
      </c>
      <c r="H2085" s="3" t="s">
        <v>2974</v>
      </c>
    </row>
    <row r="2086" spans="1:8" x14ac:dyDescent="0.35">
      <c r="A2086" t="s">
        <v>257</v>
      </c>
      <c r="B2086" s="26" t="s">
        <v>14</v>
      </c>
      <c r="C2086" s="20">
        <v>41920</v>
      </c>
      <c r="D2086" t="s">
        <v>62</v>
      </c>
      <c r="E2086" s="3">
        <v>1000</v>
      </c>
      <c r="F2086" s="3">
        <v>6</v>
      </c>
      <c r="G2086" s="3">
        <v>5100</v>
      </c>
      <c r="H2086" s="3" t="s">
        <v>2974</v>
      </c>
    </row>
    <row r="2087" spans="1:8" x14ac:dyDescent="0.35">
      <c r="A2087" t="s">
        <v>72</v>
      </c>
      <c r="B2087" s="26" t="s">
        <v>36</v>
      </c>
      <c r="C2087" s="20">
        <v>43274</v>
      </c>
      <c r="D2087" t="s">
        <v>73</v>
      </c>
      <c r="E2087" s="3">
        <v>500</v>
      </c>
      <c r="F2087" s="3">
        <v>73</v>
      </c>
      <c r="G2087" s="3">
        <v>35770</v>
      </c>
      <c r="H2087" s="3" t="s">
        <v>2970</v>
      </c>
    </row>
    <row r="2088" spans="1:8" x14ac:dyDescent="0.35">
      <c r="A2088" t="s">
        <v>101</v>
      </c>
      <c r="B2088" s="26" t="s">
        <v>14</v>
      </c>
      <c r="C2088" s="20">
        <v>42588</v>
      </c>
      <c r="D2088" t="s">
        <v>105</v>
      </c>
      <c r="E2088" s="3">
        <v>70</v>
      </c>
      <c r="F2088" s="3">
        <v>73</v>
      </c>
      <c r="G2088" s="3">
        <v>5110</v>
      </c>
      <c r="H2088" s="3" t="s">
        <v>2972</v>
      </c>
    </row>
    <row r="2089" spans="1:8" x14ac:dyDescent="0.35">
      <c r="A2089" t="s">
        <v>72</v>
      </c>
      <c r="B2089" s="26" t="s">
        <v>36</v>
      </c>
      <c r="C2089" s="20">
        <v>41808</v>
      </c>
      <c r="D2089" t="s">
        <v>47</v>
      </c>
      <c r="E2089" s="3">
        <v>500</v>
      </c>
      <c r="F2089" s="3">
        <v>11</v>
      </c>
      <c r="G2089" s="3">
        <v>5005</v>
      </c>
      <c r="H2089" s="3" t="s">
        <v>2970</v>
      </c>
    </row>
    <row r="2090" spans="1:8" x14ac:dyDescent="0.35">
      <c r="A2090" t="s">
        <v>148</v>
      </c>
      <c r="B2090" s="26" t="s">
        <v>14</v>
      </c>
      <c r="C2090" s="20">
        <v>41843</v>
      </c>
      <c r="D2090" t="s">
        <v>42</v>
      </c>
      <c r="E2090" s="3">
        <v>30</v>
      </c>
      <c r="F2090" s="3">
        <v>68</v>
      </c>
      <c r="G2090" s="3">
        <v>1768</v>
      </c>
      <c r="H2090" s="3" t="s">
        <v>2971</v>
      </c>
    </row>
    <row r="2091" spans="1:8" x14ac:dyDescent="0.35">
      <c r="A2091" t="s">
        <v>66</v>
      </c>
      <c r="B2091" s="26" t="s">
        <v>36</v>
      </c>
      <c r="C2091" s="20">
        <v>42744</v>
      </c>
      <c r="D2091" t="s">
        <v>105</v>
      </c>
      <c r="E2091" s="3">
        <v>70</v>
      </c>
      <c r="F2091" s="3">
        <v>11</v>
      </c>
      <c r="G2091" s="3">
        <v>759</v>
      </c>
      <c r="H2091" s="3" t="s">
        <v>2966</v>
      </c>
    </row>
    <row r="2092" spans="1:8" x14ac:dyDescent="0.35">
      <c r="A2092" t="s">
        <v>35</v>
      </c>
      <c r="B2092" s="26" t="s">
        <v>36</v>
      </c>
      <c r="C2092" s="20">
        <v>43412</v>
      </c>
      <c r="D2092" t="s">
        <v>15</v>
      </c>
      <c r="E2092" s="3">
        <v>80</v>
      </c>
      <c r="F2092" s="3">
        <v>46</v>
      </c>
      <c r="G2092" s="3">
        <v>3174</v>
      </c>
      <c r="H2092" s="3" t="s">
        <v>2975</v>
      </c>
    </row>
    <row r="2093" spans="1:8" x14ac:dyDescent="0.35">
      <c r="A2093" t="s">
        <v>101</v>
      </c>
      <c r="B2093" s="26" t="s">
        <v>14</v>
      </c>
      <c r="C2093" s="20">
        <v>42934</v>
      </c>
      <c r="D2093" t="s">
        <v>31</v>
      </c>
      <c r="E2093" s="3">
        <v>150</v>
      </c>
      <c r="F2093" s="3">
        <v>48</v>
      </c>
      <c r="G2093" s="3">
        <v>6768</v>
      </c>
      <c r="H2093" s="3" t="s">
        <v>2971</v>
      </c>
    </row>
    <row r="2094" spans="1:8" x14ac:dyDescent="0.35">
      <c r="A2094" t="s">
        <v>109</v>
      </c>
      <c r="B2094" s="26" t="s">
        <v>20</v>
      </c>
      <c r="C2094" s="20">
        <v>42211</v>
      </c>
      <c r="D2094" t="s">
        <v>123</v>
      </c>
      <c r="E2094" s="3">
        <v>50</v>
      </c>
      <c r="F2094" s="3">
        <v>54</v>
      </c>
      <c r="G2094" s="3">
        <v>1944</v>
      </c>
      <c r="H2094" s="3" t="s">
        <v>2971</v>
      </c>
    </row>
    <row r="2095" spans="1:8" x14ac:dyDescent="0.35">
      <c r="A2095" t="s">
        <v>243</v>
      </c>
      <c r="B2095" s="26" t="s">
        <v>14</v>
      </c>
      <c r="C2095" s="20">
        <v>41976</v>
      </c>
      <c r="D2095" t="s">
        <v>56</v>
      </c>
      <c r="E2095" s="3">
        <v>800</v>
      </c>
      <c r="F2095" s="3">
        <v>88</v>
      </c>
      <c r="G2095" s="3">
        <v>53504</v>
      </c>
      <c r="H2095" s="3" t="s">
        <v>2976</v>
      </c>
    </row>
    <row r="2096" spans="1:8" x14ac:dyDescent="0.35">
      <c r="A2096" t="s">
        <v>152</v>
      </c>
      <c r="B2096" s="26" t="s">
        <v>14</v>
      </c>
      <c r="C2096" s="20">
        <v>41765</v>
      </c>
      <c r="D2096" t="s">
        <v>73</v>
      </c>
      <c r="E2096" s="3">
        <v>500</v>
      </c>
      <c r="F2096" s="3">
        <v>42</v>
      </c>
      <c r="G2096" s="3">
        <v>20790</v>
      </c>
      <c r="H2096" s="3" t="s">
        <v>2965</v>
      </c>
    </row>
    <row r="2097" spans="1:8" x14ac:dyDescent="0.35">
      <c r="A2097" t="s">
        <v>55</v>
      </c>
      <c r="B2097" s="26" t="s">
        <v>14</v>
      </c>
      <c r="C2097" s="20">
        <v>42272</v>
      </c>
      <c r="D2097" t="s">
        <v>31</v>
      </c>
      <c r="E2097" s="3">
        <v>150</v>
      </c>
      <c r="F2097" s="3">
        <v>16</v>
      </c>
      <c r="G2097" s="3">
        <v>2016</v>
      </c>
      <c r="H2097" s="3" t="s">
        <v>2973</v>
      </c>
    </row>
    <row r="2098" spans="1:8" x14ac:dyDescent="0.35">
      <c r="A2098" t="s">
        <v>41</v>
      </c>
      <c r="B2098" s="26" t="s">
        <v>36</v>
      </c>
      <c r="C2098" s="20">
        <v>43139</v>
      </c>
      <c r="D2098" t="s">
        <v>37</v>
      </c>
      <c r="E2098" s="3">
        <v>50</v>
      </c>
      <c r="F2098" s="3">
        <v>44</v>
      </c>
      <c r="G2098" s="3">
        <v>748</v>
      </c>
      <c r="H2098" s="3" t="s">
        <v>2967</v>
      </c>
    </row>
    <row r="2099" spans="1:8" x14ac:dyDescent="0.35">
      <c r="A2099" t="s">
        <v>30</v>
      </c>
      <c r="B2099" s="26" t="s">
        <v>14</v>
      </c>
      <c r="C2099" s="20">
        <v>43044</v>
      </c>
      <c r="D2099" t="s">
        <v>42</v>
      </c>
      <c r="E2099" s="3">
        <v>30</v>
      </c>
      <c r="F2099" s="3">
        <v>47</v>
      </c>
      <c r="G2099" s="3">
        <v>1316</v>
      </c>
      <c r="H2099" s="3" t="s">
        <v>2975</v>
      </c>
    </row>
    <row r="2100" spans="1:8" x14ac:dyDescent="0.35">
      <c r="A2100" t="s">
        <v>109</v>
      </c>
      <c r="B2100" s="26" t="s">
        <v>20</v>
      </c>
      <c r="C2100" s="20">
        <v>42416</v>
      </c>
      <c r="D2100" t="s">
        <v>62</v>
      </c>
      <c r="E2100" s="3">
        <v>1000</v>
      </c>
      <c r="F2100" s="3">
        <v>87</v>
      </c>
      <c r="G2100" s="3">
        <v>70470</v>
      </c>
      <c r="H2100" s="3" t="s">
        <v>2967</v>
      </c>
    </row>
    <row r="2101" spans="1:8" x14ac:dyDescent="0.35">
      <c r="A2101" t="s">
        <v>41</v>
      </c>
      <c r="B2101" s="26" t="s">
        <v>36</v>
      </c>
      <c r="C2101" s="20">
        <v>41939</v>
      </c>
      <c r="D2101" t="s">
        <v>26</v>
      </c>
      <c r="E2101" s="3">
        <v>700</v>
      </c>
      <c r="F2101" s="3">
        <v>34</v>
      </c>
      <c r="G2101" s="3">
        <v>23800</v>
      </c>
      <c r="H2101" s="3" t="s">
        <v>2974</v>
      </c>
    </row>
    <row r="2102" spans="1:8" x14ac:dyDescent="0.35">
      <c r="A2102" t="s">
        <v>109</v>
      </c>
      <c r="B2102" s="26" t="s">
        <v>20</v>
      </c>
      <c r="C2102" s="20">
        <v>43360</v>
      </c>
      <c r="D2102" t="s">
        <v>37</v>
      </c>
      <c r="E2102" s="3">
        <v>50</v>
      </c>
      <c r="F2102" s="3">
        <v>69</v>
      </c>
      <c r="G2102" s="3">
        <v>3312</v>
      </c>
      <c r="H2102" s="3" t="s">
        <v>2973</v>
      </c>
    </row>
    <row r="2103" spans="1:8" x14ac:dyDescent="0.35">
      <c r="A2103" t="s">
        <v>109</v>
      </c>
      <c r="B2103" s="26" t="s">
        <v>20</v>
      </c>
      <c r="C2103" s="20">
        <v>42596</v>
      </c>
      <c r="D2103" t="s">
        <v>123</v>
      </c>
      <c r="E2103" s="3">
        <v>50</v>
      </c>
      <c r="F2103" s="3">
        <v>25</v>
      </c>
      <c r="G2103" s="3">
        <v>1075</v>
      </c>
      <c r="H2103" s="3" t="s">
        <v>2972</v>
      </c>
    </row>
    <row r="2104" spans="1:8" x14ac:dyDescent="0.35">
      <c r="A2104" t="s">
        <v>229</v>
      </c>
      <c r="B2104" s="26" t="s">
        <v>25</v>
      </c>
      <c r="C2104" s="20">
        <v>42231</v>
      </c>
      <c r="D2104" t="s">
        <v>56</v>
      </c>
      <c r="E2104" s="3">
        <v>800</v>
      </c>
      <c r="F2104" s="3">
        <v>88</v>
      </c>
      <c r="G2104" s="3">
        <v>44352</v>
      </c>
      <c r="H2104" s="3" t="s">
        <v>2972</v>
      </c>
    </row>
    <row r="2105" spans="1:8" x14ac:dyDescent="0.35">
      <c r="A2105" t="s">
        <v>120</v>
      </c>
      <c r="B2105" s="26" t="s">
        <v>36</v>
      </c>
      <c r="C2105" s="20">
        <v>43200</v>
      </c>
      <c r="D2105" t="s">
        <v>15</v>
      </c>
      <c r="E2105" s="3">
        <v>80</v>
      </c>
      <c r="F2105" s="3">
        <v>36</v>
      </c>
      <c r="G2105" s="3">
        <v>2736</v>
      </c>
      <c r="H2105" s="3" t="s">
        <v>2969</v>
      </c>
    </row>
    <row r="2106" spans="1:8" x14ac:dyDescent="0.35">
      <c r="A2106" t="s">
        <v>66</v>
      </c>
      <c r="B2106" s="26" t="s">
        <v>36</v>
      </c>
      <c r="C2106" s="20">
        <v>42203</v>
      </c>
      <c r="D2106" t="s">
        <v>42</v>
      </c>
      <c r="E2106" s="3">
        <v>30</v>
      </c>
      <c r="F2106" s="3">
        <v>70</v>
      </c>
      <c r="G2106" s="3">
        <v>2030</v>
      </c>
      <c r="H2106" s="3" t="s">
        <v>2971</v>
      </c>
    </row>
    <row r="2107" spans="1:8" x14ac:dyDescent="0.35">
      <c r="A2107" t="s">
        <v>93</v>
      </c>
      <c r="B2107" s="26" t="s">
        <v>36</v>
      </c>
      <c r="C2107" s="20">
        <v>42083</v>
      </c>
      <c r="D2107" t="s">
        <v>26</v>
      </c>
      <c r="E2107" s="3">
        <v>700</v>
      </c>
      <c r="F2107" s="3">
        <v>92</v>
      </c>
      <c r="G2107" s="3">
        <v>59248</v>
      </c>
      <c r="H2107" s="3" t="s">
        <v>2968</v>
      </c>
    </row>
    <row r="2108" spans="1:8" x14ac:dyDescent="0.35">
      <c r="A2108" t="s">
        <v>109</v>
      </c>
      <c r="B2108" s="26" t="s">
        <v>20</v>
      </c>
      <c r="C2108" s="20">
        <v>43464</v>
      </c>
      <c r="D2108" t="s">
        <v>105</v>
      </c>
      <c r="E2108" s="3">
        <v>70</v>
      </c>
      <c r="F2108" s="3">
        <v>29</v>
      </c>
      <c r="G2108" s="3">
        <v>2001</v>
      </c>
      <c r="H2108" s="3" t="s">
        <v>2976</v>
      </c>
    </row>
    <row r="2109" spans="1:8" x14ac:dyDescent="0.35">
      <c r="A2109" t="s">
        <v>120</v>
      </c>
      <c r="B2109" s="26" t="s">
        <v>36</v>
      </c>
      <c r="C2109" s="20">
        <v>43168</v>
      </c>
      <c r="D2109" t="s">
        <v>62</v>
      </c>
      <c r="E2109" s="3">
        <v>1000</v>
      </c>
      <c r="F2109" s="3">
        <v>70</v>
      </c>
      <c r="G2109" s="3">
        <v>54600</v>
      </c>
      <c r="H2109" s="3" t="s">
        <v>2968</v>
      </c>
    </row>
    <row r="2110" spans="1:8" x14ac:dyDescent="0.35">
      <c r="A2110" t="s">
        <v>72</v>
      </c>
      <c r="B2110" s="26" t="s">
        <v>36</v>
      </c>
      <c r="C2110" s="20">
        <v>42455</v>
      </c>
      <c r="D2110" t="s">
        <v>123</v>
      </c>
      <c r="E2110" s="3">
        <v>50</v>
      </c>
      <c r="F2110" s="3">
        <v>59</v>
      </c>
      <c r="G2110" s="3">
        <v>2655</v>
      </c>
      <c r="H2110" s="3" t="s">
        <v>2968</v>
      </c>
    </row>
    <row r="2111" spans="1:8" x14ac:dyDescent="0.35">
      <c r="A2111" t="s">
        <v>55</v>
      </c>
      <c r="B2111" s="26" t="s">
        <v>14</v>
      </c>
      <c r="C2111" s="20">
        <v>41829</v>
      </c>
      <c r="D2111" t="s">
        <v>105</v>
      </c>
      <c r="E2111" s="3">
        <v>70</v>
      </c>
      <c r="F2111" s="3">
        <v>84</v>
      </c>
      <c r="G2111" s="3">
        <v>5880</v>
      </c>
      <c r="H2111" s="3" t="s">
        <v>2971</v>
      </c>
    </row>
    <row r="2112" spans="1:8" x14ac:dyDescent="0.35">
      <c r="A2112" t="s">
        <v>148</v>
      </c>
      <c r="B2112" s="26" t="s">
        <v>14</v>
      </c>
      <c r="C2112" s="20">
        <v>42042</v>
      </c>
      <c r="D2112" t="s">
        <v>116</v>
      </c>
      <c r="E2112" s="3">
        <v>250</v>
      </c>
      <c r="F2112" s="3">
        <v>85</v>
      </c>
      <c r="G2112" s="3">
        <v>19125</v>
      </c>
      <c r="H2112" s="3" t="s">
        <v>2967</v>
      </c>
    </row>
    <row r="2113" spans="1:8" x14ac:dyDescent="0.35">
      <c r="A2113" t="s">
        <v>79</v>
      </c>
      <c r="B2113" s="26" t="s">
        <v>36</v>
      </c>
      <c r="C2113" s="20">
        <v>41661</v>
      </c>
      <c r="D2113" t="s">
        <v>116</v>
      </c>
      <c r="E2113" s="3">
        <v>250</v>
      </c>
      <c r="F2113" s="3">
        <v>83</v>
      </c>
      <c r="G2113" s="3">
        <v>17015</v>
      </c>
      <c r="H2113" s="3" t="s">
        <v>2966</v>
      </c>
    </row>
    <row r="2114" spans="1:8" x14ac:dyDescent="0.35">
      <c r="A2114" t="s">
        <v>93</v>
      </c>
      <c r="B2114" s="26" t="s">
        <v>36</v>
      </c>
      <c r="C2114" s="20">
        <v>42606</v>
      </c>
      <c r="D2114" t="s">
        <v>31</v>
      </c>
      <c r="E2114" s="3">
        <v>150</v>
      </c>
      <c r="F2114" s="3">
        <v>59</v>
      </c>
      <c r="G2114" s="3">
        <v>7729</v>
      </c>
      <c r="H2114" s="3" t="s">
        <v>2972</v>
      </c>
    </row>
    <row r="2115" spans="1:8" x14ac:dyDescent="0.35">
      <c r="A2115" t="s">
        <v>72</v>
      </c>
      <c r="B2115" s="26" t="s">
        <v>36</v>
      </c>
      <c r="C2115" s="20">
        <v>41788</v>
      </c>
      <c r="D2115" t="s">
        <v>42</v>
      </c>
      <c r="E2115" s="3">
        <v>30</v>
      </c>
      <c r="F2115" s="3">
        <v>94</v>
      </c>
      <c r="G2115" s="3">
        <v>2162</v>
      </c>
      <c r="H2115" s="3" t="s">
        <v>2965</v>
      </c>
    </row>
    <row r="2116" spans="1:8" x14ac:dyDescent="0.35">
      <c r="A2116" t="s">
        <v>66</v>
      </c>
      <c r="B2116" s="26" t="s">
        <v>36</v>
      </c>
      <c r="C2116" s="20">
        <v>42969</v>
      </c>
      <c r="D2116" t="s">
        <v>31</v>
      </c>
      <c r="E2116" s="3">
        <v>150</v>
      </c>
      <c r="F2116" s="3">
        <v>99</v>
      </c>
      <c r="G2116" s="3">
        <v>14850</v>
      </c>
      <c r="H2116" s="3" t="s">
        <v>2972</v>
      </c>
    </row>
    <row r="2117" spans="1:8" x14ac:dyDescent="0.35">
      <c r="A2117" t="s">
        <v>87</v>
      </c>
      <c r="B2117" s="26" t="s">
        <v>14</v>
      </c>
      <c r="C2117" s="20">
        <v>42998</v>
      </c>
      <c r="D2117" t="s">
        <v>105</v>
      </c>
      <c r="E2117" s="3">
        <v>70</v>
      </c>
      <c r="F2117" s="3">
        <v>51</v>
      </c>
      <c r="G2117" s="3">
        <v>3519</v>
      </c>
      <c r="H2117" s="3" t="s">
        <v>2973</v>
      </c>
    </row>
    <row r="2118" spans="1:8" x14ac:dyDescent="0.35">
      <c r="A2118" t="s">
        <v>72</v>
      </c>
      <c r="B2118" s="26" t="s">
        <v>36</v>
      </c>
      <c r="C2118" s="20">
        <v>43182</v>
      </c>
      <c r="D2118" t="s">
        <v>31</v>
      </c>
      <c r="E2118" s="3">
        <v>150</v>
      </c>
      <c r="F2118" s="3">
        <v>78</v>
      </c>
      <c r="G2118" s="3">
        <v>9984</v>
      </c>
      <c r="H2118" s="3" t="s">
        <v>2968</v>
      </c>
    </row>
    <row r="2119" spans="1:8" x14ac:dyDescent="0.35">
      <c r="A2119" t="s">
        <v>243</v>
      </c>
      <c r="B2119" s="26" t="s">
        <v>14</v>
      </c>
      <c r="C2119" s="20">
        <v>43008</v>
      </c>
      <c r="D2119" t="s">
        <v>123</v>
      </c>
      <c r="E2119" s="3">
        <v>50</v>
      </c>
      <c r="F2119" s="3">
        <v>36</v>
      </c>
      <c r="G2119" s="3">
        <v>1764</v>
      </c>
      <c r="H2119" s="3" t="s">
        <v>2973</v>
      </c>
    </row>
    <row r="2120" spans="1:8" x14ac:dyDescent="0.35">
      <c r="A2120" t="s">
        <v>243</v>
      </c>
      <c r="B2120" s="26" t="s">
        <v>14</v>
      </c>
      <c r="C2120" s="20">
        <v>42533</v>
      </c>
      <c r="D2120" t="s">
        <v>15</v>
      </c>
      <c r="E2120" s="3">
        <v>80</v>
      </c>
      <c r="F2120" s="3">
        <v>48</v>
      </c>
      <c r="G2120" s="3">
        <v>3360</v>
      </c>
      <c r="H2120" s="3" t="s">
        <v>2970</v>
      </c>
    </row>
    <row r="2121" spans="1:8" x14ac:dyDescent="0.35">
      <c r="A2121" t="s">
        <v>120</v>
      </c>
      <c r="B2121" s="26" t="s">
        <v>36</v>
      </c>
      <c r="C2121" s="20">
        <v>43346</v>
      </c>
      <c r="D2121" t="s">
        <v>15</v>
      </c>
      <c r="E2121" s="3">
        <v>80</v>
      </c>
      <c r="F2121" s="3">
        <v>6</v>
      </c>
      <c r="G2121" s="3">
        <v>480</v>
      </c>
      <c r="H2121" s="3" t="s">
        <v>2973</v>
      </c>
    </row>
    <row r="2122" spans="1:8" x14ac:dyDescent="0.35">
      <c r="A2122" t="s">
        <v>189</v>
      </c>
      <c r="B2122" s="26" t="s">
        <v>14</v>
      </c>
      <c r="C2122" s="20">
        <v>42674</v>
      </c>
      <c r="D2122" t="s">
        <v>62</v>
      </c>
      <c r="E2122" s="3">
        <v>1000</v>
      </c>
      <c r="F2122" s="3">
        <v>67</v>
      </c>
      <c r="G2122" s="3">
        <v>58290</v>
      </c>
      <c r="H2122" s="3" t="s">
        <v>2974</v>
      </c>
    </row>
    <row r="2123" spans="1:8" x14ac:dyDescent="0.35">
      <c r="A2123" t="s">
        <v>83</v>
      </c>
      <c r="B2123" s="26" t="s">
        <v>14</v>
      </c>
      <c r="C2123" s="20">
        <v>41752</v>
      </c>
      <c r="D2123" t="s">
        <v>123</v>
      </c>
      <c r="E2123" s="3">
        <v>50</v>
      </c>
      <c r="F2123" s="3">
        <v>95</v>
      </c>
      <c r="G2123" s="3">
        <v>3705</v>
      </c>
      <c r="H2123" s="3" t="s">
        <v>2969</v>
      </c>
    </row>
    <row r="2124" spans="1:8" x14ac:dyDescent="0.35">
      <c r="A2124" t="s">
        <v>257</v>
      </c>
      <c r="B2124" s="26" t="s">
        <v>14</v>
      </c>
      <c r="C2124" s="20">
        <v>42986</v>
      </c>
      <c r="D2124" t="s">
        <v>31</v>
      </c>
      <c r="E2124" s="3">
        <v>150</v>
      </c>
      <c r="F2124" s="3">
        <v>39</v>
      </c>
      <c r="G2124" s="3">
        <v>5382</v>
      </c>
      <c r="H2124" s="3" t="s">
        <v>2973</v>
      </c>
    </row>
    <row r="2125" spans="1:8" x14ac:dyDescent="0.35">
      <c r="A2125" t="s">
        <v>30</v>
      </c>
      <c r="B2125" s="26" t="s">
        <v>14</v>
      </c>
      <c r="C2125" s="20">
        <v>42835</v>
      </c>
      <c r="D2125" t="s">
        <v>15</v>
      </c>
      <c r="E2125" s="3">
        <v>80</v>
      </c>
      <c r="F2125" s="3">
        <v>9</v>
      </c>
      <c r="G2125" s="3">
        <v>675</v>
      </c>
      <c r="H2125" s="3" t="s">
        <v>2969</v>
      </c>
    </row>
    <row r="2126" spans="1:8" x14ac:dyDescent="0.35">
      <c r="A2126" t="s">
        <v>55</v>
      </c>
      <c r="B2126" s="26" t="s">
        <v>14</v>
      </c>
      <c r="C2126" s="20">
        <v>41679</v>
      </c>
      <c r="D2126" t="s">
        <v>42</v>
      </c>
      <c r="E2126" s="3">
        <v>30</v>
      </c>
      <c r="F2126" s="3">
        <v>76</v>
      </c>
      <c r="G2126" s="3">
        <v>2204</v>
      </c>
      <c r="H2126" s="3" t="s">
        <v>2967</v>
      </c>
    </row>
    <row r="2127" spans="1:8" x14ac:dyDescent="0.35">
      <c r="A2127" t="s">
        <v>30</v>
      </c>
      <c r="B2127" s="26" t="s">
        <v>14</v>
      </c>
      <c r="C2127" s="20">
        <v>42683</v>
      </c>
      <c r="D2127" t="s">
        <v>105</v>
      </c>
      <c r="E2127" s="3">
        <v>70</v>
      </c>
      <c r="F2127" s="3">
        <v>79</v>
      </c>
      <c r="G2127" s="3">
        <v>5135</v>
      </c>
      <c r="H2127" s="3" t="s">
        <v>2975</v>
      </c>
    </row>
    <row r="2128" spans="1:8" x14ac:dyDescent="0.35">
      <c r="A2128" t="s">
        <v>83</v>
      </c>
      <c r="B2128" s="26" t="s">
        <v>14</v>
      </c>
      <c r="C2128" s="20">
        <v>42105</v>
      </c>
      <c r="D2128" t="s">
        <v>123</v>
      </c>
      <c r="E2128" s="3">
        <v>50</v>
      </c>
      <c r="F2128" s="3">
        <v>69</v>
      </c>
      <c r="G2128" s="3">
        <v>3243</v>
      </c>
      <c r="H2128" s="3" t="s">
        <v>2969</v>
      </c>
    </row>
    <row r="2129" spans="1:8" x14ac:dyDescent="0.35">
      <c r="A2129" t="s">
        <v>19</v>
      </c>
      <c r="B2129" s="26" t="s">
        <v>20</v>
      </c>
      <c r="C2129" s="20">
        <v>43271</v>
      </c>
      <c r="D2129" t="s">
        <v>31</v>
      </c>
      <c r="E2129" s="3">
        <v>150</v>
      </c>
      <c r="F2129" s="3">
        <v>78</v>
      </c>
      <c r="G2129" s="3">
        <v>10920</v>
      </c>
      <c r="H2129" s="3" t="s">
        <v>2970</v>
      </c>
    </row>
    <row r="2130" spans="1:8" x14ac:dyDescent="0.35">
      <c r="A2130" t="s">
        <v>24</v>
      </c>
      <c r="B2130" s="26" t="s">
        <v>25</v>
      </c>
      <c r="C2130" s="20">
        <v>42783</v>
      </c>
      <c r="D2130" t="s">
        <v>116</v>
      </c>
      <c r="E2130" s="3">
        <v>250</v>
      </c>
      <c r="F2130" s="3">
        <v>95</v>
      </c>
      <c r="G2130" s="3">
        <v>21660</v>
      </c>
      <c r="H2130" s="3" t="s">
        <v>2967</v>
      </c>
    </row>
    <row r="2131" spans="1:8" x14ac:dyDescent="0.35">
      <c r="A2131" t="s">
        <v>41</v>
      </c>
      <c r="B2131" s="26" t="s">
        <v>36</v>
      </c>
      <c r="C2131" s="20">
        <v>41712</v>
      </c>
      <c r="D2131" t="s">
        <v>105</v>
      </c>
      <c r="E2131" s="3">
        <v>70</v>
      </c>
      <c r="F2131" s="3">
        <v>93</v>
      </c>
      <c r="G2131" s="3">
        <v>4650</v>
      </c>
      <c r="H2131" s="3" t="s">
        <v>2968</v>
      </c>
    </row>
    <row r="2132" spans="1:8" x14ac:dyDescent="0.35">
      <c r="A2132" t="s">
        <v>93</v>
      </c>
      <c r="B2132" s="26" t="s">
        <v>36</v>
      </c>
      <c r="C2132" s="20">
        <v>42614</v>
      </c>
      <c r="D2132" t="s">
        <v>56</v>
      </c>
      <c r="E2132" s="3">
        <v>800</v>
      </c>
      <c r="F2132" s="3">
        <v>12</v>
      </c>
      <c r="G2132" s="3">
        <v>9216</v>
      </c>
      <c r="H2132" s="3" t="s">
        <v>2973</v>
      </c>
    </row>
    <row r="2133" spans="1:8" x14ac:dyDescent="0.35">
      <c r="A2133" t="s">
        <v>109</v>
      </c>
      <c r="B2133" s="26" t="s">
        <v>20</v>
      </c>
      <c r="C2133" s="20">
        <v>41873</v>
      </c>
      <c r="D2133" t="s">
        <v>62</v>
      </c>
      <c r="E2133" s="3">
        <v>1000</v>
      </c>
      <c r="F2133" s="3">
        <v>1</v>
      </c>
      <c r="G2133" s="3">
        <v>590</v>
      </c>
      <c r="H2133" s="3" t="s">
        <v>2972</v>
      </c>
    </row>
    <row r="2134" spans="1:8" x14ac:dyDescent="0.35">
      <c r="A2134" t="s">
        <v>266</v>
      </c>
      <c r="B2134" s="26" t="s">
        <v>14</v>
      </c>
      <c r="C2134" s="20">
        <v>42531</v>
      </c>
      <c r="D2134" t="s">
        <v>37</v>
      </c>
      <c r="E2134" s="3">
        <v>50</v>
      </c>
      <c r="F2134" s="3">
        <v>67</v>
      </c>
      <c r="G2134" s="3">
        <v>3350</v>
      </c>
      <c r="H2134" s="3" t="s">
        <v>2970</v>
      </c>
    </row>
    <row r="2135" spans="1:8" x14ac:dyDescent="0.35">
      <c r="A2135" t="s">
        <v>13</v>
      </c>
      <c r="B2135" s="26" t="s">
        <v>14</v>
      </c>
      <c r="C2135" s="20">
        <v>42018</v>
      </c>
      <c r="D2135" t="s">
        <v>56</v>
      </c>
      <c r="E2135" s="3">
        <v>800</v>
      </c>
      <c r="F2135" s="3">
        <v>27</v>
      </c>
      <c r="G2135" s="3">
        <v>20952</v>
      </c>
      <c r="H2135" s="3" t="s">
        <v>2966</v>
      </c>
    </row>
    <row r="2136" spans="1:8" x14ac:dyDescent="0.35">
      <c r="A2136" t="s">
        <v>41</v>
      </c>
      <c r="B2136" s="26" t="s">
        <v>36</v>
      </c>
      <c r="C2136" s="20">
        <v>43112</v>
      </c>
      <c r="D2136" t="s">
        <v>42</v>
      </c>
      <c r="E2136" s="3">
        <v>30</v>
      </c>
      <c r="F2136" s="3">
        <v>86</v>
      </c>
      <c r="G2136" s="3">
        <v>2236</v>
      </c>
      <c r="H2136" s="3" t="s">
        <v>2966</v>
      </c>
    </row>
    <row r="2137" spans="1:8" x14ac:dyDescent="0.35">
      <c r="A2137" t="s">
        <v>152</v>
      </c>
      <c r="B2137" s="26" t="s">
        <v>14</v>
      </c>
      <c r="C2137" s="20">
        <v>41869</v>
      </c>
      <c r="D2137" t="s">
        <v>47</v>
      </c>
      <c r="E2137" s="3">
        <v>500</v>
      </c>
      <c r="F2137" s="3">
        <v>62</v>
      </c>
      <c r="G2137" s="3">
        <v>22320</v>
      </c>
      <c r="H2137" s="3" t="s">
        <v>2972</v>
      </c>
    </row>
    <row r="2138" spans="1:8" x14ac:dyDescent="0.35">
      <c r="A2138" t="s">
        <v>97</v>
      </c>
      <c r="B2138" s="26" t="s">
        <v>14</v>
      </c>
      <c r="C2138" s="20">
        <v>42956</v>
      </c>
      <c r="D2138" t="s">
        <v>31</v>
      </c>
      <c r="E2138" s="3">
        <v>150</v>
      </c>
      <c r="F2138" s="3">
        <v>61</v>
      </c>
      <c r="G2138" s="3">
        <v>7686</v>
      </c>
      <c r="H2138" s="3" t="s">
        <v>2972</v>
      </c>
    </row>
    <row r="2139" spans="1:8" x14ac:dyDescent="0.35">
      <c r="A2139" t="s">
        <v>35</v>
      </c>
      <c r="B2139" s="26" t="s">
        <v>36</v>
      </c>
      <c r="C2139" s="20">
        <v>42462</v>
      </c>
      <c r="D2139" t="s">
        <v>56</v>
      </c>
      <c r="E2139" s="3">
        <v>800</v>
      </c>
      <c r="F2139" s="3">
        <v>98</v>
      </c>
      <c r="G2139" s="3">
        <v>50960</v>
      </c>
      <c r="H2139" s="3" t="s">
        <v>2969</v>
      </c>
    </row>
    <row r="2140" spans="1:8" x14ac:dyDescent="0.35">
      <c r="A2140" t="s">
        <v>109</v>
      </c>
      <c r="B2140" s="26" t="s">
        <v>20</v>
      </c>
      <c r="C2140" s="20">
        <v>43411</v>
      </c>
      <c r="D2140" t="s">
        <v>62</v>
      </c>
      <c r="E2140" s="3">
        <v>1000</v>
      </c>
      <c r="F2140" s="3">
        <v>88</v>
      </c>
      <c r="G2140" s="3">
        <v>57200</v>
      </c>
      <c r="H2140" s="3" t="s">
        <v>2975</v>
      </c>
    </row>
    <row r="2141" spans="1:8" x14ac:dyDescent="0.35">
      <c r="A2141" t="s">
        <v>93</v>
      </c>
      <c r="B2141" s="26" t="s">
        <v>36</v>
      </c>
      <c r="C2141" s="20">
        <v>42596</v>
      </c>
      <c r="D2141" t="s">
        <v>62</v>
      </c>
      <c r="E2141" s="3">
        <v>1000</v>
      </c>
      <c r="F2141" s="3">
        <v>10</v>
      </c>
      <c r="G2141" s="3">
        <v>9200</v>
      </c>
      <c r="H2141" s="3" t="s">
        <v>2972</v>
      </c>
    </row>
    <row r="2142" spans="1:8" x14ac:dyDescent="0.35">
      <c r="A2142" t="s">
        <v>55</v>
      </c>
      <c r="B2142" s="26" t="s">
        <v>14</v>
      </c>
      <c r="C2142" s="20">
        <v>42790</v>
      </c>
      <c r="D2142" t="s">
        <v>123</v>
      </c>
      <c r="E2142" s="3">
        <v>50</v>
      </c>
      <c r="F2142" s="3">
        <v>90</v>
      </c>
      <c r="G2142" s="3">
        <v>4410</v>
      </c>
      <c r="H2142" s="3" t="s">
        <v>2967</v>
      </c>
    </row>
    <row r="2143" spans="1:8" x14ac:dyDescent="0.35">
      <c r="A2143" t="s">
        <v>97</v>
      </c>
      <c r="B2143" s="26" t="s">
        <v>14</v>
      </c>
      <c r="C2143" s="20">
        <v>43105</v>
      </c>
      <c r="D2143" t="s">
        <v>62</v>
      </c>
      <c r="E2143" s="3">
        <v>1000</v>
      </c>
      <c r="F2143" s="3">
        <v>66</v>
      </c>
      <c r="G2143" s="3">
        <v>62700</v>
      </c>
      <c r="H2143" s="3" t="s">
        <v>2966</v>
      </c>
    </row>
    <row r="2144" spans="1:8" x14ac:dyDescent="0.35">
      <c r="A2144" t="s">
        <v>109</v>
      </c>
      <c r="B2144" s="26" t="s">
        <v>20</v>
      </c>
      <c r="C2144" s="20">
        <v>43078</v>
      </c>
      <c r="D2144" t="s">
        <v>42</v>
      </c>
      <c r="E2144" s="3">
        <v>30</v>
      </c>
      <c r="F2144" s="3">
        <v>22</v>
      </c>
      <c r="G2144" s="3">
        <v>638</v>
      </c>
      <c r="H2144" s="3" t="s">
        <v>2976</v>
      </c>
    </row>
    <row r="2145" spans="1:8" x14ac:dyDescent="0.35">
      <c r="A2145" t="s">
        <v>243</v>
      </c>
      <c r="B2145" s="26" t="s">
        <v>14</v>
      </c>
      <c r="C2145" s="20">
        <v>41648</v>
      </c>
      <c r="D2145" t="s">
        <v>123</v>
      </c>
      <c r="E2145" s="3">
        <v>50</v>
      </c>
      <c r="F2145" s="3">
        <v>50</v>
      </c>
      <c r="G2145" s="3">
        <v>1850</v>
      </c>
      <c r="H2145" s="3" t="s">
        <v>2966</v>
      </c>
    </row>
    <row r="2146" spans="1:8" x14ac:dyDescent="0.35">
      <c r="A2146" t="s">
        <v>109</v>
      </c>
      <c r="B2146" s="26" t="s">
        <v>20</v>
      </c>
      <c r="C2146" s="20">
        <v>42112</v>
      </c>
      <c r="D2146" t="s">
        <v>42</v>
      </c>
      <c r="E2146" s="3">
        <v>30</v>
      </c>
      <c r="F2146" s="3">
        <v>8</v>
      </c>
      <c r="G2146" s="3">
        <v>184</v>
      </c>
      <c r="H2146" s="3" t="s">
        <v>2969</v>
      </c>
    </row>
    <row r="2147" spans="1:8" x14ac:dyDescent="0.35">
      <c r="A2147" t="s">
        <v>79</v>
      </c>
      <c r="B2147" s="26" t="s">
        <v>36</v>
      </c>
      <c r="C2147" s="20">
        <v>42046</v>
      </c>
      <c r="D2147" t="s">
        <v>116</v>
      </c>
      <c r="E2147" s="3">
        <v>250</v>
      </c>
      <c r="F2147" s="3">
        <v>16</v>
      </c>
      <c r="G2147" s="3">
        <v>2688</v>
      </c>
      <c r="H2147" s="3" t="s">
        <v>2967</v>
      </c>
    </row>
    <row r="2148" spans="1:8" x14ac:dyDescent="0.35">
      <c r="A2148" t="s">
        <v>83</v>
      </c>
      <c r="B2148" s="26" t="s">
        <v>14</v>
      </c>
      <c r="C2148" s="20">
        <v>43167</v>
      </c>
      <c r="D2148" t="s">
        <v>26</v>
      </c>
      <c r="E2148" s="3">
        <v>700</v>
      </c>
      <c r="F2148" s="3">
        <v>84</v>
      </c>
      <c r="G2148" s="3">
        <v>51156</v>
      </c>
      <c r="H2148" s="3" t="s">
        <v>2968</v>
      </c>
    </row>
    <row r="2149" spans="1:8" x14ac:dyDescent="0.35">
      <c r="A2149" t="s">
        <v>19</v>
      </c>
      <c r="B2149" s="26" t="s">
        <v>20</v>
      </c>
      <c r="C2149" s="20">
        <v>42839</v>
      </c>
      <c r="D2149" t="s">
        <v>47</v>
      </c>
      <c r="E2149" s="3">
        <v>500</v>
      </c>
      <c r="F2149" s="3">
        <v>21</v>
      </c>
      <c r="G2149" s="3">
        <v>9870</v>
      </c>
      <c r="H2149" s="3" t="s">
        <v>2969</v>
      </c>
    </row>
    <row r="2150" spans="1:8" x14ac:dyDescent="0.35">
      <c r="A2150" t="s">
        <v>109</v>
      </c>
      <c r="B2150" s="26" t="s">
        <v>20</v>
      </c>
      <c r="C2150" s="20">
        <v>42706</v>
      </c>
      <c r="D2150" t="s">
        <v>15</v>
      </c>
      <c r="E2150" s="3">
        <v>80</v>
      </c>
      <c r="F2150" s="3">
        <v>16</v>
      </c>
      <c r="G2150" s="3">
        <v>1264</v>
      </c>
      <c r="H2150" s="3" t="s">
        <v>2976</v>
      </c>
    </row>
    <row r="2151" spans="1:8" x14ac:dyDescent="0.35">
      <c r="A2151" t="s">
        <v>41</v>
      </c>
      <c r="B2151" s="26" t="s">
        <v>36</v>
      </c>
      <c r="C2151" s="20">
        <v>42301</v>
      </c>
      <c r="D2151" t="s">
        <v>31</v>
      </c>
      <c r="E2151" s="3">
        <v>150</v>
      </c>
      <c r="F2151" s="3">
        <v>6</v>
      </c>
      <c r="G2151" s="3">
        <v>630</v>
      </c>
      <c r="H2151" s="3" t="s">
        <v>2974</v>
      </c>
    </row>
    <row r="2152" spans="1:8" x14ac:dyDescent="0.35">
      <c r="A2152" t="s">
        <v>229</v>
      </c>
      <c r="B2152" s="26" t="s">
        <v>25</v>
      </c>
      <c r="C2152" s="20">
        <v>42227</v>
      </c>
      <c r="D2152" t="s">
        <v>15</v>
      </c>
      <c r="E2152" s="3">
        <v>80</v>
      </c>
      <c r="F2152" s="3">
        <v>76</v>
      </c>
      <c r="G2152" s="3">
        <v>4408</v>
      </c>
      <c r="H2152" s="3" t="s">
        <v>2972</v>
      </c>
    </row>
    <row r="2153" spans="1:8" x14ac:dyDescent="0.35">
      <c r="A2153" t="s">
        <v>13</v>
      </c>
      <c r="B2153" s="26" t="s">
        <v>14</v>
      </c>
      <c r="C2153" s="20">
        <v>42071</v>
      </c>
      <c r="D2153" t="s">
        <v>56</v>
      </c>
      <c r="E2153" s="3">
        <v>800</v>
      </c>
      <c r="F2153" s="3">
        <v>15</v>
      </c>
      <c r="G2153" s="3">
        <v>11160</v>
      </c>
      <c r="H2153" s="3" t="s">
        <v>2968</v>
      </c>
    </row>
    <row r="2154" spans="1:8" x14ac:dyDescent="0.35">
      <c r="A2154" t="s">
        <v>189</v>
      </c>
      <c r="B2154" s="26" t="s">
        <v>14</v>
      </c>
      <c r="C2154" s="20">
        <v>41859</v>
      </c>
      <c r="D2154" t="s">
        <v>26</v>
      </c>
      <c r="E2154" s="3">
        <v>700</v>
      </c>
      <c r="F2154" s="3">
        <v>15</v>
      </c>
      <c r="G2154" s="3">
        <v>9765</v>
      </c>
      <c r="H2154" s="3" t="s">
        <v>2972</v>
      </c>
    </row>
    <row r="2155" spans="1:8" x14ac:dyDescent="0.35">
      <c r="A2155" t="s">
        <v>79</v>
      </c>
      <c r="B2155" s="26" t="s">
        <v>36</v>
      </c>
      <c r="C2155" s="20">
        <v>42922</v>
      </c>
      <c r="D2155" t="s">
        <v>105</v>
      </c>
      <c r="E2155" s="3">
        <v>70</v>
      </c>
      <c r="F2155" s="3">
        <v>92</v>
      </c>
      <c r="G2155" s="3">
        <v>5980</v>
      </c>
      <c r="H2155" s="3" t="s">
        <v>2971</v>
      </c>
    </row>
    <row r="2156" spans="1:8" x14ac:dyDescent="0.35">
      <c r="A2156" t="s">
        <v>109</v>
      </c>
      <c r="B2156" s="26" t="s">
        <v>20</v>
      </c>
      <c r="C2156" s="20">
        <v>42024</v>
      </c>
      <c r="D2156" t="s">
        <v>15</v>
      </c>
      <c r="E2156" s="3">
        <v>80</v>
      </c>
      <c r="F2156" s="3">
        <v>79</v>
      </c>
      <c r="G2156" s="3">
        <v>5925</v>
      </c>
      <c r="H2156" s="3" t="s">
        <v>2966</v>
      </c>
    </row>
    <row r="2157" spans="1:8" x14ac:dyDescent="0.35">
      <c r="A2157" t="s">
        <v>46</v>
      </c>
      <c r="B2157" s="26" t="s">
        <v>25</v>
      </c>
      <c r="C2157" s="20">
        <v>42854</v>
      </c>
      <c r="D2157" t="s">
        <v>47</v>
      </c>
      <c r="E2157" s="3">
        <v>500</v>
      </c>
      <c r="F2157" s="3">
        <v>37</v>
      </c>
      <c r="G2157" s="3">
        <v>18500</v>
      </c>
      <c r="H2157" s="3" t="s">
        <v>2969</v>
      </c>
    </row>
    <row r="2158" spans="1:8" x14ac:dyDescent="0.35">
      <c r="A2158" t="s">
        <v>55</v>
      </c>
      <c r="B2158" s="26" t="s">
        <v>14</v>
      </c>
      <c r="C2158" s="20">
        <v>43062</v>
      </c>
      <c r="D2158" t="s">
        <v>73</v>
      </c>
      <c r="E2158" s="3">
        <v>500</v>
      </c>
      <c r="F2158" s="3">
        <v>6</v>
      </c>
      <c r="G2158" s="3">
        <v>2970</v>
      </c>
      <c r="H2158" s="3" t="s">
        <v>2975</v>
      </c>
    </row>
    <row r="2159" spans="1:8" x14ac:dyDescent="0.35">
      <c r="A2159" t="s">
        <v>120</v>
      </c>
      <c r="B2159" s="26" t="s">
        <v>36</v>
      </c>
      <c r="C2159" s="20">
        <v>42944</v>
      </c>
      <c r="D2159" t="s">
        <v>26</v>
      </c>
      <c r="E2159" s="3">
        <v>700</v>
      </c>
      <c r="F2159" s="3">
        <v>95</v>
      </c>
      <c r="G2159" s="3">
        <v>63175</v>
      </c>
      <c r="H2159" s="3" t="s">
        <v>2971</v>
      </c>
    </row>
    <row r="2160" spans="1:8" x14ac:dyDescent="0.35">
      <c r="A2160" t="s">
        <v>97</v>
      </c>
      <c r="B2160" s="26" t="s">
        <v>14</v>
      </c>
      <c r="C2160" s="20">
        <v>43067</v>
      </c>
      <c r="D2160" t="s">
        <v>116</v>
      </c>
      <c r="E2160" s="3">
        <v>250</v>
      </c>
      <c r="F2160" s="3">
        <v>90</v>
      </c>
      <c r="G2160" s="3">
        <v>20700</v>
      </c>
      <c r="H2160" s="3" t="s">
        <v>2975</v>
      </c>
    </row>
    <row r="2161" spans="1:8" x14ac:dyDescent="0.35">
      <c r="A2161" t="s">
        <v>83</v>
      </c>
      <c r="B2161" s="26" t="s">
        <v>14</v>
      </c>
      <c r="C2161" s="20">
        <v>42452</v>
      </c>
      <c r="D2161" t="s">
        <v>31</v>
      </c>
      <c r="E2161" s="3">
        <v>150</v>
      </c>
      <c r="F2161" s="3">
        <v>60</v>
      </c>
      <c r="G2161" s="3">
        <v>8580</v>
      </c>
      <c r="H2161" s="3" t="s">
        <v>2968</v>
      </c>
    </row>
    <row r="2162" spans="1:8" x14ac:dyDescent="0.35">
      <c r="A2162" t="s">
        <v>436</v>
      </c>
      <c r="B2162" s="26" t="s">
        <v>25</v>
      </c>
      <c r="C2162" s="20">
        <v>42762</v>
      </c>
      <c r="D2162" t="s">
        <v>116</v>
      </c>
      <c r="E2162" s="3">
        <v>250</v>
      </c>
      <c r="F2162" s="3">
        <v>22</v>
      </c>
      <c r="G2162" s="3">
        <v>5060</v>
      </c>
      <c r="H2162" s="3" t="s">
        <v>2966</v>
      </c>
    </row>
    <row r="2163" spans="1:8" x14ac:dyDescent="0.35">
      <c r="A2163" t="s">
        <v>24</v>
      </c>
      <c r="B2163" s="26" t="s">
        <v>25</v>
      </c>
      <c r="C2163" s="20">
        <v>42156</v>
      </c>
      <c r="D2163" t="s">
        <v>26</v>
      </c>
      <c r="E2163" s="3">
        <v>700</v>
      </c>
      <c r="F2163" s="3">
        <v>34</v>
      </c>
      <c r="G2163" s="3">
        <v>22610</v>
      </c>
      <c r="H2163" s="3" t="s">
        <v>2970</v>
      </c>
    </row>
    <row r="2164" spans="1:8" x14ac:dyDescent="0.35">
      <c r="A2164" t="s">
        <v>109</v>
      </c>
      <c r="B2164" s="26" t="s">
        <v>20</v>
      </c>
      <c r="C2164" s="20">
        <v>41839</v>
      </c>
      <c r="D2164" t="s">
        <v>116</v>
      </c>
      <c r="E2164" s="3">
        <v>250</v>
      </c>
      <c r="F2164" s="3">
        <v>96</v>
      </c>
      <c r="G2164" s="3">
        <v>23520</v>
      </c>
      <c r="H2164" s="3" t="s">
        <v>2971</v>
      </c>
    </row>
    <row r="2165" spans="1:8" x14ac:dyDescent="0.35">
      <c r="A2165" t="s">
        <v>109</v>
      </c>
      <c r="B2165" s="26" t="s">
        <v>20</v>
      </c>
      <c r="C2165" s="20">
        <v>41885</v>
      </c>
      <c r="D2165" t="s">
        <v>37</v>
      </c>
      <c r="E2165" s="3">
        <v>50</v>
      </c>
      <c r="F2165" s="3">
        <v>10</v>
      </c>
      <c r="G2165" s="3">
        <v>380</v>
      </c>
      <c r="H2165" s="3" t="s">
        <v>2973</v>
      </c>
    </row>
    <row r="2166" spans="1:8" x14ac:dyDescent="0.35">
      <c r="A2166" t="s">
        <v>93</v>
      </c>
      <c r="B2166" s="26" t="s">
        <v>36</v>
      </c>
      <c r="C2166" s="20">
        <v>42629</v>
      </c>
      <c r="D2166" t="s">
        <v>105</v>
      </c>
      <c r="E2166" s="3">
        <v>70</v>
      </c>
      <c r="F2166" s="3">
        <v>63</v>
      </c>
      <c r="G2166" s="3">
        <v>4032</v>
      </c>
      <c r="H2166" s="3" t="s">
        <v>2973</v>
      </c>
    </row>
    <row r="2167" spans="1:8" x14ac:dyDescent="0.35">
      <c r="A2167" t="s">
        <v>41</v>
      </c>
      <c r="B2167" s="26" t="s">
        <v>36</v>
      </c>
      <c r="C2167" s="20">
        <v>42208</v>
      </c>
      <c r="D2167" t="s">
        <v>116</v>
      </c>
      <c r="E2167" s="3">
        <v>250</v>
      </c>
      <c r="F2167" s="3">
        <v>81</v>
      </c>
      <c r="G2167" s="3">
        <v>19278</v>
      </c>
      <c r="H2167" s="3" t="s">
        <v>2971</v>
      </c>
    </row>
    <row r="2168" spans="1:8" x14ac:dyDescent="0.35">
      <c r="A2168" t="s">
        <v>83</v>
      </c>
      <c r="B2168" s="26" t="s">
        <v>14</v>
      </c>
      <c r="C2168" s="20">
        <v>42496</v>
      </c>
      <c r="D2168" t="s">
        <v>31</v>
      </c>
      <c r="E2168" s="3">
        <v>150</v>
      </c>
      <c r="F2168" s="3">
        <v>34</v>
      </c>
      <c r="G2168" s="3">
        <v>4658</v>
      </c>
      <c r="H2168" s="3" t="s">
        <v>2965</v>
      </c>
    </row>
    <row r="2169" spans="1:8" x14ac:dyDescent="0.35">
      <c r="A2169" t="s">
        <v>172</v>
      </c>
      <c r="B2169" s="26" t="s">
        <v>14</v>
      </c>
      <c r="C2169" s="20">
        <v>42537</v>
      </c>
      <c r="D2169" t="s">
        <v>56</v>
      </c>
      <c r="E2169" s="3">
        <v>800</v>
      </c>
      <c r="F2169" s="3">
        <v>76</v>
      </c>
      <c r="G2169" s="3">
        <v>39520</v>
      </c>
      <c r="H2169" s="3" t="s">
        <v>2970</v>
      </c>
    </row>
    <row r="2170" spans="1:8" x14ac:dyDescent="0.35">
      <c r="A2170" t="s">
        <v>189</v>
      </c>
      <c r="B2170" s="26" t="s">
        <v>14</v>
      </c>
      <c r="C2170" s="20">
        <v>42156</v>
      </c>
      <c r="D2170" t="s">
        <v>15</v>
      </c>
      <c r="E2170" s="3">
        <v>80</v>
      </c>
      <c r="F2170" s="3">
        <v>57</v>
      </c>
      <c r="G2170" s="3">
        <v>4560</v>
      </c>
      <c r="H2170" s="3" t="s">
        <v>2970</v>
      </c>
    </row>
    <row r="2171" spans="1:8" x14ac:dyDescent="0.35">
      <c r="A2171" t="s">
        <v>101</v>
      </c>
      <c r="B2171" s="26" t="s">
        <v>14</v>
      </c>
      <c r="C2171" s="20">
        <v>42049</v>
      </c>
      <c r="D2171" t="s">
        <v>15</v>
      </c>
      <c r="E2171" s="3">
        <v>80</v>
      </c>
      <c r="F2171" s="3">
        <v>48</v>
      </c>
      <c r="G2171" s="3">
        <v>2976</v>
      </c>
      <c r="H2171" s="3" t="s">
        <v>2967</v>
      </c>
    </row>
    <row r="2172" spans="1:8" x14ac:dyDescent="0.35">
      <c r="A2172" t="s">
        <v>55</v>
      </c>
      <c r="B2172" s="26" t="s">
        <v>14</v>
      </c>
      <c r="C2172" s="20">
        <v>42606</v>
      </c>
      <c r="D2172" t="s">
        <v>37</v>
      </c>
      <c r="E2172" s="3">
        <v>50</v>
      </c>
      <c r="F2172" s="3">
        <v>59</v>
      </c>
      <c r="G2172" s="3">
        <v>2950</v>
      </c>
      <c r="H2172" s="3" t="s">
        <v>2972</v>
      </c>
    </row>
    <row r="2173" spans="1:8" x14ac:dyDescent="0.35">
      <c r="A2173" t="s">
        <v>109</v>
      </c>
      <c r="B2173" s="26" t="s">
        <v>20</v>
      </c>
      <c r="C2173" s="20">
        <v>41790</v>
      </c>
      <c r="D2173" t="s">
        <v>56</v>
      </c>
      <c r="E2173" s="3">
        <v>800</v>
      </c>
      <c r="F2173" s="3">
        <v>23</v>
      </c>
      <c r="G2173" s="3">
        <v>14720</v>
      </c>
      <c r="H2173" s="3" t="s">
        <v>2965</v>
      </c>
    </row>
    <row r="2174" spans="1:8" x14ac:dyDescent="0.35">
      <c r="A2174" t="s">
        <v>402</v>
      </c>
      <c r="B2174" s="26" t="s">
        <v>14</v>
      </c>
      <c r="C2174" s="20">
        <v>42082</v>
      </c>
      <c r="D2174" t="s">
        <v>42</v>
      </c>
      <c r="E2174" s="3">
        <v>30</v>
      </c>
      <c r="F2174" s="3">
        <v>47</v>
      </c>
      <c r="G2174" s="3">
        <v>987</v>
      </c>
      <c r="H2174" s="3" t="s">
        <v>2968</v>
      </c>
    </row>
    <row r="2175" spans="1:8" x14ac:dyDescent="0.35">
      <c r="A2175" t="s">
        <v>19</v>
      </c>
      <c r="B2175" s="26" t="s">
        <v>20</v>
      </c>
      <c r="C2175" s="20">
        <v>41761</v>
      </c>
      <c r="D2175" t="s">
        <v>62</v>
      </c>
      <c r="E2175" s="3">
        <v>1000</v>
      </c>
      <c r="F2175" s="3">
        <v>67</v>
      </c>
      <c r="G2175" s="3">
        <v>52260</v>
      </c>
      <c r="H2175" s="3" t="s">
        <v>2965</v>
      </c>
    </row>
    <row r="2176" spans="1:8" x14ac:dyDescent="0.35">
      <c r="A2176" t="s">
        <v>97</v>
      </c>
      <c r="B2176" s="26" t="s">
        <v>14</v>
      </c>
      <c r="C2176" s="20">
        <v>42962</v>
      </c>
      <c r="D2176" t="s">
        <v>26</v>
      </c>
      <c r="E2176" s="3">
        <v>700</v>
      </c>
      <c r="F2176" s="3">
        <v>13</v>
      </c>
      <c r="G2176" s="3">
        <v>8827</v>
      </c>
      <c r="H2176" s="3" t="s">
        <v>2972</v>
      </c>
    </row>
    <row r="2177" spans="1:8" x14ac:dyDescent="0.35">
      <c r="A2177" t="s">
        <v>72</v>
      </c>
      <c r="B2177" s="26" t="s">
        <v>36</v>
      </c>
      <c r="C2177" s="20">
        <v>42056</v>
      </c>
      <c r="D2177" t="s">
        <v>37</v>
      </c>
      <c r="E2177" s="3">
        <v>50</v>
      </c>
      <c r="F2177" s="3">
        <v>51</v>
      </c>
      <c r="G2177" s="3">
        <v>2550</v>
      </c>
      <c r="H2177" s="3" t="s">
        <v>2967</v>
      </c>
    </row>
    <row r="2178" spans="1:8" x14ac:dyDescent="0.35">
      <c r="A2178" t="s">
        <v>109</v>
      </c>
      <c r="B2178" s="26" t="s">
        <v>20</v>
      </c>
      <c r="C2178" s="20">
        <v>42341</v>
      </c>
      <c r="D2178" t="s">
        <v>105</v>
      </c>
      <c r="E2178" s="3">
        <v>70</v>
      </c>
      <c r="F2178" s="3">
        <v>42</v>
      </c>
      <c r="G2178" s="3">
        <v>2310</v>
      </c>
      <c r="H2178" s="3" t="s">
        <v>2976</v>
      </c>
    </row>
    <row r="2179" spans="1:8" x14ac:dyDescent="0.35">
      <c r="A2179" t="s">
        <v>402</v>
      </c>
      <c r="B2179" s="26" t="s">
        <v>14</v>
      </c>
      <c r="C2179" s="20">
        <v>41844</v>
      </c>
      <c r="D2179" t="s">
        <v>56</v>
      </c>
      <c r="E2179" s="3">
        <v>800</v>
      </c>
      <c r="F2179" s="3">
        <v>7</v>
      </c>
      <c r="G2179" s="3">
        <v>5600</v>
      </c>
      <c r="H2179" s="3" t="s">
        <v>2971</v>
      </c>
    </row>
    <row r="2180" spans="1:8" x14ac:dyDescent="0.35">
      <c r="A2180" t="s">
        <v>66</v>
      </c>
      <c r="B2180" s="26" t="s">
        <v>36</v>
      </c>
      <c r="C2180" s="20">
        <v>43081</v>
      </c>
      <c r="D2180" t="s">
        <v>37</v>
      </c>
      <c r="E2180" s="3">
        <v>50</v>
      </c>
      <c r="F2180" s="3">
        <v>11</v>
      </c>
      <c r="G2180" s="3">
        <v>550</v>
      </c>
      <c r="H2180" s="3" t="s">
        <v>2976</v>
      </c>
    </row>
    <row r="2181" spans="1:8" x14ac:dyDescent="0.35">
      <c r="A2181" t="s">
        <v>19</v>
      </c>
      <c r="B2181" s="26" t="s">
        <v>20</v>
      </c>
      <c r="C2181" s="20">
        <v>42331</v>
      </c>
      <c r="D2181" t="s">
        <v>15</v>
      </c>
      <c r="E2181" s="3">
        <v>80</v>
      </c>
      <c r="F2181" s="3">
        <v>12</v>
      </c>
      <c r="G2181" s="3">
        <v>708</v>
      </c>
      <c r="H2181" s="3" t="s">
        <v>2975</v>
      </c>
    </row>
    <row r="2182" spans="1:8" x14ac:dyDescent="0.35">
      <c r="A2182" t="s">
        <v>109</v>
      </c>
      <c r="B2182" s="26" t="s">
        <v>20</v>
      </c>
      <c r="C2182" s="20">
        <v>42105</v>
      </c>
      <c r="D2182" t="s">
        <v>42</v>
      </c>
      <c r="E2182" s="3">
        <v>30</v>
      </c>
      <c r="F2182" s="3">
        <v>56</v>
      </c>
      <c r="G2182" s="3">
        <v>1680</v>
      </c>
      <c r="H2182" s="3" t="s">
        <v>2969</v>
      </c>
    </row>
    <row r="2183" spans="1:8" x14ac:dyDescent="0.35">
      <c r="A2183" t="s">
        <v>272</v>
      </c>
      <c r="B2183" s="26" t="s">
        <v>36</v>
      </c>
      <c r="C2183" s="20">
        <v>42974</v>
      </c>
      <c r="D2183" t="s">
        <v>31</v>
      </c>
      <c r="E2183" s="3">
        <v>150</v>
      </c>
      <c r="F2183" s="3">
        <v>92</v>
      </c>
      <c r="G2183" s="3">
        <v>12880</v>
      </c>
      <c r="H2183" s="3" t="s">
        <v>2972</v>
      </c>
    </row>
    <row r="2184" spans="1:8" x14ac:dyDescent="0.35">
      <c r="A2184" t="s">
        <v>243</v>
      </c>
      <c r="B2184" s="26" t="s">
        <v>14</v>
      </c>
      <c r="C2184" s="20">
        <v>41910</v>
      </c>
      <c r="D2184" t="s">
        <v>15</v>
      </c>
      <c r="E2184" s="3">
        <v>80</v>
      </c>
      <c r="F2184" s="3">
        <v>43</v>
      </c>
      <c r="G2184" s="3">
        <v>2838</v>
      </c>
      <c r="H2184" s="3" t="s">
        <v>2973</v>
      </c>
    </row>
    <row r="2185" spans="1:8" x14ac:dyDescent="0.35">
      <c r="A2185" t="s">
        <v>326</v>
      </c>
      <c r="B2185" s="26" t="s">
        <v>14</v>
      </c>
      <c r="C2185" s="20">
        <v>41905</v>
      </c>
      <c r="D2185" t="s">
        <v>47</v>
      </c>
      <c r="E2185" s="3">
        <v>500</v>
      </c>
      <c r="F2185" s="3">
        <v>77</v>
      </c>
      <c r="G2185" s="3">
        <v>36575</v>
      </c>
      <c r="H2185" s="3" t="s">
        <v>2973</v>
      </c>
    </row>
    <row r="2186" spans="1:8" x14ac:dyDescent="0.35">
      <c r="A2186" t="s">
        <v>46</v>
      </c>
      <c r="B2186" s="26" t="s">
        <v>25</v>
      </c>
      <c r="C2186" s="20">
        <v>42538</v>
      </c>
      <c r="D2186" t="s">
        <v>47</v>
      </c>
      <c r="E2186" s="3">
        <v>500</v>
      </c>
      <c r="F2186" s="3">
        <v>37</v>
      </c>
      <c r="G2186" s="3">
        <v>17945</v>
      </c>
      <c r="H2186" s="3" t="s">
        <v>2970</v>
      </c>
    </row>
    <row r="2187" spans="1:8" x14ac:dyDescent="0.35">
      <c r="A2187" t="s">
        <v>51</v>
      </c>
      <c r="B2187" s="26" t="s">
        <v>25</v>
      </c>
      <c r="C2187" s="20">
        <v>42251</v>
      </c>
      <c r="D2187" t="s">
        <v>26</v>
      </c>
      <c r="E2187" s="3">
        <v>700</v>
      </c>
      <c r="F2187" s="3">
        <v>46</v>
      </c>
      <c r="G2187" s="3">
        <v>26726</v>
      </c>
      <c r="H2187" s="3" t="s">
        <v>2973</v>
      </c>
    </row>
    <row r="2188" spans="1:8" x14ac:dyDescent="0.35">
      <c r="A2188" t="s">
        <v>61</v>
      </c>
      <c r="B2188" s="26" t="s">
        <v>14</v>
      </c>
      <c r="C2188" s="20">
        <v>43327</v>
      </c>
      <c r="D2188" t="s">
        <v>15</v>
      </c>
      <c r="E2188" s="3">
        <v>80</v>
      </c>
      <c r="F2188" s="3">
        <v>2</v>
      </c>
      <c r="G2188" s="3">
        <v>148</v>
      </c>
      <c r="H2188" s="3" t="s">
        <v>2972</v>
      </c>
    </row>
    <row r="2189" spans="1:8" x14ac:dyDescent="0.35">
      <c r="A2189" t="s">
        <v>229</v>
      </c>
      <c r="B2189" s="26" t="s">
        <v>25</v>
      </c>
      <c r="C2189" s="20">
        <v>43112</v>
      </c>
      <c r="D2189" t="s">
        <v>73</v>
      </c>
      <c r="E2189" s="3">
        <v>500</v>
      </c>
      <c r="F2189" s="3">
        <v>19</v>
      </c>
      <c r="G2189" s="3">
        <v>9310</v>
      </c>
      <c r="H2189" s="3" t="s">
        <v>2966</v>
      </c>
    </row>
    <row r="2190" spans="1:8" x14ac:dyDescent="0.35">
      <c r="A2190" t="s">
        <v>72</v>
      </c>
      <c r="B2190" s="26" t="s">
        <v>36</v>
      </c>
      <c r="C2190" s="20">
        <v>42623</v>
      </c>
      <c r="D2190" t="s">
        <v>116</v>
      </c>
      <c r="E2190" s="3">
        <v>250</v>
      </c>
      <c r="F2190" s="3">
        <v>15</v>
      </c>
      <c r="G2190" s="3">
        <v>3600</v>
      </c>
      <c r="H2190" s="3" t="s">
        <v>2973</v>
      </c>
    </row>
    <row r="2191" spans="1:8" x14ac:dyDescent="0.35">
      <c r="A2191" t="s">
        <v>46</v>
      </c>
      <c r="B2191" s="26" t="s">
        <v>25</v>
      </c>
      <c r="C2191" s="20">
        <v>43023</v>
      </c>
      <c r="D2191" t="s">
        <v>56</v>
      </c>
      <c r="E2191" s="3">
        <v>800</v>
      </c>
      <c r="F2191" s="3">
        <v>17</v>
      </c>
      <c r="G2191" s="3">
        <v>12648</v>
      </c>
      <c r="H2191" s="3" t="s">
        <v>2974</v>
      </c>
    </row>
    <row r="2192" spans="1:8" x14ac:dyDescent="0.35">
      <c r="A2192" t="s">
        <v>51</v>
      </c>
      <c r="B2192" s="26" t="s">
        <v>25</v>
      </c>
      <c r="C2192" s="20">
        <v>43113</v>
      </c>
      <c r="D2192" t="s">
        <v>73</v>
      </c>
      <c r="E2192" s="3">
        <v>500</v>
      </c>
      <c r="F2192" s="3">
        <v>80</v>
      </c>
      <c r="G2192" s="3">
        <v>39200</v>
      </c>
      <c r="H2192" s="3" t="s">
        <v>2966</v>
      </c>
    </row>
    <row r="2193" spans="1:8" x14ac:dyDescent="0.35">
      <c r="A2193" t="s">
        <v>243</v>
      </c>
      <c r="B2193" s="26" t="s">
        <v>14</v>
      </c>
      <c r="C2193" s="20">
        <v>43015</v>
      </c>
      <c r="D2193" t="s">
        <v>73</v>
      </c>
      <c r="E2193" s="3">
        <v>500</v>
      </c>
      <c r="F2193" s="3">
        <v>35</v>
      </c>
      <c r="G2193" s="3">
        <v>17325</v>
      </c>
      <c r="H2193" s="3" t="s">
        <v>2974</v>
      </c>
    </row>
    <row r="2194" spans="1:8" x14ac:dyDescent="0.35">
      <c r="A2194" t="s">
        <v>109</v>
      </c>
      <c r="B2194" s="26" t="s">
        <v>20</v>
      </c>
      <c r="C2194" s="20">
        <v>43126</v>
      </c>
      <c r="D2194" t="s">
        <v>73</v>
      </c>
      <c r="E2194" s="3">
        <v>500</v>
      </c>
      <c r="F2194" s="3">
        <v>11</v>
      </c>
      <c r="G2194" s="3">
        <v>5500</v>
      </c>
      <c r="H2194" s="3" t="s">
        <v>2966</v>
      </c>
    </row>
    <row r="2195" spans="1:8" x14ac:dyDescent="0.35">
      <c r="A2195" t="s">
        <v>172</v>
      </c>
      <c r="B2195" s="26" t="s">
        <v>14</v>
      </c>
      <c r="C2195" s="20">
        <v>43053</v>
      </c>
      <c r="D2195" t="s">
        <v>31</v>
      </c>
      <c r="E2195" s="3">
        <v>150</v>
      </c>
      <c r="F2195" s="3">
        <v>14</v>
      </c>
      <c r="G2195" s="3">
        <v>1932</v>
      </c>
      <c r="H2195" s="3" t="s">
        <v>2975</v>
      </c>
    </row>
    <row r="2196" spans="1:8" x14ac:dyDescent="0.35">
      <c r="A2196" t="s">
        <v>46</v>
      </c>
      <c r="B2196" s="26" t="s">
        <v>25</v>
      </c>
      <c r="C2196" s="20">
        <v>42423</v>
      </c>
      <c r="D2196" t="s">
        <v>73</v>
      </c>
      <c r="E2196" s="3">
        <v>500</v>
      </c>
      <c r="F2196" s="3">
        <v>84</v>
      </c>
      <c r="G2196" s="3">
        <v>41160</v>
      </c>
      <c r="H2196" s="3" t="s">
        <v>2967</v>
      </c>
    </row>
    <row r="2197" spans="1:8" x14ac:dyDescent="0.35">
      <c r="A2197" t="s">
        <v>79</v>
      </c>
      <c r="B2197" s="26" t="s">
        <v>36</v>
      </c>
      <c r="C2197" s="20">
        <v>42835</v>
      </c>
      <c r="D2197" t="s">
        <v>26</v>
      </c>
      <c r="E2197" s="3">
        <v>700</v>
      </c>
      <c r="F2197" s="3">
        <v>28</v>
      </c>
      <c r="G2197" s="3">
        <v>18424</v>
      </c>
      <c r="H2197" s="3" t="s">
        <v>2969</v>
      </c>
    </row>
    <row r="2198" spans="1:8" x14ac:dyDescent="0.35">
      <c r="A2198" t="s">
        <v>326</v>
      </c>
      <c r="B2198" s="26" t="s">
        <v>14</v>
      </c>
      <c r="C2198" s="20">
        <v>42456</v>
      </c>
      <c r="D2198" t="s">
        <v>62</v>
      </c>
      <c r="E2198" s="3">
        <v>1000</v>
      </c>
      <c r="F2198" s="3">
        <v>34</v>
      </c>
      <c r="G2198" s="3">
        <v>27200</v>
      </c>
      <c r="H2198" s="3" t="s">
        <v>2968</v>
      </c>
    </row>
    <row r="2199" spans="1:8" x14ac:dyDescent="0.35">
      <c r="A2199" t="s">
        <v>41</v>
      </c>
      <c r="B2199" s="26" t="s">
        <v>36</v>
      </c>
      <c r="C2199" s="20">
        <v>42792</v>
      </c>
      <c r="D2199" t="s">
        <v>47</v>
      </c>
      <c r="E2199" s="3">
        <v>500</v>
      </c>
      <c r="F2199" s="3">
        <v>84</v>
      </c>
      <c r="G2199" s="3">
        <v>40740</v>
      </c>
      <c r="H2199" s="3" t="s">
        <v>2967</v>
      </c>
    </row>
    <row r="2200" spans="1:8" x14ac:dyDescent="0.35">
      <c r="A2200" t="s">
        <v>87</v>
      </c>
      <c r="B2200" s="26" t="s">
        <v>14</v>
      </c>
      <c r="C2200" s="20">
        <v>42371</v>
      </c>
      <c r="D2200" t="s">
        <v>47</v>
      </c>
      <c r="E2200" s="3">
        <v>500</v>
      </c>
      <c r="F2200" s="3">
        <v>10</v>
      </c>
      <c r="G2200" s="3">
        <v>4450</v>
      </c>
      <c r="H2200" s="3" t="s">
        <v>2966</v>
      </c>
    </row>
    <row r="2201" spans="1:8" x14ac:dyDescent="0.35">
      <c r="A2201" t="s">
        <v>93</v>
      </c>
      <c r="B2201" s="26" t="s">
        <v>36</v>
      </c>
      <c r="C2201" s="20">
        <v>42012</v>
      </c>
      <c r="D2201" t="s">
        <v>105</v>
      </c>
      <c r="E2201" s="3">
        <v>70</v>
      </c>
      <c r="F2201" s="3">
        <v>27</v>
      </c>
      <c r="G2201" s="3">
        <v>1593</v>
      </c>
      <c r="H2201" s="3" t="s">
        <v>2966</v>
      </c>
    </row>
    <row r="2202" spans="1:8" x14ac:dyDescent="0.35">
      <c r="A2202" t="s">
        <v>109</v>
      </c>
      <c r="B2202" s="26" t="s">
        <v>20</v>
      </c>
      <c r="C2202" s="20">
        <v>41736</v>
      </c>
      <c r="D2202" t="s">
        <v>31</v>
      </c>
      <c r="E2202" s="3">
        <v>150</v>
      </c>
      <c r="F2202" s="3">
        <v>55</v>
      </c>
      <c r="G2202" s="3">
        <v>6710</v>
      </c>
      <c r="H2202" s="3" t="s">
        <v>2969</v>
      </c>
    </row>
    <row r="2203" spans="1:8" x14ac:dyDescent="0.35">
      <c r="A2203" t="s">
        <v>176</v>
      </c>
      <c r="B2203" s="26" t="s">
        <v>14</v>
      </c>
      <c r="C2203" s="20">
        <v>42481</v>
      </c>
      <c r="D2203" t="s">
        <v>26</v>
      </c>
      <c r="E2203" s="3">
        <v>700</v>
      </c>
      <c r="F2203" s="3">
        <v>50</v>
      </c>
      <c r="G2203" s="3">
        <v>32900</v>
      </c>
      <c r="H2203" s="3" t="s">
        <v>2969</v>
      </c>
    </row>
    <row r="2204" spans="1:8" x14ac:dyDescent="0.35">
      <c r="A2204" t="s">
        <v>13</v>
      </c>
      <c r="B2204" s="26" t="s">
        <v>14</v>
      </c>
      <c r="C2204" s="20">
        <v>42082</v>
      </c>
      <c r="D2204" t="s">
        <v>47</v>
      </c>
      <c r="E2204" s="3">
        <v>500</v>
      </c>
      <c r="F2204" s="3">
        <v>2</v>
      </c>
      <c r="G2204" s="3">
        <v>960</v>
      </c>
      <c r="H2204" s="3" t="s">
        <v>2968</v>
      </c>
    </row>
    <row r="2205" spans="1:8" x14ac:dyDescent="0.35">
      <c r="A2205" t="s">
        <v>129</v>
      </c>
      <c r="B2205" s="26" t="s">
        <v>14</v>
      </c>
      <c r="C2205" s="20">
        <v>42306</v>
      </c>
      <c r="D2205" t="s">
        <v>42</v>
      </c>
      <c r="E2205" s="3">
        <v>30</v>
      </c>
      <c r="F2205" s="3">
        <v>22</v>
      </c>
      <c r="G2205" s="3">
        <v>594</v>
      </c>
      <c r="H2205" s="3" t="s">
        <v>2974</v>
      </c>
    </row>
    <row r="2206" spans="1:8" x14ac:dyDescent="0.35">
      <c r="A2206" t="s">
        <v>402</v>
      </c>
      <c r="B2206" s="26" t="s">
        <v>14</v>
      </c>
      <c r="C2206" s="20">
        <v>42959</v>
      </c>
      <c r="D2206" t="s">
        <v>56</v>
      </c>
      <c r="E2206" s="3">
        <v>800</v>
      </c>
      <c r="F2206" s="3">
        <v>98</v>
      </c>
      <c r="G2206" s="3">
        <v>58016</v>
      </c>
      <c r="H2206" s="3" t="s">
        <v>2972</v>
      </c>
    </row>
    <row r="2207" spans="1:8" x14ac:dyDescent="0.35">
      <c r="A2207" t="s">
        <v>24</v>
      </c>
      <c r="B2207" s="26" t="s">
        <v>25</v>
      </c>
      <c r="C2207" s="20">
        <v>42775</v>
      </c>
      <c r="D2207" t="s">
        <v>56</v>
      </c>
      <c r="E2207" s="3">
        <v>800</v>
      </c>
      <c r="F2207" s="3">
        <v>59</v>
      </c>
      <c r="G2207" s="3">
        <v>40120</v>
      </c>
      <c r="H2207" s="3" t="s">
        <v>2967</v>
      </c>
    </row>
    <row r="2208" spans="1:8" x14ac:dyDescent="0.35">
      <c r="A2208" t="s">
        <v>436</v>
      </c>
      <c r="B2208" s="26" t="s">
        <v>25</v>
      </c>
      <c r="C2208" s="20">
        <v>42381</v>
      </c>
      <c r="D2208" t="s">
        <v>26</v>
      </c>
      <c r="E2208" s="3">
        <v>700</v>
      </c>
      <c r="F2208" s="3">
        <v>70</v>
      </c>
      <c r="G2208" s="3">
        <v>48510</v>
      </c>
      <c r="H2208" s="3" t="s">
        <v>2966</v>
      </c>
    </row>
    <row r="2209" spans="1:8" x14ac:dyDescent="0.35">
      <c r="A2209" t="s">
        <v>41</v>
      </c>
      <c r="B2209" s="26" t="s">
        <v>36</v>
      </c>
      <c r="C2209" s="20">
        <v>43021</v>
      </c>
      <c r="D2209" t="s">
        <v>31</v>
      </c>
      <c r="E2209" s="3">
        <v>150</v>
      </c>
      <c r="F2209" s="3">
        <v>77</v>
      </c>
      <c r="G2209" s="3">
        <v>10857</v>
      </c>
      <c r="H2209" s="3" t="s">
        <v>2974</v>
      </c>
    </row>
    <row r="2210" spans="1:8" x14ac:dyDescent="0.35">
      <c r="A2210" t="s">
        <v>207</v>
      </c>
      <c r="B2210" s="26" t="s">
        <v>25</v>
      </c>
      <c r="C2210" s="20">
        <v>42963</v>
      </c>
      <c r="D2210" t="s">
        <v>47</v>
      </c>
      <c r="E2210" s="3">
        <v>500</v>
      </c>
      <c r="F2210" s="3">
        <v>93</v>
      </c>
      <c r="G2210" s="3">
        <v>43710</v>
      </c>
      <c r="H2210" s="3" t="s">
        <v>2972</v>
      </c>
    </row>
    <row r="2211" spans="1:8" x14ac:dyDescent="0.35">
      <c r="A2211" t="s">
        <v>109</v>
      </c>
      <c r="B2211" s="26" t="s">
        <v>20</v>
      </c>
      <c r="C2211" s="20">
        <v>43289</v>
      </c>
      <c r="D2211" t="s">
        <v>73</v>
      </c>
      <c r="E2211" s="3">
        <v>500</v>
      </c>
      <c r="F2211" s="3">
        <v>10</v>
      </c>
      <c r="G2211" s="3">
        <v>4950</v>
      </c>
      <c r="H2211" s="3" t="s">
        <v>2971</v>
      </c>
    </row>
    <row r="2212" spans="1:8" x14ac:dyDescent="0.35">
      <c r="A2212" t="s">
        <v>109</v>
      </c>
      <c r="B2212" s="26" t="s">
        <v>20</v>
      </c>
      <c r="C2212" s="20">
        <v>42556</v>
      </c>
      <c r="D2212" t="s">
        <v>116</v>
      </c>
      <c r="E2212" s="3">
        <v>250</v>
      </c>
      <c r="F2212" s="3">
        <v>88</v>
      </c>
      <c r="G2212" s="3">
        <v>21824</v>
      </c>
      <c r="H2212" s="3" t="s">
        <v>2971</v>
      </c>
    </row>
    <row r="2213" spans="1:8" x14ac:dyDescent="0.35">
      <c r="A2213" t="s">
        <v>83</v>
      </c>
      <c r="B2213" s="26" t="s">
        <v>14</v>
      </c>
      <c r="C2213" s="20">
        <v>43069</v>
      </c>
      <c r="D2213" t="s">
        <v>15</v>
      </c>
      <c r="E2213" s="3">
        <v>80</v>
      </c>
      <c r="F2213" s="3">
        <v>85</v>
      </c>
      <c r="G2213" s="3">
        <v>6460</v>
      </c>
      <c r="H2213" s="3" t="s">
        <v>2975</v>
      </c>
    </row>
    <row r="2214" spans="1:8" x14ac:dyDescent="0.35">
      <c r="A2214" t="s">
        <v>93</v>
      </c>
      <c r="B2214" s="26" t="s">
        <v>36</v>
      </c>
      <c r="C2214" s="20">
        <v>42133</v>
      </c>
      <c r="D2214" t="s">
        <v>123</v>
      </c>
      <c r="E2214" s="3">
        <v>50</v>
      </c>
      <c r="F2214" s="3">
        <v>52</v>
      </c>
      <c r="G2214" s="3">
        <v>1716</v>
      </c>
      <c r="H2214" s="3" t="s">
        <v>2965</v>
      </c>
    </row>
    <row r="2215" spans="1:8" x14ac:dyDescent="0.35">
      <c r="A2215" t="s">
        <v>46</v>
      </c>
      <c r="B2215" s="26" t="s">
        <v>25</v>
      </c>
      <c r="C2215" s="20">
        <v>43295</v>
      </c>
      <c r="D2215" t="s">
        <v>47</v>
      </c>
      <c r="E2215" s="3">
        <v>500</v>
      </c>
      <c r="F2215" s="3">
        <v>87</v>
      </c>
      <c r="G2215" s="3">
        <v>41325</v>
      </c>
      <c r="H2215" s="3" t="s">
        <v>2971</v>
      </c>
    </row>
    <row r="2216" spans="1:8" x14ac:dyDescent="0.35">
      <c r="A2216" t="s">
        <v>120</v>
      </c>
      <c r="B2216" s="26" t="s">
        <v>36</v>
      </c>
      <c r="C2216" s="20">
        <v>43256</v>
      </c>
      <c r="D2216" t="s">
        <v>26</v>
      </c>
      <c r="E2216" s="3">
        <v>700</v>
      </c>
      <c r="F2216" s="3">
        <v>15</v>
      </c>
      <c r="G2216" s="3">
        <v>10290</v>
      </c>
      <c r="H2216" s="3" t="s">
        <v>2970</v>
      </c>
    </row>
    <row r="2217" spans="1:8" x14ac:dyDescent="0.35">
      <c r="A2217" t="s">
        <v>55</v>
      </c>
      <c r="B2217" s="26" t="s">
        <v>14</v>
      </c>
      <c r="C2217" s="20">
        <v>41710</v>
      </c>
      <c r="D2217" t="s">
        <v>62</v>
      </c>
      <c r="E2217" s="3">
        <v>1000</v>
      </c>
      <c r="F2217" s="3">
        <v>48</v>
      </c>
      <c r="G2217" s="3">
        <v>37440</v>
      </c>
      <c r="H2217" s="3" t="s">
        <v>2968</v>
      </c>
    </row>
    <row r="2218" spans="1:8" x14ac:dyDescent="0.35">
      <c r="A2218" t="s">
        <v>19</v>
      </c>
      <c r="B2218" s="26" t="s">
        <v>20</v>
      </c>
      <c r="C2218" s="20">
        <v>41790</v>
      </c>
      <c r="D2218" t="s">
        <v>62</v>
      </c>
      <c r="E2218" s="3">
        <v>1000</v>
      </c>
      <c r="F2218" s="3">
        <v>80</v>
      </c>
      <c r="G2218" s="3">
        <v>40800</v>
      </c>
      <c r="H2218" s="3" t="s">
        <v>2965</v>
      </c>
    </row>
    <row r="2219" spans="1:8" x14ac:dyDescent="0.35">
      <c r="A2219" t="s">
        <v>109</v>
      </c>
      <c r="B2219" s="26" t="s">
        <v>20</v>
      </c>
      <c r="C2219" s="20">
        <v>42728</v>
      </c>
      <c r="D2219" t="s">
        <v>123</v>
      </c>
      <c r="E2219" s="3">
        <v>50</v>
      </c>
      <c r="F2219" s="3">
        <v>70</v>
      </c>
      <c r="G2219" s="3">
        <v>3430</v>
      </c>
      <c r="H2219" s="3" t="s">
        <v>2976</v>
      </c>
    </row>
    <row r="2220" spans="1:8" x14ac:dyDescent="0.35">
      <c r="A2220" t="s">
        <v>41</v>
      </c>
      <c r="B2220" s="26" t="s">
        <v>36</v>
      </c>
      <c r="C2220" s="20">
        <v>43027</v>
      </c>
      <c r="D2220" t="s">
        <v>56</v>
      </c>
      <c r="E2220" s="3">
        <v>800</v>
      </c>
      <c r="F2220" s="3">
        <v>38</v>
      </c>
      <c r="G2220" s="3">
        <v>19456</v>
      </c>
      <c r="H2220" s="3" t="s">
        <v>2974</v>
      </c>
    </row>
    <row r="2221" spans="1:8" x14ac:dyDescent="0.35">
      <c r="A2221" t="s">
        <v>207</v>
      </c>
      <c r="B2221" s="26" t="s">
        <v>25</v>
      </c>
      <c r="C2221" s="20">
        <v>42218</v>
      </c>
      <c r="D2221" t="s">
        <v>56</v>
      </c>
      <c r="E2221" s="3">
        <v>800</v>
      </c>
      <c r="F2221" s="3">
        <v>21</v>
      </c>
      <c r="G2221" s="3">
        <v>13776</v>
      </c>
      <c r="H2221" s="3" t="s">
        <v>2972</v>
      </c>
    </row>
    <row r="2222" spans="1:8" x14ac:dyDescent="0.35">
      <c r="A2222" t="s">
        <v>207</v>
      </c>
      <c r="B2222" s="26" t="s">
        <v>25</v>
      </c>
      <c r="C2222" s="20">
        <v>42123</v>
      </c>
      <c r="D2222" t="s">
        <v>15</v>
      </c>
      <c r="E2222" s="3">
        <v>80</v>
      </c>
      <c r="F2222" s="3">
        <v>35</v>
      </c>
      <c r="G2222" s="3">
        <v>2520</v>
      </c>
      <c r="H2222" s="3" t="s">
        <v>2969</v>
      </c>
    </row>
    <row r="2223" spans="1:8" x14ac:dyDescent="0.35">
      <c r="A2223" t="s">
        <v>72</v>
      </c>
      <c r="B2223" s="26" t="s">
        <v>36</v>
      </c>
      <c r="C2223" s="20">
        <v>41879</v>
      </c>
      <c r="D2223" t="s">
        <v>73</v>
      </c>
      <c r="E2223" s="3">
        <v>500</v>
      </c>
      <c r="F2223" s="3">
        <v>33</v>
      </c>
      <c r="G2223" s="3">
        <v>16500</v>
      </c>
      <c r="H2223" s="3" t="s">
        <v>2972</v>
      </c>
    </row>
    <row r="2224" spans="1:8" x14ac:dyDescent="0.35">
      <c r="A2224" t="s">
        <v>72</v>
      </c>
      <c r="B2224" s="26" t="s">
        <v>36</v>
      </c>
      <c r="C2224" s="20">
        <v>41831</v>
      </c>
      <c r="D2224" t="s">
        <v>56</v>
      </c>
      <c r="E2224" s="3">
        <v>800</v>
      </c>
      <c r="F2224" s="3">
        <v>34</v>
      </c>
      <c r="G2224" s="3">
        <v>16048</v>
      </c>
      <c r="H2224" s="3" t="s">
        <v>2971</v>
      </c>
    </row>
    <row r="2225" spans="1:8" x14ac:dyDescent="0.35">
      <c r="A2225" t="s">
        <v>72</v>
      </c>
      <c r="B2225" s="26" t="s">
        <v>36</v>
      </c>
      <c r="C2225" s="20">
        <v>43128</v>
      </c>
      <c r="D2225" t="s">
        <v>15</v>
      </c>
      <c r="E2225" s="3">
        <v>80</v>
      </c>
      <c r="F2225" s="3">
        <v>61</v>
      </c>
      <c r="G2225" s="3">
        <v>4880</v>
      </c>
      <c r="H2225" s="3" t="s">
        <v>2966</v>
      </c>
    </row>
    <row r="2226" spans="1:8" x14ac:dyDescent="0.35">
      <c r="A2226" t="s">
        <v>189</v>
      </c>
      <c r="B2226" s="26" t="s">
        <v>14</v>
      </c>
      <c r="C2226" s="20">
        <v>42080</v>
      </c>
      <c r="D2226" t="s">
        <v>105</v>
      </c>
      <c r="E2226" s="3">
        <v>70</v>
      </c>
      <c r="F2226" s="3">
        <v>50</v>
      </c>
      <c r="G2226" s="3">
        <v>3200</v>
      </c>
      <c r="H2226" s="3" t="s">
        <v>2968</v>
      </c>
    </row>
    <row r="2227" spans="1:8" x14ac:dyDescent="0.35">
      <c r="A2227" t="s">
        <v>109</v>
      </c>
      <c r="B2227" s="26" t="s">
        <v>20</v>
      </c>
      <c r="C2227" s="20">
        <v>41769</v>
      </c>
      <c r="D2227" t="s">
        <v>31</v>
      </c>
      <c r="E2227" s="3">
        <v>150</v>
      </c>
      <c r="F2227" s="3">
        <v>76</v>
      </c>
      <c r="G2227" s="3">
        <v>8664</v>
      </c>
      <c r="H2227" s="3" t="s">
        <v>2965</v>
      </c>
    </row>
    <row r="2228" spans="1:8" x14ac:dyDescent="0.35">
      <c r="A2228" t="s">
        <v>30</v>
      </c>
      <c r="B2228" s="26" t="s">
        <v>14</v>
      </c>
      <c r="C2228" s="20">
        <v>42772</v>
      </c>
      <c r="D2228" t="s">
        <v>15</v>
      </c>
      <c r="E2228" s="3">
        <v>80</v>
      </c>
      <c r="F2228" s="3">
        <v>91</v>
      </c>
      <c r="G2228" s="3">
        <v>6643</v>
      </c>
      <c r="H2228" s="3" t="s">
        <v>2967</v>
      </c>
    </row>
    <row r="2229" spans="1:8" x14ac:dyDescent="0.35">
      <c r="A2229" t="s">
        <v>129</v>
      </c>
      <c r="B2229" s="26" t="s">
        <v>14</v>
      </c>
      <c r="C2229" s="20">
        <v>42760</v>
      </c>
      <c r="D2229" t="s">
        <v>123</v>
      </c>
      <c r="E2229" s="3">
        <v>50</v>
      </c>
      <c r="F2229" s="3">
        <v>72</v>
      </c>
      <c r="G2229" s="3">
        <v>3384</v>
      </c>
      <c r="H2229" s="3" t="s">
        <v>2966</v>
      </c>
    </row>
    <row r="2230" spans="1:8" x14ac:dyDescent="0.35">
      <c r="A2230" t="s">
        <v>51</v>
      </c>
      <c r="B2230" s="26" t="s">
        <v>25</v>
      </c>
      <c r="C2230" s="20">
        <v>43413</v>
      </c>
      <c r="D2230" t="s">
        <v>62</v>
      </c>
      <c r="E2230" s="3">
        <v>1000</v>
      </c>
      <c r="F2230" s="3">
        <v>57</v>
      </c>
      <c r="G2230" s="3">
        <v>54720</v>
      </c>
      <c r="H2230" s="3" t="s">
        <v>2975</v>
      </c>
    </row>
    <row r="2231" spans="1:8" x14ac:dyDescent="0.35">
      <c r="A2231" t="s">
        <v>109</v>
      </c>
      <c r="B2231" s="26" t="s">
        <v>20</v>
      </c>
      <c r="C2231" s="20">
        <v>42642</v>
      </c>
      <c r="D2231" t="s">
        <v>62</v>
      </c>
      <c r="E2231" s="3">
        <v>1000</v>
      </c>
      <c r="F2231" s="3">
        <v>27</v>
      </c>
      <c r="G2231" s="3">
        <v>26730</v>
      </c>
      <c r="H2231" s="3" t="s">
        <v>2973</v>
      </c>
    </row>
    <row r="2232" spans="1:8" x14ac:dyDescent="0.35">
      <c r="A2232" t="s">
        <v>207</v>
      </c>
      <c r="B2232" s="26" t="s">
        <v>25</v>
      </c>
      <c r="C2232" s="20">
        <v>43393</v>
      </c>
      <c r="D2232" t="s">
        <v>56</v>
      </c>
      <c r="E2232" s="3">
        <v>800</v>
      </c>
      <c r="F2232" s="3">
        <v>44</v>
      </c>
      <c r="G2232" s="3">
        <v>31680</v>
      </c>
      <c r="H2232" s="3" t="s">
        <v>2974</v>
      </c>
    </row>
    <row r="2233" spans="1:8" x14ac:dyDescent="0.35">
      <c r="A2233" t="s">
        <v>109</v>
      </c>
      <c r="B2233" s="26" t="s">
        <v>20</v>
      </c>
      <c r="C2233" s="20">
        <v>42225</v>
      </c>
      <c r="D2233" t="s">
        <v>56</v>
      </c>
      <c r="E2233" s="3">
        <v>800</v>
      </c>
      <c r="F2233" s="3">
        <v>12</v>
      </c>
      <c r="G2233" s="3">
        <v>7200</v>
      </c>
      <c r="H2233" s="3" t="s">
        <v>2972</v>
      </c>
    </row>
    <row r="2234" spans="1:8" x14ac:dyDescent="0.35">
      <c r="A2234" t="s">
        <v>148</v>
      </c>
      <c r="B2234" s="26" t="s">
        <v>14</v>
      </c>
      <c r="C2234" s="20">
        <v>42430</v>
      </c>
      <c r="D2234" t="s">
        <v>47</v>
      </c>
      <c r="E2234" s="3">
        <v>500</v>
      </c>
      <c r="F2234" s="3">
        <v>15</v>
      </c>
      <c r="G2234" s="3">
        <v>6525</v>
      </c>
      <c r="H2234" s="3" t="s">
        <v>2968</v>
      </c>
    </row>
    <row r="2235" spans="1:8" x14ac:dyDescent="0.35">
      <c r="A2235" t="s">
        <v>207</v>
      </c>
      <c r="B2235" s="26" t="s">
        <v>25</v>
      </c>
      <c r="C2235" s="20">
        <v>41696</v>
      </c>
      <c r="D2235" t="s">
        <v>42</v>
      </c>
      <c r="E2235" s="3">
        <v>30</v>
      </c>
      <c r="F2235" s="3">
        <v>85</v>
      </c>
      <c r="G2235" s="3">
        <v>2125</v>
      </c>
      <c r="H2235" s="3" t="s">
        <v>2967</v>
      </c>
    </row>
    <row r="2236" spans="1:8" x14ac:dyDescent="0.35">
      <c r="A2236" t="s">
        <v>41</v>
      </c>
      <c r="B2236" s="26" t="s">
        <v>36</v>
      </c>
      <c r="C2236" s="20">
        <v>41655</v>
      </c>
      <c r="D2236" t="s">
        <v>37</v>
      </c>
      <c r="E2236" s="3">
        <v>50</v>
      </c>
      <c r="F2236" s="3">
        <v>94</v>
      </c>
      <c r="G2236" s="3">
        <v>4324</v>
      </c>
      <c r="H2236" s="3" t="s">
        <v>2966</v>
      </c>
    </row>
    <row r="2237" spans="1:8" x14ac:dyDescent="0.35">
      <c r="A2237" t="s">
        <v>55</v>
      </c>
      <c r="B2237" s="26" t="s">
        <v>14</v>
      </c>
      <c r="C2237" s="20">
        <v>41892</v>
      </c>
      <c r="D2237" t="s">
        <v>37</v>
      </c>
      <c r="E2237" s="3">
        <v>50</v>
      </c>
      <c r="F2237" s="3">
        <v>4</v>
      </c>
      <c r="G2237" s="3">
        <v>192</v>
      </c>
      <c r="H2237" s="3" t="s">
        <v>2973</v>
      </c>
    </row>
    <row r="2238" spans="1:8" x14ac:dyDescent="0.35">
      <c r="A2238" t="s">
        <v>152</v>
      </c>
      <c r="B2238" s="26" t="s">
        <v>14</v>
      </c>
      <c r="C2238" s="20">
        <v>42608</v>
      </c>
      <c r="D2238" t="s">
        <v>31</v>
      </c>
      <c r="E2238" s="3">
        <v>150</v>
      </c>
      <c r="F2238" s="3">
        <v>11</v>
      </c>
      <c r="G2238" s="3">
        <v>1474</v>
      </c>
      <c r="H2238" s="3" t="s">
        <v>2972</v>
      </c>
    </row>
    <row r="2239" spans="1:8" x14ac:dyDescent="0.35">
      <c r="A2239" t="s">
        <v>51</v>
      </c>
      <c r="B2239" s="26" t="s">
        <v>25</v>
      </c>
      <c r="C2239" s="20">
        <v>41727</v>
      </c>
      <c r="D2239" t="s">
        <v>15</v>
      </c>
      <c r="E2239" s="3">
        <v>80</v>
      </c>
      <c r="F2239" s="3">
        <v>92</v>
      </c>
      <c r="G2239" s="3">
        <v>6900</v>
      </c>
      <c r="H2239" s="3" t="s">
        <v>2968</v>
      </c>
    </row>
    <row r="2240" spans="1:8" x14ac:dyDescent="0.35">
      <c r="A2240" t="s">
        <v>120</v>
      </c>
      <c r="B2240" s="26" t="s">
        <v>36</v>
      </c>
      <c r="C2240" s="20">
        <v>42483</v>
      </c>
      <c r="D2240" t="s">
        <v>26</v>
      </c>
      <c r="E2240" s="3">
        <v>700</v>
      </c>
      <c r="F2240" s="3">
        <v>89</v>
      </c>
      <c r="G2240" s="3">
        <v>61677</v>
      </c>
      <c r="H2240" s="3" t="s">
        <v>2969</v>
      </c>
    </row>
    <row r="2241" spans="1:8" x14ac:dyDescent="0.35">
      <c r="A2241" t="s">
        <v>83</v>
      </c>
      <c r="B2241" s="26" t="s">
        <v>14</v>
      </c>
      <c r="C2241" s="20">
        <v>41964</v>
      </c>
      <c r="D2241" t="s">
        <v>31</v>
      </c>
      <c r="E2241" s="3">
        <v>150</v>
      </c>
      <c r="F2241" s="3">
        <v>93</v>
      </c>
      <c r="G2241" s="3">
        <v>11067</v>
      </c>
      <c r="H2241" s="3" t="s">
        <v>2975</v>
      </c>
    </row>
    <row r="2242" spans="1:8" x14ac:dyDescent="0.35">
      <c r="A2242" t="s">
        <v>61</v>
      </c>
      <c r="B2242" s="26" t="s">
        <v>14</v>
      </c>
      <c r="C2242" s="20">
        <v>42305</v>
      </c>
      <c r="D2242" t="s">
        <v>15</v>
      </c>
      <c r="E2242" s="3">
        <v>80</v>
      </c>
      <c r="F2242" s="3">
        <v>30</v>
      </c>
      <c r="G2242" s="3">
        <v>1440</v>
      </c>
      <c r="H2242" s="3" t="s">
        <v>2974</v>
      </c>
    </row>
    <row r="2243" spans="1:8" x14ac:dyDescent="0.35">
      <c r="A2243" t="s">
        <v>19</v>
      </c>
      <c r="B2243" s="26" t="s">
        <v>20</v>
      </c>
      <c r="C2243" s="20">
        <v>41898</v>
      </c>
      <c r="D2243" t="s">
        <v>123</v>
      </c>
      <c r="E2243" s="3">
        <v>50</v>
      </c>
      <c r="F2243" s="3">
        <v>74</v>
      </c>
      <c r="G2243" s="3">
        <v>3330</v>
      </c>
      <c r="H2243" s="3" t="s">
        <v>2973</v>
      </c>
    </row>
    <row r="2244" spans="1:8" x14ac:dyDescent="0.35">
      <c r="A2244" t="s">
        <v>109</v>
      </c>
      <c r="B2244" s="26" t="s">
        <v>20</v>
      </c>
      <c r="C2244" s="20">
        <v>41818</v>
      </c>
      <c r="D2244" t="s">
        <v>116</v>
      </c>
      <c r="E2244" s="3">
        <v>250</v>
      </c>
      <c r="F2244" s="3">
        <v>23</v>
      </c>
      <c r="G2244" s="3">
        <v>5750</v>
      </c>
      <c r="H2244" s="3" t="s">
        <v>2970</v>
      </c>
    </row>
    <row r="2245" spans="1:8" x14ac:dyDescent="0.35">
      <c r="A2245" t="s">
        <v>129</v>
      </c>
      <c r="B2245" s="26" t="s">
        <v>14</v>
      </c>
      <c r="C2245" s="20">
        <v>41847</v>
      </c>
      <c r="D2245" t="s">
        <v>47</v>
      </c>
      <c r="E2245" s="3">
        <v>500</v>
      </c>
      <c r="F2245" s="3">
        <v>58</v>
      </c>
      <c r="G2245" s="3">
        <v>22040</v>
      </c>
      <c r="H2245" s="3" t="s">
        <v>2971</v>
      </c>
    </row>
    <row r="2246" spans="1:8" x14ac:dyDescent="0.35">
      <c r="A2246" t="s">
        <v>41</v>
      </c>
      <c r="B2246" s="26" t="s">
        <v>36</v>
      </c>
      <c r="C2246" s="20">
        <v>42922</v>
      </c>
      <c r="D2246" t="s">
        <v>73</v>
      </c>
      <c r="E2246" s="3">
        <v>500</v>
      </c>
      <c r="F2246" s="3">
        <v>66</v>
      </c>
      <c r="G2246" s="3">
        <v>32670</v>
      </c>
      <c r="H2246" s="3" t="s">
        <v>2971</v>
      </c>
    </row>
    <row r="2247" spans="1:8" x14ac:dyDescent="0.35">
      <c r="A2247" t="s">
        <v>83</v>
      </c>
      <c r="B2247" s="26" t="s">
        <v>14</v>
      </c>
      <c r="C2247" s="20">
        <v>41667</v>
      </c>
      <c r="D2247" t="s">
        <v>26</v>
      </c>
      <c r="E2247" s="3">
        <v>700</v>
      </c>
      <c r="F2247" s="3">
        <v>70</v>
      </c>
      <c r="G2247" s="3">
        <v>43610</v>
      </c>
      <c r="H2247" s="3" t="s">
        <v>2966</v>
      </c>
    </row>
    <row r="2248" spans="1:8" x14ac:dyDescent="0.35">
      <c r="A2248" t="s">
        <v>101</v>
      </c>
      <c r="B2248" s="26" t="s">
        <v>14</v>
      </c>
      <c r="C2248" s="20">
        <v>42477</v>
      </c>
      <c r="D2248" t="s">
        <v>123</v>
      </c>
      <c r="E2248" s="3">
        <v>50</v>
      </c>
      <c r="F2248" s="3">
        <v>50</v>
      </c>
      <c r="G2248" s="3">
        <v>2200</v>
      </c>
      <c r="H2248" s="3" t="s">
        <v>2969</v>
      </c>
    </row>
    <row r="2249" spans="1:8" x14ac:dyDescent="0.35">
      <c r="A2249" t="s">
        <v>87</v>
      </c>
      <c r="B2249" s="26" t="s">
        <v>14</v>
      </c>
      <c r="C2249" s="20">
        <v>42998</v>
      </c>
      <c r="D2249" t="s">
        <v>42</v>
      </c>
      <c r="E2249" s="3">
        <v>30</v>
      </c>
      <c r="F2249" s="3">
        <v>69</v>
      </c>
      <c r="G2249" s="3">
        <v>2070</v>
      </c>
      <c r="H2249" s="3" t="s">
        <v>2973</v>
      </c>
    </row>
    <row r="2250" spans="1:8" x14ac:dyDescent="0.35">
      <c r="A2250" t="s">
        <v>326</v>
      </c>
      <c r="B2250" s="26" t="s">
        <v>14</v>
      </c>
      <c r="C2250" s="20">
        <v>41833</v>
      </c>
      <c r="D2250" t="s">
        <v>37</v>
      </c>
      <c r="E2250" s="3">
        <v>50</v>
      </c>
      <c r="F2250" s="3">
        <v>1</v>
      </c>
      <c r="G2250" s="3">
        <v>49</v>
      </c>
      <c r="H2250" s="3" t="s">
        <v>2971</v>
      </c>
    </row>
    <row r="2251" spans="1:8" x14ac:dyDescent="0.35">
      <c r="A2251" t="s">
        <v>109</v>
      </c>
      <c r="B2251" s="26" t="s">
        <v>20</v>
      </c>
      <c r="C2251" s="20">
        <v>42540</v>
      </c>
      <c r="D2251" t="s">
        <v>15</v>
      </c>
      <c r="E2251" s="3">
        <v>80</v>
      </c>
      <c r="F2251" s="3">
        <v>29</v>
      </c>
      <c r="G2251" s="3">
        <v>2088</v>
      </c>
      <c r="H2251" s="3" t="s">
        <v>2970</v>
      </c>
    </row>
    <row r="2252" spans="1:8" x14ac:dyDescent="0.35">
      <c r="A2252" t="s">
        <v>41</v>
      </c>
      <c r="B2252" s="26" t="s">
        <v>36</v>
      </c>
      <c r="C2252" s="20">
        <v>42160</v>
      </c>
      <c r="D2252" t="s">
        <v>37</v>
      </c>
      <c r="E2252" s="3">
        <v>50</v>
      </c>
      <c r="F2252" s="3">
        <v>12</v>
      </c>
      <c r="G2252" s="3">
        <v>540</v>
      </c>
      <c r="H2252" s="3" t="s">
        <v>2970</v>
      </c>
    </row>
    <row r="2253" spans="1:8" x14ac:dyDescent="0.35">
      <c r="A2253" t="s">
        <v>109</v>
      </c>
      <c r="B2253" s="26" t="s">
        <v>20</v>
      </c>
      <c r="C2253" s="20">
        <v>42612</v>
      </c>
      <c r="D2253" t="s">
        <v>31</v>
      </c>
      <c r="E2253" s="3">
        <v>150</v>
      </c>
      <c r="F2253" s="3">
        <v>43</v>
      </c>
      <c r="G2253" s="3">
        <v>6407</v>
      </c>
      <c r="H2253" s="3" t="s">
        <v>2972</v>
      </c>
    </row>
    <row r="2254" spans="1:8" x14ac:dyDescent="0.35">
      <c r="A2254" t="s">
        <v>176</v>
      </c>
      <c r="B2254" s="26" t="s">
        <v>14</v>
      </c>
      <c r="C2254" s="20">
        <v>42693</v>
      </c>
      <c r="D2254" t="s">
        <v>105</v>
      </c>
      <c r="E2254" s="3">
        <v>70</v>
      </c>
      <c r="F2254" s="3">
        <v>38</v>
      </c>
      <c r="G2254" s="3">
        <v>2318</v>
      </c>
      <c r="H2254" s="3" t="s">
        <v>2975</v>
      </c>
    </row>
    <row r="2255" spans="1:8" x14ac:dyDescent="0.35">
      <c r="A2255" t="s">
        <v>83</v>
      </c>
      <c r="B2255" s="26" t="s">
        <v>14</v>
      </c>
      <c r="C2255" s="20">
        <v>42610</v>
      </c>
      <c r="D2255" t="s">
        <v>73</v>
      </c>
      <c r="E2255" s="3">
        <v>500</v>
      </c>
      <c r="F2255" s="3">
        <v>5</v>
      </c>
      <c r="G2255" s="3">
        <v>2500</v>
      </c>
      <c r="H2255" s="3" t="s">
        <v>2972</v>
      </c>
    </row>
    <row r="2256" spans="1:8" x14ac:dyDescent="0.35">
      <c r="A2256" t="s">
        <v>97</v>
      </c>
      <c r="B2256" s="26" t="s">
        <v>14</v>
      </c>
      <c r="C2256" s="20">
        <v>41989</v>
      </c>
      <c r="D2256" t="s">
        <v>26</v>
      </c>
      <c r="E2256" s="3">
        <v>700</v>
      </c>
      <c r="F2256" s="3">
        <v>19</v>
      </c>
      <c r="G2256" s="3">
        <v>12768</v>
      </c>
      <c r="H2256" s="3" t="s">
        <v>2976</v>
      </c>
    </row>
    <row r="2257" spans="1:8" x14ac:dyDescent="0.35">
      <c r="A2257" t="s">
        <v>436</v>
      </c>
      <c r="B2257" s="26" t="s">
        <v>25</v>
      </c>
      <c r="C2257" s="20">
        <v>43191</v>
      </c>
      <c r="D2257" t="s">
        <v>56</v>
      </c>
      <c r="E2257" s="3">
        <v>800</v>
      </c>
      <c r="F2257" s="3">
        <v>31</v>
      </c>
      <c r="G2257" s="3">
        <v>19840</v>
      </c>
      <c r="H2257" s="3" t="s">
        <v>2969</v>
      </c>
    </row>
    <row r="2258" spans="1:8" x14ac:dyDescent="0.35">
      <c r="A2258" t="s">
        <v>243</v>
      </c>
      <c r="B2258" s="26" t="s">
        <v>14</v>
      </c>
      <c r="C2258" s="20">
        <v>42946</v>
      </c>
      <c r="D2258" t="s">
        <v>62</v>
      </c>
      <c r="E2258" s="3">
        <v>1000</v>
      </c>
      <c r="F2258" s="3">
        <v>99</v>
      </c>
      <c r="G2258" s="3">
        <v>62370</v>
      </c>
      <c r="H2258" s="3" t="s">
        <v>2971</v>
      </c>
    </row>
    <row r="2259" spans="1:8" x14ac:dyDescent="0.35">
      <c r="A2259" t="s">
        <v>129</v>
      </c>
      <c r="B2259" s="26" t="s">
        <v>14</v>
      </c>
      <c r="C2259" s="20">
        <v>42856</v>
      </c>
      <c r="D2259" t="s">
        <v>37</v>
      </c>
      <c r="E2259" s="3">
        <v>50</v>
      </c>
      <c r="F2259" s="3">
        <v>44</v>
      </c>
      <c r="G2259" s="3">
        <v>2024</v>
      </c>
      <c r="H2259" s="3" t="s">
        <v>2965</v>
      </c>
    </row>
    <row r="2260" spans="1:8" x14ac:dyDescent="0.35">
      <c r="A2260" t="s">
        <v>109</v>
      </c>
      <c r="B2260" s="26" t="s">
        <v>20</v>
      </c>
      <c r="C2260" s="20">
        <v>42016</v>
      </c>
      <c r="D2260" t="s">
        <v>37</v>
      </c>
      <c r="E2260" s="3">
        <v>50</v>
      </c>
      <c r="F2260" s="3">
        <v>4</v>
      </c>
      <c r="G2260" s="3">
        <v>132</v>
      </c>
      <c r="H2260" s="3" t="s">
        <v>2966</v>
      </c>
    </row>
    <row r="2261" spans="1:8" x14ac:dyDescent="0.35">
      <c r="A2261" t="s">
        <v>97</v>
      </c>
      <c r="B2261" s="26" t="s">
        <v>14</v>
      </c>
      <c r="C2261" s="20">
        <v>42723</v>
      </c>
      <c r="D2261" t="s">
        <v>56</v>
      </c>
      <c r="E2261" s="3">
        <v>800</v>
      </c>
      <c r="F2261" s="3">
        <v>57</v>
      </c>
      <c r="G2261" s="3">
        <v>32376</v>
      </c>
      <c r="H2261" s="3" t="s">
        <v>2976</v>
      </c>
    </row>
    <row r="2262" spans="1:8" x14ac:dyDescent="0.35">
      <c r="A2262" t="s">
        <v>93</v>
      </c>
      <c r="B2262" s="26" t="s">
        <v>36</v>
      </c>
      <c r="C2262" s="20">
        <v>42081</v>
      </c>
      <c r="D2262" t="s">
        <v>47</v>
      </c>
      <c r="E2262" s="3">
        <v>500</v>
      </c>
      <c r="F2262" s="3">
        <v>96</v>
      </c>
      <c r="G2262" s="3">
        <v>47040</v>
      </c>
      <c r="H2262" s="3" t="s">
        <v>2968</v>
      </c>
    </row>
    <row r="2263" spans="1:8" x14ac:dyDescent="0.35">
      <c r="A2263" t="s">
        <v>148</v>
      </c>
      <c r="B2263" s="26" t="s">
        <v>14</v>
      </c>
      <c r="C2263" s="20">
        <v>42892</v>
      </c>
      <c r="D2263" t="s">
        <v>116</v>
      </c>
      <c r="E2263" s="3">
        <v>250</v>
      </c>
      <c r="F2263" s="3">
        <v>96</v>
      </c>
      <c r="G2263" s="3">
        <v>22848</v>
      </c>
      <c r="H2263" s="3" t="s">
        <v>2970</v>
      </c>
    </row>
    <row r="2264" spans="1:8" x14ac:dyDescent="0.35">
      <c r="A2264" t="s">
        <v>101</v>
      </c>
      <c r="B2264" s="26" t="s">
        <v>14</v>
      </c>
      <c r="C2264" s="20">
        <v>42628</v>
      </c>
      <c r="D2264" t="s">
        <v>42</v>
      </c>
      <c r="E2264" s="3">
        <v>30</v>
      </c>
      <c r="F2264" s="3">
        <v>11</v>
      </c>
      <c r="G2264" s="3">
        <v>286</v>
      </c>
      <c r="H2264" s="3" t="s">
        <v>2973</v>
      </c>
    </row>
    <row r="2265" spans="1:8" x14ac:dyDescent="0.35">
      <c r="A2265" t="s">
        <v>51</v>
      </c>
      <c r="B2265" s="26" t="s">
        <v>25</v>
      </c>
      <c r="C2265" s="20">
        <v>42727</v>
      </c>
      <c r="D2265" t="s">
        <v>42</v>
      </c>
      <c r="E2265" s="3">
        <v>30</v>
      </c>
      <c r="F2265" s="3">
        <v>27</v>
      </c>
      <c r="G2265" s="3">
        <v>810</v>
      </c>
      <c r="H2265" s="3" t="s">
        <v>2976</v>
      </c>
    </row>
    <row r="2266" spans="1:8" x14ac:dyDescent="0.35">
      <c r="A2266" t="s">
        <v>266</v>
      </c>
      <c r="B2266" s="26" t="s">
        <v>14</v>
      </c>
      <c r="C2266" s="20">
        <v>43069</v>
      </c>
      <c r="D2266" t="s">
        <v>62</v>
      </c>
      <c r="E2266" s="3">
        <v>1000</v>
      </c>
      <c r="F2266" s="3">
        <v>90</v>
      </c>
      <c r="G2266" s="3">
        <v>77400</v>
      </c>
      <c r="H2266" s="3" t="s">
        <v>2975</v>
      </c>
    </row>
    <row r="2267" spans="1:8" x14ac:dyDescent="0.35">
      <c r="A2267" t="s">
        <v>272</v>
      </c>
      <c r="B2267" s="26" t="s">
        <v>36</v>
      </c>
      <c r="C2267" s="20">
        <v>41843</v>
      </c>
      <c r="D2267" t="s">
        <v>62</v>
      </c>
      <c r="E2267" s="3">
        <v>1000</v>
      </c>
      <c r="F2267" s="3">
        <v>98</v>
      </c>
      <c r="G2267" s="3">
        <v>78400</v>
      </c>
      <c r="H2267" s="3" t="s">
        <v>2971</v>
      </c>
    </row>
    <row r="2268" spans="1:8" x14ac:dyDescent="0.35">
      <c r="A2268" t="s">
        <v>109</v>
      </c>
      <c r="B2268" s="26" t="s">
        <v>20</v>
      </c>
      <c r="C2268" s="20">
        <v>42168</v>
      </c>
      <c r="D2268" t="s">
        <v>15</v>
      </c>
      <c r="E2268" s="3">
        <v>80</v>
      </c>
      <c r="F2268" s="3">
        <v>59</v>
      </c>
      <c r="G2268" s="3">
        <v>4661</v>
      </c>
      <c r="H2268" s="3" t="s">
        <v>2970</v>
      </c>
    </row>
    <row r="2269" spans="1:8" x14ac:dyDescent="0.35">
      <c r="A2269" t="s">
        <v>176</v>
      </c>
      <c r="B2269" s="26" t="s">
        <v>14</v>
      </c>
      <c r="C2269" s="20">
        <v>42963</v>
      </c>
      <c r="D2269" t="s">
        <v>37</v>
      </c>
      <c r="E2269" s="3">
        <v>50</v>
      </c>
      <c r="F2269" s="3">
        <v>28</v>
      </c>
      <c r="G2269" s="3">
        <v>1372</v>
      </c>
      <c r="H2269" s="3" t="s">
        <v>2972</v>
      </c>
    </row>
    <row r="2270" spans="1:8" x14ac:dyDescent="0.35">
      <c r="A2270" t="s">
        <v>72</v>
      </c>
      <c r="B2270" s="26" t="s">
        <v>36</v>
      </c>
      <c r="C2270" s="20">
        <v>42146</v>
      </c>
      <c r="D2270" t="s">
        <v>42</v>
      </c>
      <c r="E2270" s="3">
        <v>30</v>
      </c>
      <c r="F2270" s="3">
        <v>71</v>
      </c>
      <c r="G2270" s="3">
        <v>1988</v>
      </c>
      <c r="H2270" s="3" t="s">
        <v>2965</v>
      </c>
    </row>
    <row r="2271" spans="1:8" x14ac:dyDescent="0.35">
      <c r="A2271" t="s">
        <v>172</v>
      </c>
      <c r="B2271" s="26" t="s">
        <v>14</v>
      </c>
      <c r="C2271" s="20">
        <v>42288</v>
      </c>
      <c r="D2271" t="s">
        <v>26</v>
      </c>
      <c r="E2271" s="3">
        <v>700</v>
      </c>
      <c r="F2271" s="3">
        <v>55</v>
      </c>
      <c r="G2271" s="3">
        <v>34265</v>
      </c>
      <c r="H2271" s="3" t="s">
        <v>2974</v>
      </c>
    </row>
    <row r="2272" spans="1:8" x14ac:dyDescent="0.35">
      <c r="A2272" t="s">
        <v>229</v>
      </c>
      <c r="B2272" s="26" t="s">
        <v>25</v>
      </c>
      <c r="C2272" s="20">
        <v>42378</v>
      </c>
      <c r="D2272" t="s">
        <v>47</v>
      </c>
      <c r="E2272" s="3">
        <v>500</v>
      </c>
      <c r="F2272" s="3">
        <v>47</v>
      </c>
      <c r="G2272" s="3">
        <v>20445</v>
      </c>
      <c r="H2272" s="3" t="s">
        <v>2966</v>
      </c>
    </row>
    <row r="2273" spans="1:8" x14ac:dyDescent="0.35">
      <c r="A2273" t="s">
        <v>272</v>
      </c>
      <c r="B2273" s="26" t="s">
        <v>36</v>
      </c>
      <c r="C2273" s="20">
        <v>41985</v>
      </c>
      <c r="D2273" t="s">
        <v>26</v>
      </c>
      <c r="E2273" s="3">
        <v>700</v>
      </c>
      <c r="F2273" s="3">
        <v>74</v>
      </c>
      <c r="G2273" s="3">
        <v>51282</v>
      </c>
      <c r="H2273" s="3" t="s">
        <v>2976</v>
      </c>
    </row>
    <row r="2274" spans="1:8" x14ac:dyDescent="0.35">
      <c r="A2274" t="s">
        <v>109</v>
      </c>
      <c r="B2274" s="26" t="s">
        <v>20</v>
      </c>
      <c r="C2274" s="20">
        <v>42859</v>
      </c>
      <c r="D2274" t="s">
        <v>31</v>
      </c>
      <c r="E2274" s="3">
        <v>150</v>
      </c>
      <c r="F2274" s="3">
        <v>61</v>
      </c>
      <c r="G2274" s="3">
        <v>9150</v>
      </c>
      <c r="H2274" s="3" t="s">
        <v>2965</v>
      </c>
    </row>
    <row r="2275" spans="1:8" x14ac:dyDescent="0.35">
      <c r="A2275" t="s">
        <v>109</v>
      </c>
      <c r="B2275" s="26" t="s">
        <v>20</v>
      </c>
      <c r="C2275" s="20">
        <v>42164</v>
      </c>
      <c r="D2275" t="s">
        <v>56</v>
      </c>
      <c r="E2275" s="3">
        <v>800</v>
      </c>
      <c r="F2275" s="3">
        <v>57</v>
      </c>
      <c r="G2275" s="3">
        <v>39672</v>
      </c>
      <c r="H2275" s="3" t="s">
        <v>2970</v>
      </c>
    </row>
    <row r="2276" spans="1:8" x14ac:dyDescent="0.35">
      <c r="A2276" t="s">
        <v>189</v>
      </c>
      <c r="B2276" s="26" t="s">
        <v>14</v>
      </c>
      <c r="C2276" s="20">
        <v>41755</v>
      </c>
      <c r="D2276" t="s">
        <v>42</v>
      </c>
      <c r="E2276" s="3">
        <v>30</v>
      </c>
      <c r="F2276" s="3">
        <v>89</v>
      </c>
      <c r="G2276" s="3">
        <v>2314</v>
      </c>
      <c r="H2276" s="3" t="s">
        <v>2969</v>
      </c>
    </row>
    <row r="2277" spans="1:8" x14ac:dyDescent="0.35">
      <c r="A2277" t="s">
        <v>46</v>
      </c>
      <c r="B2277" s="26" t="s">
        <v>25</v>
      </c>
      <c r="C2277" s="20">
        <v>42550</v>
      </c>
      <c r="D2277" t="s">
        <v>26</v>
      </c>
      <c r="E2277" s="3">
        <v>700</v>
      </c>
      <c r="F2277" s="3">
        <v>7</v>
      </c>
      <c r="G2277" s="3">
        <v>4361</v>
      </c>
      <c r="H2277" s="3" t="s">
        <v>2970</v>
      </c>
    </row>
    <row r="2278" spans="1:8" x14ac:dyDescent="0.35">
      <c r="A2278" t="s">
        <v>243</v>
      </c>
      <c r="B2278" s="26" t="s">
        <v>14</v>
      </c>
      <c r="C2278" s="20">
        <v>42478</v>
      </c>
      <c r="D2278" t="s">
        <v>15</v>
      </c>
      <c r="E2278" s="3">
        <v>80</v>
      </c>
      <c r="F2278" s="3">
        <v>36</v>
      </c>
      <c r="G2278" s="3">
        <v>2664</v>
      </c>
      <c r="H2278" s="3" t="s">
        <v>2969</v>
      </c>
    </row>
    <row r="2279" spans="1:8" x14ac:dyDescent="0.35">
      <c r="A2279" t="s">
        <v>61</v>
      </c>
      <c r="B2279" s="26" t="s">
        <v>14</v>
      </c>
      <c r="C2279" s="20">
        <v>41958</v>
      </c>
      <c r="D2279" t="s">
        <v>42</v>
      </c>
      <c r="E2279" s="3">
        <v>30</v>
      </c>
      <c r="F2279" s="3">
        <v>39</v>
      </c>
      <c r="G2279" s="3">
        <v>819</v>
      </c>
      <c r="H2279" s="3" t="s">
        <v>2975</v>
      </c>
    </row>
    <row r="2280" spans="1:8" x14ac:dyDescent="0.35">
      <c r="A2280" t="s">
        <v>109</v>
      </c>
      <c r="B2280" s="26" t="s">
        <v>20</v>
      </c>
      <c r="C2280" s="20">
        <v>42576</v>
      </c>
      <c r="D2280" t="s">
        <v>15</v>
      </c>
      <c r="E2280" s="3">
        <v>80</v>
      </c>
      <c r="F2280" s="3">
        <v>85</v>
      </c>
      <c r="G2280" s="3">
        <v>5780</v>
      </c>
      <c r="H2280" s="3" t="s">
        <v>2971</v>
      </c>
    </row>
    <row r="2281" spans="1:8" x14ac:dyDescent="0.35">
      <c r="A2281" t="s">
        <v>93</v>
      </c>
      <c r="B2281" s="26" t="s">
        <v>36</v>
      </c>
      <c r="C2281" s="20">
        <v>41661</v>
      </c>
      <c r="D2281" t="s">
        <v>123</v>
      </c>
      <c r="E2281" s="3">
        <v>50</v>
      </c>
      <c r="F2281" s="3">
        <v>36</v>
      </c>
      <c r="G2281" s="3">
        <v>1728</v>
      </c>
      <c r="H2281" s="3" t="s">
        <v>2966</v>
      </c>
    </row>
    <row r="2282" spans="1:8" x14ac:dyDescent="0.35">
      <c r="A2282" t="s">
        <v>41</v>
      </c>
      <c r="B2282" s="26" t="s">
        <v>36</v>
      </c>
      <c r="C2282" s="20">
        <v>42917</v>
      </c>
      <c r="D2282" t="s">
        <v>42</v>
      </c>
      <c r="E2282" s="3">
        <v>30</v>
      </c>
      <c r="F2282" s="3">
        <v>68</v>
      </c>
      <c r="G2282" s="3">
        <v>1972</v>
      </c>
      <c r="H2282" s="3" t="s">
        <v>2971</v>
      </c>
    </row>
    <row r="2283" spans="1:8" x14ac:dyDescent="0.35">
      <c r="A2283" t="s">
        <v>101</v>
      </c>
      <c r="B2283" s="26" t="s">
        <v>14</v>
      </c>
      <c r="C2283" s="20">
        <v>42450</v>
      </c>
      <c r="D2283" t="s">
        <v>42</v>
      </c>
      <c r="E2283" s="3">
        <v>30</v>
      </c>
      <c r="F2283" s="3">
        <v>14</v>
      </c>
      <c r="G2283" s="3">
        <v>406</v>
      </c>
      <c r="H2283" s="3" t="s">
        <v>2968</v>
      </c>
    </row>
    <row r="2284" spans="1:8" x14ac:dyDescent="0.35">
      <c r="A2284" t="s">
        <v>72</v>
      </c>
      <c r="B2284" s="26" t="s">
        <v>36</v>
      </c>
      <c r="C2284" s="20">
        <v>42439</v>
      </c>
      <c r="D2284" t="s">
        <v>62</v>
      </c>
      <c r="E2284" s="3">
        <v>1000</v>
      </c>
      <c r="F2284" s="3">
        <v>42</v>
      </c>
      <c r="G2284" s="3">
        <v>21420</v>
      </c>
      <c r="H2284" s="3" t="s">
        <v>2968</v>
      </c>
    </row>
    <row r="2285" spans="1:8" x14ac:dyDescent="0.35">
      <c r="A2285" t="s">
        <v>66</v>
      </c>
      <c r="B2285" s="26" t="s">
        <v>36</v>
      </c>
      <c r="C2285" s="20">
        <v>42721</v>
      </c>
      <c r="D2285" t="s">
        <v>42</v>
      </c>
      <c r="E2285" s="3">
        <v>30</v>
      </c>
      <c r="F2285" s="3">
        <v>16</v>
      </c>
      <c r="G2285" s="3">
        <v>464</v>
      </c>
      <c r="H2285" s="3" t="s">
        <v>2976</v>
      </c>
    </row>
    <row r="2286" spans="1:8" x14ac:dyDescent="0.35">
      <c r="A2286" t="s">
        <v>83</v>
      </c>
      <c r="B2286" s="26" t="s">
        <v>14</v>
      </c>
      <c r="C2286" s="20">
        <v>41853</v>
      </c>
      <c r="D2286" t="s">
        <v>62</v>
      </c>
      <c r="E2286" s="3">
        <v>1000</v>
      </c>
      <c r="F2286" s="3">
        <v>99</v>
      </c>
      <c r="G2286" s="3">
        <v>83160</v>
      </c>
      <c r="H2286" s="3" t="s">
        <v>2972</v>
      </c>
    </row>
    <row r="2287" spans="1:8" x14ac:dyDescent="0.35">
      <c r="A2287" t="s">
        <v>30</v>
      </c>
      <c r="B2287" s="26" t="s">
        <v>14</v>
      </c>
      <c r="C2287" s="20">
        <v>42391</v>
      </c>
      <c r="D2287" t="s">
        <v>116</v>
      </c>
      <c r="E2287" s="3">
        <v>250</v>
      </c>
      <c r="F2287" s="3">
        <v>42</v>
      </c>
      <c r="G2287" s="3">
        <v>9450</v>
      </c>
      <c r="H2287" s="3" t="s">
        <v>2966</v>
      </c>
    </row>
    <row r="2288" spans="1:8" x14ac:dyDescent="0.35">
      <c r="A2288" t="s">
        <v>229</v>
      </c>
      <c r="B2288" s="26" t="s">
        <v>25</v>
      </c>
      <c r="C2288" s="20">
        <v>42637</v>
      </c>
      <c r="D2288" t="s">
        <v>42</v>
      </c>
      <c r="E2288" s="3">
        <v>30</v>
      </c>
      <c r="F2288" s="3">
        <v>67</v>
      </c>
      <c r="G2288" s="3">
        <v>1742</v>
      </c>
      <c r="H2288" s="3" t="s">
        <v>2973</v>
      </c>
    </row>
    <row r="2289" spans="1:8" x14ac:dyDescent="0.35">
      <c r="A2289" t="s">
        <v>176</v>
      </c>
      <c r="B2289" s="26" t="s">
        <v>14</v>
      </c>
      <c r="C2289" s="20">
        <v>42336</v>
      </c>
      <c r="D2289" t="s">
        <v>26</v>
      </c>
      <c r="E2289" s="3">
        <v>700</v>
      </c>
      <c r="F2289" s="3">
        <v>22</v>
      </c>
      <c r="G2289" s="3">
        <v>11858</v>
      </c>
      <c r="H2289" s="3" t="s">
        <v>2975</v>
      </c>
    </row>
    <row r="2290" spans="1:8" x14ac:dyDescent="0.35">
      <c r="A2290" t="s">
        <v>30</v>
      </c>
      <c r="B2290" s="26" t="s">
        <v>14</v>
      </c>
      <c r="C2290" s="20">
        <v>42453</v>
      </c>
      <c r="D2290" t="s">
        <v>123</v>
      </c>
      <c r="E2290" s="3">
        <v>50</v>
      </c>
      <c r="F2290" s="3">
        <v>79</v>
      </c>
      <c r="G2290" s="3">
        <v>3871</v>
      </c>
      <c r="H2290" s="3" t="s">
        <v>2968</v>
      </c>
    </row>
    <row r="2291" spans="1:8" x14ac:dyDescent="0.35">
      <c r="A2291" t="s">
        <v>55</v>
      </c>
      <c r="B2291" s="26" t="s">
        <v>14</v>
      </c>
      <c r="C2291" s="20">
        <v>43325</v>
      </c>
      <c r="D2291" t="s">
        <v>15</v>
      </c>
      <c r="E2291" s="3">
        <v>80</v>
      </c>
      <c r="F2291" s="3">
        <v>40</v>
      </c>
      <c r="G2291" s="3">
        <v>2800</v>
      </c>
      <c r="H2291" s="3" t="s">
        <v>2972</v>
      </c>
    </row>
    <row r="2292" spans="1:8" x14ac:dyDescent="0.35">
      <c r="A2292" t="s">
        <v>109</v>
      </c>
      <c r="B2292" s="26" t="s">
        <v>20</v>
      </c>
      <c r="C2292" s="20">
        <v>41807</v>
      </c>
      <c r="D2292" t="s">
        <v>37</v>
      </c>
      <c r="E2292" s="3">
        <v>50</v>
      </c>
      <c r="F2292" s="3">
        <v>41</v>
      </c>
      <c r="G2292" s="3">
        <v>1968</v>
      </c>
      <c r="H2292" s="3" t="s">
        <v>2970</v>
      </c>
    </row>
    <row r="2293" spans="1:8" x14ac:dyDescent="0.35">
      <c r="A2293" t="s">
        <v>109</v>
      </c>
      <c r="B2293" s="26" t="s">
        <v>20</v>
      </c>
      <c r="C2293" s="20">
        <v>42926</v>
      </c>
      <c r="D2293" t="s">
        <v>56</v>
      </c>
      <c r="E2293" s="3">
        <v>800</v>
      </c>
      <c r="F2293" s="3">
        <v>73</v>
      </c>
      <c r="G2293" s="3">
        <v>39712</v>
      </c>
      <c r="H2293" s="3" t="s">
        <v>2971</v>
      </c>
    </row>
    <row r="2294" spans="1:8" x14ac:dyDescent="0.35">
      <c r="A2294" t="s">
        <v>83</v>
      </c>
      <c r="B2294" s="26" t="s">
        <v>14</v>
      </c>
      <c r="C2294" s="20">
        <v>43311</v>
      </c>
      <c r="D2294" t="s">
        <v>37</v>
      </c>
      <c r="E2294" s="3">
        <v>50</v>
      </c>
      <c r="F2294" s="3">
        <v>13</v>
      </c>
      <c r="G2294" s="3">
        <v>572</v>
      </c>
      <c r="H2294" s="3" t="s">
        <v>2971</v>
      </c>
    </row>
    <row r="2295" spans="1:8" x14ac:dyDescent="0.35">
      <c r="A2295" t="s">
        <v>72</v>
      </c>
      <c r="B2295" s="26" t="s">
        <v>36</v>
      </c>
      <c r="C2295" s="20">
        <v>42571</v>
      </c>
      <c r="D2295" t="s">
        <v>56</v>
      </c>
      <c r="E2295" s="3">
        <v>800</v>
      </c>
      <c r="F2295" s="3">
        <v>9</v>
      </c>
      <c r="G2295" s="3">
        <v>5832</v>
      </c>
      <c r="H2295" s="3" t="s">
        <v>2971</v>
      </c>
    </row>
    <row r="2296" spans="1:8" x14ac:dyDescent="0.35">
      <c r="A2296" t="s">
        <v>19</v>
      </c>
      <c r="B2296" s="26" t="s">
        <v>20</v>
      </c>
      <c r="C2296" s="20">
        <v>42952</v>
      </c>
      <c r="D2296" t="s">
        <v>105</v>
      </c>
      <c r="E2296" s="3">
        <v>70</v>
      </c>
      <c r="F2296" s="3">
        <v>30</v>
      </c>
      <c r="G2296" s="3">
        <v>2010</v>
      </c>
      <c r="H2296" s="3" t="s">
        <v>2972</v>
      </c>
    </row>
    <row r="2297" spans="1:8" x14ac:dyDescent="0.35">
      <c r="A2297" t="s">
        <v>51</v>
      </c>
      <c r="B2297" s="26" t="s">
        <v>25</v>
      </c>
      <c r="C2297" s="20">
        <v>42135</v>
      </c>
      <c r="D2297" t="s">
        <v>123</v>
      </c>
      <c r="E2297" s="3">
        <v>50</v>
      </c>
      <c r="F2297" s="3">
        <v>97</v>
      </c>
      <c r="G2297" s="3">
        <v>3686</v>
      </c>
      <c r="H2297" s="3" t="s">
        <v>2965</v>
      </c>
    </row>
    <row r="2298" spans="1:8" x14ac:dyDescent="0.35">
      <c r="A2298" t="s">
        <v>83</v>
      </c>
      <c r="B2298" s="26" t="s">
        <v>14</v>
      </c>
      <c r="C2298" s="20">
        <v>43125</v>
      </c>
      <c r="D2298" t="s">
        <v>62</v>
      </c>
      <c r="E2298" s="3">
        <v>1000</v>
      </c>
      <c r="F2298" s="3">
        <v>2</v>
      </c>
      <c r="G2298" s="3">
        <v>1380</v>
      </c>
      <c r="H2298" s="3" t="s">
        <v>2966</v>
      </c>
    </row>
    <row r="2299" spans="1:8" x14ac:dyDescent="0.35">
      <c r="A2299" t="s">
        <v>51</v>
      </c>
      <c r="B2299" s="26" t="s">
        <v>25</v>
      </c>
      <c r="C2299" s="20">
        <v>43425</v>
      </c>
      <c r="D2299" t="s">
        <v>42</v>
      </c>
      <c r="E2299" s="3">
        <v>30</v>
      </c>
      <c r="F2299" s="3">
        <v>6</v>
      </c>
      <c r="G2299" s="3">
        <v>162</v>
      </c>
      <c r="H2299" s="3" t="s">
        <v>2975</v>
      </c>
    </row>
    <row r="2300" spans="1:8" x14ac:dyDescent="0.35">
      <c r="A2300" t="s">
        <v>176</v>
      </c>
      <c r="B2300" s="26" t="s">
        <v>14</v>
      </c>
      <c r="C2300" s="20">
        <v>41978</v>
      </c>
      <c r="D2300" t="s">
        <v>123</v>
      </c>
      <c r="E2300" s="3">
        <v>50</v>
      </c>
      <c r="F2300" s="3">
        <v>47</v>
      </c>
      <c r="G2300" s="3">
        <v>1786</v>
      </c>
      <c r="H2300" s="3" t="s">
        <v>2976</v>
      </c>
    </row>
    <row r="2301" spans="1:8" x14ac:dyDescent="0.35">
      <c r="A2301" t="s">
        <v>172</v>
      </c>
      <c r="B2301" s="26" t="s">
        <v>14</v>
      </c>
      <c r="C2301" s="20">
        <v>41817</v>
      </c>
      <c r="D2301" t="s">
        <v>47</v>
      </c>
      <c r="E2301" s="3">
        <v>500</v>
      </c>
      <c r="F2301" s="3">
        <v>17</v>
      </c>
      <c r="G2301" s="3">
        <v>7055</v>
      </c>
      <c r="H2301" s="3" t="s">
        <v>2970</v>
      </c>
    </row>
    <row r="2302" spans="1:8" x14ac:dyDescent="0.35">
      <c r="A2302" t="s">
        <v>189</v>
      </c>
      <c r="B2302" s="26" t="s">
        <v>14</v>
      </c>
      <c r="C2302" s="20">
        <v>41674</v>
      </c>
      <c r="D2302" t="s">
        <v>37</v>
      </c>
      <c r="E2302" s="3">
        <v>50</v>
      </c>
      <c r="F2302" s="3">
        <v>90</v>
      </c>
      <c r="G2302" s="3">
        <v>3870</v>
      </c>
      <c r="H2302" s="3" t="s">
        <v>2967</v>
      </c>
    </row>
    <row r="2303" spans="1:8" x14ac:dyDescent="0.35">
      <c r="A2303" t="s">
        <v>41</v>
      </c>
      <c r="B2303" s="26" t="s">
        <v>36</v>
      </c>
      <c r="C2303" s="20">
        <v>43176</v>
      </c>
      <c r="D2303" t="s">
        <v>47</v>
      </c>
      <c r="E2303" s="3">
        <v>500</v>
      </c>
      <c r="F2303" s="3">
        <v>52</v>
      </c>
      <c r="G2303" s="3">
        <v>22620</v>
      </c>
      <c r="H2303" s="3" t="s">
        <v>2968</v>
      </c>
    </row>
    <row r="2304" spans="1:8" x14ac:dyDescent="0.35">
      <c r="A2304" t="s">
        <v>55</v>
      </c>
      <c r="B2304" s="26" t="s">
        <v>14</v>
      </c>
      <c r="C2304" s="20">
        <v>42138</v>
      </c>
      <c r="D2304" t="s">
        <v>31</v>
      </c>
      <c r="E2304" s="3">
        <v>150</v>
      </c>
      <c r="F2304" s="3">
        <v>23</v>
      </c>
      <c r="G2304" s="3">
        <v>3427</v>
      </c>
      <c r="H2304" s="3" t="s">
        <v>2965</v>
      </c>
    </row>
    <row r="2305" spans="1:8" x14ac:dyDescent="0.35">
      <c r="A2305" t="s">
        <v>72</v>
      </c>
      <c r="B2305" s="26" t="s">
        <v>36</v>
      </c>
      <c r="C2305" s="20">
        <v>41794</v>
      </c>
      <c r="D2305" t="s">
        <v>26</v>
      </c>
      <c r="E2305" s="3">
        <v>700</v>
      </c>
      <c r="F2305" s="3">
        <v>44</v>
      </c>
      <c r="G2305" s="3">
        <v>28336</v>
      </c>
      <c r="H2305" s="3" t="s">
        <v>2970</v>
      </c>
    </row>
    <row r="2306" spans="1:8" x14ac:dyDescent="0.35">
      <c r="A2306" t="s">
        <v>402</v>
      </c>
      <c r="B2306" s="26" t="s">
        <v>14</v>
      </c>
      <c r="C2306" s="20">
        <v>42580</v>
      </c>
      <c r="D2306" t="s">
        <v>105</v>
      </c>
      <c r="E2306" s="3">
        <v>70</v>
      </c>
      <c r="F2306" s="3">
        <v>81</v>
      </c>
      <c r="G2306" s="3">
        <v>5427</v>
      </c>
      <c r="H2306" s="3" t="s">
        <v>2971</v>
      </c>
    </row>
    <row r="2307" spans="1:8" x14ac:dyDescent="0.35">
      <c r="A2307" t="s">
        <v>19</v>
      </c>
      <c r="B2307" s="26" t="s">
        <v>20</v>
      </c>
      <c r="C2307" s="20">
        <v>41906</v>
      </c>
      <c r="D2307" t="s">
        <v>116</v>
      </c>
      <c r="E2307" s="3">
        <v>250</v>
      </c>
      <c r="F2307" s="3">
        <v>49</v>
      </c>
      <c r="G2307" s="3">
        <v>9702</v>
      </c>
      <c r="H2307" s="3" t="s">
        <v>2973</v>
      </c>
    </row>
    <row r="2308" spans="1:8" x14ac:dyDescent="0.35">
      <c r="A2308" t="s">
        <v>61</v>
      </c>
      <c r="B2308" s="26" t="s">
        <v>14</v>
      </c>
      <c r="C2308" s="20">
        <v>41986</v>
      </c>
      <c r="D2308" t="s">
        <v>42</v>
      </c>
      <c r="E2308" s="3">
        <v>30</v>
      </c>
      <c r="F2308" s="3">
        <v>70</v>
      </c>
      <c r="G2308" s="3">
        <v>2100</v>
      </c>
      <c r="H2308" s="3" t="s">
        <v>2976</v>
      </c>
    </row>
    <row r="2309" spans="1:8" x14ac:dyDescent="0.35">
      <c r="A2309" t="s">
        <v>109</v>
      </c>
      <c r="B2309" s="26" t="s">
        <v>20</v>
      </c>
      <c r="C2309" s="20">
        <v>41647</v>
      </c>
      <c r="D2309" t="s">
        <v>47</v>
      </c>
      <c r="E2309" s="3">
        <v>500</v>
      </c>
      <c r="F2309" s="3">
        <v>57</v>
      </c>
      <c r="G2309" s="3">
        <v>20520</v>
      </c>
      <c r="H2309" s="3" t="s">
        <v>2966</v>
      </c>
    </row>
    <row r="2310" spans="1:8" x14ac:dyDescent="0.35">
      <c r="A2310" t="s">
        <v>189</v>
      </c>
      <c r="B2310" s="26" t="s">
        <v>14</v>
      </c>
      <c r="C2310" s="20">
        <v>43287</v>
      </c>
      <c r="D2310" t="s">
        <v>123</v>
      </c>
      <c r="E2310" s="3">
        <v>50</v>
      </c>
      <c r="F2310" s="3">
        <v>93</v>
      </c>
      <c r="G2310" s="3">
        <v>4092</v>
      </c>
      <c r="H2310" s="3" t="s">
        <v>2971</v>
      </c>
    </row>
    <row r="2311" spans="1:8" x14ac:dyDescent="0.35">
      <c r="A2311" t="s">
        <v>93</v>
      </c>
      <c r="B2311" s="26" t="s">
        <v>36</v>
      </c>
      <c r="C2311" s="20">
        <v>43266</v>
      </c>
      <c r="D2311" t="s">
        <v>56</v>
      </c>
      <c r="E2311" s="3">
        <v>800</v>
      </c>
      <c r="F2311" s="3">
        <v>66</v>
      </c>
      <c r="G2311" s="3">
        <v>49104</v>
      </c>
      <c r="H2311" s="3" t="s">
        <v>2970</v>
      </c>
    </row>
    <row r="2312" spans="1:8" x14ac:dyDescent="0.35">
      <c r="A2312" t="s">
        <v>172</v>
      </c>
      <c r="B2312" s="26" t="s">
        <v>14</v>
      </c>
      <c r="C2312" s="20">
        <v>42925</v>
      </c>
      <c r="D2312" t="s">
        <v>62</v>
      </c>
      <c r="E2312" s="3">
        <v>1000</v>
      </c>
      <c r="F2312" s="3">
        <v>71</v>
      </c>
      <c r="G2312" s="3">
        <v>57510</v>
      </c>
      <c r="H2312" s="3" t="s">
        <v>2971</v>
      </c>
    </row>
    <row r="2313" spans="1:8" x14ac:dyDescent="0.35">
      <c r="A2313" t="s">
        <v>19</v>
      </c>
      <c r="B2313" s="26" t="s">
        <v>20</v>
      </c>
      <c r="C2313" s="20">
        <v>42838</v>
      </c>
      <c r="D2313" t="s">
        <v>42</v>
      </c>
      <c r="E2313" s="3">
        <v>30</v>
      </c>
      <c r="F2313" s="3">
        <v>35</v>
      </c>
      <c r="G2313" s="3">
        <v>980</v>
      </c>
      <c r="H2313" s="3" t="s">
        <v>2969</v>
      </c>
    </row>
    <row r="2314" spans="1:8" x14ac:dyDescent="0.35">
      <c r="A2314" t="s">
        <v>87</v>
      </c>
      <c r="B2314" s="26" t="s">
        <v>14</v>
      </c>
      <c r="C2314" s="20">
        <v>42193</v>
      </c>
      <c r="D2314" t="s">
        <v>15</v>
      </c>
      <c r="E2314" s="3">
        <v>80</v>
      </c>
      <c r="F2314" s="3">
        <v>44</v>
      </c>
      <c r="G2314" s="3">
        <v>3080</v>
      </c>
      <c r="H2314" s="3" t="s">
        <v>2971</v>
      </c>
    </row>
    <row r="2315" spans="1:8" x14ac:dyDescent="0.35">
      <c r="A2315" t="s">
        <v>109</v>
      </c>
      <c r="B2315" s="26" t="s">
        <v>20</v>
      </c>
      <c r="C2315" s="20">
        <v>41720</v>
      </c>
      <c r="D2315" t="s">
        <v>73</v>
      </c>
      <c r="E2315" s="3">
        <v>500</v>
      </c>
      <c r="F2315" s="3">
        <v>57</v>
      </c>
      <c r="G2315" s="3">
        <v>28215</v>
      </c>
      <c r="H2315" s="3" t="s">
        <v>2968</v>
      </c>
    </row>
    <row r="2316" spans="1:8" x14ac:dyDescent="0.35">
      <c r="A2316" t="s">
        <v>272</v>
      </c>
      <c r="B2316" s="26" t="s">
        <v>36</v>
      </c>
      <c r="C2316" s="20">
        <v>41681</v>
      </c>
      <c r="D2316" t="s">
        <v>15</v>
      </c>
      <c r="E2316" s="3">
        <v>80</v>
      </c>
      <c r="F2316" s="3">
        <v>33</v>
      </c>
      <c r="G2316" s="3">
        <v>2409</v>
      </c>
      <c r="H2316" s="3" t="s">
        <v>2967</v>
      </c>
    </row>
    <row r="2317" spans="1:8" x14ac:dyDescent="0.35">
      <c r="A2317" t="s">
        <v>109</v>
      </c>
      <c r="B2317" s="26" t="s">
        <v>20</v>
      </c>
      <c r="C2317" s="20">
        <v>43144</v>
      </c>
      <c r="D2317" t="s">
        <v>26</v>
      </c>
      <c r="E2317" s="3">
        <v>700</v>
      </c>
      <c r="F2317" s="3">
        <v>1</v>
      </c>
      <c r="G2317" s="3">
        <v>602</v>
      </c>
      <c r="H2317" s="3" t="s">
        <v>2967</v>
      </c>
    </row>
    <row r="2318" spans="1:8" x14ac:dyDescent="0.35">
      <c r="A2318" t="s">
        <v>172</v>
      </c>
      <c r="B2318" s="26" t="s">
        <v>14</v>
      </c>
      <c r="C2318" s="20">
        <v>43241</v>
      </c>
      <c r="D2318" t="s">
        <v>116</v>
      </c>
      <c r="E2318" s="3">
        <v>250</v>
      </c>
      <c r="F2318" s="3">
        <v>34</v>
      </c>
      <c r="G2318" s="3">
        <v>1700</v>
      </c>
      <c r="H2318" s="3" t="s">
        <v>2965</v>
      </c>
    </row>
    <row r="2319" spans="1:8" x14ac:dyDescent="0.35">
      <c r="A2319" t="s">
        <v>109</v>
      </c>
      <c r="B2319" s="26" t="s">
        <v>20</v>
      </c>
      <c r="C2319" s="20">
        <v>43034</v>
      </c>
      <c r="D2319" t="s">
        <v>26</v>
      </c>
      <c r="E2319" s="3">
        <v>700</v>
      </c>
      <c r="F2319" s="3">
        <v>30</v>
      </c>
      <c r="G2319" s="3">
        <v>21000</v>
      </c>
      <c r="H2319" s="3" t="s">
        <v>2974</v>
      </c>
    </row>
    <row r="2320" spans="1:8" x14ac:dyDescent="0.35">
      <c r="A2320" t="s">
        <v>436</v>
      </c>
      <c r="B2320" s="26" t="s">
        <v>25</v>
      </c>
      <c r="C2320" s="20">
        <v>42119</v>
      </c>
      <c r="D2320" t="s">
        <v>15</v>
      </c>
      <c r="E2320" s="3">
        <v>80</v>
      </c>
      <c r="F2320" s="3">
        <v>25</v>
      </c>
      <c r="G2320" s="3">
        <v>1450</v>
      </c>
      <c r="H2320" s="3" t="s">
        <v>2969</v>
      </c>
    </row>
    <row r="2321" spans="1:8" x14ac:dyDescent="0.35">
      <c r="A2321" t="s">
        <v>83</v>
      </c>
      <c r="B2321" s="26" t="s">
        <v>14</v>
      </c>
      <c r="C2321" s="20">
        <v>41677</v>
      </c>
      <c r="D2321" t="s">
        <v>42</v>
      </c>
      <c r="E2321" s="3">
        <v>30</v>
      </c>
      <c r="F2321" s="3">
        <v>29</v>
      </c>
      <c r="G2321" s="3">
        <v>638</v>
      </c>
      <c r="H2321" s="3" t="s">
        <v>2967</v>
      </c>
    </row>
    <row r="2322" spans="1:8" x14ac:dyDescent="0.35">
      <c r="A2322" t="s">
        <v>129</v>
      </c>
      <c r="B2322" s="26" t="s">
        <v>14</v>
      </c>
      <c r="C2322" s="20">
        <v>43088</v>
      </c>
      <c r="D2322" t="s">
        <v>73</v>
      </c>
      <c r="E2322" s="3">
        <v>500</v>
      </c>
      <c r="F2322" s="3">
        <v>56</v>
      </c>
      <c r="G2322" s="3">
        <v>27720</v>
      </c>
      <c r="H2322" s="3" t="s">
        <v>2976</v>
      </c>
    </row>
    <row r="2323" spans="1:8" x14ac:dyDescent="0.35">
      <c r="A2323" t="s">
        <v>55</v>
      </c>
      <c r="B2323" s="26" t="s">
        <v>14</v>
      </c>
      <c r="C2323" s="20">
        <v>42221</v>
      </c>
      <c r="D2323" t="s">
        <v>37</v>
      </c>
      <c r="E2323" s="3">
        <v>50</v>
      </c>
      <c r="F2323" s="3">
        <v>33</v>
      </c>
      <c r="G2323" s="3">
        <v>1617</v>
      </c>
      <c r="H2323" s="3" t="s">
        <v>2972</v>
      </c>
    </row>
    <row r="2324" spans="1:8" x14ac:dyDescent="0.35">
      <c r="A2324" t="s">
        <v>93</v>
      </c>
      <c r="B2324" s="26" t="s">
        <v>36</v>
      </c>
      <c r="C2324" s="20">
        <v>42746</v>
      </c>
      <c r="D2324" t="s">
        <v>116</v>
      </c>
      <c r="E2324" s="3">
        <v>250</v>
      </c>
      <c r="F2324" s="3">
        <v>46</v>
      </c>
      <c r="G2324" s="3">
        <v>10580</v>
      </c>
      <c r="H2324" s="3" t="s">
        <v>2966</v>
      </c>
    </row>
    <row r="2325" spans="1:8" x14ac:dyDescent="0.35">
      <c r="A2325" t="s">
        <v>129</v>
      </c>
      <c r="B2325" s="26" t="s">
        <v>14</v>
      </c>
      <c r="C2325" s="20">
        <v>42921</v>
      </c>
      <c r="D2325" t="s">
        <v>15</v>
      </c>
      <c r="E2325" s="3">
        <v>80</v>
      </c>
      <c r="F2325" s="3">
        <v>10</v>
      </c>
      <c r="G2325" s="3">
        <v>730</v>
      </c>
      <c r="H2325" s="3" t="s">
        <v>2971</v>
      </c>
    </row>
    <row r="2326" spans="1:8" x14ac:dyDescent="0.35">
      <c r="A2326" t="s">
        <v>41</v>
      </c>
      <c r="B2326" s="26" t="s">
        <v>36</v>
      </c>
      <c r="C2326" s="20">
        <v>42746</v>
      </c>
      <c r="D2326" t="s">
        <v>47</v>
      </c>
      <c r="E2326" s="3">
        <v>500</v>
      </c>
      <c r="F2326" s="3">
        <v>56</v>
      </c>
      <c r="G2326" s="3">
        <v>26600</v>
      </c>
      <c r="H2326" s="3" t="s">
        <v>2966</v>
      </c>
    </row>
    <row r="2327" spans="1:8" x14ac:dyDescent="0.35">
      <c r="A2327" t="s">
        <v>109</v>
      </c>
      <c r="B2327" s="26" t="s">
        <v>20</v>
      </c>
      <c r="C2327" s="20">
        <v>43132</v>
      </c>
      <c r="D2327" t="s">
        <v>37</v>
      </c>
      <c r="E2327" s="3">
        <v>50</v>
      </c>
      <c r="F2327" s="3">
        <v>4</v>
      </c>
      <c r="G2327" s="3">
        <v>200</v>
      </c>
      <c r="H2327" s="3" t="s">
        <v>2967</v>
      </c>
    </row>
    <row r="2328" spans="1:8" x14ac:dyDescent="0.35">
      <c r="A2328" t="s">
        <v>109</v>
      </c>
      <c r="B2328" s="26" t="s">
        <v>20</v>
      </c>
      <c r="C2328" s="20">
        <v>42862</v>
      </c>
      <c r="D2328" t="s">
        <v>116</v>
      </c>
      <c r="E2328" s="3">
        <v>250</v>
      </c>
      <c r="F2328" s="3">
        <v>89</v>
      </c>
      <c r="G2328" s="3">
        <v>21182</v>
      </c>
      <c r="H2328" s="3" t="s">
        <v>2965</v>
      </c>
    </row>
    <row r="2329" spans="1:8" x14ac:dyDescent="0.35">
      <c r="A2329" t="s">
        <v>51</v>
      </c>
      <c r="B2329" s="26" t="s">
        <v>25</v>
      </c>
      <c r="C2329" s="20">
        <v>41781</v>
      </c>
      <c r="D2329" t="s">
        <v>15</v>
      </c>
      <c r="E2329" s="3">
        <v>80</v>
      </c>
      <c r="F2329" s="3">
        <v>67</v>
      </c>
      <c r="G2329" s="3">
        <v>5159</v>
      </c>
      <c r="H2329" s="3" t="s">
        <v>2965</v>
      </c>
    </row>
    <row r="2330" spans="1:8" x14ac:dyDescent="0.35">
      <c r="A2330" t="s">
        <v>83</v>
      </c>
      <c r="B2330" s="26" t="s">
        <v>14</v>
      </c>
      <c r="C2330" s="20">
        <v>42033</v>
      </c>
      <c r="D2330" t="s">
        <v>37</v>
      </c>
      <c r="E2330" s="3">
        <v>50</v>
      </c>
      <c r="F2330" s="3">
        <v>21</v>
      </c>
      <c r="G2330" s="3">
        <v>798</v>
      </c>
      <c r="H2330" s="3" t="s">
        <v>2966</v>
      </c>
    </row>
    <row r="2331" spans="1:8" x14ac:dyDescent="0.35">
      <c r="A2331" t="s">
        <v>152</v>
      </c>
      <c r="B2331" s="26" t="s">
        <v>14</v>
      </c>
      <c r="C2331" s="20">
        <v>42069</v>
      </c>
      <c r="D2331" t="s">
        <v>62</v>
      </c>
      <c r="E2331" s="3">
        <v>1000</v>
      </c>
      <c r="F2331" s="3">
        <v>72</v>
      </c>
      <c r="G2331" s="3">
        <v>46800</v>
      </c>
      <c r="H2331" s="3" t="s">
        <v>2968</v>
      </c>
    </row>
    <row r="2332" spans="1:8" x14ac:dyDescent="0.35">
      <c r="A2332" t="s">
        <v>83</v>
      </c>
      <c r="B2332" s="26" t="s">
        <v>14</v>
      </c>
      <c r="C2332" s="20">
        <v>42467</v>
      </c>
      <c r="D2332" t="s">
        <v>15</v>
      </c>
      <c r="E2332" s="3">
        <v>80</v>
      </c>
      <c r="F2332" s="3">
        <v>23</v>
      </c>
      <c r="G2332" s="3">
        <v>1817</v>
      </c>
      <c r="H2332" s="3" t="s">
        <v>2969</v>
      </c>
    </row>
    <row r="2333" spans="1:8" x14ac:dyDescent="0.35">
      <c r="A2333" t="s">
        <v>402</v>
      </c>
      <c r="B2333" s="26" t="s">
        <v>14</v>
      </c>
      <c r="C2333" s="20">
        <v>41673</v>
      </c>
      <c r="D2333" t="s">
        <v>37</v>
      </c>
      <c r="E2333" s="3">
        <v>50</v>
      </c>
      <c r="F2333" s="3">
        <v>72</v>
      </c>
      <c r="G2333" s="3">
        <v>3312</v>
      </c>
      <c r="H2333" s="3" t="s">
        <v>2967</v>
      </c>
    </row>
    <row r="2334" spans="1:8" x14ac:dyDescent="0.35">
      <c r="A2334" t="s">
        <v>176</v>
      </c>
      <c r="B2334" s="26" t="s">
        <v>14</v>
      </c>
      <c r="C2334" s="20">
        <v>42986</v>
      </c>
      <c r="D2334" t="s">
        <v>26</v>
      </c>
      <c r="E2334" s="3">
        <v>700</v>
      </c>
      <c r="F2334" s="3">
        <v>50</v>
      </c>
      <c r="G2334" s="3">
        <v>32200</v>
      </c>
      <c r="H2334" s="3" t="s">
        <v>2973</v>
      </c>
    </row>
    <row r="2335" spans="1:8" x14ac:dyDescent="0.35">
      <c r="A2335" t="s">
        <v>30</v>
      </c>
      <c r="B2335" s="26" t="s">
        <v>14</v>
      </c>
      <c r="C2335" s="20">
        <v>42165</v>
      </c>
      <c r="D2335" t="s">
        <v>26</v>
      </c>
      <c r="E2335" s="3">
        <v>700</v>
      </c>
      <c r="F2335" s="3">
        <v>10</v>
      </c>
      <c r="G2335" s="3">
        <v>6860</v>
      </c>
      <c r="H2335" s="3" t="s">
        <v>2970</v>
      </c>
    </row>
    <row r="2336" spans="1:8" x14ac:dyDescent="0.35">
      <c r="A2336" t="s">
        <v>257</v>
      </c>
      <c r="B2336" s="26" t="s">
        <v>14</v>
      </c>
      <c r="C2336" s="20">
        <v>43088</v>
      </c>
      <c r="D2336" t="s">
        <v>15</v>
      </c>
      <c r="E2336" s="3">
        <v>80</v>
      </c>
      <c r="F2336" s="3">
        <v>62</v>
      </c>
      <c r="G2336" s="3">
        <v>4836</v>
      </c>
      <c r="H2336" s="3" t="s">
        <v>2976</v>
      </c>
    </row>
    <row r="2337" spans="1:8" x14ac:dyDescent="0.35">
      <c r="A2337" t="s">
        <v>41</v>
      </c>
      <c r="B2337" s="26" t="s">
        <v>36</v>
      </c>
      <c r="C2337" s="20">
        <v>42052</v>
      </c>
      <c r="D2337" t="s">
        <v>15</v>
      </c>
      <c r="E2337" s="3">
        <v>80</v>
      </c>
      <c r="F2337" s="3">
        <v>70</v>
      </c>
      <c r="G2337" s="3">
        <v>5460</v>
      </c>
      <c r="H2337" s="3" t="s">
        <v>2967</v>
      </c>
    </row>
    <row r="2338" spans="1:8" x14ac:dyDescent="0.35">
      <c r="A2338" t="s">
        <v>30</v>
      </c>
      <c r="B2338" s="26" t="s">
        <v>14</v>
      </c>
      <c r="C2338" s="20">
        <v>42151</v>
      </c>
      <c r="D2338" t="s">
        <v>56</v>
      </c>
      <c r="E2338" s="3">
        <v>800</v>
      </c>
      <c r="F2338" s="3">
        <v>96</v>
      </c>
      <c r="G2338" s="3">
        <v>46080</v>
      </c>
      <c r="H2338" s="3" t="s">
        <v>2965</v>
      </c>
    </row>
    <row r="2339" spans="1:8" x14ac:dyDescent="0.35">
      <c r="A2339" t="s">
        <v>87</v>
      </c>
      <c r="B2339" s="26" t="s">
        <v>14</v>
      </c>
      <c r="C2339" s="20">
        <v>42650</v>
      </c>
      <c r="D2339" t="s">
        <v>105</v>
      </c>
      <c r="E2339" s="3">
        <v>70</v>
      </c>
      <c r="F2339" s="3">
        <v>95</v>
      </c>
      <c r="G2339" s="3">
        <v>6080</v>
      </c>
      <c r="H2339" s="3" t="s">
        <v>2974</v>
      </c>
    </row>
    <row r="2340" spans="1:8" x14ac:dyDescent="0.35">
      <c r="A2340" t="s">
        <v>41</v>
      </c>
      <c r="B2340" s="26" t="s">
        <v>36</v>
      </c>
      <c r="C2340" s="20">
        <v>42980</v>
      </c>
      <c r="D2340" t="s">
        <v>15</v>
      </c>
      <c r="E2340" s="3">
        <v>80</v>
      </c>
      <c r="F2340" s="3">
        <v>23</v>
      </c>
      <c r="G2340" s="3">
        <v>1771</v>
      </c>
      <c r="H2340" s="3" t="s">
        <v>2973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6F787-3872-41C7-97A0-EAA5D720328D}">
  <dimension ref="A1:BD38"/>
  <sheetViews>
    <sheetView zoomScale="108" zoomScaleNormal="190" workbookViewId="0">
      <selection activeCell="S6" sqref="S6"/>
    </sheetView>
  </sheetViews>
  <sheetFormatPr defaultRowHeight="14.5" x14ac:dyDescent="0.35"/>
  <cols>
    <col min="1" max="1" width="15.6640625" customWidth="1"/>
    <col min="2" max="2" width="14.5" customWidth="1"/>
    <col min="3" max="3" width="5.9140625" customWidth="1"/>
    <col min="4" max="4" width="13.25" customWidth="1"/>
    <col min="5" max="5" width="14.5" customWidth="1"/>
    <col min="6" max="6" width="5.9140625" customWidth="1"/>
    <col min="7" max="7" width="12.4140625" customWidth="1"/>
    <col min="8" max="8" width="14.5" customWidth="1"/>
    <col min="9" max="9" width="9.25" customWidth="1"/>
    <col min="10" max="10" width="15" bestFit="1" customWidth="1"/>
    <col min="11" max="11" width="14.5" customWidth="1"/>
    <col min="12" max="12" width="14.33203125" customWidth="1"/>
    <col min="13" max="13" width="9.25" customWidth="1"/>
    <col min="14" max="14" width="5.9140625" customWidth="1"/>
    <col min="15" max="16" width="6.9140625" customWidth="1"/>
    <col min="17" max="17" width="5.9140625" customWidth="1"/>
    <col min="18" max="18" width="6.9140625" customWidth="1"/>
    <col min="19" max="19" width="5.9140625" customWidth="1"/>
    <col min="20" max="41" width="6.9140625" customWidth="1"/>
    <col min="42" max="42" width="5.9140625" customWidth="1"/>
    <col min="43" max="57" width="6.9140625" customWidth="1"/>
    <col min="58" max="99" width="6.4140625" bestFit="1" customWidth="1"/>
    <col min="100" max="100" width="7.4140625" bestFit="1" customWidth="1"/>
    <col min="101" max="101" width="6.4140625" bestFit="1" customWidth="1"/>
    <col min="102" max="102" width="6.1640625" bestFit="1" customWidth="1"/>
    <col min="103" max="103" width="9.83203125" bestFit="1" customWidth="1"/>
  </cols>
  <sheetData>
    <row r="1" spans="1:56" x14ac:dyDescent="0.35">
      <c r="A1" s="9" t="s">
        <v>2977</v>
      </c>
      <c r="D1" s="9" t="s">
        <v>2978</v>
      </c>
      <c r="G1" s="9" t="s">
        <v>2979</v>
      </c>
    </row>
    <row r="2" spans="1:56" x14ac:dyDescent="0.35">
      <c r="A2" s="24" t="s">
        <v>2962</v>
      </c>
      <c r="B2" s="24" t="s">
        <v>2964</v>
      </c>
      <c r="D2" s="24" t="s">
        <v>2962</v>
      </c>
      <c r="E2" s="24" t="s">
        <v>2964</v>
      </c>
      <c r="F2" s="25"/>
      <c r="G2" s="24" t="s">
        <v>2962</v>
      </c>
      <c r="H2" s="24" t="s">
        <v>2964</v>
      </c>
      <c r="I2" s="25"/>
      <c r="J2" s="24" t="s">
        <v>2964</v>
      </c>
    </row>
    <row r="3" spans="1:56" x14ac:dyDescent="0.35">
      <c r="A3" s="23" t="s">
        <v>62</v>
      </c>
      <c r="B3" s="28">
        <v>7017020</v>
      </c>
      <c r="D3" s="23" t="s">
        <v>109</v>
      </c>
      <c r="E3" s="28">
        <v>4514744</v>
      </c>
      <c r="G3" s="23" t="s">
        <v>2966</v>
      </c>
      <c r="H3" s="28">
        <v>2962493</v>
      </c>
      <c r="J3" s="27">
        <v>34053377</v>
      </c>
    </row>
    <row r="4" spans="1:56" x14ac:dyDescent="0.35">
      <c r="A4" s="23" t="s">
        <v>56</v>
      </c>
      <c r="B4" s="28">
        <v>6394336</v>
      </c>
      <c r="D4" s="23" t="s">
        <v>41</v>
      </c>
      <c r="E4" s="28">
        <v>1880862</v>
      </c>
      <c r="G4" s="23" t="s">
        <v>2967</v>
      </c>
      <c r="H4" s="28">
        <v>2802567</v>
      </c>
    </row>
    <row r="5" spans="1:56" x14ac:dyDescent="0.35">
      <c r="A5" s="23" t="s">
        <v>26</v>
      </c>
      <c r="B5" s="28">
        <v>5979071</v>
      </c>
      <c r="D5" s="23" t="s">
        <v>93</v>
      </c>
      <c r="E5" s="28">
        <v>1559747</v>
      </c>
      <c r="G5" s="23" t="s">
        <v>2968</v>
      </c>
      <c r="H5" s="28">
        <v>2648290</v>
      </c>
    </row>
    <row r="6" spans="1:56" x14ac:dyDescent="0.35">
      <c r="A6" s="23" t="s">
        <v>73</v>
      </c>
      <c r="B6" s="28">
        <v>5030390</v>
      </c>
      <c r="D6" s="23" t="s">
        <v>83</v>
      </c>
      <c r="E6" s="28">
        <v>1497365</v>
      </c>
      <c r="G6" s="23" t="s">
        <v>2969</v>
      </c>
      <c r="H6" s="28">
        <v>2990948</v>
      </c>
      <c r="J6" s="24" t="s">
        <v>2962</v>
      </c>
      <c r="K6" s="24" t="s">
        <v>2983</v>
      </c>
    </row>
    <row r="7" spans="1:56" x14ac:dyDescent="0.35">
      <c r="A7" s="23" t="s">
        <v>47</v>
      </c>
      <c r="B7" s="28">
        <v>3781925</v>
      </c>
      <c r="D7" s="23" t="s">
        <v>72</v>
      </c>
      <c r="E7" s="28">
        <v>1495594</v>
      </c>
      <c r="G7" s="23" t="s">
        <v>2965</v>
      </c>
      <c r="H7" s="28">
        <v>2464157</v>
      </c>
      <c r="J7" s="23" t="s">
        <v>42</v>
      </c>
      <c r="K7" s="22">
        <v>11948</v>
      </c>
    </row>
    <row r="8" spans="1:56" x14ac:dyDescent="0.35">
      <c r="A8" s="23" t="s">
        <v>116</v>
      </c>
      <c r="B8" s="28">
        <v>2147734</v>
      </c>
      <c r="D8" s="23" t="s">
        <v>55</v>
      </c>
      <c r="E8" s="28">
        <v>1446385</v>
      </c>
      <c r="G8" s="23" t="s">
        <v>2970</v>
      </c>
      <c r="H8" s="28">
        <v>2903073</v>
      </c>
      <c r="J8" s="23" t="s">
        <v>56</v>
      </c>
      <c r="K8" s="22">
        <v>10406</v>
      </c>
      <c r="BB8" s="11"/>
      <c r="BC8" s="12"/>
      <c r="BD8" s="13"/>
    </row>
    <row r="9" spans="1:56" x14ac:dyDescent="0.35">
      <c r="A9" s="23" t="s">
        <v>31</v>
      </c>
      <c r="B9" s="28">
        <v>1226203</v>
      </c>
      <c r="D9" s="23" t="s">
        <v>51</v>
      </c>
      <c r="E9" s="28">
        <v>1357977</v>
      </c>
      <c r="G9" s="23" t="s">
        <v>2971</v>
      </c>
      <c r="H9" s="28">
        <v>3388473</v>
      </c>
      <c r="J9" s="23" t="s">
        <v>73</v>
      </c>
      <c r="K9" s="22">
        <v>10167</v>
      </c>
      <c r="BB9" s="14"/>
      <c r="BC9" s="15"/>
      <c r="BD9" s="16"/>
    </row>
    <row r="10" spans="1:56" x14ac:dyDescent="0.35">
      <c r="A10" s="23" t="s">
        <v>15</v>
      </c>
      <c r="B10" s="28">
        <v>709173</v>
      </c>
      <c r="D10" s="23" t="s">
        <v>13</v>
      </c>
      <c r="E10" s="28">
        <v>1077251</v>
      </c>
      <c r="G10" s="23" t="s">
        <v>2972</v>
      </c>
      <c r="H10" s="28">
        <v>2780188</v>
      </c>
      <c r="J10" s="23" t="s">
        <v>15</v>
      </c>
      <c r="K10" s="22">
        <v>9786</v>
      </c>
      <c r="BB10" s="14"/>
      <c r="BC10" s="15"/>
      <c r="BD10" s="16"/>
    </row>
    <row r="11" spans="1:56" x14ac:dyDescent="0.35">
      <c r="A11" s="23" t="s">
        <v>105</v>
      </c>
      <c r="B11" s="28">
        <v>592789</v>
      </c>
      <c r="D11" s="23" t="s">
        <v>19</v>
      </c>
      <c r="E11" s="28">
        <v>983389</v>
      </c>
      <c r="G11" s="23" t="s">
        <v>2973</v>
      </c>
      <c r="H11" s="28">
        <v>2753757</v>
      </c>
      <c r="J11" s="23" t="s">
        <v>116</v>
      </c>
      <c r="K11" s="22">
        <v>9555</v>
      </c>
      <c r="BB11" s="14"/>
      <c r="BC11" s="15"/>
      <c r="BD11" s="16"/>
    </row>
    <row r="12" spans="1:56" x14ac:dyDescent="0.35">
      <c r="A12" s="23" t="s">
        <v>37</v>
      </c>
      <c r="B12" s="28">
        <v>430608</v>
      </c>
      <c r="D12" s="23" t="s">
        <v>97</v>
      </c>
      <c r="E12" s="28">
        <v>917994</v>
      </c>
      <c r="G12" s="23" t="s">
        <v>2974</v>
      </c>
      <c r="H12" s="28">
        <v>2737360</v>
      </c>
      <c r="J12" s="23" t="s">
        <v>37</v>
      </c>
      <c r="K12" s="22">
        <v>9516</v>
      </c>
      <c r="BB12" s="14"/>
      <c r="BC12" s="15"/>
      <c r="BD12" s="16"/>
    </row>
    <row r="13" spans="1:56" x14ac:dyDescent="0.35">
      <c r="A13" s="23" t="s">
        <v>123</v>
      </c>
      <c r="B13" s="28">
        <v>420201</v>
      </c>
      <c r="D13" s="23" t="s">
        <v>207</v>
      </c>
      <c r="E13" s="28">
        <v>868638</v>
      </c>
      <c r="G13" s="23" t="s">
        <v>2975</v>
      </c>
      <c r="H13" s="28">
        <v>3319968</v>
      </c>
      <c r="J13" s="23" t="s">
        <v>26</v>
      </c>
      <c r="K13" s="22">
        <v>9489</v>
      </c>
      <c r="BB13" s="14"/>
      <c r="BC13" s="15"/>
      <c r="BD13" s="16"/>
    </row>
    <row r="14" spans="1:56" x14ac:dyDescent="0.35">
      <c r="A14" s="23" t="s">
        <v>42</v>
      </c>
      <c r="B14" s="28">
        <v>323927</v>
      </c>
      <c r="D14" s="23" t="s">
        <v>229</v>
      </c>
      <c r="E14" s="28">
        <v>850522</v>
      </c>
      <c r="G14" s="23" t="s">
        <v>2976</v>
      </c>
      <c r="H14" s="28">
        <v>2302103</v>
      </c>
      <c r="J14" s="23" t="s">
        <v>105</v>
      </c>
      <c r="K14" s="22">
        <v>9455</v>
      </c>
      <c r="BB14" s="14"/>
      <c r="BC14" s="15"/>
      <c r="BD14" s="16"/>
    </row>
    <row r="15" spans="1:56" x14ac:dyDescent="0.35">
      <c r="A15" s="23" t="s">
        <v>2963</v>
      </c>
      <c r="B15" s="28">
        <v>34053377</v>
      </c>
      <c r="D15" s="23" t="s">
        <v>243</v>
      </c>
      <c r="E15" s="28">
        <v>846485</v>
      </c>
      <c r="G15" s="23" t="s">
        <v>2963</v>
      </c>
      <c r="H15" s="28">
        <v>34053377</v>
      </c>
      <c r="J15" s="23" t="s">
        <v>123</v>
      </c>
      <c r="K15" s="22">
        <v>9403</v>
      </c>
      <c r="BB15" s="14"/>
      <c r="BC15" s="15"/>
      <c r="BD15" s="16"/>
    </row>
    <row r="16" spans="1:56" x14ac:dyDescent="0.35">
      <c r="D16" s="23" t="s">
        <v>129</v>
      </c>
      <c r="E16" s="28">
        <v>833990</v>
      </c>
      <c r="J16" s="23" t="s">
        <v>62</v>
      </c>
      <c r="K16" s="22">
        <v>9098</v>
      </c>
      <c r="BB16" s="14"/>
      <c r="BC16" s="15"/>
      <c r="BD16" s="16"/>
    </row>
    <row r="17" spans="4:56" x14ac:dyDescent="0.35">
      <c r="D17" s="23" t="s">
        <v>266</v>
      </c>
      <c r="E17" s="28">
        <v>815822</v>
      </c>
      <c r="J17" s="23" t="s">
        <v>31</v>
      </c>
      <c r="K17" s="22">
        <v>9000</v>
      </c>
      <c r="BB17" s="14"/>
      <c r="BC17" s="15"/>
      <c r="BD17" s="16"/>
    </row>
    <row r="18" spans="4:56" x14ac:dyDescent="0.35">
      <c r="D18" s="23" t="s">
        <v>189</v>
      </c>
      <c r="E18" s="28">
        <v>794325</v>
      </c>
      <c r="J18" s="23" t="s">
        <v>47</v>
      </c>
      <c r="K18" s="22">
        <v>8676</v>
      </c>
      <c r="BB18" s="14"/>
      <c r="BC18" s="15"/>
      <c r="BD18" s="16"/>
    </row>
    <row r="19" spans="4:56" x14ac:dyDescent="0.35">
      <c r="D19" s="23" t="s">
        <v>66</v>
      </c>
      <c r="E19" s="28">
        <v>792155</v>
      </c>
      <c r="J19" s="23" t="s">
        <v>2963</v>
      </c>
      <c r="K19" s="22">
        <v>116499</v>
      </c>
      <c r="BB19" s="14"/>
      <c r="BC19" s="15"/>
      <c r="BD19" s="16"/>
    </row>
    <row r="20" spans="4:56" x14ac:dyDescent="0.35">
      <c r="D20" s="23" t="s">
        <v>120</v>
      </c>
      <c r="E20" s="28">
        <v>770897</v>
      </c>
      <c r="BB20" s="14"/>
      <c r="BC20" s="15"/>
      <c r="BD20" s="16"/>
    </row>
    <row r="21" spans="4:56" x14ac:dyDescent="0.35">
      <c r="D21" s="23" t="s">
        <v>101</v>
      </c>
      <c r="E21" s="28">
        <v>756696</v>
      </c>
      <c r="BB21" s="14"/>
      <c r="BC21" s="15"/>
      <c r="BD21" s="16"/>
    </row>
    <row r="22" spans="4:56" x14ac:dyDescent="0.35">
      <c r="D22" s="23" t="s">
        <v>35</v>
      </c>
      <c r="E22" s="28">
        <v>751901</v>
      </c>
      <c r="BB22" s="14"/>
      <c r="BC22" s="15"/>
      <c r="BD22" s="16"/>
    </row>
    <row r="23" spans="4:56" x14ac:dyDescent="0.35">
      <c r="D23" s="23" t="s">
        <v>176</v>
      </c>
      <c r="E23" s="28">
        <v>712488</v>
      </c>
      <c r="BB23" s="14"/>
      <c r="BC23" s="15"/>
      <c r="BD23" s="16"/>
    </row>
    <row r="24" spans="4:56" x14ac:dyDescent="0.35">
      <c r="D24" s="23" t="s">
        <v>30</v>
      </c>
      <c r="E24" s="28">
        <v>704931</v>
      </c>
      <c r="BB24" s="14"/>
      <c r="BC24" s="15"/>
      <c r="BD24" s="16"/>
    </row>
    <row r="25" spans="4:56" x14ac:dyDescent="0.35">
      <c r="D25" s="23" t="s">
        <v>24</v>
      </c>
      <c r="E25" s="28">
        <v>697834</v>
      </c>
      <c r="BB25" s="17"/>
      <c r="BC25" s="18"/>
      <c r="BD25" s="19"/>
    </row>
    <row r="26" spans="4:56" x14ac:dyDescent="0.35">
      <c r="D26" s="23" t="s">
        <v>172</v>
      </c>
      <c r="E26" s="28">
        <v>679492</v>
      </c>
    </row>
    <row r="27" spans="4:56" x14ac:dyDescent="0.35">
      <c r="D27" s="23" t="s">
        <v>326</v>
      </c>
      <c r="E27" s="28">
        <v>678401</v>
      </c>
    </row>
    <row r="28" spans="4:56" x14ac:dyDescent="0.35">
      <c r="D28" s="23" t="s">
        <v>148</v>
      </c>
      <c r="E28" s="28">
        <v>675122</v>
      </c>
    </row>
    <row r="29" spans="4:56" x14ac:dyDescent="0.35">
      <c r="D29" s="23" t="s">
        <v>272</v>
      </c>
      <c r="E29" s="28">
        <v>661663</v>
      </c>
    </row>
    <row r="30" spans="4:56" x14ac:dyDescent="0.35">
      <c r="D30" s="23" t="s">
        <v>87</v>
      </c>
      <c r="E30" s="28">
        <v>635003</v>
      </c>
    </row>
    <row r="31" spans="4:56" x14ac:dyDescent="0.35">
      <c r="D31" s="23" t="s">
        <v>61</v>
      </c>
      <c r="E31" s="28">
        <v>630142</v>
      </c>
    </row>
    <row r="32" spans="4:56" x14ac:dyDescent="0.35">
      <c r="D32" s="23" t="s">
        <v>257</v>
      </c>
      <c r="E32" s="28">
        <v>582490</v>
      </c>
    </row>
    <row r="33" spans="4:5" x14ac:dyDescent="0.35">
      <c r="D33" s="23" t="s">
        <v>436</v>
      </c>
      <c r="E33" s="28">
        <v>572828</v>
      </c>
    </row>
    <row r="34" spans="4:5" x14ac:dyDescent="0.35">
      <c r="D34" s="23" t="s">
        <v>152</v>
      </c>
      <c r="E34" s="28">
        <v>550041</v>
      </c>
    </row>
    <row r="35" spans="4:5" x14ac:dyDescent="0.35">
      <c r="D35" s="23" t="s">
        <v>46</v>
      </c>
      <c r="E35" s="28">
        <v>506761</v>
      </c>
    </row>
    <row r="36" spans="4:5" x14ac:dyDescent="0.35">
      <c r="D36" s="23" t="s">
        <v>79</v>
      </c>
      <c r="E36" s="28">
        <v>491121</v>
      </c>
    </row>
    <row r="37" spans="4:5" x14ac:dyDescent="0.35">
      <c r="D37" s="23" t="s">
        <v>402</v>
      </c>
      <c r="E37" s="28">
        <v>462321</v>
      </c>
    </row>
    <row r="38" spans="4:5" x14ac:dyDescent="0.35">
      <c r="D38" s="23" t="s">
        <v>2963</v>
      </c>
      <c r="E38" s="28">
        <v>34053377</v>
      </c>
    </row>
  </sheetData>
  <phoneticPr fontId="4" type="noConversion"/>
  <pageMargins left="0.7" right="0.7" top="0.75" bottom="0.75" header="0.3" footer="0.3"/>
  <pageSetup paperSize="9" orientation="portrait" verticalDpi="0"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03AC-23D7-4E06-9C97-7E0367B40FA2}">
  <dimension ref="A15:L17"/>
  <sheetViews>
    <sheetView showGridLines="0" zoomScale="113" zoomScaleNormal="70" workbookViewId="0">
      <selection activeCell="N9" sqref="N9"/>
    </sheetView>
  </sheetViews>
  <sheetFormatPr defaultRowHeight="14.5" x14ac:dyDescent="0.35"/>
  <cols>
    <col min="2" max="2" width="5.75" customWidth="1"/>
    <col min="3" max="3" width="14" customWidth="1"/>
    <col min="7" max="7" width="14.6640625" customWidth="1"/>
  </cols>
  <sheetData>
    <row r="15" spans="1:12" ht="15" thickBot="1" x14ac:dyDescent="0.4">
      <c r="C15" s="3"/>
    </row>
    <row r="16" spans="1:12" ht="15" thickBot="1" x14ac:dyDescent="0.4">
      <c r="A16" s="9" t="s">
        <v>2980</v>
      </c>
      <c r="C16" s="21" t="s">
        <v>62</v>
      </c>
      <c r="D16" s="9" t="s">
        <v>2981</v>
      </c>
      <c r="F16" s="10">
        <f>VLOOKUP(C16, Clean_Data!D:E, 2,FALSE)</f>
        <v>1000</v>
      </c>
      <c r="G16" s="9" t="s">
        <v>2982</v>
      </c>
      <c r="I16" s="10">
        <f>VLOOKUP(C16,Analysis!A:B, 2,FALSE)</f>
        <v>7017020</v>
      </c>
      <c r="J16" s="9" t="s">
        <v>2985</v>
      </c>
      <c r="L16" s="10">
        <f>VLOOKUP(C16,Analysis!J:K,2,FALSE)</f>
        <v>9098</v>
      </c>
    </row>
    <row r="17" spans="6:7" x14ac:dyDescent="0.35">
      <c r="F17" s="9"/>
      <c r="G17"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82D147-ADCC-4CBB-A251-8DB1C25844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Sheet1</vt:lpstr>
      <vt:lpstr>Clean_Data</vt:lpstr>
      <vt:lpstr>Analysis</vt:lpstr>
      <vt:lpstr>Dynamic_Dashboard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Ananya Sharma</cp:lastModifiedBy>
  <dcterms:created xsi:type="dcterms:W3CDTF">2021-08-05T04:57:40Z</dcterms:created>
  <dcterms:modified xsi:type="dcterms:W3CDTF">2026-08-16T13:44:44Z</dcterms:modified>
</cp:coreProperties>
</file>